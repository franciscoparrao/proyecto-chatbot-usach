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vedrecs" sheetId="1" r:id="rId4"/>
  </sheets>
  <definedNames/>
  <calcPr/>
</workbook>
</file>

<file path=xl/sharedStrings.xml><?xml version="1.0" encoding="utf-8"?>
<sst xmlns="http://schemas.openxmlformats.org/spreadsheetml/2006/main" count="65683" uniqueCount="9620">
  <si>
    <t>Publication Type</t>
  </si>
  <si>
    <t>Authors</t>
  </si>
  <si>
    <t>Book Authors</t>
  </si>
  <si>
    <t>Book Editors</t>
  </si>
  <si>
    <t>Book Group Authors</t>
  </si>
  <si>
    <t>Author Full Names</t>
  </si>
  <si>
    <t>Book Author Full Names</t>
  </si>
  <si>
    <t>Group Authors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</si>
  <si>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</si>
  <si>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</si>
  <si>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</si>
  <si>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</si>
  <si>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</si>
  <si>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</si>
  <si>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</si>
  <si>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</si>
  <si>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</si>
  <si>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</si>
  <si>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</si>
  <si>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</si>
  <si>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</si>
  <si>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Abstract</t>
  </si>
  <si>
    <t>Addresses</t>
  </si>
  <si>
    <t>Affiliations</t>
  </si>
  <si>
    <t>Reprint Addresses</t>
  </si>
  <si>
    <t>Email Addresses</t>
  </si>
  <si>
    <t>Researcher Ids</t>
  </si>
  <si>
    <t>ORCIDs</t>
  </si>
  <si>
    <t>Funding Orgs</t>
  </si>
  <si>
    <t>Funding Name Preferred</t>
  </si>
  <si>
    <t>Funding Text</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</si>
  <si>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</si>
  <si>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</si>
  <si>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</si>
  <si>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</si>
  <si>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</si>
  <si>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</si>
  <si>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</si>
  <si>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</si>
  <si>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</si>
  <si>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</si>
  <si>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</si>
  <si>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</si>
  <si>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</si>
  <si>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</si>
  <si>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</si>
  <si>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</si>
  <si>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</si>
  <si>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</si>
  <si>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Part Number</t>
  </si>
  <si>
    <t>Supplement</t>
  </si>
  <si>
    <t>Special Issue</t>
  </si>
  <si>
    <t>Meeting Abstract</t>
  </si>
  <si>
    <t>Start Page</t>
  </si>
  <si>
    <t>End Page</t>
  </si>
  <si>
    <t>Article Number</t>
  </si>
  <si>
    <t>DOI</t>
  </si>
  <si>
    <t>DOI Link</t>
  </si>
  <si>
    <t>Book DOI</t>
  </si>
  <si>
    <t>Early Access Date</t>
  </si>
  <si>
    <t>Number of Pages</t>
  </si>
  <si>
    <t>WoS Categories</t>
  </si>
  <si>
    <t>Web of Science Index</t>
  </si>
  <si>
    <t>Research Areas</t>
  </si>
  <si>
    <t>IDS Number</t>
  </si>
  <si>
    <t>Pubmed Id</t>
  </si>
  <si>
    <t>Open Access Designations</t>
  </si>
  <si>
    <t>Highly Cited Status</t>
  </si>
  <si>
    <t>Hot Paper Status</t>
  </si>
  <si>
    <t>Date of Export</t>
  </si>
  <si>
    <t>UT (Unique WOS ID)</t>
  </si>
  <si>
    <t>Web of Science Record</t>
  </si>
  <si>
    <t>J</t>
  </si>
  <si>
    <t>Shene, C; Cubillos, F; Perez, R; Alvarez, PI</t>
  </si>
  <si>
    <t/>
  </si>
  <si>
    <t>Modelling and simulation of a direct contact rotary dryer</t>
  </si>
  <si>
    <t>DRYING TECHNOLOGY</t>
  </si>
  <si>
    <t>A mathematical model able to predict solid and drying gas temperature and moisture content axial profiles along a direct contact rotary dryer was developed. The study was focused on the drying kinetics based on phenomenological models. Two different drying mechanisms in the decreasing drying rate period were tested: proportional to the unbound moisture content and moisture diffusion inside the particle. Experimental data collected in a pilot-scale direct contact rotary dryer was used to validate the model. Soya and fish meals were used as drying material.</t>
  </si>
  <si>
    <t>Perez-Correa, Jose/I-5565-2012</t>
  </si>
  <si>
    <t>CUBILLOS, FRANCISCO/0000-0001-7863-4394; Perez-Correa, Jose/0000-0002-1278-7782</t>
  </si>
  <si>
    <t>0737-3937</t>
  </si>
  <si>
    <t>10.1080/07373939608917214</t>
  </si>
  <si>
    <t>WOS:A1996VQ02900012</t>
  </si>
  <si>
    <t>LAMBA, D; FABRIZI, G; MATSUHIRO, B</t>
  </si>
  <si>
    <t>METHYL-ALPHA-D-GALACTURONIC ACID METHYL-ESTER</t>
  </si>
  <si>
    <t>ACTA CRYSTALLOGRAPHICA SECTION C-CRYSTAL STRUCTURE COMMUNICATIONS</t>
  </si>
  <si>
    <t>The structure of methyl methyl-alpha-D-galacturonoate monohydrate, C8H1407.H2O, has been redetermined. The sugar ring has the expected C-4(1) conformation. The orientation of the methoxy group is gauche-trans and the methyl ester group is nearly planar and lies equatorial to the ring.</t>
  </si>
  <si>
    <t>Lamba, Doriano/B-2961-2011</t>
  </si>
  <si>
    <t>Lamba, Doriano/0000-0001-6859-7868</t>
  </si>
  <si>
    <t>0108-2701</t>
  </si>
  <si>
    <t>SEP 15</t>
  </si>
  <si>
    <t>10.1107/S0108270193014210</t>
  </si>
  <si>
    <t>WOS:A1994PK71000048</t>
  </si>
  <si>
    <t>ALVEAR, M; ENCINAS, MV; KEMP, RG; LATSHAW, SP; CARDEMIL, E</t>
  </si>
  <si>
    <t>ATP-DEPENDENT SACCHAROMYCES-CEREVISIAE PHOSPHOENOLPYRUVATE CARBOXYKINASE - ISOLATION AND SEQUENCE OF A PEPTIDE CONTAINING A HIGHLY REACTIVE CYSTEINE</t>
  </si>
  <si>
    <t>BIOCHIMICA ET BIOPHYSICA ACTA</t>
  </si>
  <si>
    <t>Saccharomyces cerevisiae phosphoenolpyruvate carboxykinase (EC 4.1.1.49), inactivated by N-(iodoacetyl)-N'-(5-sulfo-1-naphthyl)ethylenediamine, incorporated 0.95 mol of the fluorescent moiety per mol of enzyme subunit. Reagent incorporation was completely protected by the presence of ADP plus MnCl2. The labeled protein was digested with trypsin after carboxymethylation. Two labeled peptides were isolated by reverse-phase high-performance liquid chromatography and were sequenced by gas-phase automatic Edman degradation. Both peptides contained overlapping amino acid sequences from Asn-358 to Lys-375, thus identifying Cys-364 as the reactive amino acid residue. The position of the target amino acid residue is immediately preceding a putative phosphoryl-binding sequence proposed for some nucleotide-binding proteins.</t>
  </si>
  <si>
    <t>Encinas, Maria/L-9686-2014</t>
  </si>
  <si>
    <t>0006-3002</t>
  </si>
  <si>
    <t>FEB 13</t>
  </si>
  <si>
    <t>10.1016/0167-4838(92)90230-B</t>
  </si>
  <si>
    <t>WOS:A1992HG27800006</t>
  </si>
  <si>
    <t>Silva, T; Rodríguez-Mercado, F; Bruna, JE; Torres, A; Arrieta, MP; Faba, S; Galotto, MJ; Guarda, A; Romero, J</t>
  </si>
  <si>
    <t>Silva, Tannia; Rodriguez-Mercado, Francisco; Bruna, Julio E.; Torres, Alejandra; Arrieta, Marina P.; Faba, Simon; Galotto, Maria Jose; Guarda, Abel; Romero, Julio</t>
  </si>
  <si>
    <t>Characterization of Simulated Postconsumer Recycled Poly (Lactic Acid) (PLA): Evaluation of Reprocessing Cycles on Its Physicochemical Properties</t>
  </si>
  <si>
    <t>JOURNAL OF POLYMER SCIENCE</t>
  </si>
  <si>
    <t>This study aims to investigate the behavior of poly (lactic acid) (PLA) by simulating its post-consumption use and mechanical recycling through multiple extrusion processes. Due to PLA being used in the production of packaging materials for beverages such as water and juice, the plastic was exposed to food simulants A and B according to international regulatory standards, and these materials were then subjected to repeated extrusion cycles, with a maximum of five cycles. After each cycle, the material's properties were evaluated through physicochemical characterization, including determination of the mean molecular weight by viscosity (Mv), melt flow index (MFI), structural analysis via infrared spectroscopy (FTIR), IZOD impact strength, thermal behavior using differential scanning calorimetry (DSC) and thermogravimetric analysis (TGA), and color evaluation using the CIELAB scale. Although a change in the molecular weight of the PLA samples was observed after different initial treatments and reprocessing, these did not significantly affect the thermal and mechanical properties of the materials. However, a noticeable color change occurred after the reprocessing cycles. This would indicate polyester degradation through various mechanisms and the generation of chromophore species.</t>
  </si>
  <si>
    <t>bruna, julio/AAM-6867-2021; Faba, Simón/MTD-2779-2025; Arrieta Dillon, Marina/F-9067-2016; Rodríguez, Francisco/I-5283-2018</t>
  </si>
  <si>
    <t>Faba, Simon/0000-0002-4299-0052</t>
  </si>
  <si>
    <t>2642-4150</t>
  </si>
  <si>
    <t>2642-4169</t>
  </si>
  <si>
    <t>MAY 1</t>
  </si>
  <si>
    <t>10.1002/pol.20241028</t>
  </si>
  <si>
    <t>MAR 2025</t>
  </si>
  <si>
    <t>WOS:001449615500001</t>
  </si>
  <si>
    <t>Ruiz, D; Inzunza, C; Barría, J; Baeza, C; Molina, A; Cubillos, FA; Salinas, F</t>
  </si>
  <si>
    <t>Ruiz, Diego; Inzunza, Claudia; Barria, Javiera; Baeza, Camila; Molina, Antonio; Cubillos, Francisco A.; Salinas, Francisco</t>
  </si>
  <si>
    <t>Optogenetic Modification of Glycerol Production in Wine Yeast</t>
  </si>
  <si>
    <t>ACS SYNTHETIC BIOLOGY</t>
  </si>
  <si>
    <t>The wine strains of Saccharomyces cerevisiae transform glucose into ethanol and other byproducts such as glycerol and acetate. The balance of these metabolites is important during the fermentation process, which impacts the organoleptic properties of wines. Ethanol and glycerol productions are mainly controlled by the ADH1 and GPD1 genes, which encode for the alcohol dehydrogenase and glycerol-3-phosphate-dehydrogenase enzymes, respectively. Genetic modification of these genes can thus be used to alter the levels of the corresponding metabolites and to reroute fermentation. In this work, we used an optogenetic system named FUN-LOV (FUNgal-Light Oxygen Voltage) to regulate the expression of ADH1 and GPD1 in a wine yeast strain using light. Initially, we confirmed the light-controlled expression of GPD1 and ADH1 in the engineered strains via RT-qPCR and a translational reporter, respectively. To characterize the generated yeast strains, we performed growth curve assays and laboratory-scale fermentations, observing phenotypic differences between illumination conditions that confirm the optogenetic control of the target genes. We also monitored glucose consumption and ethanol and glycerol productions during a fermentation time course, observing that the optogenetic control of GPD1 increased glycerol production under constant illumination without affecting ethanol production. Interestingly, the optogenetic control of ADH1 showed an inverted phenotype, where glycerol production increased under constant darkness conditions. Altogether, our results highlight the feasibility of using optogenetic tools to control yeast fermentation in a wine yeast strain, which allows changing the balance of metabolic products of interest in a light-dependent manner.</t>
  </si>
  <si>
    <t>Salinas, Francisco/AAP-9439-2020; Cubillos, Francisco/MIT-2389-2025; Cubillos, Francisco/G-5195-2019</t>
  </si>
  <si>
    <t>Cubillos, Francisco/0000-0003-3022-469X</t>
  </si>
  <si>
    <t>2161-5063</t>
  </si>
  <si>
    <t>FEB 14</t>
  </si>
  <si>
    <t>10.1021/acssynbio.4c00654</t>
  </si>
  <si>
    <t>WOS:001450067400001</t>
  </si>
  <si>
    <t>Cancino-Jiménez, D; Flores, RL; Valencia-Contrera, M; Cancino-Jiménez, J; Febré, N</t>
  </si>
  <si>
    <t>Cancino-Jimenez, Daniella; Flores, Rene Leyva; Valencia-Contrera, Miguel; Cancino-Jimenez, Jorge; Febre, Naldy</t>
  </si>
  <si>
    <t>Research with undocumented migrant participants</t>
  </si>
  <si>
    <t>REVISTA CUIDARTE</t>
  </si>
  <si>
    <t>Valencia-Contrera, Miguel/ACA-0201-2022; LEYVA, RENE/AAE-9368-2020</t>
  </si>
  <si>
    <t>2216-0973</t>
  </si>
  <si>
    <t>2346-3414</t>
  </si>
  <si>
    <t>JAN-APR</t>
  </si>
  <si>
    <t>e4621</t>
  </si>
  <si>
    <t>10.15649/cuidarte.4621</t>
  </si>
  <si>
    <t>WOS:001384891200001</t>
  </si>
  <si>
    <t>Roa, K; Oyarce, E; Boulett, A; Pizarro, G; Sánchez, J</t>
  </si>
  <si>
    <t>Roa, Karina; Oyarce, Estefania; Boulett, Andres; Pizarro, Guadalupe; Sanchez, Julio</t>
  </si>
  <si>
    <t>Lignin-Based Polymeric Hydrogel Materials for the Removal of Copper Ions From Water</t>
  </si>
  <si>
    <t>JOURNAL OF APPLIED POLYMER SCIENCE</t>
  </si>
  <si>
    <t>Sodium 4-styrene sulfonate was polymerized with lignosulfonic acid (LS) to obtain adsorbents for copper ions. The percentage of LS was varied, and the obtained systems were characterized by Fourier-transformed infrared spectroscopy, thermogravimetry, and scanning electron microscopy. Chemical composition, adequate thermostability, and a porous morphology with a pore size distribution favoring Cu(II) adsorption were corroborated. In hydration studies, all systems have a swelling capacity higher than 2000% at 60.0 min, whereas systems prepared with 20.0 and 30.0 wt.% of LS adsorb a higher amount of water owing to the high availability of polar sites. In contrast, adsorption studies were able to capture 25.1 mg of Cu(II) per g of adsorbent (prepared with 30.0 wt.% LS). The data obtained were fitted to a pseudo-first-order kinetics and Freundlich isotherm model, indicating a heterogeneous adsorbent surface. The thermodynamic parameters demonstrated the affinity between the active sites of the solid and Cu(II) in solution. It was determined that the adsorption mechanism is governed by the concentration gradient of Cu(II) at the interface (adsorbent-solution) and interactions of ion exchange and complexation types. Finally, the reuse of the bio-based adsorbent was achieved in consecutive adsorption-desorption cycles in up to four cycles.</t>
  </si>
  <si>
    <t>Sanchez, Julio/AEO-4360-2022</t>
  </si>
  <si>
    <t>Sanchez, Julio/0000-0003-4245-0096</t>
  </si>
  <si>
    <t>0021-8995</t>
  </si>
  <si>
    <t>1097-4628</t>
  </si>
  <si>
    <t>MAR 5</t>
  </si>
  <si>
    <t>10.1002/app.56536</t>
  </si>
  <si>
    <t>DEC 2024</t>
  </si>
  <si>
    <t>WOS:001369489100001</t>
  </si>
  <si>
    <t>Sotomayor, CG; González, C; Soto, M; Moreno-Bertero, N; Opazo, C; Ramos, B; Espinoza, G; Sanhueza, A; Cárdenas, G; Yévenes, S; Diaz-Jara, J; de Grazia, J; Manterola, M; Castro, D; Gajardo, AAIJ; Rodrigo, R</t>
  </si>
  <si>
    <t>Sotomayor, Camilo G.; Gonzalez, Camila; Soto, Miki; Moreno-Bertero, Nicolas; Opazo, Claudina; Ramos, Baltasar; Espinoza, Gonzalo; Sanhueza, Alvaro; Cardenas, Gonzalo; Yevenes, Sebastian; Diaz-Jara, Jorge; de Grazia, Jose; Manterola, Marcia; Castro, Daniel; Gajardo, Abraham A. I. J.; Rodrigo, Ramon</t>
  </si>
  <si>
    <t>Ionizing Radiation-Induced Oxidative Stress in Computed Tomography-Effect of Vitamin C on Prevention of DNA Damage: PREVIR-C Randomized Controlled Trial Study Protocol</t>
  </si>
  <si>
    <t>JOURNAL OF CLINICAL MEDICINE</t>
  </si>
  <si>
    <t>Exposure to ionizing radiation (IR) is inevitable in various X-ray imaging examinations, with computed tomography (CT) being a major contributor to increased human radiation exposure. Ionizing radiation may cause structural damage to macromolecules, particularly DNA, mostly through an indirect pathway in diagnostic imaging. The indirect pathway primarily involves the generation of reactive oxygen species (ROS) due to water radiolysis induced by IR, leading to DNA damage, including double-strand breaks (DSB), which are highly cytotoxic. Antioxidants, substances that prevent oxidative damage, are proposed as potential radioprotective agents. This Study Protocol article presents the rationale for selecting vitamin C as a preventive measure against CT-associated IR-induced DNA damage, to be investigated in a randomized placebo-controlled trial, with a full in vivo design, using an oral easy-to-use schedule administration in the outpatient setting, for the single CT examination with the highest total global IR dose burden (contrast-enhanced abdomen and pelvis CT). The study also aims to explore the mediating role of oxidative stress, and it has been written in adherence to the Standard Protocol Items recommendations.</t>
  </si>
  <si>
    <t>Espinoza-Vásquez, Gonzalo/ABB-1251-2021; Rodrigo, Ramon/IYS-4056-2023; Gonzalez, Camila/LBI-5895-2024; Castro, Daniel/AAE-1531-2021; Sotomayor, Camilo G./AAH-9500-2019; Manterola, Marcia/H-9420-2016</t>
  </si>
  <si>
    <t>Sotomayor, Camilo G./0000-0001-6835-6386; Manterola, Marcia/0000-0002-5802-1301; Rodrigo, Ramon/0000-0003-1724-571X</t>
  </si>
  <si>
    <t>2077-0383</t>
  </si>
  <si>
    <t>JUL</t>
  </si>
  <si>
    <t>10.3390/jcm13133866</t>
  </si>
  <si>
    <t>WOS:001266758900001</t>
  </si>
  <si>
    <t>Alves, CO; Boudjeriou, T; Prado, H</t>
  </si>
  <si>
    <t>Alves, Claudianor O.; Boudjeriou, Tahir; Prado, Humberto</t>
  </si>
  <si>
    <t>Existence of solution and qualitative behavior for a class of heat equations</t>
  </si>
  <si>
    <t>JOURNAL OF DIFFERENTIAL EQUATIONS</t>
  </si>
  <si>
    <t>The objective of this paper is to investigate the existence of solutions and their qualitative behavior for a given class of nonlinear evolutionary equations. We demonstrate that the pseudo -differential operator A exp( - cA) acts as the infinitesimal generator of the solution operator. Here, A denotes the Euclidean Laplace operator, and c is a positive constant. We establish the appropriate domain for the operator A exp( - cA) and prove that it generates a C 0 semigroup on L 2 ( R N ). Additionally, we introduce a scale of spaces wherein smooth solutions exist, and these spaces are continuously embedded into the Sobolev class. Finally, we investigate the nonlinear evolution problem for a broad class of nonlinearities. (c) 2024 Elsevier Inc. All rights reserved.</t>
  </si>
  <si>
    <t>0022-0396</t>
  </si>
  <si>
    <t>1090-2732</t>
  </si>
  <si>
    <t>AUG 15</t>
  </si>
  <si>
    <t>10.1016/j.jde.2024.04.019</t>
  </si>
  <si>
    <t>MAY 2024</t>
  </si>
  <si>
    <t>WOS:001239666900001</t>
  </si>
  <si>
    <t>Garces-Gálvez, JJ; Geraldi, A; Medina-Tapia, M</t>
  </si>
  <si>
    <t>Garces-Galvez, Juan Jose; Geraldi, Alejandra; Medina-Tapia, Marcos</t>
  </si>
  <si>
    <t>EXPLORING CLIMATE VARIABILITY IN THE MATAQUITO RIVER BASIN OF THE MAULE REGION, CHILE: A SPECTRAL ANALYSIS APPROACH</t>
  </si>
  <si>
    <t>INTERCIENCIA</t>
  </si>
  <si>
    <t>The ecosystem services of freshwater provision and climate regulation depend on climate variability, so it is critical to understand climate variability to analyze the interaction between the natural and social systems. The Mataquito River basin, located in the Maule Region of Chile, transitions from mountainous terrain to coastal areas, giving rise to diverse landscapes, industrial activities, and microclimatic conditions. This work Basin by applying spectral analysis techniques. The work meth od consists of three stages: (i) downloading and consolidation of meteorological data series; (ii) application of Fast Fourier Transform (FFT) and Wavelet techniques; and (iii) analysis of seasonal, annual, interannual, and decadal climate variability scales. The results indicate that there are seasonal, annual, and interannual variations. Finally, the lowest frequencies of the precipitation and temperature spectrum reflect phenomena with a typical duration of 3 to 7 years, coinciding with the duration of the El Ni &amp; ntilde;o-Southern Oscillation (ENSO) phenomenon.</t>
  </si>
  <si>
    <t>Medina-Tapia, Marcos/F-8779-2016</t>
  </si>
  <si>
    <t>Medina-Tapia, Marcos/0000-0002-3961-5075</t>
  </si>
  <si>
    <t>0378-1844</t>
  </si>
  <si>
    <t>MAY</t>
  </si>
  <si>
    <t>WOS:001242542800005</t>
  </si>
  <si>
    <t>C</t>
  </si>
  <si>
    <t>Lehmann, PI; Xavier, A; Andiat, ME; Longt, CAS</t>
  </si>
  <si>
    <t>IEEE</t>
  </si>
  <si>
    <t>Lehmann, Pedro Izquierdo; Xavier, Aline; Andiat, Marcelo E.; Longt, Carlos A. Sing</t>
  </si>
  <si>
    <t>EXACT CLASSIFICATION OF NMR SPECTRA FROM NMR SIGNALS</t>
  </si>
  <si>
    <t>2024 IEEE INTERNATIONAL CONFERENCE ON ACOUSTICS, SPEECH AND SIGNAL PROCESSING (ICASSP 2024)</t>
  </si>
  <si>
    <t>International Conference on Acoustics Speech and Signal Processing ICASSP</t>
  </si>
  <si>
    <t>49th IEEE International Conference on Acoustics, Speech, and Signal Processing (ICASSP)</t>
  </si>
  <si>
    <t>APR 14-19, 2024</t>
  </si>
  <si>
    <t>Seoul, SOUTH KOREA</t>
  </si>
  <si>
    <t>Inst Elect &amp; Elect Engineers,Inst Elect &amp; Elect Engineers Signal Proc Soc</t>
  </si>
  <si>
    <t>Nuclear magnetic resonance (NMR) spectroscopy is routinely used to study the properties of matter. Therefore, different materials can be classified according to their NMR spectra. However, the NMR spectra cannot be observed directly, and only the NMR signal, which is a sum of complex exponentials, is directly observable in practice. A popular approach to recover the spectrum is to perform harmonic retrieval, i.e., to reconstruct exactly the spectrum from the NMR signal. However, even when this approach fails, the spectrum might still be classified accurately. In this work, we model the spectrum as an atomic measure to study the performance of classifying the spectrum from the NMR signal, and to determine how it degrades in the presence of additive noise and changes in field intensity. Although we focus on NMR signals, our results are broadly applicable to sum-of-exponential signals. We show numerical results illustrating our claims.</t>
  </si>
  <si>
    <t>Xavier, Aline/HKO-6460-2023</t>
  </si>
  <si>
    <t>Xavier, Aline/0000-0001-6793-341X</t>
  </si>
  <si>
    <t>1520-6149</t>
  </si>
  <si>
    <t>979-8-3503-4486-8; 979-8-3503-4485-1</t>
  </si>
  <si>
    <t>10.1109/ICASSP48485.2024.10446412</t>
  </si>
  <si>
    <t>WOS:001396233803011</t>
  </si>
  <si>
    <t>Simonetti, FL; Cabral, L; Chaves, R; Sette, LD</t>
  </si>
  <si>
    <t>Simonetti, Flavio L.; Cabral, Lucelia; Chavez, Renato; Sette, Lara D.</t>
  </si>
  <si>
    <t>Resistance to adverse conditions and characterization of Cladosporium species from marine and terrestrial Antarctic samples</t>
  </si>
  <si>
    <t>ANAIS DA ACADEMIA BRASILEIRA DE CIENCIAS</t>
  </si>
  <si>
    <t>Microbial adaptations to extreme environments can lead to biotechnological applications. This study aimed to evaluate the resistance of Antarctic Cladosporium to adverse conditions (temperature, salinity, UV radiation, and nutrients) and refine their taxonomy. Sequencing and phylogenetic analysis using ITS- act markers resulted in a more accurate taxonomic identification, revealing the presence of five different species, belonging to the complexes C. cladosporioides and C. sphaerospermum. . The growth at different temperatures indicates that the soil isolates LAMAI 564 and 1800 (phylogenetically closely related) and LAMAI 2541 are psychrophilic, while the other isolates are psychrotolerant. The fungi isolated from the saline samples LAMAI 595, 616, and 1369 showed better growth results at higher salinity (15%). The fungi most resistant to UV radiation were isolated from terrestrial and marine samples (LAMAI 595, 616, 1800, and 564). LAMAI 595 and 616 (phylogenetically closely related and isolated from the same kind of sample) showed the capacity of nutritional versatility, growing well in both rich and poor-nutrient media. The fungus LAMAI 595 was the most promising for biotechnological application, exceeding the other isolates in the harsh conditions studied. The resistance of the Antarctic Cladosporium to adverse conditions opens new perspectives in the field of applied microbiology of extremophiles.</t>
  </si>
  <si>
    <t>Cabral, Lucélia/G-1253-2019; Sette, Lara/C-8298-2013</t>
  </si>
  <si>
    <t>Sette, Lara/0000-0002-5980-3786; Cabral, Lucelia/0000-0003-1743-6364; Chavez, Renato/0000-0003-1754-3610</t>
  </si>
  <si>
    <t>0001-3765</t>
  </si>
  <si>
    <t>1678-2690</t>
  </si>
  <si>
    <t>e20230598</t>
  </si>
  <si>
    <t>10.1590/0001-3765202420230598</t>
  </si>
  <si>
    <t>WOS:001285994200001</t>
  </si>
  <si>
    <t>Freire, RM; Silva-Moreno, E; Robles-Kelly, C; Infante, CD; Denardin, JC; Michea, S</t>
  </si>
  <si>
    <t>Freire, Rafael M. M.; Silva-Moreno, Evelyn; Robles-Kelly, Christian; Infante, Claudia D. D.; Denardin, Juliano C. C.; Michea, Sebastian</t>
  </si>
  <si>
    <t>Straightforward synthesis of monodisperse Co/Zn-based nanoparticles and their antifungal activities on Botrytis cinerea</t>
  </si>
  <si>
    <t>AIP ADVANCES</t>
  </si>
  <si>
    <t>67th Annual Conference on Magnetism and Magnetic Materials (MMM)</t>
  </si>
  <si>
    <t>OCT 31-NOV 04, 2022</t>
  </si>
  <si>
    <t>Minneapolis, MN</t>
  </si>
  <si>
    <t>Herein, we have displayed an easy way to produce monodisperse spinel nanoparticles (NPs) and the antifungal activity of CoFe2O4, Co0.5Zn0.5Fe2O4 and ZnFe2O4 nanostructures. Firstly, the structural, morphological and magnetic properties of each NP were investigated through x-ray diffraction (XRD), Transmission Electron Microscopy (TEM) and Vibrating Sample Magnetometer (VSM). The XRD data showed diffraction peaks related to the crystalline spinel phase. The TEM micrographs displayed monodisperse NPs with spherical morphology. The average sizes of CoFe2O4, Co(0.5)Zn0(.5)Fe(2)O(4) and ZnFe2O4 NPs were 6.87 +/- 0.05 nm, 5.18 +/- 0.01 nm and 11.52 +/- 0.09 nm, respectively. The VSM data indicated that the nanostructures are superparamagnetic at room temperature. Afterward, the antifungal properties of the Co/Zn-based ferrite NPs against Botrytis cinerea were tested. So, the inhibition of mycelial growth by different concentrations (45 - 360 ppm) of NPs was measured. The most effective nanostructure was CoFe2O4, with an EC50 value of 265 ppm. Further, to elucidate how the NPs are affecting B. cinerea, reactive oxygen species (ROS) production was measured. The results indicated that the CoFe2O4 monodisperse NPs could induce a burst of ROS in B. cinerea, promoting cellular damage.</t>
  </si>
  <si>
    <t>Silva-Moreno, Evelyn/B-9545-2012; Denardin, Juliano/S-6407-2019; Michea, Sebastian/E-9043-2017</t>
  </si>
  <si>
    <t>Melo Freire, Rafael/0000-0002-0914-4962; Michea, Sebastian/0000-0001-9312-5766; Silva-Moreno, Evelyn/0000-0001-8745-7916; Denardin, Juliano/0000-0002-1373-6207</t>
  </si>
  <si>
    <t>2158-3226</t>
  </si>
  <si>
    <t>MAR 1</t>
  </si>
  <si>
    <t>10.1063/9.0000534</t>
  </si>
  <si>
    <t>WOS:000942145000013</t>
  </si>
  <si>
    <t>Candia-Onfray, C; Irikura, K; Calzadilla, W; Rojas, S; Zanoni, MVB; Salazar, R</t>
  </si>
  <si>
    <t>Candia-Onfray, Christian; Irikura, Kallyni; Calzadilla, Wendy; Rojas, Susana; Zanoni, Maria Valnice Boldrin; Salazar, Ricardo</t>
  </si>
  <si>
    <t>Degradation of contaminants of emerging concern in a secondary effluent using synthesized MOF-derived photoanodes: A comparative study between photo-, electro- and photoelectrocatalysis</t>
  </si>
  <si>
    <t>CHEMOSPHERE</t>
  </si>
  <si>
    <t>Three metal-organic framework (MOF)-based photoanodes were prepared by deposition on TiO(2 )nanotubes using Ti as substrate (Ti/TiO2NT): i) Ti/TiO2NT-Au@ZIF-8, ii) Ti/TiO2NT-Ru-3(BTC)(2), iii) Ti/TiO2NT-UiO-66(Zr)NH2. These photoanodes were characterized by FEG-SEM, EDX and DRX. The analyses showed a successful modification and a high homogeneity of the different MOFs on the Ti/TiO2NT surface. The photoanodes were studied in the degradation of Contaminants of Emerging Concern (CECs) in a spiked secondary effluent from a Municipal Wastewater Treatment Plant (MWWTP). Sodium diclofenac (DCF), sulfamethazine (SMT) and carbamazepine (CBZ) were used as CECs at low concentration (200 mu g/L each CEC). The samples were preconcentrated using Solid Phase Extraction (SPE) and analyzed by a HPLC-DAD system. The MOF-based photoanodes exhibited a high photoelectrochemical (PEC) activity towards the oxidation of CECs, achieving up to 50%, 70% and 80% of removal using Ti/TiO2NT-Au@ZIF-8, Ti/TiO2NT-UiO-66(Zr)NH2, Ti/TiO2NT-Ru-3(BTC), respectively. The influence of the generation of hydroxyl radical</t>
  </si>
  <si>
    <t>Rojas de la Fuente, Susana/AAP-2967-2020; Onfray Candia, Christian/HZK-7767-2023; Calzadilla, Wendy/KHY-6999-2024; Irikura, Kallyni/H-1243-2014; ZANONI, MARIA VALNICE/ABH-3301-2020; Salazar, Ricardo/L-7870-2013</t>
  </si>
  <si>
    <t>Salazar-Gonzalez, Ricardo/0000-0003-2180-6022; Irikura, Kallyni/0000-0001-6247-9270; Rojas de la Fuente, Susana Dennis/0000-0003-0557-0734; Onfray, Christian/0000-0001-5485-9169</t>
  </si>
  <si>
    <t>0045-6535</t>
  </si>
  <si>
    <t>1879-1298</t>
  </si>
  <si>
    <t>FEB</t>
  </si>
  <si>
    <t>10.1016/j.chemosphere.2022.137683</t>
  </si>
  <si>
    <t>JAN 2023</t>
  </si>
  <si>
    <t>WOS:000938759800001</t>
  </si>
  <si>
    <t>Hidalgo, N; Rosas, E; Saavedra, T; Morales, J</t>
  </si>
  <si>
    <t>Hidalgo, Nicolas; Rosas, Erika; Saavedra, Teodoro; Morales, Jefferson</t>
  </si>
  <si>
    <t>SLedge: Scheduling and Load Balancing for a Stream Processing EDGE Architecture</t>
  </si>
  <si>
    <t>APPLIED SCIENCES-BASEL</t>
  </si>
  <si>
    <t>Natural disasters have a significant impact on human welfare. In recent years, disasters are more violent and frequent due to climate change, so their impact may be higher if no preemptive measures are taken. In this context, real-time data processing and analysis have shown great potential to support decision-making, rescue, and recovery after a disaster. However, disaster scenarios are challenging due to their highly dynamic nature. In particular, we focus on data traffic and available processing resources. In this work, we propose SLedge-an edge-based processing model that enables mobile devices to support stream processing systems' tasks under post-disaster scenarios. SLedge relies on a two-level control loop that automatically schedules SPS's tasks over mobile devices to increase the system's resilience, reduce latency, and provide accurate outputs. Our results show that SLedge can outperform a cloud-based infrastructure in terms of latency while keeping a low overhead. SLedge processes data up to five times faster than a cloud-based architecture while improving load balancing among processing resources, dealing better with traffic spikes, and reducing data loss and battery drain.</t>
  </si>
  <si>
    <t>Rosas, Erika/AFY-6048-2022</t>
  </si>
  <si>
    <t>Hidalgo, Nicolas/0000-0003-0831-9350</t>
  </si>
  <si>
    <t>2076-3417</t>
  </si>
  <si>
    <t>10.3390/app12136474</t>
  </si>
  <si>
    <t>WOS:000823875500001</t>
  </si>
  <si>
    <t>Paredes, I; Quintero, J; Guerrero, K; Gallardo, R; Mau, S; Conejeros, R; Gentina, JC; Aroca, G</t>
  </si>
  <si>
    <t>Paredes, Ivan; Quintero, Julian; Guerrero, Karlo; Gallardo, Roberto; Mau, Silvia; Conejeros, Raul; Carlos Gentina, Juan; Aroca, German</t>
  </si>
  <si>
    <t>Kinetics of ABE fermentation considering the different phenotypes present in a batch culture of Clostridium beijerinckii NCIMB-8052</t>
  </si>
  <si>
    <t>ELECTRONIC JOURNAL OF BIOTECHNOLOGY</t>
  </si>
  <si>
    <t>Background: In solvent-producing Clostridium species, several physiological conditions and morphological forms can be observed during batch ABE fermentation. Currently, the contribution made by each condition or form to the production of acids and solvents is not clear. Flow cytometry and fluorescence microscopy have been used to analyze the presence of different morphological and physiological conditions for Clostridium species; however, there are few studies to quantify their contribution to fermentation kinetics. Results: Morphological changes of the batch cultures of Clostridium beijerinckii NCIMB-8052 were followed by flow cytometry and epifluorescence microscopy. Three cell types were identified, and the percentage of each one was estimated along the culture, showing that they are present throughout the culture and its population distribution was in agreement with the kinetics of growth and acids and solvents production. Yields for the global population and for each subpopulation were estimated. The values of the yield for butanol and acetone based on the fraction of solventogenic cells were 2.5 times the values of the parameters obtained for the whole biomass, while those for acetic and butyric acids based on the acidogenic cell type was 1.5 times. Conclusions: Quantitative analysis of the subpopulations by flow cytometry allows the calculation of the yields related to specific cell types, isolating the contribution of each subpopulation to the production of acids and solvents. How to cite: Paredes I, Quintero J, Guerrero K, et al. Kinetics of ABE fermentation considering the different phenotypes present in a batch culture of Clostridium beijerinckii NCIMB-8052. Electron J Biotechnol 2022;56. https://doi.org/10.1016/j.ejbt.2021.12.002 (c) 2022 Pontificia Universidad Catolica de Valparaiso. Production and hosting by Elsevier B.V. This is an open access article under the CC BY-NC-ND license (http://creativecommons.org/licenses/by-nc-nd/4.0/).</t>
  </si>
  <si>
    <t>Conejeros, Raul/ABG-5517-2020; Guerrero, Karlo/LZE-6955-2025; Quintero, Julian/KHY-7891-2024; Aroca, German/ABG-6714-2020; Aroca, German/B-3798-2011</t>
  </si>
  <si>
    <t>Mau Inchaustegui, Silvia/0000-0002-9775-7442; Aroca, German/0000-0003-1376-7940; Guerrero Munoz, Karlo Antonio/0000-0002-4849-536X</t>
  </si>
  <si>
    <t>0717-3458</t>
  </si>
  <si>
    <t>MAR</t>
  </si>
  <si>
    <t>10.1016/j.ejbt.2021.12.002</t>
  </si>
  <si>
    <t>FEB 2022</t>
  </si>
  <si>
    <t>WOS:000790155700002</t>
  </si>
  <si>
    <t>Villarroel, E; Olea, F; Araya-López, C; Gajardo, J; Merlet, G; Cabezas, R; Romero, J; Quijada-Maldonado, E</t>
  </si>
  <si>
    <t>Villarroel, E.; Olea, F.; Araya-Lopez, C.; Gajardo, J.; Merlet, G.; Cabezas, R.; Romero, J.; Quijada-Maldonado, E.</t>
  </si>
  <si>
    <t>Diluent effects in the solvent extraction of rhenium (VII) with amine extractants in [Tf2N]-based ionic liquids: Experimental and COSMO-RS analysis</t>
  </si>
  <si>
    <t>JOURNAL OF MOLECULAR LIQUIDS</t>
  </si>
  <si>
    <t>In this work, the factors that determine a high or low extraction performance when using ionic liquids (ILs) as diluents in the solvent extraction of Rhenium (Re(VII)) from aqueous solutions were studied by means of experiments, quantum chemical (QC) calculations, and COSMO-RS. For this purpose, kerosene and the ionic liquids (ILs) 1-butyl-3-methyl-imidazolium bis(trifluoromethylsulfonyl)imide [C4C1im] [Tf2N], or 1-methyl-3-octylimidazolium bis(trifluoromethylsulfonyl)imide [C8C1im][Tf2N] were used as diluents to determine de effect of alkyl chain of ILs, and two high molecular weight amines: trioctylamine (TOA) and Alamine 336 (Al336) were used as the extractants. The results indicated that the so-called reference extracting phase TOA in kerosene achieved 99% extraction percentages. On the contrary, a lower performance was observed when replacing kerosene with any of both ILs. This reduction was mainly due to two reasons. First, the IL dissociates where the cation takes part in the formed complex, hindering the TOA-perrhenate bonding, and second, the formed complex that contains IL cations shows poor dissolution in the diluent phase. This could be avoided by means of long alkyl chain imidazolium bis(trifluorome thylsulfonyl)imide-based ILs. Additionally, operating parameters such as equilibrium stages and concentration of the stripping agent were studied. Promising results were obtained by replacing TOA with Al336 dissolved in the IL [C8C1im][Tf2N], showing very similar results with the reference extracting phase. (c) 2021 Elsevier B.V. All rights reserved.</t>
  </si>
  <si>
    <t>Araya Lopez, Claudio/KXR-0295-2024; Cabezas, Rene/HAR-6189-2022; olea, felipe/IAN-5687-2023; Villarroel Utreras, Eduardo/LCD-3437-2024; Romero, Julio/I-6705-2013; Merlet Venturelli, Gaston/B-4109-2019</t>
  </si>
  <si>
    <t>Merlet Venturelli, Gaston/0000-0003-2602-6471; Olea Chandia, Felipe/0000-0002-6349-6184; Romero, Julio/0000-0002-1229-1592; Cabezas, Rene/0000-0002-4162-3429; Villarroel, Eduardo/0000-0001-5208-3512; Quijada-Maldonado, Esteban/0000-0003-1411-4327</t>
  </si>
  <si>
    <t>0167-7322</t>
  </si>
  <si>
    <t>1873-3166</t>
  </si>
  <si>
    <t>JAN 15</t>
  </si>
  <si>
    <t>10.1016/j.molliq.2021.117091</t>
  </si>
  <si>
    <t>JAN 2022</t>
  </si>
  <si>
    <t>WOS:000754539100002</t>
  </si>
  <si>
    <t>B</t>
  </si>
  <si>
    <t>Mella-Polanco, M; Contreras, AP</t>
  </si>
  <si>
    <t>Baisotti, PA</t>
  </si>
  <si>
    <t>Mella-Polanco, Marcelo; Perez Contreras, Anibal</t>
  </si>
  <si>
    <t>Political Conflicts and Left-Wing Shift in Chile Historical Development of the Partisan Competition Space</t>
  </si>
  <si>
    <t>PROBLEMS AND ALTERNATIVES IN THE MODERN AMERICAS</t>
  </si>
  <si>
    <t>Routledge Studies in the History of the Americas</t>
  </si>
  <si>
    <t>978-0-367-49261-8; 978-1-003-04534-2; 978-0-367-49258-8</t>
  </si>
  <si>
    <t>10.4324/9781003045342-12</t>
  </si>
  <si>
    <t>10.4324/9781003045342</t>
  </si>
  <si>
    <t>WOS:000863267200013</t>
  </si>
  <si>
    <t>Barbieri, S; García-Ramos, F</t>
  </si>
  <si>
    <t>Barbieri, Sebastian; Garcia-Ramos, Felipe</t>
  </si>
  <si>
    <t>A hierarchy of topological systems with completely positive entropy</t>
  </si>
  <si>
    <t>JOURNAL D ANALYSE MATHEMATIQUE</t>
  </si>
  <si>
    <t>We define a hierarchy of systems with topological completely positive entropy in the context of countable amenable continuous group actions on compact metric spaces. For each countable ordinal we construct a dynamical system on the corresponding level of the aforementioned hierarchy and provide subshifts of finite type for the first three levels. We give necessary and sufficient conditions for entropy pairs by means of the asymptotic relation on systems with the pseudo-orbit tracing property, and thus create a bridge between a result by Pavlov and a result by Meyerovitch. As a corollary, we answer negatively an open question by Pavlov regarding necessary conditions for completely positive entropy.</t>
  </si>
  <si>
    <t>Barbieri, Sebastián/HTS-1654-2023</t>
  </si>
  <si>
    <t>Garcia-Ramos, Felipe/0000-0003-4735-7827; Barbieri, Sebastian/0000-0001-9567-2085</t>
  </si>
  <si>
    <t>0021-7670</t>
  </si>
  <si>
    <t>1565-8538</t>
  </si>
  <si>
    <t>JUN</t>
  </si>
  <si>
    <t>10.1007/s11854-021-0167-2</t>
  </si>
  <si>
    <t>JUN 2021</t>
  </si>
  <si>
    <t>WOS:000668043400013</t>
  </si>
  <si>
    <t>Salazar, E; Azurdia-Meza, CA; Zabala-Blanco, D; Bolufé, S; Soto, I</t>
  </si>
  <si>
    <t>Salazar, Eduardo; Azurdia-Meza, Cesar A.; Zabala-Blanco, David; Bolufe, Sandy; Soto, Ismael</t>
  </si>
  <si>
    <t>Semi-Supervised Extreme Learning Machine Channel Estimator and Equalizer for Vehicle to Vehicle Communications</t>
  </si>
  <si>
    <t>ELECTRONICS</t>
  </si>
  <si>
    <t>Wireless vehicular communications are a promising technology. Most applications related to vehicular communications aim to improve road safety and have special requirements concerning latency and reliability. The traditional channel estimation techniques used in the IEEE 802.11 standard do not properly perform over vehicular channels. This is because vehicular communications are subject to non-stationary, time-varying, frequency-selective wireless channels. Therefore, the main goal of this work is the introduction of a new channel estimation and equalization technique based on a Semi-supervised Extreme Learning Machine (SS-ELM) in order to address the harsh characteristics of the vehicular channel and improve the performance of the communication link. The performance of the proposed technique is compared with traditional estimators, as well as state-of-the-art machine-learning-based algorithms over an urban scenario setup in terms of bit error rate. The proposed SS-ELM scheme outperformed the extreme learning machine and the fully complex extreme learning machine algorithms for the evaluated scenarios. Compared to traditional techniques, the proposed SS-ELM scheme has a very similar performance. It is also observed that, although the SS-ELM scheme requires the largest operation time among the evaluated techniques, its execution time is still far away from the latency requirements specified by the standard for safety applications.</t>
  </si>
  <si>
    <t>Meza, Cesar/D-6948-2014</t>
  </si>
  <si>
    <t>Soto, Ismael/0000-0002-5501-5651; Salazar, Eduardo/0000-0002-2221-8727; Azurdia, Cesar/0000-0003-3461-4484; Zabala-Blanco, David/0000-0002-5692-5673; BOLUFE AGUILA, SANDY/0000-0002-3996-0004</t>
  </si>
  <si>
    <t>2079-9292</t>
  </si>
  <si>
    <t>APR</t>
  </si>
  <si>
    <t>10.3390/electronics10080968</t>
  </si>
  <si>
    <t>WOS:000643990100001</t>
  </si>
  <si>
    <t>Soto, A; Vanegas, J</t>
  </si>
  <si>
    <t>Soto V, Alvaro; Vanegas L, Jairo</t>
  </si>
  <si>
    <t>Trend in stroke mortality in Chile from 1980 to 2015</t>
  </si>
  <si>
    <t>REVISTA MEDICA DE CHILE</t>
  </si>
  <si>
    <t>Background: Stroke is the third largest single cause of death in Chile, responsible for 7.3% of all deaths in 2019. Large declines in stroke mortality rates in most Latin American countries in recent decades have been reported. Aim: To analyze the trend in stroke mortality in Chile between 1980 and 2015. Material and Methods: We extracted data for age-standardized death rate (ASDR) stroke mortality per 100,000 inhabitants in Chile for the period 1980-2015 from the WHO Mortality Database. Joinpoint regression analysis was used to analyze the trend and compute the average annual percent change (AAPC) by gender in Chile. Results: The ASDR from stroke decreased from 92.8 per 100,000 in 1980 to 34.4 per 100,000 in 2015. The AAPC was -2.8% (-3.5, -2.1), with two jointpoints, 2008 and 2012. By gender, the AAPC was -2.4% and -2.9% in men and women, respectively. Conclusions: Stroke mortality rate decreased significantly between 1980 and 2015 in Chile, mainly in women.</t>
  </si>
  <si>
    <t>Soto, Alina/JPA-1430-2023</t>
  </si>
  <si>
    <t>0034-9887</t>
  </si>
  <si>
    <t>0717-6163</t>
  </si>
  <si>
    <t>WOS:000691389000009</t>
  </si>
  <si>
    <t>Sandoval, MA; Fuentes, R; Thiam, A; Salazar, R</t>
  </si>
  <si>
    <t>Sandoval, Miguel A.; Fuentes, Rosalba; Thiam, Abdoulaye; Salazar, Ricardo</t>
  </si>
  <si>
    <t>Arsenic and fluoride removal by electrocoagulation process: A general review</t>
  </si>
  <si>
    <t>SCIENCE OF THE TOTAL ENVIRONMENT</t>
  </si>
  <si>
    <t>The environmental sector has expressed a growing interest in using electrocoagulation (EC) to treat groundwater/wastewater for drinking/recycling purposes. In the EC process, the electro-dissolution of sacrificial metallic anodes through direct application of current/cell potential dissolves the metals, which precipitate as oxides and hydroxides depending on the electrolyte pH. These particles have large surface areas and can remove pollutants by coagulation. The EC process has been considered an alternative technology due to its versatility, efficiency, low cost, and environmental compatibility. Unfortunately, the lack of knowledge about scaling-up this process has limited its implementation at the industrial scale. The aim of this study is to provide a review of the EC process used for removing arsenic and fluoride from groundwater and wastewater. Approximately 80 published studies were reviewed for this paper. The fundamentals of the EC process and importance of its operating conditions, i.e., electrode material, current density, supporting electrolyte, and pH, are reported in this paper. Additionally, overview of floc characterization and energy consumption are also presented. Finally, this paper also discusses the future perspectives. (C) 2020 Elsevier B.V. All rights reserved.</t>
  </si>
  <si>
    <t>Salazar, Ricardo/L-7870-2013; Sandoval, Miguel A/JCF-1838-2023; Sandoval, Miguel/F-3645-2019; Thiam, Abdoulaye/X-4067-2018</t>
  </si>
  <si>
    <t>Sandoval, Miguel/0000-0001-9659-5827; Salazar-Gonzalez, Ricardo/0000-0003-2180-6022; Thiam, Abdoulaye/0000-0001-5024-1855</t>
  </si>
  <si>
    <t>0048-9697</t>
  </si>
  <si>
    <t>1879-1026</t>
  </si>
  <si>
    <t>JAN 20</t>
  </si>
  <si>
    <t>10.1016/j.scitotenv.2020.142108</t>
  </si>
  <si>
    <t>WOS:000588616700128</t>
  </si>
  <si>
    <t>Ferrer, P; Rodriguez, C; Sciaraffia, A; Tordecilla, R; Ramos, V; Durán, M; Beltrán, C; Afani, A</t>
  </si>
  <si>
    <t>Ferrer, Pablo; Rodriguez, Consuelo; Sciaraffia, Alicia; Tordecilla, Rocio; Ramos, Veronica; Duran, Magdalena; Beltran, Carlos; Afani, Alejandro</t>
  </si>
  <si>
    <t>HIV-1 resistance patterns to integrase inhibitors in Chilean patients with virological failure on raltegravir-containing regimens</t>
  </si>
  <si>
    <t>JOURNAL OF VIRUS ERADICATION</t>
  </si>
  <si>
    <t>In this viewpoint we would like to describe our results in terms of resistance pattern in Chilean patients with virological failure (VF) on raltegravir (RAL)-containing-regimens and highlight the need for the concomitant availability of genotypic resistance testing to integrase strand transfer inhibitors (INSTIs) introduction in anti-retroviral regimens, particularly in countries in South America. Indeed we found in our study the presence of two or more primary mutations in some of the participants which is associated with cross-resistance to all INSTIs. By using timely genotyping, we could optimally manage these patients, early after detection of VF.</t>
  </si>
  <si>
    <t>Ferrer Campos, Pablo/AAW-7777-2020</t>
  </si>
  <si>
    <t>Ferrer, Pablo/0000-0001-9824-6583</t>
  </si>
  <si>
    <t>2055-6640</t>
  </si>
  <si>
    <t>2055-6659</t>
  </si>
  <si>
    <t>SEP</t>
  </si>
  <si>
    <t>10.1016/j.jve.2020.06.002</t>
  </si>
  <si>
    <t>WOS:000581114900002</t>
  </si>
  <si>
    <t>Alvarez, P; Muñoz, F; Celentano, D; Artigas, A; Cerda, FMC; Ponthot, JP; Monsalve, A</t>
  </si>
  <si>
    <t>Alvarez, Paulina; Munoz, Francisco; Celentano, Diego; Artigas, Alfredo; Castro Cerda, Felipe M.; Ponthot, Jean-Philippe; Monsalve, Alberto</t>
  </si>
  <si>
    <t>Modeling the Mechanical Response of a Dual-Phase Steel Based on Individual-Phase Tensile Properties</t>
  </si>
  <si>
    <t>METALS</t>
  </si>
  <si>
    <t>In this work, the engineering stress-strain tensile curve and the force-deflection bending curve of two Dual-Phase (DP) steels are modeled, combining the mechanical data of fully ferritic and fully martensitic steels. The data is coupled by a modified law of mixture, which includes a partition parameterqthat takes into account the strength and strain distributions in both martensite and ferrite phases. The resulting constitutive model is solved in the context of the finite element method assuming a modified mixture rule in which a new parameterq ' is defined in order to extend the capabilities of the model to deal with triaxial stresses and strains and thus achieve a good agreement between experimental results and numerical predictions. The model results show that the martensite only deforms elastically, while the ferrite deforms both elastically and plastically. Furthermore, the partition factorq ' is found to strongly depend on the ferritic strain level. Finally, it is possible to conclude that the maximum strength of the studied DP steels is moderately influenced by the maximum strength of martensite.</t>
  </si>
  <si>
    <t>Celentano, Diego/JQW-5027-2023; Artigas, Alfredo/Y-1185-2019; Castro Cerda, Felipe Manuel/Q-2714-2016</t>
  </si>
  <si>
    <t>Monsalve, Alberto/0000-0002-5772-8815; Castro Cerda, Felipe Manuel/0000-0001-8126-5593; Celentano, Diego/0000-0002-7600-0619</t>
  </si>
  <si>
    <t>2075-4701</t>
  </si>
  <si>
    <t>AUG</t>
  </si>
  <si>
    <t>10.3390/met10081031</t>
  </si>
  <si>
    <t>WOS:000568102000001</t>
  </si>
  <si>
    <t>Bedón-Molina, J; Lopez, MJ; Derpich, IS</t>
  </si>
  <si>
    <t>Bedon-Molina, John; Lopez, Mario J.; Derpich, Ivan S.</t>
  </si>
  <si>
    <t>A home-based smart health model</t>
  </si>
  <si>
    <t>ADVANCES IN MECHANICAL ENGINEERING</t>
  </si>
  <si>
    <t>This article is about an architectural hardware-software model creation-home-based smart health model-to boost healthcare to a higher position within society. As an emerging field, smart health modeling is still insufficient. Current smart health services are hospital centered, data are scattered and application dependent, and health service provision presents attention delays. Analyses of Internet of things, Internet of medical things, and smart health applications potentials are the bases for the proposed home-based smart health model. The model aims to facilitate the smart health development and strengthening. To evaluate whether the model does what it must do, first, check lists on how the model complies with current and future devices and applications, smart health impacts and smart health potentialities, and second, a case study analyses the model conformity through an Internet of things sophisticated cloud app.</t>
  </si>
  <si>
    <t>derpich, ivan/T-1160-2019</t>
  </si>
  <si>
    <t>Derpich, Ivan/0000-0001-9759-7285; Bedon Molina, John/0000-0003-1098-2987; Lopez, Mario/0000-0003-0909-7702</t>
  </si>
  <si>
    <t>1687-8132</t>
  </si>
  <si>
    <t>1687-8140</t>
  </si>
  <si>
    <t>10.1177/1687814020935282</t>
  </si>
  <si>
    <t>WOS:000545679700001</t>
  </si>
  <si>
    <t>Yam-Cervantes, M; Aguilar-Vega, M; Santiago-García, JL; Pizarro, GD; Godoy, M; Sánchez, J</t>
  </si>
  <si>
    <t>Yam-Cervantes, Marcial; Aguilar-Vega, Manuel; Luis Santiago-Garcia, Jose; Pizarro, Guadalupe del C.; Godoy, Mariel; Sanchez, Julio</t>
  </si>
  <si>
    <t>Methylene blue removal from aqueous solutions by sulfonated polymeric porous sorbents</t>
  </si>
  <si>
    <t>DESALINATION AND WATER TREATMENT</t>
  </si>
  <si>
    <t>In the present study, we tested the removal of methylene blue (MB) dye from aqueous solutions using sulfonated polyphenylsulfone (SPPS) and sulfonated polysulfone (SPS) porous sorbents. SPPS and SPS sulfonation were performed using trimethylsilyl chlorosulfonate (TMSCIS) as a sulfonating agent, and the ionic polymer films were subsequently prepared by the phase inversion method. The results revealed that direct sulfonation with TMSCIS gives sulfonation degrees (SDs) between 21% and 33% for SPPS membranes, while the SDs for SPS were between 13% and 33%. Considering both polymer films, the porosity and average pore size were from 46% to 71% and 1.0 to 4.5 mu m, respectively. The incorporation of sulfonic groups on the polymeric matrix was confirmed by Fourier transform infrared spectroscopy. Thermogravimetric analysis showed a very high thermal resistance with onset of decomposition temperature at 450 degrees C and 510 degrees C for SPS and SPPS. In addition, the morphology (surface and cross section) was analyzed by scanning electron microscopy. Concerning MB dye uptake, the results showed a higher sorption capacity for membranes with higher SDs, reaching removal values from 57% to 72%. The kinetic study shows that the maximum retention values were reached after 24 h. Using optimized conditions (SD, time and pH adjustment), the removal of MB increased to maximum values for SPPS-33 at pH 6.0 and for SPS-33 between pH 2.0 and 8.0. The removal capacity of MB was maintained at higher levels for both membranes after three consecutive removal experiments.</t>
  </si>
  <si>
    <t>Aguilar-Vega, Manuel/AFT-2873-2022; PIZARRO, GUADALUPE/V-3353-2017; Sanchez, Julio/AEO-4360-2022; García, José/O-5528-2016; Yam Cervantes, Marcial Alfredo/K-1089-2018</t>
  </si>
  <si>
    <t>Yam Cervantes, Marcial Alfredo/0000-0001-8816-1156; Sanchez, Julio/0000-0003-4245-0096</t>
  </si>
  <si>
    <t>1944-3994</t>
  </si>
  <si>
    <t>1944-3986</t>
  </si>
  <si>
    <t>10.5004/dwt.2020.25388</t>
  </si>
  <si>
    <t>WOS:000545019200031</t>
  </si>
  <si>
    <t>Durán, CA; Córdova, FM; Palominos, F</t>
  </si>
  <si>
    <t>HerreraViedma, E; Shi, Y; Berg, D; Tien, J; Cabrerizo, FJ; Li, J</t>
  </si>
  <si>
    <t>Duran, Claudia A.; Cordova, Felisa M.; Palominos, Fredi</t>
  </si>
  <si>
    <t>A conceptual model for a cyber-social-technological-cognitive smart medium-size port</t>
  </si>
  <si>
    <t>7TH INTERNATIONAL CONFERENCE ON INFORMATION TECHNOLOGY AND QUANTITATIVE MANAGEMENT (ITQM 2019): INFORMATION TECHNOLOGY AND QUANTITATIVE MANAGEMENT BASED ON ARTIFICIAL INTELLIGENCE</t>
  </si>
  <si>
    <t>Procedia Computer Science</t>
  </si>
  <si>
    <t>7th International Conference on Information Technology and Quantitative Management (ITQM) - Information Technology and Quantitative Management Based on Artificial Intelligence</t>
  </si>
  <si>
    <t>NOV 03-06, 2019</t>
  </si>
  <si>
    <t>Granada, SPAIN</t>
  </si>
  <si>
    <t>Chinese Acad Sci,Univ Granada,LifeWatch ERIC,Univ Nebraska Omaha,Chinese Acad Sci, Res Ctr Fictitious Econ &amp; Data Sci,Chinese Acad Sci, Key Lab Big Data Mining &amp; Knowledge Management,Univ Chinese Acad Sci, Sch Econ &amp; Management,Chinese Acad Sci, Inst Sci &amp; Dev,SW Minzu Univ,Chinese Acad Management, Business Intelligence Soc,Tainfu Int Inst Big Data Strategy &amp; Technol,Int Acad Informat Technol &amp; Quantitat Management</t>
  </si>
  <si>
    <t>The medium port currently investigated is incorporating the concept of smart port into decision-making and operational activities. To determine the critical factors that show the existing gaps with those working with Industry 4.0, a systemic conceptual model for a smart medium-size port is designed for a hyperspace containing cyber-social-technological-cognitive domains (CSTC), where are related ideas, perceptions, information and knowledge that should have a highly automated port for efficient management and optimization of logistics processes. A sample of high-level executive experts from three medium ports made it possible to diagnose the CSTC development levels of Chilean ports in each of their domains, detecting gaps with respect to a smart port, identifying opportunities and giving recommendations to reach Industry 4.0 in the near future. (C) 2020 The Authors. Published by Elsevier B.V. This is an open access article under the CC BY-NC-ND license (http://creativecommons.org/licenses/by-ne-nd/4.0/) Peer-review under responsibility of the scientific committee of the 7th International Conference on Information Technology and Quantitative Management (ITQM 2019)</t>
  </si>
  <si>
    <t>Duran, Claudia/S-1175-2019; Palominos, Fredi/U-4690-2019; Córdova, Felisa/AAK-4280-2020</t>
  </si>
  <si>
    <t>Duran, Claudia/0000-0002-0903-4333; CORDOVA, FELISA/0000-0002-5557-8569</t>
  </si>
  <si>
    <t>1877-0509</t>
  </si>
  <si>
    <t>10.1016/j.procs.2019.11.263</t>
  </si>
  <si>
    <t>WOS:000514081500013</t>
  </si>
  <si>
    <t>Retamal-Morales, G; Heine, T; Tischler, JS; Erler, B; Gröning, JAD; Kaschabek, SR; Schlömann, M; Levicán, G; Tischler, D</t>
  </si>
  <si>
    <t>Retamal-Morales, Gerardo; Heine, Thomas; Tischler, Judith S.; Erler, Beate; Groening, Janosch A. D.; Kaschabek, Stefan R.; Schloemann, Michael; Levican, Gloria; Tischler, Dirk</t>
  </si>
  <si>
    <t>Draft genome sequence of Rhodococcus erythropolis B7g, a biosurfactant producing actinobacterium</t>
  </si>
  <si>
    <t>JOURNAL OF BIOTECHNOLOGY</t>
  </si>
  <si>
    <t>Biosurfactants are amphipathic molecules with relevance in biotechnology due to their structural diversity, low toxicity and biodegradability. The genus Rhodococcus has extensively been studied because of its capacity to produce trehalose-containing surfactants as well as trehalose lipids as potential pathogenic factor. Here we present the draft genome sequence of Rhodococcus erythropolis B7g isolated with toluene from fuel-contaminated soil. The genome comprises 7,175,690 bp in 121 contigs, a G + C content of 62,4% and 7,153 coding DNA sequences (CDSs), and it contains genes for trehalose biosynthesis and surfactant production. Additionally, genes for the production of trehalose-tetraester biosurfactant were identified, whose function was experimentally verified making the strain B7g a potential candidate for use in bioremediation applications or in biosurfactant exploration.</t>
  </si>
  <si>
    <t>Heine, Thomas/CAG-9685-2022; Tischler, Judith/I-4433-2019; Levican, Gloria/R-5191-2019; Tischler, Dirk/H-9431-2013</t>
  </si>
  <si>
    <t>Heine, Thomas/0000-0002-7109-2788; Tischler, Dirk/0000-0002-6288-2403; Groning, Janosch/0000-0002-0074-7505; Levican, Gloria/0000-0002-1275-7399</t>
  </si>
  <si>
    <t>0168-1656</t>
  </si>
  <si>
    <t>1873-4863</t>
  </si>
  <si>
    <t>AUG 20</t>
  </si>
  <si>
    <t>10.1016/j.jbiotec.2018.06.001</t>
  </si>
  <si>
    <t>WOS:000438173900005</t>
  </si>
  <si>
    <t>Arellano, S; Soto, D; Reeves, MB; Chávez, F; Loubies, R; Ojeda, A</t>
  </si>
  <si>
    <t>Arellano, Sebastian; Soto, Daniela; Beatriz Reeves, Ma; Chavez, Francisco; Loubies, Rodrigo; Ojeda, Andres</t>
  </si>
  <si>
    <t>Cutaneous anthrax, the last outbreak diagnosed in Chile</t>
  </si>
  <si>
    <t>REVISTA CHILENA DE INFECTOLOGIA</t>
  </si>
  <si>
    <t>Anthrax is a zoonosis caused by a spore-forming bacterium, called Bacillus anthracis. Naturally it is of global distribution, with a predilection in agricultural zones with few norms of public veterinary health. Human contagion occurs through the consumption of diseased animal's meat or through a doorway into the skin or through the spores inhalation of products derived from the affected animal (wool, leather, bones). The most frequent infection in humans occurs in the skin, followed by the gastrointestinal tract and lungs. We present the last outbreak of cutaneous anthrax diagnosed in Chile with a description of the first two clinical cases of the outbreak. Control disease is based on prevention, hence the importance of surveillance in detecting cases and outbreaks.</t>
  </si>
  <si>
    <t>Soto Madrid, Daniela Paz/GSD-5684-2022</t>
  </si>
  <si>
    <t>Soto Francesetti, Daniela/0000-0001-7026-486X</t>
  </si>
  <si>
    <t>0716-1018</t>
  </si>
  <si>
    <t>0717-6341</t>
  </si>
  <si>
    <t>10.4067/s0716-10182018000200195</t>
  </si>
  <si>
    <t>WOS:000434006500013</t>
  </si>
  <si>
    <t>Berrios, R; Totterdell, P; Kellett, S</t>
  </si>
  <si>
    <t>Berrios, Raul; Totterdell, Peter; Kellett, Stephen</t>
  </si>
  <si>
    <t>When Feeling Mixed Can Be Meaningful: The Relation Between Mixed Emotions and Eudaimonic Well-Being</t>
  </si>
  <si>
    <t>JOURNAL OF HAPPINESS STUDIES</t>
  </si>
  <si>
    <t>Whilst positive emotions benefit well-being, the role of other more complex emotional experiences for well-being is less well understood. This research therefore investigated the relationship between mixed emotions and eudaimonic well-being. A cross-sectional study (Study 1; N = 429) first demonstrated (using structural equation modelling) that mixed emotions are related to the presence of goal conflict. Importantly, it was also found that mixed emotions are positively related to eudaimonic well-being, and that one potential mechanism linking mixed emotions and eudaimonic well-being is via the search for meaning in life. Study 2 (N = 52) implemented a quasi-experiment regarding a naturally occurring meaningful life event (i.e., graduation day) and again demonstrated that mixed emotions are associated with a greater level of eudaimonic well-being. Implications of these findings include the importance of mixed emotions in the search for meaning in life, and the role of mixed emotions in goal conflict resolution.</t>
  </si>
  <si>
    <t>; Berrios, Raul/G-5167-2019</t>
  </si>
  <si>
    <t>Totterdell, Peter/0000-0002-5335-2611; Berrios, Raul/0000-0003-1826-7822</t>
  </si>
  <si>
    <t>1389-4978</t>
  </si>
  <si>
    <t>1573-7780</t>
  </si>
  <si>
    <t>10.1007/s10902-017-9849-y</t>
  </si>
  <si>
    <t>WOS:000429942100011</t>
  </si>
  <si>
    <t>Pizarro, GD; Marambio, OG; Jeria-Orell, M; Oyarzún, DP; Sánchez, J</t>
  </si>
  <si>
    <t>Pizarro, Guadalupe del C.; Marambio, Oscar G.; Jeria-Orell, Manuel; Oyarzun, Diego P.; Sanchez, Julio</t>
  </si>
  <si>
    <t>Hybrid polymer films based ZnS nanocomposites and its optical and morphological properties: Monitoring the role of the binding-site interaction</t>
  </si>
  <si>
    <t>MATERIALS RESEARCH BULLETIN</t>
  </si>
  <si>
    <t>A series of hybrid polymer films were prepared using self-assembly block copolymers as nanoreactor of ZnS nanoparticles (NPs). The self-assembled poly(acrylic acid)-block-poly(N-phenylmaleimide) was prepared by Atom-Transfer Radical Polymerization (ATRP) in different block composition. Subsequently the fluorescent NPs were synthesized into the polymer matrices in order to modify its optical and thermal properties and to analyze its effect on the morphology properties (roughness and porosity). As results, significant effects on the properties of the hybrid materials were obtained under different percentages of the NPs. These materials exhibited blue- or red-shift emission bands depending on the length of hydrophilic domain. Additionally, a quenched emission band is seen, which may also be attributed primarily to the composition of the hydrophilic domain and to the greater percentage of ZnS NPs. The hybrid polymer films showed effects on the porosity and roughness of the surfaces, which was analyzed by AFM and SEM microscopic techniques.</t>
  </si>
  <si>
    <t>Oyarzun, Diego/MTF-4062-2025; PIZARRO, GUADALUPE/V-3353-2017; Sanchez, Julio/AEO-4360-2022</t>
  </si>
  <si>
    <t>0025-5408</t>
  </si>
  <si>
    <t>1873-4227</t>
  </si>
  <si>
    <t>10.1016/j.materresbull.2017.10.002</t>
  </si>
  <si>
    <t>WOS:000418221900003</t>
  </si>
  <si>
    <t>Arellano-Ruiz, P; García-Hermoso, A; Martínez-Vizcaíno, V; Salcedo-Aguilar, F; Garrido-Miguel, M; Solera-Martinez, M</t>
  </si>
  <si>
    <t>Arellano-Ruiz, Paola; Garcia-Hermoso, Antonio; Martinez-Vizcaino, Vicente; Salcedo-Aguilar, Fernando; Garrido-Miguel, Miriam; Solera-Martinez, Montserrat</t>
  </si>
  <si>
    <t>Trends in cardiometabolic parameters among Spanish children from 2006 to 2010: The Cuenca study</t>
  </si>
  <si>
    <t>AMERICAN JOURNAL OF HUMAN BIOLOGY</t>
  </si>
  <si>
    <t>Objective: The aim of this study was to examine the trends in cardiometabolic risk factors among schoolchildren in Cuenca, Spain, from 2006 to 2010. Methods: Data were taken from two cross-sectional surveys conducted in 2006 and 2010 among schoolchildren aged 8-12 years from 20 public schools in the province of Cuenca. The final sample consisted of 2148 participants with measured anthropometric variables, biochemical assessment, and blood pressure. Results: We observed an increase in mean serum total cholesterol (8.5 mg/dL and 10.7 mg/dL), LDL-cholesterol (13.7 mg/dL and 17.3 md/dL), triglycerides (3.6 mg/dL and 2.6 md/dL), fasting insulin (1.2 mU/mL and 0.3 mU/mL) and HOMA-IR (0.2 and 0.02) and a decrease in mean serum HDL-cholesterol (4.4 mg/dL and 5.7 mg/dL), systolic blood pressure (3.8 mmHg and 5.4 mmHg) and diastolic blood pressure (0.8 mmHg and 2.0 mmHg) in both sexes. In girls, mean arterial pressure (3.2 mmHg) also decreased in this period. In addition, we found an increase in the prevalence of adverse total cholesterol concentration (&gt;= 200 mg/dL) (7.8% and 8.9%), HDL-cholesterol concentration (&lt;40 mg/dL) (1.9% in boys and 3.5% in girls) and LDL cholesterol concentration (&gt;= 130mg/dL) (4.8% and 5.8%) in boys and girls, respectively. Conclusions: There has been a worsening of the lipid profile in schoolchildren from Cuenca, independent of weight status and age.</t>
  </si>
  <si>
    <t>García-Hermoso, Antonio/ADU-2591-2022; VIZCAINO, VICENTE/R-4336-2017; Garcia-Hermoso, Antonio/P-1857-2017</t>
  </si>
  <si>
    <t>Garcia-Hermoso, Antonio/0000-0002-1397-7182; GARRIDO MIGUEL, MIRIAM/0000-0003-4617-616X</t>
  </si>
  <si>
    <t>1042-0533</t>
  </si>
  <si>
    <t>1520-6300</t>
  </si>
  <si>
    <t>JUL-AUG</t>
  </si>
  <si>
    <t>SI</t>
  </si>
  <si>
    <t>e22970</t>
  </si>
  <si>
    <t>10.1002/ajhb.22970</t>
  </si>
  <si>
    <t>WOS:000406970500016</t>
  </si>
  <si>
    <t>Hernández-Quiñonez, PA; Tordecilla-Sanders, A; Sabogal, E; Correa-Bautista, JE; Garcia-Hermoso, A; Ramírez-Vélez, R</t>
  </si>
  <si>
    <t>Andrea Hernandez-Quinonez, Paula; Tordecilla-Sanders, Alejandra; Sabogal, Esteban; Correa-Bautista, Jorge E.; Garcia-Hermoso, Antonio; Ramirez-Velez, Robinson</t>
  </si>
  <si>
    <t>Effect of Moderate Versus High Intensity Interval Exercise Training on Vascular Function in Inactive Latin-American Adults: A Randomized Clinical Trial</t>
  </si>
  <si>
    <t>MEDICINE AND SCIENCE IN SPORTS AND EXERCISE</t>
  </si>
  <si>
    <t>Annual Meeting of the American-College-of-Sports-Medicine (ACSM)</t>
  </si>
  <si>
    <t>MAY 30-JUN 03, 2017</t>
  </si>
  <si>
    <t>Denver, CO</t>
  </si>
  <si>
    <t>Amer Coll Sports Med</t>
  </si>
  <si>
    <t>Correa-Bautista, Jorge/N-2741-2015; Ramírez-Vélez, Robinson/D-5311-2016; García-Hermoso, Antonio/ADU-2591-2022; Garcia-Hermoso, Antonio/P-1857-2017; Tordecilla-Sanders, Alejandra/O-6276-2017</t>
  </si>
  <si>
    <t>Garcia-Hermoso, Antonio/0000-0002-1397-7182; Tordecilla-Sanders, Alejandra/0000-0002-7461-8124</t>
  </si>
  <si>
    <t>0195-9131</t>
  </si>
  <si>
    <t>1530-0315</t>
  </si>
  <si>
    <t>10.1249/01.mss.0000516932.49184.6f</t>
  </si>
  <si>
    <t>WOS:000413842900110</t>
  </si>
  <si>
    <t>Rojas, F; Díaz, M; Espinoza, M; Cárdenas, R</t>
  </si>
  <si>
    <t>Rojas, Felix; Diaz, Matias; Espinoza, Mauricio; Cardenas, Roberto</t>
  </si>
  <si>
    <t>A Solid State Transformer based on a three-phase to single-phase Modular Multilevel Converter for Power Distribution Networks</t>
  </si>
  <si>
    <t>2017 IEEE SOUTHERN POWER ELECTRONICS CONFERENCE (SPEC)</t>
  </si>
  <si>
    <t>IEEE Southern Power Electronics Conference (SPEC)</t>
  </si>
  <si>
    <t>DEC 04-07, 2017</t>
  </si>
  <si>
    <t>Puerto Varas, CHILE</t>
  </si>
  <si>
    <t>Inst Elect &amp; Elect Engineers,IEEE Power Elect Soc,Univ Talca</t>
  </si>
  <si>
    <t>To properly integrate electric vehicles and distributed generation systems in a massive scale, new revolutionary features and unprecedented transformations has to be implemented in power distribution networks, such as: access to LV DC interconnection point, reconfiguration capability for power flow management, disturbance isolation, low power-losses, high reliability, high power-quality, smart protection and low failure rate. In this paper, an innovative topology for a Solid State Transformer based on AC/AC Modular Multilevel Converter (MMC) is proposed. The proposed topology uses only one centralized single-phase Medium Frequency Transformer (MFT), which reduces the footprint of the SST. Furthermore, it provides three-phase balanced low-voltage system under unbalanced and non-linear loads. Simulation results validate the proposed topology and the control of the MMC to modulate a medium frequency medium-voltage to provide a desired power flow.</t>
  </si>
  <si>
    <t>Espinoza, Mauricio/AAH-8647-2019; Diaz, Matias/R-7570-2018; Rojas, Felix/U-3305-2019</t>
  </si>
  <si>
    <t>WOS:000454362300074</t>
  </si>
  <si>
    <t>Espíndola, D; Galaz, B; Melo, F</t>
  </si>
  <si>
    <t>Espindola, David; Galaz, Belfor; Melo, Francisco</t>
  </si>
  <si>
    <t>Creep of sound paths in consolidated granular material detected through coda wave interferometry</t>
  </si>
  <si>
    <t>PHYSICAL REVIEW E</t>
  </si>
  <si>
    <t>The time evolution of the contact force structure of a consolidated granular material subjected to a constant stress is monitored using the coda wave interferometry method. In addition, the nature of the aging and rejuvenation processes are investigated. These processes are interpreted in terms of affine and nonaffine structural path deformations. During the later stages of creep, the rearrangements of subgrains are so small that they only produce affine deformations in the contact paths, without any significant changes in the structural configuration. As a result, the strain path distribution follows the macroscopic strain. Conversely, in the presence of ultrasonic perturbations, the nonaffine grain buckling mechanism dominates, producing relatively drastic changes in the structural configuration accompanied by path deformations of the order of the grain size. This plastic mechanism induces material rejuvenation that is observed macroscopically as an ultrasonically accelerated creep.</t>
  </si>
  <si>
    <t>Melo, Francisco/M-3923-2014; Espindola, DAVID/M-9318-2019</t>
  </si>
  <si>
    <t>Espindola, David/0000-0001-6675-9560; Melo, Francisco Esteban/0000-0001-6818-5476</t>
  </si>
  <si>
    <t>2470-0045</t>
  </si>
  <si>
    <t>2470-0053</t>
  </si>
  <si>
    <t>JUL 5</t>
  </si>
  <si>
    <t>10.1103/PhysRevE.94.012901</t>
  </si>
  <si>
    <t>WOS:000379724600015</t>
  </si>
  <si>
    <t>Matus, C; Camú, E; Villarroel, M; Ojeda, J; Baeza, P</t>
  </si>
  <si>
    <t>Matus, C.; Camu, E.; Villarroel, M.; Ojeda, J.; Baeza, P.</t>
  </si>
  <si>
    <t>STUDY OF THE REMOVAL OF 4-NITROPHENOL FROM AQUEOUS MEDIA BY ADSORPTION ON DIFFERENT MATERIALS</t>
  </si>
  <si>
    <t>JOURNAL OF THE CHILEAN CHEMICAL SOCIETY</t>
  </si>
  <si>
    <t>The removal of 4-Nitrophenol (4-NP) from aqueous media by adsorption is studied in a batch system using different porous materials: activated carbon, zirconia, alumina, sepiolite, natural zeolite and 13X zeolite. Depending on their adsorption capacities, the best adsorbent was chosen to be impregnated with different levels of nickel (Ni) in order to study the adsorption by pi-complexation in batch and continuous systems. The samples of Ni(x)/support (x=2, 4, 6%) were prepared by wet impregnation and were characterised using the same method as with all the materials, by N-2 adsorption-desorption using the BET method, surface acidity and Z potential measurements by electrophoretic migration. The samples were measured in a UV-Vis electrophotometer at a wavelength of 318 nm, while the adsorption capacity of the material in the batch system was determined by calculating the difference in concentration once the adsorbent became saturated after an initial concentration of similar to similar to 20 ppm, and in the continuous system this was done by integrating the area under the adsorption curve. The results suggest that adsorption capacity depends on the specific BET area, apparent acid strength and the IEP of each support, and that it varies with the addition of Ni.</t>
  </si>
  <si>
    <t>Ojeda, Juan/0000-0002-9484-5017</t>
  </si>
  <si>
    <t>0717-9707</t>
  </si>
  <si>
    <t>WOS:000389063200010</t>
  </si>
  <si>
    <t>Neto, HJC; Rosario, NA; Sole, D; Mallol, J</t>
  </si>
  <si>
    <t>Neto, Herberto J. Chong; Rosario, Nelson A.; Sole, Dirceu; Mallol, Javier</t>
  </si>
  <si>
    <t>Eisl Study Grp</t>
  </si>
  <si>
    <t>Treatment Patterns of Recurrent Wheezing in Infants: Two Surveys Separated By Seven Years</t>
  </si>
  <si>
    <t>JOURNAL OF ALLERGY AND CLINICAL IMMUNOLOGY</t>
  </si>
  <si>
    <t>Annual Meeting of the American-Academy-of-Allergy-Asthma-and-Immunology (AAAAI)</t>
  </si>
  <si>
    <t>MAR 04-07, 2016</t>
  </si>
  <si>
    <t>Los Angeles, CA</t>
  </si>
  <si>
    <t>Amer Acad Allergy, Asthma &amp; Immunol</t>
  </si>
  <si>
    <t>Solé, Dirceu/JAO-0340-2023</t>
  </si>
  <si>
    <t>0091-6749</t>
  </si>
  <si>
    <t>1097-6825</t>
  </si>
  <si>
    <t>S</t>
  </si>
  <si>
    <t>AB6</t>
  </si>
  <si>
    <t>WOS:000375005400019</t>
  </si>
  <si>
    <t>Aliaga, C; Celis, F; Lühr, S; Oñate, R</t>
  </si>
  <si>
    <t>Aliaga, Carolina; Celis, Freddy; Luehr, Susan; Onate, Ruben</t>
  </si>
  <si>
    <t>TEMPO-Attached Pre-fluorescent Probes Based on Pyridinium Fluorophores</t>
  </si>
  <si>
    <t>JOURNAL OF FLUORESCENCE</t>
  </si>
  <si>
    <t>The photophysical behavior of three pyridinium-derived fluorophores, the N-aryl-2,4,6-triphenylpyridinium, the N-aryl-5,6-dihydro-2,4-diphenylbenzo[h]quinolinium and the N-aryl-5,6,8,9-tetrahydro-7-phenyldibenzo[c,h]acridinium perchlorates, was investigated. Comparison of their fluorescence quantum yields led to the preparation of a novel, more sensitive pyridinium-based, TEMPO-attached prefluorescent probe for H-abstraction processes, the N-{4-[4-(N-oxyl-2,2,6,6-tetramethylpiperidinyl)carbonylamino]phenyl}-5,6,8,9-tetrahydro-7-phenyldibenzo[c,h]-acridinium perchlorate.</t>
  </si>
  <si>
    <t>Celis, Freddy/GPT-0287-2022; Aliaga, Carolina/G-6024-2019</t>
  </si>
  <si>
    <t>Aliaga, Carolina/0000-0002-1352-3164; Celis, Freddy/0000-0003-3195-3018</t>
  </si>
  <si>
    <t>1053-0509</t>
  </si>
  <si>
    <t>1573-4994</t>
  </si>
  <si>
    <t>10.1007/s10895-015-1579-0</t>
  </si>
  <si>
    <t>WOS:000359454300022</t>
  </si>
  <si>
    <t>de Melo, CEA; Nandi, LG; Domínguez, M; Rezende, MC; Machado, VG</t>
  </si>
  <si>
    <t>de Melo, Carlos E. A.; Nandi, Leandro G.; Dominguez, Moises; Rezende, Marcos C.; Machado, Vanderlei G.</t>
  </si>
  <si>
    <t>Solvatochromic behavior of dyes with dimethylamino electron-donor and nitro electron-acceptor groups in their molecular structure</t>
  </si>
  <si>
    <t>JOURNAL OF PHYSICAL ORGANIC CHEMISTRY</t>
  </si>
  <si>
    <t>Six dyes with N,N-dimethylaminophenyl and 4-nitrophenyl or 2,4-dinitrophenyl groups in their molecular structures were prepared and characterized. These compounds have different conjugated bridges (CC, CN, and NN) connecting the electron-donor and the electron-acceptor groups. All compounds are solvatochromic, with reverse solvatochromism occurring. The solvatochromic band observed in each spectrum for the dyes is due to a ? * transition, of an intramolecular charge transfer nature, which occurs from the electron-donor N,N-dimethylaminophenyl group to the electron-acceptor group in the molecules, which is reinforced by the structures of the compounds optimized by applying density functional theory, which exhibit high planarity. The reverse solvatochromism was explained considering two resonance structures. The benzenoid form is better stabilized in less polar solvents and characterizes the region displaying positive solvatochromism, while the dipolar form is better stabilized in more polar solvents, in the region of negative solvatochromism. The Catalan multiparametric approach was used to study the contribution of solvent acidity, basicity, dipolarity, and polarizability to the solvatochromism exhibited by the compounds. These compounds are good candidates for the investigation of the polarizability and, to a lesser extent, the dipolarity of the medium, with very little interference from specific interactions of the solvent through hydrogen bonding. Copyright (c) 2014 John Wiley &amp; Sons, Ltd.</t>
  </si>
  <si>
    <t>Caroli, Marcos/H-3570-2019; Domínguez, Moisés/P-2227-2019; Gageiro Machado, Vanderlei/C-7045-2018</t>
  </si>
  <si>
    <t>Dominguez, Moises/0000-0002-8444-3065; Rezende, Marcos/0000-0003-2040-9009; Gageiro Machado, Vanderlei/0000-0002-6995-6591</t>
  </si>
  <si>
    <t>0894-3230</t>
  </si>
  <si>
    <t>1099-1395</t>
  </si>
  <si>
    <t>10.1002/poc.3402</t>
  </si>
  <si>
    <t>WOS:000351633400002</t>
  </si>
  <si>
    <t>Prado, H; Rivero, M; Trujillo, JJ; Velasco, MP</t>
  </si>
  <si>
    <t>Prado, Humberto; Rivero, Margarita; Trujillo, Juan J.; Pilar Velasco, M.</t>
  </si>
  <si>
    <t>NEW RESULTS FROM OLD INVESTIGATION: A NOTE ON FRACTIONAL m-DIMENSIONAL DIFFERENTIAL OPERATORS. THE FRACTIONAL LAPLACIAN</t>
  </si>
  <si>
    <t>FRACTIONAL CALCULUS AND APPLIED ANALYSIS</t>
  </si>
  <si>
    <t>The non local fractional Laplacian plays a relevant role when modeling the dynamics of many processes through complex media. From 1933 to 1949, within the framework of potential theory, the Hungarian mathematician Marcel Riesz discovered the well known Riesz potential operators, a generalization of the Riemann-Liouville fractional integral to dimension higher than one. The scope of this note is to highlight that in the above mentioned works, Riesz also gave the necessary tools to introduce several new definitions of the generalized coupled fractional Laplacian which can be applied to much wider domains of functions than those given in the literature, which are based in both the theory of fractional power of operators or in certain hyper-singular integrals. Moreover, we will introduce the corresponding fractional hyperbolic differential operator also called fractional Lorentzian Laplacian.</t>
  </si>
  <si>
    <t>Trujillo, Juan/A-9030-2012; Velasco, M. Pilar/G-6747-2015</t>
  </si>
  <si>
    <t>Velasco, M. Pilar/0000-0002-0988-2527; Trujillo, Juan J./0000-0001-8700-6410</t>
  </si>
  <si>
    <t>1311-0454</t>
  </si>
  <si>
    <t>1314-2224</t>
  </si>
  <si>
    <t>10.1515/fca-2015-0020</t>
  </si>
  <si>
    <t>WOS:000355200300002</t>
  </si>
  <si>
    <t>Sánchez, C; Alvarez, B; Melo, F; Vidal, V</t>
  </si>
  <si>
    <t>Sanchez, C.; Alvarez, B.; Melo, F.; Vidal, V.</t>
  </si>
  <si>
    <t>Experimental modeling of infrasound emission from slug bursting on volcanoes</t>
  </si>
  <si>
    <t>GEOPHYSICAL RESEARCH LETTERS</t>
  </si>
  <si>
    <t>The acoustic signal produced by gas slugs bursting at volcano vents is investigated by means of laboratory experiments. In order to explore the transition between linear and nonlinear acoustics, we model the bubble by an overpressurized cylindrical cavity closed by a membrane. We find that the acoustic waveform inside and outside the cavity, produced by the membrane bursting, is well described by the linear acoustics equations and a monopole source model up to an initial overpressure inside the cavity of about 24 kPa. For higher overpressure, the amplitude inside the conduit is smaller than the linear prediction, whereas the amplitude measured outside is larger. The frequency content remains harmonic, even at high initial overpressure. Changing the bursting depth in the conduit does not change the scaling of the amplitudes but affects the waveform and energy partitioning. We show that the energy of the first signal period is about 30% of the total acoustic energy and can be used as a good estimate, with a geometrical correction to account for the bursting depth.</t>
  </si>
  <si>
    <t>Melo, Francisco/M-3923-2014</t>
  </si>
  <si>
    <t>Melo, Francisco Esteban/0000-0001-6818-5476; Vidal, Valerie/0000-0002-0413-1601</t>
  </si>
  <si>
    <t>0094-8276</t>
  </si>
  <si>
    <t>1944-8007</t>
  </si>
  <si>
    <t>OCT 16</t>
  </si>
  <si>
    <t>10.1002/2014GL061068</t>
  </si>
  <si>
    <t>WOS:000344913800022</t>
  </si>
  <si>
    <t>Cruz, G; Riquelme, R; Espinosa, P; Jara, P; Dagnino-Subiabre, A; Renard, GM; Sotomayor-Zárate, R</t>
  </si>
  <si>
    <t>Cruz, G.; Riquelme, R.; Espinosa, P.; Jara, P.; Dagnino-Subiabre, A.; Renard, G. M.; Sotomayor-Zarate, R.</t>
  </si>
  <si>
    <t>Neonatal Exposure to Estradiol Valerate Increases Dopamine Content in Nigrostriatal Pathway During Adulthood in the Rat</t>
  </si>
  <si>
    <t>HORMONE AND METABOLIC RESEARCH</t>
  </si>
  <si>
    <t>Research in programming has focused in the study of stimuli that affect sensitive periods of development such as prenatal and neonatal stage. We previously showed that exposure to estradiol valerate to female rats during the first 12h of life increased catecholamine content in ventromedial-arcuatus hypothalamus of the adult rat. However, changes in others dopaminergic circuits have not been studied. The purpose of this work was to determine the neurotransmitters changes induced by neonatal estradiol valerate (0.1mg/50l s. c. per rat) administration on nigrostriatal pathway of adult female rats. Sesame oil (50l s.c. per rat) was administered in a control parallel group. EV-1 adult rats presented effective markers of long-term estrogenization as decreased serum levels of progesterone and a reduction in the size of estrogen-sensitive organs. In the brain, neonatal estradiol valerate administration led to a significant increase in dopamine content in striatum, substantia nigra and ventral tegmental area. With respect to the contents of dopamine metabolites, only 3-methoxytyramine content increased in substantia nigra and ventral tegmental area. In addition, the content of noradrenaline increased only in striatum. Interestingly, estrogenized rats lacked locomotor activity induced by acute dose of amphetamine (1mg/kg i.p.). Altogether, these results show that neonatal exposure to estradiol valerate permanently modified the content of monoamine neurotransmitters in nigrostriatal pathway and amphetamine-induced locomotor activity of adult female rats. This might imply that estrogenized rats could have changes in the expression of key proteins in dopaminergic regulation, as tyrosine hydroxylase and dopamine transporter.</t>
  </si>
  <si>
    <t>Cruz, Gonzalo/I-6147-2018; Espinosa, Pedro/G-5514-2014</t>
  </si>
  <si>
    <t>Espinosa, Pedro/0000-0002-2202-8982; Dagnino Subiabre, Alexies/0000-0002-9909-9826; Cruz, Gonzalo/0000-0002-1458-3599; Riquelme, Raul/0009-0007-8043-5395; Renard, Georgina Maria/0000-0002-5439-7547</t>
  </si>
  <si>
    <t>0018-5043</t>
  </si>
  <si>
    <t>1439-4286</t>
  </si>
  <si>
    <t>10.1055/s-0033-1361159</t>
  </si>
  <si>
    <t>WOS:000335547900004</t>
  </si>
  <si>
    <t>Zolezzi, S; Moya, SA; Valdebenito, G; Abarca, G; Parada, J; Aguirre, P</t>
  </si>
  <si>
    <t>Zolezzi, Santiago; Moya, Sergio A.; Valdebenito, Gonzalo; Abarca, Gabriel; Parada, Jose; Aguirre, Pedro</t>
  </si>
  <si>
    <t>Methoxycarbonylation of olefins catalyzed by palladium( II) complexes containing naphthyl ( diphenyl) phosphine ligands</t>
  </si>
  <si>
    <t>APPLIED ORGANOMETALLIC CHEMISTRY</t>
  </si>
  <si>
    <t>Palladium(II) complexes containing phosphine donor ligands derived from naphthyl(diphenyl)phosphine were synthesized and characterized by NMR and elemental analysis. The complexes were studied as catalyst precursors in the methoxycarbonylation reaction of several aromatic and aliphatic olefins under mild conditions. The catalysts reported high chemoselectivities (over 96%) and regioselectivities between 44% and 93% for different olefins. The best results were obtained over a styrene substrate with 97% of conversion after 6 h of reaction, with high regioselectivity (93%). Kinetic studies permitted the determination of the rate law (v=k [substrate](1.21 +/- 0.02) [catalyst](0.94 +/- 0.11) [acid](0.52 +/- 0.03) [MeOH](0.53 +/- 0.05) [CO](0.65 +/- 0.03)) for methoxycarbonylation of styrene. Copyright (c) 2014 John Wiley &amp; Sons, Ltd.</t>
  </si>
  <si>
    <t>Abarca, Gabriel/O-3451-2019; Abarca Anjari, Gabriel/L-4006-2016</t>
  </si>
  <si>
    <t>Abarca Anjari, Gabriel/0000-0001-8477-2275; Valdebenito, Gonzalo/0000-0003-2931-9288</t>
  </si>
  <si>
    <t>0268-2605</t>
  </si>
  <si>
    <t>1099-0739</t>
  </si>
  <si>
    <t>10.1002/aoc.3137</t>
  </si>
  <si>
    <t>WOS:000334780700009</t>
  </si>
  <si>
    <t>Couturier, E; Dumais, J; Cerda, E; Katifori, E</t>
  </si>
  <si>
    <t>Couturier, E.; Dumais, J.; Cerda, E.; Katifori, E.</t>
  </si>
  <si>
    <t>Folding of an opened spherical shell</t>
  </si>
  <si>
    <t>SOFT MATTER</t>
  </si>
  <si>
    <t>Thin, doubly curved shells occur commonly in nature and their mechanical properties and modes of deformation are very important for engineering structures of all scales. Although there has been substantial work on the stability and modes of failure of thin shells, relatively little work has been done to understand the conditions that promote continuous large scale deformations. A major impediment to progress in this direction is the inherent difficulty in obtaining analytical expressions for the deformed shapes. In this work we propose a new integrable solution which describes the behavior under load of a thin spherical shell with an opening (aperture) of n-fold axial symmetry. We derive a two-parameter family of approximately isometric, constant positive Gaussian curvature shapes that is in excellent agreement with our experimental results of deformed shells (3D scans of compressed ping-pong balls) and simulations (tethered membrane simulations minimizing the stretching and bending energy). The integrable solutions that describe those shapes have n symmetrically arranged curvature singularities which correspond to cusps of the folded shape. We examine the properties of the folded shells and observe that in the analytic solutions isometric closure is more easily achieved when the singularities lie away from the center of the aperture. We find that when allowed by the geometry of the aperture and the nature of the load, physical shells expel the curvature singularities into the aperture.</t>
  </si>
  <si>
    <t>; Dumais, Jacques/H-7950-2013</t>
  </si>
  <si>
    <t>Katifori, Eleni/0000-0002-7332-4749; Dumais, Jacques/0000-0003-2344-4766</t>
  </si>
  <si>
    <t>1744-683X</t>
  </si>
  <si>
    <t>10.1039/c3sm50575h</t>
  </si>
  <si>
    <t>WOS:000322906900027</t>
  </si>
  <si>
    <t>Celentano, D; Cruchaga, M; Romero, J; El Ganaoui, M</t>
  </si>
  <si>
    <t>Celentano, Diego; Cruchaga, Marcela; Romero, Jorge; El Ganaoui, Mohammed</t>
  </si>
  <si>
    <t>Numerical simulation of natural convection and phase-change in a horizontal Bridgman apparatus</t>
  </si>
  <si>
    <t>INTERNATIONAL JOURNAL OF NUMERICAL METHODS FOR HEAT &amp; FLUID FLOW</t>
  </si>
  <si>
    <t>Purpose - The purpose of this paper is to present a 2D numerical simulation of natural convection and phase-change of succinonitrile in a horizontal Bridgman apparatus. Three different heat transfer mechanisms are specifically studied: no growth, solidification and melting. Design/methodology/approach - The analysis is carried out with a preexisting thermally coupled fixed-mesh finite element formulation for generalized phase-change problems. Findings - In the three cases analyzed, the predicted steady-state liquid-solid interfaces are found to be highly curved due to the development of a primary shallow cell driven by the imposed furnace temperature gradient. In the no growth case, the heating and cooling jackets remain fixed and, therefore, a stagnant liquid-solid interface is obtained. On the other hand, the phase transformation in the solidification and melting cases is, respectively, controlled by the forward and backward movement of the jackets. In these last two growth conditions, the permanent regime is characterized by a moving liquid-solid interface that continuously shifts with the same velocity of the jackets. The numerical results satisfactorily approach the experimental measurements available in the literature. Originality/value - The numerical simulation of the no growth, solidification and melting cases in a horizontal Bridgman apparatus using a finite element based formulation is the main contribution of this work. This investigation does not only provide consistent results with those previously computed via different numerical techniques for the no growth and solidification conditions but also reports on original numerical predictions for the melting problem. Moreover, all the obtained solid-liquid interfaces are validated with experimental measurements existing in the literature.</t>
  </si>
  <si>
    <t>Cruchaga, Marcela/M-7522-2014; Celentano, Diego/JQW-5027-2023</t>
  </si>
  <si>
    <t>0961-5539</t>
  </si>
  <si>
    <t>1758-6585</t>
  </si>
  <si>
    <t>3-4</t>
  </si>
  <si>
    <t>10.1108/09615531111123065</t>
  </si>
  <si>
    <t>WOS:000292344300008</t>
  </si>
  <si>
    <t>Bastías, JM; Bermúdez, M; Carrasco, J; Espinoza, O; Muñoz, M; Galotto, MJ; Muñoz, O</t>
  </si>
  <si>
    <t>Bastias, J. M.; Bermudez, M.; Carrasco, J.; Espinoza, O.; Munoz, M.; Galotto, M. J.; Munoz, O.</t>
  </si>
  <si>
    <t>Determination of Dietary Intake of Total Arsenic, Inorganic Arsenic and Total Mercury in the Chilean School Meal Program</t>
  </si>
  <si>
    <t>FOOD SCIENCE AND TECHNOLOGY INTERNATIONAL</t>
  </si>
  <si>
    <t>The dietary intake of total arsenic (tAs), inorganic arsenic (iAs) and total mercury (tHg) in lunch and breakfast servings provided by the Chilean School Meal Program (SMP) was estimated, using the duplicate-portion variant of the total diet study. Lunch and breakfast samples were collected from 65 schools throughout the country in 2006. The population sample was a group of girls and boys between 6 and 18 years old. The tAs concentration was measured via hydride-generation atomic absorption spectrometry. The total mercury concentration was measured via cold-vapor atomic absorption spectroscopy. The estimated iAs intake was 12.5% (5.4 mu g/day) of the Provisional tolerable daily intake (PTDI) as proposed by the FAO/WHO, and the tHg intake was 13.2% (1.9 mu g/day) of the PTDI as proposed by the FAO/WHO. It was therefore concluded that tAs, iAs and tHg intake from food provided by the SMP do not pose risks to student health.</t>
  </si>
  <si>
    <t>Munoz, Ociel/K-2951-2016</t>
  </si>
  <si>
    <t>Munoz, Ociel/0000-0002-2445-4336</t>
  </si>
  <si>
    <t>1082-0132</t>
  </si>
  <si>
    <t>1532-1738</t>
  </si>
  <si>
    <t>OCT</t>
  </si>
  <si>
    <t>10.1177/1082013210367956</t>
  </si>
  <si>
    <t>WOS:000285185900010</t>
  </si>
  <si>
    <t>Larghi, EL; Operto, MA; Torres, R; Kaufman, TS</t>
  </si>
  <si>
    <t>Larghi, Enrique L.; Operto, Maria A.; Torres, Rene; Kaufman, Teodoro S.</t>
  </si>
  <si>
    <t>New inhibitors of the complement system inspired in K76-COOH. A SAR study of filifolinol derivatives through modifications of the C3′ position</t>
  </si>
  <si>
    <t>BIOORGANIC &amp; MEDICINAL CHEMISTRY LETTERS</t>
  </si>
  <si>
    <t>A new series of tricyclic carboxylic acids with a 3H-spiro[benzofuran-2,10-cyclohexane] skeleton were synthesized from filifolinol, as analogs of the natural complement inhibitor K76-COOH. Their complement inhibitory activity was determined aiming to probe the importance of structural characteristics of the alicyclic part of K76-COOH. The presence and stereochemistry of O- and N-functionalities on C3' of the filifolinol derivatives are relevant for biological activity. The IC50 values of the most potent compounds were comparable or surpassed the activity of K76-COOH. The results also suggest that the diol moiety of the natural product may be useful for improving compound solubility. (c) 2009 Elsevier Ltd. All rights reserved.</t>
  </si>
  <si>
    <t>Larghi, Enrique/0000-0002-9791-4831; Kaufman, Teodoro/0000-0003-3173-2178</t>
  </si>
  <si>
    <t>0960-894X</t>
  </si>
  <si>
    <t>1464-3405</t>
  </si>
  <si>
    <t>NOV 1</t>
  </si>
  <si>
    <t>10.1016/j.bmcl.2009.09.007</t>
  </si>
  <si>
    <t>WOS:000270561300039</t>
  </si>
  <si>
    <t>Gambo, J; Méndez, F; Grigorio, LS; Guimaraes, MS; Wotzasek, C</t>
  </si>
  <si>
    <t>Gambo, J.; Mendez, F.; Grigorio, L. S.; Guimaraes, M. S.; Wotzasek, C.</t>
  </si>
  <si>
    <t>Radiative processes as a condensation phenomenon and the physical meaning of deformed canonical structures</t>
  </si>
  <si>
    <t>PHYSICS LETTERS B</t>
  </si>
  <si>
    <t>We study the radiative corrections of QED(3) from the dual point of view and show that this process is the exact dual to the Julia-Toulouse mechanism introduced by Quevedo and Trugenberger [F. Quevedo, C.A. Trugenberger, Nucl. Phys. B 501 (1997) 143] some years ago. We discuss the physics behind this mechanism that involves condensation of topological defects. It is shown that the dual Stuckelberg mechanism is responsible for the rank-jump phenomenon that transforms the scalar held (dual to Maxwell in this dimensionality) into the vectorial self-dual field. This phenomenon is studied using the ideas of noncommutative fields theory that examines possible deformations of the canonical structure of some well-known models in (2 + 1)D. A deformation is constructed linking the massless scalar field theory with the self-dual theory. This is the exact dual of the known deformation connecting the Maxwell theory with the Maxwell-Chern-Simons theory. Duality, radiative corrections, the Julia-Toulouse mechanism and canonical deformations are then used to establish a web of relations between the mentioned theories and to propose a physical picture of the deformation procedure adopted. (C) 2008 Elsevier B.V. All rights reserved.</t>
  </si>
  <si>
    <t>Gamboa, Jorge/R-8744-2019; Guimaraes, Marcelo/K-2803-2013</t>
  </si>
  <si>
    <t>Grigorio, Leonardo/0000-0002-6150-3491; Guimaraes, Marcelo/0000-0003-0057-148X; Mendez, Fernando/0000-0002-9257-9552</t>
  </si>
  <si>
    <t>0370-2693</t>
  </si>
  <si>
    <t>1873-2445</t>
  </si>
  <si>
    <t>OCT 23</t>
  </si>
  <si>
    <t>10.1016/j.physletb.2008.08.064</t>
  </si>
  <si>
    <t>WOS:000260717000018</t>
  </si>
  <si>
    <t>Berríos, C; Arce, R; Rezende, MC; Ureta-Zañartu, MS; Gutiérrez, C</t>
  </si>
  <si>
    <t>Berrios, C.; Arce, R.; Rezende, M. C.; Ureta-Zanartu, M. S.; Gutierrez, C.</t>
  </si>
  <si>
    <t>Electrooxidation of chlorophenols at a glassy carbon electrode in a pH 11 buffer</t>
  </si>
  <si>
    <t>ELECTROCHIMICA ACTA</t>
  </si>
  <si>
    <t>The electrochemical oxidation of three chlorophenols (CPs), namely 2-chlorophenol (2-CP), 2.4-dichlorophenol (2,4-DCP), and 2,4,6-trichlorophenol (2,4,6-TCP) at a glassy carbon electrode in a pH 11 carbonate/hydrogen carbonate buffer electrolyte has been studied by cyclic voltarnmetry (CV) and impedance measurements. The three CPs show in CV an irreversible oxidation peak whose potential decreased linearly with increasing pK(a) of the CPs, showing that the oxidation is the more facile the less acidic is the CP. Although the oxidation is not under diffusion control, i.e., the peak potential was not directly related to the rate constant, the same slope was obtained when the potential at which the integrated charge began to increase significantly was plotted instead of the peak potential. A reversible process near -0.45 V is observed for 2,4,6-TCP from the second positive scan, which was attributed to the formation of a soluble (since this couple nearly disappeared upon solution stirring) benzoquinone. Impedance data showed that for 2-CP and 2,4-DCP the formation of the polyphenolic film begins already at 0.0-0.1 V, and that the film is non-porous and non-conducting. On the contrary, with 2,4,6-TCP polyphenol formation began near 0.15 V, and the film is so porous that it allows the oxidation of 2,4,6-TCP to continue. (c) 2007 Elsevier Ltd. All rights reserved.</t>
  </si>
  <si>
    <t>Ureta-Zañartu, Maria/G-5239-2019; Caroli, Marcos/H-3570-2019; Arce, Roxana/V-8140-2019</t>
  </si>
  <si>
    <t>, Roxana/0000-0002-7529-8011; Rezende, Marcos/0000-0003-2040-9009; ARCE, ROXANA/0000-0002-1387-9232</t>
  </si>
  <si>
    <t>0013-4686</t>
  </si>
  <si>
    <t>1873-3859</t>
  </si>
  <si>
    <t>FEB 15</t>
  </si>
  <si>
    <t>10.1016/j.electacta.2007.10.053</t>
  </si>
  <si>
    <t>WOS:000253213600014</t>
  </si>
  <si>
    <t>Tolosa, JM; Schjenken, JE; Civiti, TD; Clifton, VL; Smith, R</t>
  </si>
  <si>
    <t>Tolosa, Jorge M.; Schjenken, John E.; Civiti, Theodora D.; Clifton, Vicki L.; Smith, Roger</t>
  </si>
  <si>
    <t>Column-based method to simultaneously extract DNA, RNA, and proteins from the same sample</t>
  </si>
  <si>
    <t>BIOTECHNIQUES</t>
  </si>
  <si>
    <t>We describe a procedure for the simultaneous extraction of proteins and nucleic acids from the same experimental sample allowing for direct correlations between genetic, genomic. and proteomic data. This approach, using commercially available column-based nucleic acid extraction kits, requires no hazardous chemicals and is a quick, reliable, and consistent method for concomitant protein extraction. Buffer choice is critical to completely solubilize all proteins in the sample. Proteins solubilized in radioimmunoprecipitation assay (RIPA) buffer did not represent the entire profile when compared with conventionally extracted proteins using the same buffer at the one-dimensional (1-D) sodium dodecyl sulfate polyacrylamide gel electrophoresis (SDS-PAGE) level. however, proteins extracted from the columns and solubilized in a two-dimensional (2-D) electrophoresis lysis buffer showed a similar profile to conventionally extracted proteins when analyzed at both the 1-D and the 2-D level. We further showed that proteins extracted using these methods were compatible with Western blot analysis. This technique provides a simple and effective way to analyze protein and nucleic acids simultaneously from the same sample without affecting yield and quality.</t>
  </si>
  <si>
    <t>Schjenken, John/ABB-8754-2021; Clifton, Vicki/AAV-2749-2021; Clifton, Vicki L./G-7094-2015</t>
  </si>
  <si>
    <t>Smith, Roger/0000-0003-4720-0280; Clifton, Vicki L./0000-0002-4892-6748; Schjenken, John/0000-0001-6293-6160</t>
  </si>
  <si>
    <t>0736-6205</t>
  </si>
  <si>
    <t>DEC</t>
  </si>
  <si>
    <t>10.2144/000112594</t>
  </si>
  <si>
    <t>WOS:000205886100022</t>
  </si>
  <si>
    <t>Moreno, RM; Antolín, G; Reyes, A</t>
  </si>
  <si>
    <t>Moreno, R. M.; Antolin, G.; Reyes, A.</t>
  </si>
  <si>
    <t>Thermal behaviour of forest biomass drying in a mechanically agitated fluidized bed</t>
  </si>
  <si>
    <t>LATIN AMERICAN APPLIED RESEARCH</t>
  </si>
  <si>
    <t>jjjjjjjjjjjjjj</t>
  </si>
  <si>
    <t>0327-0793</t>
  </si>
  <si>
    <t>WOS:000246097100001</t>
  </si>
  <si>
    <t>Rodríguez, J; Hernández, E; Fernández, AM</t>
  </si>
  <si>
    <t>Rodriguez T, Jorge; Hernandez A, Enrique; Fernandez, Ana Maria</t>
  </si>
  <si>
    <t>A gender comparison of legal and illicit drug consumption</t>
  </si>
  <si>
    <t>Background: It is possible that men consume a higher amount of legal and illegal drugs than women. This can be assessed using the peer methodology, that is an adaptation of the privileged access interviewers (PAI) method and allows to identify populations in which there may be a tendency to under state a phenomenon (hidden populations) Aim: To compare the consumption of legal and illegal drugs by gender. Material and methods: Drug consumption was assessed using a peer methodology in university students between 18 and 26 years of age. Results: A random sample of 56 women (mean age 21.6 years) and 86 men (mean age 21.5 years), was studied. Women tended to report a higher proportion of tobacco consumption than men. Both genders bad a similar consumption behavior of alcohol, total legal drugs, marihuana, cocaine, ecstasies and total illegal drugs. Among subjects that recognized the consumption of legal drugs, men have a higher proportion of illicit drug use and women have a higher proportion of smoking. Men have a higher awareness of the damages caused by drug consumption. Conclusions. The results in these small population sample do not support the hypothesis that men have a higher frequency and propoption of illicit drug consumption (Rev Med Chile 200 7; 135.- 449-56).</t>
  </si>
  <si>
    <t>Fernandez, Ana Maria/E-6429-2011</t>
  </si>
  <si>
    <t>Fernandez, Ana Maria/0000-0003-4132-5891</t>
  </si>
  <si>
    <t>WOS:000247022900006</t>
  </si>
  <si>
    <t>Espinosa, A; Leiva, A; Peña, M; Müller, M; Debandi, A; Hidalgo, C; Carrasco, MA; Jaimovich, E</t>
  </si>
  <si>
    <t>Espinosa, Alejandra; Leiva, Aida; Pena, Marisol; Muller, Mariolly; Debandi, Anibal; Hidalgo, Cecilia; Carrasco, M. Angelica; Jaimovich, Enrique</t>
  </si>
  <si>
    <t>Myotube depolarization generates reactive oxygen species through NAD(P)H oxidase;: ROS-elicited Ca2+ stimulates ERK, CREB, early genes</t>
  </si>
  <si>
    <t>JOURNAL OF CELLULAR PHYSIOLOGY</t>
  </si>
  <si>
    <t>Controlled generation of reactive oxygen species (ROS) may contribute to physiological intracellular signaling events. We determined ROS generation in primary cultures of rat skeletal muscle after field stimulation (4001-ms pulses at a frequency of 45 Hz) or after depolarization with 65 mM K+ for 1 min. Both protocols induced a long lasting increase in dichlorofluorescein fluorescence used as ROS indicator. Addition of diphenyleneiodonium (DPI), an inhibitor of NAD(P)H oxidase, PEG-catalase, a ROS scavenger, or nifedipine, an inhibitor of the skeletal muscle voltage sensor, significantly reduced this increase. Myotubes contained both the p47(phox) and gp91(phox) phagocytic NAD(P)H oxidase subunits, as revealed by immunodetection. To study the effects of ROS, myotubes were exposed to hydrogen peroxide (H2O2) at concentrations (100-200 mu M) that did not alter cell viability; H2O2 induced a transient intracellular Ca2+ rise, measured as fluo-3 fluorescence. Minutes after Ca2+ signal initiation, an increase in ERK1/2 and CREB phosphorylation and of mRNA for the early genes c-fos and c-jun was detected. Inhibition of ryanodine receptor (RyR) decreased all effects induced by H2O2 and NAD(P)H oxidase inhibitors DPI and apocynin decreased ryanodine-sensitive calcium signals. Activity-dependent ROS generation is likely to be involved in regulation of calcium-controlled intracellular signaling pathways in muscle cells.</t>
  </si>
  <si>
    <t>Espinosa, Alejandra/ISB-7050-2023; Jaimovich, Enrique/AAY-7632-2020; HIDALGO, Cecilia/H-7107-2013; Muller, Marioly/J-5420-2014</t>
  </si>
  <si>
    <t>Muller, Marioly/0000-0003-1837-883X</t>
  </si>
  <si>
    <t>0021-9541</t>
  </si>
  <si>
    <t>1097-4652</t>
  </si>
  <si>
    <t>NOV</t>
  </si>
  <si>
    <t>10.1002/jcp.20745</t>
  </si>
  <si>
    <t>WOS:000240884100016</t>
  </si>
  <si>
    <t>Iturriaga-Vásquez, P; Lühr-Sierra, S; Rezende, MC; Cassels, BK</t>
  </si>
  <si>
    <t>Synthesis of 2-aryl-1,3-propanediamines using a one-pot Knoevenagel-Michael sequence</t>
  </si>
  <si>
    <t>A simple synthetic route for the preparation of 2-phenyl-1,3-propanediamines, based on a Knoevenagel-Michael double condensation followed by reduction, was developed using nitromethane as reagent and solvent, and sodium bicarbonate as base in the first step, followed by catalytic hydrogenation over Adams catalyst.</t>
  </si>
  <si>
    <t>Caroli, Marcos/H-3570-2019; Cassels, Bruce/H-6937-2013</t>
  </si>
  <si>
    <t>Rezende, Marcos/0000-0003-2040-9009</t>
  </si>
  <si>
    <t>10.4067/S0717-97072006000100006</t>
  </si>
  <si>
    <t>WOS:000236260500006</t>
  </si>
  <si>
    <t>de Matos , RL; Retamal, JC; Zagury, N</t>
  </si>
  <si>
    <t>Photon-number-limiting device for nonclassical light generation</t>
  </si>
  <si>
    <t>PHYSICAL REVIEW A</t>
  </si>
  <si>
    <t>We present a scheme for the realization of a stationary source of nonclassical light, which approximates very well a continuous single-photon source. It consists of a single four-level atom trapped inside a high-finesse optical cavity and Raman coupled to a cavity mode. A selectivity mechanism, based on a field-dependent Stark shift of electronic levels, prevents the occupation of two or more photon states of the quantized mode being excited. The output light of such a source exhibits sub-Poissonian photon-number statistics and antibunching behavior.</t>
  </si>
  <si>
    <t>de Matos Filho, Ruynet/A-9677-2013; Retamal, Juan/G-6425-2010</t>
  </si>
  <si>
    <t>de Matos Filho, Ruynet/0000-0002-7514-141X; Retamal Abarzua, Juan Carlos/0000-0002-7174-7879</t>
  </si>
  <si>
    <t>1050-2947</t>
  </si>
  <si>
    <t>1094-1622</t>
  </si>
  <si>
    <t>JAN</t>
  </si>
  <si>
    <t>10.1103/PhysRevA.73.013808</t>
  </si>
  <si>
    <t>WOS:000235008900163</t>
  </si>
  <si>
    <t>Cataldo, M; Cruz, N; Lepe, S</t>
  </si>
  <si>
    <t>Viscous dark energy and phantom evolution</t>
  </si>
  <si>
    <t>In order to study if the bulk viscosity may induce a big rip singularity on the flat FRW cosmologies, we investigate dissipative processes in the universe within the framework of the standard Eckart theory of relativistic irreversible thermodynamics, and in the full causal Israel-Stewart-Hiscock theory. We have found cosmological solutions which exhibit, under certain constraints, a big rip singularity. We show that the negative pressure generated by the bulk viscosity cannot avoid that the dark energy of the universe to be phantom energy. (c) 2005 Elsevier B.V. All rights reserved.</t>
  </si>
  <si>
    <t>JUL 14</t>
  </si>
  <si>
    <t>1-2</t>
  </si>
  <si>
    <t>10.1016/j.physletb.2005.05.029</t>
  </si>
  <si>
    <t>WOS:000230280100002</t>
  </si>
  <si>
    <t>Manzanares, D; Bauby, C; de la Peña, R; Garcia, JC; Sanchez, R; Martinez, S; Romay, C; López-Reconde, JL; Pino, E; Lissi, EA</t>
  </si>
  <si>
    <t>Antioxidant properties of α-crystallin</t>
  </si>
  <si>
    <t>JOURNAL OF PROTEIN CHEMISTRY</t>
  </si>
  <si>
    <t>alpha -Crystallin is a major chaperone lens protein to which has been ascribed antioxidant functions. In the present work we have evaluated the antioxidant and free radical scavenging properties of bovine alpha -crystallin in a series of in vitro models: zimosan-induced, luminol-enhanced chemiluminescence response of polymorphonuclear leukocytes, the autoxidation of brain homogenate, bleaching of 2,2 ' -azinobis(3-ethylbenzothiazoline-6-sulfonic acid)-derived radical cations, trapping of peroxyl radicals, and reactivity toward hypochloric acid. In all these systems, the reactivity of alpha -crystallin is higher than or similar to that of bovine serum albumin. It is concluded that, given the high concentrations of alpha -crystallin in the lenses, its capacity to interact with free radicals and to remove hypochlorous acid could contribute to the maintenance of the lens functionality.</t>
  </si>
  <si>
    <t>Pino, Eduardo Francisco/0000-0002-7851-3952</t>
  </si>
  <si>
    <t>0277-8033</t>
  </si>
  <si>
    <t>10.1023/A:1010996528884</t>
  </si>
  <si>
    <t>WOS:000170693700001</t>
  </si>
  <si>
    <t>Mimica, D; Zagal, JH; Bedioui, F</t>
  </si>
  <si>
    <t>Electroreduction of nitrite by hemin, myoglobin and hemoglobin in surfactant films</t>
  </si>
  <si>
    <t>JOURNAL OF ELECTROANALYTICAL CHEMISTRY</t>
  </si>
  <si>
    <t>In this study we compare the electrocatalytic activity of hemin (Hm), myoglobin (Mb) and hemoglobin (Hb) embedded in surfactant films of didodecyldimethylammonium bromide (DDAB) cast on glassy carbon electrodes for the electroreduction of nitrite in phosphate buffer solution (pH = 7.4). The electrocatalytic behavior was studied by cyclic voltammetry and rotating disk electrode (RDE) techniques. An electrocatalytic current was observed by both cyclic and RDE voltammetries at ca - 1.1V, close to the Fe-II/Fe-I redox couple, as previously reported. Our RDE investigations allowed us to observe a catalytic current at ca -0.1V, close to the Fe-III/Fe-II reversible process. This process was assigned to the first reduction process of the iron-nitrosyl adduct, which is rate determining, as evidenced by the Tafel slopes close to - 0.12 V decade (-1). (C) 2001 Elsevier Science B.V. All rights reserved.</t>
  </si>
  <si>
    <t>zagal, jose/L-9648-2014; Bedioui, Fethi/N-3507-2014</t>
  </si>
  <si>
    <t>Bedioui, Fethi/0000-0002-0063-4412</t>
  </si>
  <si>
    <t>0022-0728</t>
  </si>
  <si>
    <t>FEB 2</t>
  </si>
  <si>
    <t>10.1016/S0022-0728(00)00463-0</t>
  </si>
  <si>
    <t>WOS:000167193100012</t>
  </si>
  <si>
    <t>Lezna, RO; Juanto, S; Zagal, JH</t>
  </si>
  <si>
    <t>Spectroelectrochemical studies of tetrasulfonated metallophthalocyanines adsorbed on the basal plane of graphite in the presence of cysteine</t>
  </si>
  <si>
    <t>Cobalt and iron tetrasulfonated phthalocyanines (M-TSPc) have been studied by electroreflectance spectro!;copy in the adsorbed state on the basal plane of HOPG in a berate buffer (pH 9). Since both complexes exhibit electrocatalytic activity for the electro-oxidation of cysteine, we looked at the changes of the visible spectra of the adsorbed complexes upon adding millimolar amounts of cysteine to the electrolyte. Under zero-current conditions (open circuit) the addition of cysteine causes large changes in the reflectance spectra of both Co-TSPc and Fe-TSPc. In the case of Co-TSPc the spectra resemble that elf Co(I)TSPc whereas for Fe-TSPc bands at 424 and 626 nm are observed. The open circuit potential shifts to values close to the standard potential of the M(II)/M(I) couple. We attribute these changes, particularly in the case of Fe-TSPc, to the formation of a radical adduct between the adsorbed phthalocyanine and the cysteine molecule, with partial electron-transfer from the cysteine to the metal center. Evidences for these adducts is not found when polarizing the electrode, which shows that they behave as very unstable intermediates in the catalytic process. (C) 1998 Elsevier Science S.A. All rights reserved.</t>
  </si>
  <si>
    <t>zagal, jose/L-9648-2014</t>
  </si>
  <si>
    <t>JUL 30</t>
  </si>
  <si>
    <t>10.1016/S0022-0728(98)00127-2</t>
  </si>
  <si>
    <t>WOS:000074999000011</t>
  </si>
  <si>
    <t>Navarrete, A; Pacheco-Alarcón, M; Méndez, J; García-Herrera, CM; Celentano, DJ; Signorelli, JW</t>
  </si>
  <si>
    <t>Navarrete, Alvaro; Pacheco-Alarcon, Matias; Mendez, Julio; Garcia-Herrera, Claudio M.; Celentano, Diego J.; Signorelli, Javier W.</t>
  </si>
  <si>
    <t>Elastoplastic characterization of rolled C11000 copper sheets via a coupled calibration methodology: Experiments, modeling, and simulation</t>
  </si>
  <si>
    <t>INTERNATIONAL JOURNAL OF SOLIDS AND STRUCTURES</t>
  </si>
  <si>
    <t>A comprehensive study of the post-necking response of materials is a relevant aspect in many metal-forming applications. For this purpose, the proposal of a suitable constitutive model to describe the elastoplastic response, an adequate material characterization, and the rise of numerical simulation as a feasible tool in the control and design of parts subjected to plastic deformation are key aspects that have to be addressed. In this context, to characterize the elastoplastic behavior of rolled C11000-H2 99.90% pure copper sheets, a constitutive model accounting for appropriate yield criterion function (Cazacu-Plunket-Barlat 06, named CPB06) and hardening law (modified Voce) is presented. In this material, the necking formation is produced at low levels of strain (5% approximately in a tensile test). The 3D stress state that develops afterward is a critical aspect that must be considered when developing an adequate characterization of this material. Therefore, there is a need to formulate an effective and robust strategy to determine the model parameters. In this regard, a coupled calibration procedure is proposed, using a combined experimental-analytical-computational approach. To calibrate the model parameters, this methodology is used with experimental results of proportional loading paths corresponding to uniaxial tensile tests carried out in seven in-plane directions, along with the equibiaxial condition via hydraulic bulge tests. Then, uniaxial tensile tests under non-proportional loading paths, with specimens previously pre-strained along the rolling direction of the sheets to two levels, both beyond the ultimate tensile strength (UTS) zone: 0.07 and 0.14, are used subsequently to evaluate the performance of the model previously calibrated. The reasonably good experimental-numerical agreement in the material response for these last cases successfully validated the proposed characterization methodology.</t>
  </si>
  <si>
    <t>Celentano, Diego/JQW-5027-2023; García-Herrera, Claudio/ABE-8991-2020</t>
  </si>
  <si>
    <t>0020-7683</t>
  </si>
  <si>
    <t>1879-2146</t>
  </si>
  <si>
    <t>MAY 15</t>
  </si>
  <si>
    <t>10.1016/j.ijsolstr.2025.113314</t>
  </si>
  <si>
    <t>WOS:001447968800001</t>
  </si>
  <si>
    <t>Kessi-Pérez, EI; Gómez, M; Farías, W; García, V; Ganga, MA; Querol, A; Martínez, C</t>
  </si>
  <si>
    <t>Kessi-Perez, Eduardo I.; Gomez, Melissa; Farias, William; Garcia, Veronica; Ganga, Maria Angelica; Querol, Amparo; Martinez, Claudio</t>
  </si>
  <si>
    <t>Genetically Improved Yeast Strains with Lower Ethanol Yield for the Wine Industry Generated Through a Two-Round Breeding Program</t>
  </si>
  <si>
    <t>JOURNAL OF FUNGI</t>
  </si>
  <si>
    <t>Saccharomyces cerevisiae is a species of industrial significance in the production of alcoholic beverages; it is the main species responsible for the fermentation of grape must. One of the main current problems in the wine industry is high alcohol levels caused by climate change. Pre- and post-fermentation strategies are used to reduce the alcohol content in wines; however, they are inefficient, affect organoleptic properties, face legal restrictions, and/or increase production costs, which has motivated efforts to obtain microbiological solutions. In the present work, we carried out a two-round breeding program to obtain improved yeast strains with lower ethanol yield. The trait under study showed high heritability (0.619), and we were able to lower the ethanol yield by 10.7% in just one generation. We finally obtained a population composed of 132 strains, of which 6 were used to produce wine from natural grape musts on a pilot scale, highlighting improved strains C2-1B4 and C7-1B7 as those that showed the best results (alcohol levels between 0.3 and 1.5% ABV less than expected). Further studies are required to understand the connection between initial sugar concentration and ethanol yield, as well as the genetic variants underlying this phenotype.</t>
  </si>
  <si>
    <t>Ganga, Maria/S-8176-2019; Kessi, Eduardo/AAI-2566-2019; Querol, Amparo/AAW-7469-2020; Martinez, Claudio/MGS-9961-2025; García, Verónica/AAM-1175-2021</t>
  </si>
  <si>
    <t>Kessi, Eduardo/0000-0003-4225-9486; Martinez, Claudio/0000-0001-8564-9287; garcia, veronica/0000-0002-5312-925X</t>
  </si>
  <si>
    <t>2309-608X</t>
  </si>
  <si>
    <t>10.3390/jof11020137</t>
  </si>
  <si>
    <t>WOS:001430064500001</t>
  </si>
  <si>
    <t>Rioseco-Pais, M; Silva-Quiroz, J; Vargas-Vitoria, R</t>
  </si>
  <si>
    <t>Rioseco-Pais, Marcelo; Silva-Quiroz, Juan; Vargas-Vitoria, Rodrigo</t>
  </si>
  <si>
    <t>Digital Competences and Years of Access to Technologies Among Chilean University Students: An Analysis Based on the DIGCOMP Framework</t>
  </si>
  <si>
    <t>SUSTAINABILITY</t>
  </si>
  <si>
    <t>This study investigates the relationship between access time to digital technologies and the devel-opment of digital competences among Chilean university students, using the DIGCOMP-PED in-strument based on the DIGCOMP framework. Methods: The instrument was applied to 4360 first-year students at a Chilean public university, and an expert validation process was carried out to identify relevant competences for academic training. Results: The findings indicate a positive but non-linear relationship between years of experience using technologies and performance in certain areas of the DIGCOMP framework. Although the study was conducted between 2021 and 2022, with the follow-up analysis completed in 2024, access alone does not guarantee the acquisition of ad-vanced skills across all competences. Conclusions: The study emphasizes the complexity of the re-lationship between access to technology and the development of digital competences, highlighting the importance of pairing access with quality education and structured guidance in digital literacy to prepare students for the challenges of the digital world.</t>
  </si>
  <si>
    <t>Vargas, Rodrigo/ACM-8728-2022</t>
  </si>
  <si>
    <t>Rioseco, Marcelo/0000-0003-0617-7125; Silva Quiroz, Juan Eusebio/0000-0002-9817-402X; Vargas, Rodrigo/0000-0002-7554-9589</t>
  </si>
  <si>
    <t>2071-1050</t>
  </si>
  <si>
    <t>10.3390/su16229876</t>
  </si>
  <si>
    <t>WOS:001366021000001</t>
  </si>
  <si>
    <t>Kavitha, SA; Priya, RK; Arunachalam, KP; Avudaiappan, S; Flores, EIS; Blanco, D</t>
  </si>
  <si>
    <t>Kavitha, S. Anne; Priya, Retnam Krishna; Arunachalam, Krishna Prakash; Avudaiappan, Siva; Flores, Erick I. Saavedra; Blanco, David</t>
  </si>
  <si>
    <t>Experimental investigation on strengthening of Zea mays root fibres for biodegradable composite materials using potassium permanganate treatment</t>
  </si>
  <si>
    <t>SCIENTIFIC REPORTS</t>
  </si>
  <si>
    <t>Humans are the only species who generate waste materials that cannot be broken down by natural processes. The ideal solution to this waste problem would be to employ only compostable materials. Biodegradable materials play a key role in creating a safer and greener world. Biodegradability is the gift that keeps on giving, in the sense of creating an Earth worth living. The future is thus best served by green energy, sustainability, and renewable resources. To realize such goals, waste should be considered as a valuable resource. In this context, Zea mays (Zm) root fibres, which are normally considered as agricultural waste, can be used as reinforcing substances in polymer matrices to produce structural composite materials. Before being used in composites, such fibres must be analysed for their physical properties. Chemical treatments can be employed to improve the structural quality of fibres, and the changes due to such modification can be analysed. Therefore, the current work examines the effect of permanganate treatment on the surface properties of Zm fibres. The raw and potassium permanganate-treated samples were assayed for various properties. Physical analysis of the fibre samples yielded details concerning the physical aspects of the fibres. The thermal conductivity and moisture absorption behaviour of the samples were analysed. Chemical analysis was employed to characterize the composition of both treated and untreated samples. p-XRD was employed to examine the crystalline nature of the Zm fibres. Numerous functional groups present in each sample were analysed by FTIR. Thermogravimetric analysis was used to determine the thermal stability of Zm fibres. Elemental analysis (CHNS and EDS) was used to determine the elemental concentrations of both raw and treated samples. The surface alterations of Zm fibres brought on by treatment were described using SEM analysis. The characteristics of Zm roots and the changes in quality due to treatment were reviewed, and there were noticeable effects due to the treatment. Both samples would have applications in various fields, and each could be used as a potential reinforcing material in the production of efficient bio-composites.</t>
  </si>
  <si>
    <t>S, Kavitha/JZK-3979-2024; blanco, david/GPG-4224-2022; Priya, Retnam/GWV-4468-2022; Avudaiappan, Siva/AAV-7579-2021; ARUNACHALAM, Dr.KRISHNA PRAKASH/AEW-6862-2022</t>
  </si>
  <si>
    <t>ARUNACHALAM, Dr.KRISHNA PRAKASH/0000-0002-5151-2474</t>
  </si>
  <si>
    <t>2045-2322</t>
  </si>
  <si>
    <t>JUN 4</t>
  </si>
  <si>
    <t>10.1038/s41598-024-58913-y</t>
  </si>
  <si>
    <t>WOS:001238382700002</t>
  </si>
  <si>
    <t>Lehuedé, L; Córdova, A; Rodríguez, S; Astudillo-Castro, C; Vera, C; Salazar, O</t>
  </si>
  <si>
    <t>Lehuede, Luciana; Cordova, Andres; Rodriguez, Sebastian; Astudillo-Castro, Carolina; Vera, Carlos; Salazar, Oriana</t>
  </si>
  <si>
    <t>A sequential bioconversion-purification process to produce high purity xylo-oligosaccharides (XOS) from Nothophagus pumilio sawdust wastes</t>
  </si>
  <si>
    <t>INDUSTRIAL CROPS AND PRODUCTS</t>
  </si>
  <si>
    <t>Xylo-oligosaccharide (XOS) production from lignocellulosic biomass (LCB) is an ongoing technology in which the best raw material, catalyst, and reaction conditions remain unclear. This study proposed a three-step sequential operation to produce prebiotic Xylo-oligosaccharide (XOS) from lignocellulosic biomass (LCB) Nothophagus pumillio sawdust. First, a commercial (Enzeco Xylanase S) and recombinant (GtXyl10A) xylanase were evaluated in XOS production from pre-extracted xylan. Then, the effect of auxiliary enzyme addition (alpha-glucuronidase) was evaluated in xylan hydrolysis, and finally, XOS were purified by three steps of membrane filtrations: an ultra- filtration (UF) followed by two nanofiltrations (NF). From the above, XOS production yield reach 333 [mg xos center dot g xylan- 1 ] of highly purified XOS (95 %) when the process was carried out without auxiliary enzyme addition and 473 [mg xos center dot g xylan-1 ] of 96 % purified XOS when auxiliary enzyme was added, resulting in an improvement of the XOS production yield in 42 %.This shows the feasibility to produce high purity prebiotics from sawdust wastes of the forestry industry.</t>
  </si>
  <si>
    <t>Salazar, María/J-5061-2016; vera, Carlos/G-5240-2019</t>
  </si>
  <si>
    <t>0926-6690</t>
  </si>
  <si>
    <t>1872-633X</t>
  </si>
  <si>
    <t>10.1016/j.indcrop.2024.118531</t>
  </si>
  <si>
    <t>APR 2024</t>
  </si>
  <si>
    <t>WOS:001333918400001</t>
  </si>
  <si>
    <t>Navarro, F; Torres, S; Aguirre, MJ; Castro, P; Melo, R; Corrial, C; Barrientos, H; Cotoras, M; Mendoza, L</t>
  </si>
  <si>
    <t>Navarro, Freddy; Torres, Simonet; Aguirre, Maria Jesus; Castro, Paulo; Melo, Ricardo; Corrial, Carlos; Barrientos, Herna; Cotoras, Milena; Mendoza, Leonora</t>
  </si>
  <si>
    <t>Extracts with antifungal activity against Botrytis cinerea from potato industry waste</t>
  </si>
  <si>
    <t>FOOD BIOSCIENCE</t>
  </si>
  <si>
    <t>Potato tuber (Solanum tuberosum L.) is the fourth most important agricultural product after wheat, rice, and maize. Fresh potatoes or processed potato products generate large amount of by-products, such as peel, leaves, and stems. In peel and leaf potato, organic acids, amino acids, phenolic acids, flavonoids, iridoids, oxylipins, glycoalkaloids among other compounds have been identified. In this work, potato leaves were used to extract compounds with antifungal activity against the phytophatogenic fungus Botrytis cinerea. Solvents with different polarities were used to extract bioactive compounds from potato leaves. The purification of bioactive compounds from leaf extracts from S. tuberosum was performed in various chromatographic steps, obtaining a bioactive fraction with at least two compounds. Based on the spectroscopic and thin-layer chromatographic data analysis, it can be suggested that this active fraction would have a terpenoid and an aromatic compound. This fraction inhibited the mycelial growth of B. cinerea with an ED50 of 4.3 mg L-1. The unpurified extracts showed only prooxidant activity; however, the bioactive fraction did not show pro-oxidant or antioxidant effects. The results of this work suggest that potato by products can be used in the production of biofungicides to control to B. cinerea.</t>
  </si>
  <si>
    <t>Navarro, Freddy/KIA-4345-2024; Aguirre, Maria/A-3935-2013</t>
  </si>
  <si>
    <t>Navarro, Freddy/0000-0003-0056-5266; Aguirre, Maria/0000-0003-1134-4469</t>
  </si>
  <si>
    <t>2212-4292</t>
  </si>
  <si>
    <t>2212-4306</t>
  </si>
  <si>
    <t>10.1016/j.fbio.2024.103687</t>
  </si>
  <si>
    <t>FEB 2024</t>
  </si>
  <si>
    <t>WOS:001193919100001</t>
  </si>
  <si>
    <t>Barrientos, M; Palazzi, NC; Alvarado, R; Sandoval, C</t>
  </si>
  <si>
    <t>Barrientos, Marco; Palazzi, Nuria Chiara; Alvarado, Rolando; Sandoval, Cristian</t>
  </si>
  <si>
    <t>Structural interventions in the basilica of the recoleta dominica in santiago de Chile. A historic and critical review</t>
  </si>
  <si>
    <t>REVISTA 180</t>
  </si>
  <si>
    <t>Unreinforced masonry (URM) historic churches are highly seismic vulnerable buildings due to its structural and material features. This condition partially explains the irreversible cultural heritage loss in Chile. After earthquakes, many URM churches have been strengthened with reinforced concrete (RC) elements as a seismic proof strategy. In this context, this paper aims to exam-ine the Recoleta Dominica basilica, as a prominent building with architectural, historical, and constructive attributes with efficient seismic performance along years as well, as reported after the 1985 and 2010 megathrust earthquakes. Its seismic performance can be explained by the RC strengthening elements added after the 1927 earthquake, and later 1981-1982 and 2000 structural interventions, avoiding local collapses as serving its conservation. The paper concludes by highlighting the 1927 RC project impact, its early technique reflected on its structural design criteria and following the original building nature. Some other studies in this research line may contribute to a better understanding of the inherited scopes involved in any structural RC project, its impact on the architectural features, the seismic-resistant improvements, and its cultural preservation.</t>
  </si>
  <si>
    <t>Palazzi, Nuria/MXJ-6100-2025; Sandoval, Cristián/JPW-9593-2023</t>
  </si>
  <si>
    <t>Barrientos, Marco/0000-0003-0653-3142</t>
  </si>
  <si>
    <t>0718-2309</t>
  </si>
  <si>
    <t>10.32995/rev180.Num-53.(2024).art-1084</t>
  </si>
  <si>
    <t>WOS:001343080200002</t>
  </si>
  <si>
    <t>El Youssfi, N; Zoulagh, T; El Aiss, H; El Bachtiri, R; Barbosa, KA</t>
  </si>
  <si>
    <t>El Youssfi, Naoufal; Zoulagh, Taha; El Aiss, Hicham; El Bachtiri, Rachid; Barbosa, Karina A.</t>
  </si>
  <si>
    <t>T-S fuzzy observer and actuator fault-tolerant controller designs for descriptor systems</t>
  </si>
  <si>
    <t>INTERNATIONAL JOURNAL OF ADAPTIVE CONTROL AND SIGNAL PROCESSING</t>
  </si>
  <si>
    <t>This work focuses on designing an observer to measure states and actuator faults as well as fault-tolerant control (FTC) for fuzzy Takagi-Sugeno (T-S) singular systems. An enhanced system is built by creating a new vector from the system state and the actuator faults. The first task is simultaneously to estimate system states and actuator faults with an adaptive observer. Then, in order to get a stabilized faulty singular system, we conceive an observer based on FTC. Using Lyapunov's approach, a linear matrix inequalities (LMIs) feasibility problem is formulated to provide the controller and the observer gains. Compared with previous studies, the proposed method significantly simplifies the design and simultaneously provides the controller and the observer gains in one step. Finally, three examples are given to demonstrate the effectiveness of the proposed control.</t>
  </si>
  <si>
    <t>Zoulagh, Taha/AAT-5521-2020; El Aiss, Hicham/AAD-6510-2022; Barbosa, Karina/A-2236-2014; EL YOUSSFI, Naoufal/T-4610-2018</t>
  </si>
  <si>
    <t>EL YOUSSFI, Naoufal/0000-0003-0430-1743; Barbosa, Karina A./0000-0001-7183-2662</t>
  </si>
  <si>
    <t>0890-6327</t>
  </si>
  <si>
    <t>1099-1115</t>
  </si>
  <si>
    <t>10.1002/acs.3715</t>
  </si>
  <si>
    <t>NOV 2023</t>
  </si>
  <si>
    <t>WOS:001104700200001</t>
  </si>
  <si>
    <t>Dávila, G; Rodríguez-Paredes, A; Topp, E</t>
  </si>
  <si>
    <t>Davila, Gonzalo; Rodriguez-Paredes, Andrei; Topp, Erwin</t>
  </si>
  <si>
    <t>Periodic Homogenization of the Principal Eigenvalue of Second-Order Elliptic Operators</t>
  </si>
  <si>
    <t>APPLIED MATHEMATICS AND OPTIMIZATION</t>
  </si>
  <si>
    <t>In this paper we investigate homogenization results for the principal eigenvalue problem associated to 1-homogeneous, uniformly elliptic, second-order operators. Under rather general assumptions, we prove that the principal eigenpair associated to an oscillatory operator converges to the eigenpair associated to the effective one. This includes the case of fully nonlinear operators. Rates of convergence for the eigenvalues are provided for linear and nonlinear problems, under extra regularity/convexity assumptions. Finally, a linear rate of convergence (in terms of the oscillation parameter) of suitably normalized eigenfunctions is obtained for linear problems.</t>
  </si>
  <si>
    <t>0095-4616</t>
  </si>
  <si>
    <t>1432-0606</t>
  </si>
  <si>
    <t>10.1007/s00245-023-09979-z</t>
  </si>
  <si>
    <t>WOS:000985464800010</t>
  </si>
  <si>
    <t>Khalid, HM; Zoulagh, T; Abuashour, M</t>
  </si>
  <si>
    <t>Khalid, Haris M.; Zoulagh, Taha; Abuashour, Mohammad</t>
  </si>
  <si>
    <t>Learning the principles of stimulus control analysing human behaviour</t>
  </si>
  <si>
    <t>LEARNING AND MOTIVATION</t>
  </si>
  <si>
    <t>A key component of delivering appropriate autism therapy is the capacity to recognize contributing factors of stimuli manipulation and adjust them as required. Hence, adaptive social psychologists who study autism would emphasize becoming comfortable with the foundations of stimuli manipulation. With a focus on aspects that may be relevant in the implementation of stimulation management systems, this part summarizes a few critical areas of fundamental chemical cognitive behavior investigations in pattern recognition. The bibliography examined here emphasizes behavioral patterns connections across. It covers a variety of subjects, ranging from the breakdown of every component of an n-term conditional to the synthesis of intricate behavioral sequences. Yet, by properly integrating experimental discoveries with implementations in the provision of autism services, this induction and original transitional theory can be improved. The exploratory conduct text provides valuable insights to impart to professionals seeking a deeper comprehension of the fundamentals of restricted conditions that can enhance therapeutic efficacy. Numerous cognitive neuroscience and evolutionary biology investigations have demonstrated that creatures respond to changes in recognized surroundings. Generalisability is a common term for this phenomenon. A drop in reactivity is seen with the preponderance of alterations, although an enhancement is seen with some sensory situations. Both intrinsic and acquired behaviors are included in this. To clarify these events, designers here provide a methodology to restrict conditions or impression selection. Two crucial parts make up the architecture. Then, the sensitivity region is selected as the basic stimulation environment. Every stimulation is reflected by the sequence of sensory apparatus activity it causes. Furthermore, by measuring how response sequences overlap, they offer a straightforward metric for similarity' amongst inspiration in this domain. The real benefit of this strategy is that the generalization of learned behaviors results from a few straightforward rules based on an under - standing of how animals probably process inputs. The current paradigm avoids many common issues with sensory theories and models. The degree of applicability across many parameters, the maximum change phenomenon, generalizations according to stimulus intensity, and generaliza- tion following conditions on consecutive external emotions represent a few of these concerns. Customers who only selected a special brand degraded any goods bearing a registered trademark from a rival. In summary, these findings are consistent with an interpretation of opinions based on societal programming highlighting the double roles played by popular brands, labeling, and patents. Based on the preceding, we invite scholars to submit original research articles and review papers to the current Special Issue that will focus on learning the principles of stimulus control and analysing human behavior.</t>
  </si>
  <si>
    <t>Abuashour, Mohammad/J-2992-2019; Zoulagh, Taha/AAT-5521-2020; Khalid, Haris M./T-5118-2017</t>
  </si>
  <si>
    <t>Khalid, Haris M./0000-0002-1136-6433; Zoulagh, Taha/0000-0003-4796-2744; Abuashour, Mohammad/0000-0001-5186-9177</t>
  </si>
  <si>
    <t>0023-9690</t>
  </si>
  <si>
    <t>1095-9122</t>
  </si>
  <si>
    <t>10.1016/j.lmot.2023.101891</t>
  </si>
  <si>
    <t>JUL 2023</t>
  </si>
  <si>
    <t>WOS:001052846600001</t>
  </si>
  <si>
    <t>Espinosa-Méndez, C; Maquieira, CP; Arias, JT</t>
  </si>
  <si>
    <t>Espinosa-Mendez, Christian; Maquieira, Carlos P.; Arias, Jose T.</t>
  </si>
  <si>
    <t>The Impact of ESG Performance on the Value of Family Firms: The Moderating Role of Financial Constraints and Agency Problems</t>
  </si>
  <si>
    <t>The main objective of this research is to shed more light on how ESG may be seen as a valuable investment for family firms. We study the impact of ESG performance on the value of family firms by considering the moderating role played by financial constraints and agency costs. Using an international sample of 254 firms that belong to the 500 largest family-owned firms worldwide over the period 2015-2021, we report that the overall ESG score is positively associated with firm value. Among the three ESG components, we find that environmental and social performances have a positive and statistically significant impact on firm value. However, we find no evidence of any significant effect of governance score on firm value. More importantly, we also find that the impact of ESG performance on firm value is lower under the presence of financial constraints and agency costs.</t>
  </si>
  <si>
    <t>Espinosa-Méndez, Christian/G-5177-2019; Maquieira, Carlos/ISB-9473-2023</t>
  </si>
  <si>
    <t>Arias, Jose/0000-0001-8126-5948; Maquieira, Carlos/0000-0001-5710-4669; Espinosa-Mendez, Christian/0000-0001-6499-2414</t>
  </si>
  <si>
    <t>10.3390/su15076176</t>
  </si>
  <si>
    <t>WOS:000970181500001</t>
  </si>
  <si>
    <t>Andres, C; Boer, D; Salinas-Lira, C; Vasco, DA</t>
  </si>
  <si>
    <t>Tapia-Calderon, Andres; Boer, Dieter; Salinas-Lira, Carlos; Vasco, Diego A.</t>
  </si>
  <si>
    <t>Optimized thermal envelope of low-income dwellings in Santiago de Chile incorporating Pinus radiata wood impregnated with phase change materials</t>
  </si>
  <si>
    <t>JOURNAL OF ENERGY STORAGE</t>
  </si>
  <si>
    <t>The demand for air conditioning and heating in the construction sector has increased in about two decades, mainly because of demographic and economic growth. The result of this increase in energy consumption has been more greenhouse gas emissions (GHGs). This paper proposes a multi-objective optimization design that helps reduce heating, ventilation, and air-conditioning (HVAC) energy consumption and increases the thermal comfort levels in low-income housing. Achieving these objectives required choosing a dwelling unit that is representative of the Chilean housing stock, which was identified with the help of the National Housing Monitoring Network (ReNaM). The selected optimization variables correspond to the type of windows, type and thickness of ceiling insulation, and type of PCM-impregnated Pinus radiata wood panel, with PCM melting points between 8 and 27 degrees C. Subsequently, we minimized the hours of thermal discomfort and the dwelling typology's electrical consumption of heating and cooling by using the algorithm the Non-dominated Sorting Genetic Algorithm-II (NSGA-II). The main results include a reduction of up to 21.5 % in the thermal discomfort hours and a decrease of up to 80.5 % in energy consumption associated with the optimal housing typology compared to the base case. Additionally, the economic analysis indicated the payback period is 12.9 years for the Pareto solution, which presents a lower distance to the utopic point (UP).</t>
  </si>
  <si>
    <t>Vasco, Diego/Y-2934-2019; Calcabrini, Andres/AFL-9347-2022; Boer, Dieter/K-3162-2014</t>
  </si>
  <si>
    <t>Vasco, Diego Andres/0000-0001-7456-4683</t>
  </si>
  <si>
    <t>2352-152X</t>
  </si>
  <si>
    <t>2352-1538</t>
  </si>
  <si>
    <t>10.1016/j.est.2023.106665</t>
  </si>
  <si>
    <t>WOS:000923631600001</t>
  </si>
  <si>
    <t>Yang, MB; Santos, CA; Ubilla, P; Zhou, JZ</t>
  </si>
  <si>
    <t>Yang, Minbo; Santos, Carlos A.; Ubilla, Pedro; Zhou, Jiazheng</t>
  </si>
  <si>
    <t>ON A DEFOCUSING QUASILINEAR SCHR O spacing diaeresis DINGER EQUATION WITH SINGULAR TERM</t>
  </si>
  <si>
    <t>DISCRETE AND CONTINUOUS DYNAMICAL SYSTEMS</t>
  </si>
  <si>
    <t>We consider a class of modified quasilinear Schro center dot dinger equations k -Delta u + 2 u Delta u2 + V (x)u = lambda a(x)u-alpha + b(x)u beta in RN, where N &gt; 3, V is a suitable non-negative continuous potential; a, b are bounded mensurable functions, 0 &lt; alpha &lt; 1 &lt; beta &lt;= 2* - 1 and k, lambda &gt; 0 are two parameters. We establish global existence and local multiplicity results of positive solutions in H'(RN) boolean AND L infinity(RN) for the equation with appropriate classes of parameters alpha, beta and coefficients a(x), b(x).</t>
  </si>
  <si>
    <t>Santos, Carlos Alberto/AFP-4136-2022; , 杨敏波/AAJ-3372-2020; Zhou, Jiazheng/GRX-7440-2022</t>
  </si>
  <si>
    <t>ZHOU, JIAZHENG/0000-0003-2182-7499</t>
  </si>
  <si>
    <t>1078-0947</t>
  </si>
  <si>
    <t>1553-5231</t>
  </si>
  <si>
    <t>10.3934/dcds.2022158</t>
  </si>
  <si>
    <t>NOV 2022</t>
  </si>
  <si>
    <t>WOS:000884804700001</t>
  </si>
  <si>
    <t>Durán, C; Derpich, I; Carrasco, R</t>
  </si>
  <si>
    <t>Duran, Claudia; Derpich, Ivan; Carrasco, Raul</t>
  </si>
  <si>
    <t>Optimization of Port Layout to Determine Greenhouse Gas Emission Gaps</t>
  </si>
  <si>
    <t>Ports are of great strategic importance for a country. Nowadays, compliance with environmental requirements is required, forcing the migration towards clean energies. Therefore, it is necessary for emerging ports, as those in developed countries, to incorporate in their policies the use of electric power in the machinery that moves containers in the terminals. To learn how the problem is addressed in other countries, an extensive bibliographic review is presented. Then, the energy policies and criteria of a group of ports in an emerging country and a European port are studied. Subsequently, in order to determine the gaps between the ports investigated, the layout of the cargo yard of each of the terminals is optimized; the emissions of Carbon Dioxide (CO2) and other Greenhouse Gases (GHG) gases are calculated; and finally, the decrease in emissions when switching from diesel to electricity is estimated. The strategic and operational gaps related to energy management between the emerging and developed countries are discussed. It is concluded that research is needed to investigate how these initiatives impact the city and improve other sustainable aspects.</t>
  </si>
  <si>
    <t>Duran, Claudia/S-1175-2019; derpich, ivan/T-1160-2019; Carrasco, Raul/G-5440-2015</t>
  </si>
  <si>
    <t>Derpich, Ivan/0000-0001-9759-7285; Duran, Claudia/0000-0002-0903-4333; Carrasco, Raul/0000-0002-5023-9349</t>
  </si>
  <si>
    <t>10.3390/su142013517</t>
  </si>
  <si>
    <t>WOS:000873716200001</t>
  </si>
  <si>
    <t>Velásquez-Yévenes, L; Ram, R</t>
  </si>
  <si>
    <t>Velasquez-Yevenes, Lilian; Ram, Rahul</t>
  </si>
  <si>
    <t>The aqueous chemistry of the copper-ammonia system and its implications for the sustainable recovery of copper</t>
  </si>
  <si>
    <t>CLEANER ENGINEERING AND TECHNOLOGY</t>
  </si>
  <si>
    <t>The dissolution of copper during the leaching of chalcopyrite in ammonia solutions is an attractive alternative to acid sulfate leaching in the treatment of ores with high consumption of acid. Despite considerable research into this complex leaching system, a lack of understanding of the fundamental chemical drivers has delayed the implementation of the ammonia process. In the present study, various ammonium salts solutions (chloride, sulfate, carbonate) have been used to study the effect of ion association on the dissociation constant of the ammonium ion at temperatures of 25 and 35 degrees C. Experimental and calculated solubilities of Cu2+ have been obtained under different conditions and plotted in speciation distribution diagrams, in other to assess the accuracy of predictions using available thermodynamic properties. Ion association was found to significantly affect the dissociation constant of the ammonium ion in solutions containing sulfate, chloride and carbonate anions; thus, influencing the free ammonia concentration in solution. Increasing temperature from 25 to 35 degrees C was found to decrease the dissociation constant of the ammonium ion. These findings highlight the importance of using the correct anionic ligands for the ammonium ions and temperature in order to obtain high dissolution of copper. It has been established that solubility of copper in ammonia solution is affected by the anionic ligands, temperature and addition of chloride ions. The NH3 ligand forms strong coordination compounds with cupric or cuprous ions depending on the anionic ligand, generating an increase in solubility between pH 8.5 and 10.0. The present study, therefore, identifies important constraints on the role of varying anion associated with ammonia, temperature, pH, and addition of chloride ions and the inter-dependence of these factors in controlling Cu2+ solubility in ammoniacal systems. The results from the present study provides experimental pKa values and solubility constants of the various ammoniacal systems to provide commercial processing via ammoniacal routes the optimal conditions in which to maximise Cu recovery and maintain free ammonia at levels to minimise volatility and loss. The findings are directly beneficial to future commercial application employing effective ammonium-anion lixiviant strategies in the sustainable recovery of Cu.</t>
  </si>
  <si>
    <t>; , LILIAN/JGD-3871-2023</t>
  </si>
  <si>
    <t>Ram, Rahul/0000-0001-7362-0188; , LILIAN/0000-0002-2617-8566</t>
  </si>
  <si>
    <t>2666-7908</t>
  </si>
  <si>
    <t>10.1016/j.clet.2022.100515</t>
  </si>
  <si>
    <t>WOS:000981177200006</t>
  </si>
  <si>
    <t>Birindelli, I; Galise, G; Topp, E</t>
  </si>
  <si>
    <t>Birindelli, Isabeau; Galise, Giulio; Topp, Erwin</t>
  </si>
  <si>
    <t>Fractional truncated Laplacians: representation formula, fundamental solutions and applications</t>
  </si>
  <si>
    <t>NODEA-NONLINEAR DIFFERENTIAL EQUATIONS AND APPLICATIONS</t>
  </si>
  <si>
    <t>We introduce some nonlinear extremal nonlocal operators that approximate the, so called, truncated Laplacians. For these operators we construct representation formulas that lead to the construction of what, with an abuse of notation, could be called fundamental solutions. This, in turn, leads to Liouville type results. The interest is double: on one hand we wish to understand what is the right way to define the nonlocal version of the truncated Laplacians, on the other, we introduce nonlocal operators whose nonlocality is on one dimensional lines, and this dramatically changes the prospective, as is quite clear from the results obtained that often differ significantly with the local case or with the case where the nonlocality is diffused. Surprisingly this is true also for operators that approximate the Laplacian.</t>
  </si>
  <si>
    <t>1021-9722</t>
  </si>
  <si>
    <t>1420-9004</t>
  </si>
  <si>
    <t>10.1007/s00030-022-00757-4</t>
  </si>
  <si>
    <t>WOS:000767793800001</t>
  </si>
  <si>
    <t>Chu, D; Khamis, A; Akl, E; Neumann, I; Solo, K; Schunemann, H</t>
  </si>
  <si>
    <t>Chu, Derek; Khamis, Assem; Akl, Elie; Neumann, Ignacio; Solo, Karla; Schunemann, Holger</t>
  </si>
  <si>
    <t>Revisiting the evidence for physical distancing, face masks, and eye protection - reply</t>
  </si>
  <si>
    <t>LANCET</t>
  </si>
  <si>
    <t>Solo, Karla/I-4835-2018; Neumann, Ignacio/ABB-5013-2020; Khamis, Assem/JJC-3190-2023; T, E/HII-8943-2022; Schunemann, Holger/LRB-7016-2024</t>
  </si>
  <si>
    <t>Neumann, Ignacio/0000-0001-8406-6880; Schunemann, Holger/0000-0003-3211-8479; Chu, Derek/0000-0001-8269-4496</t>
  </si>
  <si>
    <t>0140-6736</t>
  </si>
  <si>
    <t>1474-547X</t>
  </si>
  <si>
    <t>AUG 21</t>
  </si>
  <si>
    <t>WOS:000687280700022</t>
  </si>
  <si>
    <t>Vargas, RA; Valdés, N; Balic, I; Contreras, EI; Venegas, C; Aranada, CP; Tello, M; Gonzalez, AR</t>
  </si>
  <si>
    <t>Vargas, Rodrigo A.; Valdes, Natalia; Balic, Ivan; Contreras, Eduardo, I; Venegas, Carlos; Aranada, Carlos P.; Tello, Mario; Gonzalez, Alex R.</t>
  </si>
  <si>
    <t>Amplicon of 16S rRNA Gene Sequencing of Fertilized Volcanic Soils from Southern Chile</t>
  </si>
  <si>
    <t>MICROBIOLOGY RESOURCE ANNOUNCEMENTS</t>
  </si>
  <si>
    <t>The volcanic soils of Chiloe Island, Chile, have physical and chemical characteristics that affect their productivity. We report here a 16S rRNA gene analysis that characterizes the predominant microbial communities in volcanic soils of Chiloe either in the presence or absence of fertilization. The major phyla identified were Proteobacteria, Acidobacteria, and Actinobacteria.</t>
  </si>
  <si>
    <t>González, Alex/GYU-3220-2022; Valdes, Natalia/AAI-8151-2021; Tello, Mario/N-4198-2019; Aranda, Carlos/D-7882-2013</t>
  </si>
  <si>
    <t>valdes parra, Natalia/0000-0002-6884-7799; Tello, Mario/0000-0003-4573-6460; Gonzalez, Alex/0000-0001-9968-8623; Aranda, Carlos/0000-0001-6219-622X</t>
  </si>
  <si>
    <t>2576-098X</t>
  </si>
  <si>
    <t>e00590-20</t>
  </si>
  <si>
    <t>10.1128/MRA.00590-20</t>
  </si>
  <si>
    <t>WOS:000634789200013</t>
  </si>
  <si>
    <t>Barrera Salazar, D; Williams, C</t>
  </si>
  <si>
    <t>Barrera Salazar, Daniel; Williams, Chris</t>
  </si>
  <si>
    <t>Overconvergent cohomology, p-adic L-functions and families for GL (2) over CM fields</t>
  </si>
  <si>
    <t>JOURNAL DE THEORIE DES NOMBRES DE BORDEAUX</t>
  </si>
  <si>
    <t>The study of overconvergent cohomology, initiated by Pollack and Stevens in the setting of classical modular forms, has now been used to construct p-adic L-functions in a number of settings. The method is conceptual and is very closely related to the recent constructions of eigenvarieties by Ash-Stevens, Urban and Hansen. In this note, we give an exposition of the ideas behind the use of overconvergent cohomology in constructing p-adic L-functions, and use it to construct p-adic L-functions attached to base-change families of automorphic representations for GL(2) over CM fields. As a corollary, we prove a p-adic Artin formalism result for base-change p-adic L-functions.</t>
  </si>
  <si>
    <t>1246-7405</t>
  </si>
  <si>
    <t>2118-8572</t>
  </si>
  <si>
    <t>WOS:000749167400002</t>
  </si>
  <si>
    <t>Moreno, RM; Antolín, G; Reyes, AE</t>
  </si>
  <si>
    <t>Moreno, Rogelio M.; Antolin, Gregorio; Reyes, Alejandro E.</t>
  </si>
  <si>
    <t>Mass transfer during forest biomass particles drying in a fluidised bed</t>
  </si>
  <si>
    <t>BIOSYSTEMS ENGINEERING</t>
  </si>
  <si>
    <t>The drying of biomass particles is an important industrial process where heat and mass transfer simultaneously occur. Following on from our previous work on convective heat transfer, here we report experimental results obtained by analysing the mass transfer between the gas and the surface of the wood particles, during drying in a mechanically stirred fluidised bed. It is assumed that, during the constant drying rate period, the moisture concentration of the gas on the surface of the particle is constant. The results have allowed us to obtain a correlation between the Sherwood number and the Reynolds number in the range of Rep between 102 and 257; the proposed correlation Shgp = Shgp (Rep) predicts the surface mass transfer coefficient with an average deviation of 30% in relation to experimental data. (c) 2020 IAgrE. Published by Elsevier Ltd. All rights reserved.</t>
  </si>
  <si>
    <t>1537-5110</t>
  </si>
  <si>
    <t>1537-5129</t>
  </si>
  <si>
    <t>10.1016/j.biosystemseng.2020.08.003</t>
  </si>
  <si>
    <t>WOS:000579074300013</t>
  </si>
  <si>
    <t>Górka, P; Prado, H; Pons, DJ</t>
  </si>
  <si>
    <t>Gorka, Przemyslaw; Prado, Humberto; Pons, Daniel J.</t>
  </si>
  <si>
    <t>The asymptotic behavior of the time fractional Schrodinger equation on Hilbert space</t>
  </si>
  <si>
    <t>JOURNAL OF MATHEMATICAL PHYSICS</t>
  </si>
  <si>
    <t>The purpose of this article is to show the asymptotic behavior of the solution of the abstract Schrodinger equation with time fractional derivative of order alpha is an element of (0, 1). We give a detailed description of the long time behavior of the corresponding operator solution. As it is expected in this case, the dynamics are not governed neither by a group nor by a semigroup.</t>
  </si>
  <si>
    <t>Prado, Humberto/0000-0003-0049-9115</t>
  </si>
  <si>
    <t>0022-2488</t>
  </si>
  <si>
    <t>1089-7658</t>
  </si>
  <si>
    <t>10.1063/1.5142272</t>
  </si>
  <si>
    <t>WOS:000519101500001</t>
  </si>
  <si>
    <t>Maldonado, T; Ferraudi, G; Lappin, AG; Godoy, F</t>
  </si>
  <si>
    <t>Maldonado, Tamara; Ferraudi, Guillermo; Lappin, A. Graham; Godoy, Fernando</t>
  </si>
  <si>
    <t>Excited States versus Reaction Intermediates as Active Species in Photoinduced Redox Reactions of Cyrhetrenyl and Ferrocenyl Chalcones: A 351 nm Flash Photolysis Study</t>
  </si>
  <si>
    <t>JOURNAL OF PHYSICAL CHEMISTRY A</t>
  </si>
  <si>
    <t>The photoinduced redox reactions of two organometallic chalcones: tram, E, (eta(5)-C5H4 C(O)CH=CH-4-benzo-15-crown-5)Re(CO)(3), 1, and tram, E, (eta(5)-C5H4C(O)CH=CH-4-benzo-15-crown-5)Fe(eta(5)-C5H4C(O)CH=CH-4-benzo-15-crown-5), 2, were investigated in fluid solution using the flash photolysis technique. For a better understanding of the photoinduced redox processes of these organometallic chalcones, an electron donor, triethylamine (TEA), and an electron acceptor, methylviologen dichloride (MVCl2), were chosen. Two parallel reaction paths for the decay of the intermediate 1-I, that is, the anion radical of 1, were observed in the presence of TEA. One generates a radical anion, while the other reaction path produces the Z isomer. Instead, the photoinduced reaction of 2 with TEA in MeOH generates an intense absorption band at lambda(max) = 660 nm, which is attributed to a 2-I center dot MeOH adduct. The oxidative process between 1-I and MV2+ in CH3CN generates transient spectra consistent with the formation of the radical cation MV center dot+. In contrast, the photoinduced reaction between 2 and MV2+ showed that the generation of MV center dot+ occurs through a complex mechanism. MV center dot+ is formed in two steps where the first one is the formation of an adduct between the long-lived metal-to-ligand charge transfer (MLCT) (Fe -&gt; Chalcone) excited state and MV2+. These results have shown that intermediates 1-I and 2-I can function as photo-oxidants and photoreductants better than the chalcone short-lived excited states.</t>
  </si>
  <si>
    <t>Godoy, Fernando/0000-0002-3916-4753; Maldonado Hernandez, Tamara/0000-0002-3863-3001</t>
  </si>
  <si>
    <t>1089-5639</t>
  </si>
  <si>
    <t>1520-5215</t>
  </si>
  <si>
    <t>OCT 31</t>
  </si>
  <si>
    <t>10.1021/acs.jpca.9b06603</t>
  </si>
  <si>
    <t>WOS:000493864800004</t>
  </si>
  <si>
    <t>Sierra-Rosales, P; Toledo-Neira, C; Ortúzar-Salazar, P; Squella, JA</t>
  </si>
  <si>
    <t>Sierra-Rosales, Paulina; Toledo-Neira, Carla; Ortuzar-Salazar, Pia; Arturo Squella, Juan</t>
  </si>
  <si>
    <t>MWCNT-modified Electrode for Voltammetric Determination of Allura Red and Brilliant Blue FCF in Isotonic Sport Drinks</t>
  </si>
  <si>
    <t>ELECTROANALYSIS</t>
  </si>
  <si>
    <t>A fast and simple electrochemical sensor is presented for the determination of allura red and brilliant blue in isotonic sport drinks, using a glassy carbon electrode modified with multi-walled carbon nanotubes. The electrochemical behavior of the colorants was studied by cyclic and differential pulse voltammetry in 0.1 M PBS, pH 7.0. The solution pH, the amount of nanomaterial on the surface of the electrode and the accumulation time of each colorant were optimized. Under the optimal conditions, the sensor exhibited a linear response to allura red and brilliant blue with detection limits of 7 mu g L-1 and 52 mu g L-1, respectively. The sensor was applied to the analysis of commercial isotonic sports drinks that contain individual or mixed colorants, showing good sensitivity and reproducibility. The results were compared with a chromatographic method showing that the levels of colorants are low and did not show a risk for a consumer's health.</t>
  </si>
  <si>
    <t>Sierra-Rosales, Paulina/K-4733-2019; Squella, Juan Arturo/A-5093-2009</t>
  </si>
  <si>
    <t>Toledo Neira, Carla Beatriz/0000-0003-2872-3043; Sierra-Rosales, Paulina/0000-0001-7077-785X; Squella, Juan Arturo/0000-0003-0362-4399</t>
  </si>
  <si>
    <t>1040-0397</t>
  </si>
  <si>
    <t>1521-4109</t>
  </si>
  <si>
    <t>10.1002/elan.201800786</t>
  </si>
  <si>
    <t>WOS:000466514900013</t>
  </si>
  <si>
    <t>Muñoz-Osses, M; Siegmund, D; Gómez, A; Godoy, F; Fierro, A; Llanos, L; Aravena, D; Metzler-Nolte, N</t>
  </si>
  <si>
    <t>Munoz-Osses, Michelle; Siegmund, Daniel; Gomez, Alejandra; Godoy, Fernando; Fierro, Angelica; Llanos, Leonel; Aravena, Daniel; Metzler-Nolte, Nils</t>
  </si>
  <si>
    <t>Influence of the substituent on the phosphine ligand in novel rhenium(i) aldehydes. Synthesis, computational studies and first insights into the antiproliferative activity</t>
  </si>
  <si>
    <t>DALTON TRANSACTIONS</t>
  </si>
  <si>
    <t>Cyrhetrenyl aldehyde derivatives [((5)-C5H4CHO)Re(CO)(2)PR3] with R = methyl (Me, 2a), phenyl (Ph, 2b), and cyclohexyl (Cy, 2c) were synthesized by a photochemical reaction from the starting material [((5)-C5H4CHO)Re(CO)(3)] (1) and the corresponding phosphines. The complexes were fully characterized by FT-IR, H-1, C-13 and P-31 NMR spectroscopy, elemental analysis and mass spectrometry. The molecular structures of 2a-c have also been determined. Electronic structure calculations by TD-DFT and electrochemical studies are in sound agreement with the effect of the substitution of one carbonyl group by a phosphine ligand. Additionally, the antiproliferative activity of complexes 1 and 2a-c was studied on the human cancer cell lines HT-29 and PT-45 using an MTT assay. Out of all new compounds, only the triphenylphosphine derivative 2b exhibited pronounced cytotoxic effects on both cell lines, being ca. 1.5 times more potent than cisplatin.</t>
  </si>
  <si>
    <t>Fierro, Angelica/AAJ-2533-2020; Aravena, Daniel/F-2174-2011; Metzler-Nolte, Nils/H-7626-2014</t>
  </si>
  <si>
    <t>Siegmund, Daniel/0000-0003-2476-8965; Aravena, Daniel/0000-0003-3140-4852; Gomez San Martin, Alejandra/0000-0001-6483-1565; Metzler-Nolte, Nils/0000-0001-8111-9959; Godoy, Fernando/0000-0002-3916-4753; Fierro Huerta, Angelica/0000-0002-6507-4188; llanos silva, leonel/0000-0001-6494-1908; Munoz-Osses, Michelle/0000-0001-7124-8773</t>
  </si>
  <si>
    <t>1477-9226</t>
  </si>
  <si>
    <t>1477-9234</t>
  </si>
  <si>
    <t>OCT 21</t>
  </si>
  <si>
    <t>10.1039/c8dt03160f</t>
  </si>
  <si>
    <t>WOS:000446852200016</t>
  </si>
  <si>
    <t>Córdova, FM; Durán, CA; Palominos, FE</t>
  </si>
  <si>
    <t>Dzitac, I; Filip, FG; Manolescu, MJ; Dzitac, S; Oros, H; Dzitac, D</t>
  </si>
  <si>
    <t>Cordova, Felisa M.; Duran, Claudia A.; Palominos, Fredi E.</t>
  </si>
  <si>
    <t>Dynamic Evaluation of Balanced Scorecard using Fuzzy Knowledge based Representation</t>
  </si>
  <si>
    <t>2018 7TH INTERNATIONAL CONFERENCE ON COMPUTERS COMMUNICATIONS AND CONTROL (ICCCC 2018)</t>
  </si>
  <si>
    <t>7th International Conference on Computers Communications and Control (ICCCC)</t>
  </si>
  <si>
    <t>MAY 08-12, 2018</t>
  </si>
  <si>
    <t>Oradea, ROMANIA</t>
  </si>
  <si>
    <t>IEEE,IEEE Reg 08,Agora Univ Oradea,R &amp; D Agora, Cercetare Dezvoltare Agora</t>
  </si>
  <si>
    <t>This paper presents a model that allows the dynamic evaluation of Balanced Scorecard (BSC) using fuzzy knowledge based representation. BSC has proved being a powerful tool for management that allows connecting current actions to future strategic objectives considering measures based on indicators and inductors. BSC translates business vision and mission into a set of actions guided by strategies and classifies them into four axes according to their perspective: financial, processes, customer and learning and growth. A strategic map of cause and effect relationships is generated, showing the relationships between a set of objectives and/or indicators, classified according to the perspectives to which they belong; knowing these cause-effect relationships is important for engineering management in order to provide an adequate management, coordination and control framework for business development. Nevertheless, this approach does not consider: existing dynamics between perspectives of the BSC; order and priority of the connection between axes; degrees of influence between axes; particular state of each axe and state of the system on the basis of the combination of the diverse states of the axes; positive or negative influences between axes. This work also provides an application of these concepts in a Port Community, building a conceptual map of fuzzy relations represented by a diffuse interval knowledge base matrix based in expert knowledge.</t>
  </si>
  <si>
    <t>Duran, Claudia/S-1175-2019; CORDOVA, FELISA/S-1093-2019; Palominos, Fredi/U-4690-2019</t>
  </si>
  <si>
    <t>Palominos, Fredi/0000-0002-6119-4991; CORDOVA, FELISA/0000-0002-5557-8569</t>
  </si>
  <si>
    <t>978-1-5386-1934-6</t>
  </si>
  <si>
    <t>WOS:000437157500007</t>
  </si>
  <si>
    <t>Quoirin, HR; Umezu, K</t>
  </si>
  <si>
    <t>Ramos Quoirin, Humberto; Umezu, Kenichiro</t>
  </si>
  <si>
    <t>On a concave-convex elliptic problem with a nonlinear boundary condition</t>
  </si>
  <si>
    <t>ANNALI DI MATEMATICA PURA ED APPLICATA</t>
  </si>
  <si>
    <t>We investigate an indefinite superlinear elliptic equation coupled with a sublinear Neumann boundary condition (depending on a positive parameter ), which provides a concave-convex nature to the problem. We establish a global multiplicity result for positive solutions in the spirit of Ambrosetti-Brezis-Cerami and obtain their asymptotic profiles as . Furthermore, we also analyse the case where the nonlinearity is concave. Our arguments are based on a bifurcation analysis, a comparison principle, and variational techniques.</t>
  </si>
  <si>
    <t>Ramos Quoirin, Humberto/0000-0001-6252-2515</t>
  </si>
  <si>
    <t>0373-3114</t>
  </si>
  <si>
    <t>1618-1891</t>
  </si>
  <si>
    <t>10.1007/s10231-015-0531-x</t>
  </si>
  <si>
    <t>WOS:000386522800002</t>
  </si>
  <si>
    <t>Barriga-González, G; Chamorro, E; Salinas, M; Modak, B; Olea-Azar, C</t>
  </si>
  <si>
    <t>Barriga-Gonzalez, German; Chamorro, Eduardo; Salinas, Melissa; Modak, Brenda; Olea-Azar, Claudio</t>
  </si>
  <si>
    <t>EVALUATION OF THE ANTIOXIDANT ACTIVITY OF THE FLAVONOIDS ISOLATED FROM HELIOTROPIUM SINUATUM RESIN USING ORACFL, DPPH AND ESR METHODOLOGIES</t>
  </si>
  <si>
    <t>The antioxidant capacity has been determined for a number of flavonoid compounds from Heliotropium sinuatum, a plant that grows in arid areas in the north of Chile. The methodologies used were: ORAC(FL) (oxygen radical absorbance capacity - fluorescein), DPPH (2,2-diphenyl-2-picrylhydrazyl) bleaching and electron spin resonance (ESR). These compounds were studied in homogeneous and heterogeneous media. The results showed that the 7-o-methyleriodictiol and 3-o-methylisorhamnetin are those with the highest antioxidant capacity.</t>
  </si>
  <si>
    <t>Chamorro, Eduardo/B-4286-2009; OLEA AZAR, CLAUDIO/I-1605-2013</t>
  </si>
  <si>
    <t>OLEA AZAR, CLAUDIO/0000-0001-5805-0746; Barriga-Gonzalez, German/0000-0002-9628-2414</t>
  </si>
  <si>
    <t>10.4067/S0717-97072016000300024</t>
  </si>
  <si>
    <t>WOS:000389063700024</t>
  </si>
  <si>
    <t>Chavez, H; Baldick, R; Matevosyan, J</t>
  </si>
  <si>
    <t>Chavez, Hector; Baldick, Ross; Matevosyan, Julija</t>
  </si>
  <si>
    <t>The Joint Adequacy of AGC and Primary Frequency Response in Single Balancing Authority Systems</t>
  </si>
  <si>
    <t>2016 IEEE POWER AND ENERGY SOCIETY GENERAL MEETING (PESGM)</t>
  </si>
  <si>
    <t>IEEE Power and Energy Society General Meeting PESGM</t>
  </si>
  <si>
    <t>IEEE-Power-and-Energy-Society General Meeting (PESGM)</t>
  </si>
  <si>
    <t>JUL 17-21, 2016</t>
  </si>
  <si>
    <t>Boston, MA</t>
  </si>
  <si>
    <t>IEEE Power &amp; Energ Soc</t>
  </si>
  <si>
    <t>1944-9925</t>
  </si>
  <si>
    <t>978-1-5090-4168-8</t>
  </si>
  <si>
    <t>WOS:000399937900089</t>
  </si>
  <si>
    <t>Chávez, H; Hezamsadeh, MR; Carlsson, F</t>
  </si>
  <si>
    <t>Chavez, Hector; Hezamsadeh, Mohammad Reza; Carlsson, Fredrik</t>
  </si>
  <si>
    <t>A Simplified Model for Predicting Primary Control Inadequacy for Nonresponsive Wind Power</t>
  </si>
  <si>
    <t>IEEE TRANSACTIONS ON SUSTAINABLE ENERGY</t>
  </si>
  <si>
    <t>The integration of wind power (WP) into power systems has led to concerns on the adequacy of primary frequency control. Such concerns have currently arisen in interconnections with high penetration of WP and may appear in other systems where high penetration of WP is planned. This paper proposes a method for predicting the level of WP penetration that may lead to primary frequency control inadequacy, considering a empirically-validated model of primary frequency control, worst-case scenario conditions and no frequency response from WP machines. The NORDEL interconnection is considered as a case study.</t>
  </si>
  <si>
    <t>Carlsson, Fredrik/0000-0001-9791-3356</t>
  </si>
  <si>
    <t>1949-3029</t>
  </si>
  <si>
    <t>1949-3037</t>
  </si>
  <si>
    <t>10.1109/TSTE.2015.2491782</t>
  </si>
  <si>
    <t>WOS:000367340700027</t>
  </si>
  <si>
    <t>Rodríguez-Rojas, F; Díaz-Vásquez, W; Undabarrena, A; Muñoz-Díaz, P; Arenas, F; Vásquez, C</t>
  </si>
  <si>
    <t>Rodriguez-Rojas, F.; Diaz-Vasquez, W.; Undabarrena, A.; Munoz-Diaz, P.; Arenas, F.; Vasquez, C.</t>
  </si>
  <si>
    <t>Mercury-mediated cross-resistance to tellurite in Pseudomonas spp. isolated from the Chilean Antarctic territory</t>
  </si>
  <si>
    <t>METALLOMICS</t>
  </si>
  <si>
    <t>Mercury salts and tellurite are among the most toxic compounds for microorganisms on Earth. Bacterial mercury resistance is established mainly via mercury reduction by the mer operon system. However, specific mechanisms underlying tellurite resistance are unknown to date. To identify new mechanisms for tellurite detoxification we demonstrate that mercury resistance mechanisms can trigger cross-protection against tellurite to a group of Pseudomonads isolated from the Chilean Antarctic territory. Sequencing of 16S rRNA of four isolated strains resulted in the identification of three Pseudomonads (ATH-5, ATH-41 and ATH-43) and a Psychrobacter (ATH-62) bacteria species. Phylogenetic analysis showed that ATH strains were related to other species previously isolated from cold aquatic and soil environments. Furthermore, the identified merA genes were related to merA sequences belonging to transposons commonly found in isolated bacteria from mercury contaminated sites. Pseudomonas ATH isolates exhibited increased tellurite resistance only in the presence of mercury, especially ATH-43. Determination of the growth curves, minimal inhibitory concentrations and growth inhibition zones showed different tellurite cross-resistance of the ATH strains and suggested a correlation with the presence of a mer operon. On the other hand, reactive oxygen species levels decreased while the thiol content increased when the isolates were grown in the presence of both toxicants. Finally, qPCR determinations of merA, merC and rpoS transcripts from ATH-43 showed a synergic expression pattern upon combined tellurite and mercury treatments. Altogether, the results suggest that mercury could trigger a cell response that confers mercury and tellurite resistance, and that the underlying mechanism participates in protection against oxidative damage.</t>
  </si>
  <si>
    <t>Rodriguez Rojas, Fernanda Jimena/0009-0006-1232-5891; Undabarrena, Agustina/0000-0001-9273-0665</t>
  </si>
  <si>
    <t>1756-5901</t>
  </si>
  <si>
    <t>1756-591X</t>
  </si>
  <si>
    <t>10.1039/c5mt00256g</t>
  </si>
  <si>
    <t>WOS:000370970800010</t>
  </si>
  <si>
    <t>Quoirin, Humberto Ramos; Umezu, Kenichiro</t>
  </si>
  <si>
    <t>Bifurcation for a logistic elliptic equation with nonlinear boundary conditions: A limiting case</t>
  </si>
  <si>
    <t>JOURNAL OF MATHEMATICAL ANALYSIS AND APPLICATIONS</t>
  </si>
  <si>
    <t>We investigate bifurcation from the zero solution for a logistic elliptic equation with a sign-definite nonlinear boundary condition. In view of the lack of regularity of the term on the boundary, the abstract theory on bifurcation from simple eigenvalues due to Crandall and Rabinowitz does not apply. A regularization procedure and a topological method due to Whyburn are used to prove the existence and the global behavior at infinity of a subcontinuum of nontrivial non-negative weak solutions. The direction of the bifurcation component at zero is also investigated. This paper treats a limiting case of our previous work [19], where the case of sign-changing nonlinear boundary conditions is considered. (C) 2015 Elsevier Inc. All rights reserved.</t>
  </si>
  <si>
    <t>0022-247X</t>
  </si>
  <si>
    <t>1096-0813</t>
  </si>
  <si>
    <t>10.1016/j.jmaa.2015.04.005</t>
  </si>
  <si>
    <t>WOS:000366872400038</t>
  </si>
  <si>
    <t>The effects of indefinite nonlinear boundary conditions on the structure of the positive solutions set of a logistic equation</t>
  </si>
  <si>
    <t>We investigate a semilinear elliptic equation with a logistic nonlinearity and an indefinite nonlinear boundary condition, both depending on a parameter A. Overall, we analyze the effect of the indefinite nonlinear boundary condition on the structure of the positive solutions set. Based on variational and bifurcation techniques, our main results establish the existence of three nontrivial non-negative solutions for some values of A., as well as their asymptotic behavior. These results suggest that the positive solutions set contains an S-shaped component in some case, as well as a combination of a C-shaped and an S-shaped components in another case. (C) 2014 Elsevier Inc. All rights reserved.</t>
  </si>
  <si>
    <t>DEC 1</t>
  </si>
  <si>
    <t>10.1016/j.jde.2014.07.016</t>
  </si>
  <si>
    <t>WOS:000343187300001</t>
  </si>
  <si>
    <t>Pertusa, M; González, A; Hardy, P; Madrid, R; Viana, F</t>
  </si>
  <si>
    <t>Pertusa, Maria; Gonzalez, Alejandro; Hardy, Paulina; Madrid, Rodolfo; Viana, Felix</t>
  </si>
  <si>
    <t>Bidirectional Modulation of Thermal and Chemical Sensitivity of TRPM8 Channels by the Initial Region of the N-terminal Domain</t>
  </si>
  <si>
    <t>JOURNAL OF BIOLOGICAL CHEMISTRY</t>
  </si>
  <si>
    <t>TRPM8, a nonselective cation channel activated by cold, voltage, and cooling compounds such as menthol, is the principal molecular detector of cold temperatures in primary sensory neurons of the somatosensory system. The N-terminal domain of TRPM8 consists of 693 amino acids, but little is known about its contribution to channel function. Here, we identified two distinct regions within the initial N terminus of TRPM8 that contribute differentially to channel activity and proper folding and assembly. Deletion or substitution of the first 40 residues yielded channels with augmented responses to cold and menthol. The thermal threshold of activation of these mutants was shifted 2 degrees C to higher temperatures, and the menthol dose-response curve was displaced to lower concentrations. Site-directed mutagenesis screening revealed that single point mutations at positions Ser-26 or Ser-27 by proline caused a comparable increase in the responses to cold and menthol. Electrophysiological analysis of the S27P mutant revealed that the enhanced sensitivity to agonists is related to a leftward shift in the voltage dependence of activation, increasing the probability of channel openings at physiological membrane potentials. In addition, we found that the region encompassing positions 40-60 is a key element in the proper folding and assembly of TRPM8. Different deletions and mutations within this region rendered channels with an impaired function that are retained within the endoplasmic reticulum. Our results suggest a critical contribution of the initial region of the N-terminal domain of TRPM8 to thermal and chemical sensitivity and the proper biogenesis of this polymodal ion channel.</t>
  </si>
  <si>
    <t>Gonzalez, Alejandro/MFI-1717-2025; Madrid, Rodolfo/MCJ-4974-2025; Viana, Felix/U-8533-2017</t>
  </si>
  <si>
    <t>Viana, Felix/0000-0003-1439-949X; Madrid, Rodolfo/0000-0002-8623-5761; Gonzalez, Alejandro/0000-0001-7513-2516; Pertusa, Maria/0000-0003-3856-9019</t>
  </si>
  <si>
    <t>1083-351X</t>
  </si>
  <si>
    <t>AUG 8</t>
  </si>
  <si>
    <t>10.1074/jbc.M114.565994</t>
  </si>
  <si>
    <t>WOS:000340593500003</t>
  </si>
  <si>
    <t>Vilos, C; Gutiérrez, M; Escobar, RA; Morales, F; Denardin, JC; Velasquez, L; Altbir, D</t>
  </si>
  <si>
    <t>Vilos, Cristian; Gutierrez, Marlen; Escobar, Roberto A.; Morales, Francisco; Denardin, Juliano C.; Velasquez, Luis; Altbir, Dora</t>
  </si>
  <si>
    <t>Superparamagnetic Poly (3-hydroxybutyrate-co-3 hydroxyvalerate) (PHBV) nanoparticles for biomedical applications</t>
  </si>
  <si>
    <t>Background: The progress in material science and the recent advances in biodegradable/biocompatible polymers and magnetic iron oxide nanoparticles have led to develop innovative diagnostic and therapeutic strategies for diseases based on multifunctional nanoparticles, which include contrast medium for magnetic resonance imaging, agent for hyperthermia and nanocarriers for targeted drug delivery. The aim of this work is to synthesize and characterize superparamagnetic iron oxide (magnetite), and to encapsulate them into poly (3-hydroxybutyrate-co-3-hydroxyvalerate) (PHBV) nanoparticles for biomedical applications. Results: The magnetite nanoparticles were confirmed by X-ray diffraction and exhibited a size of 22.3 +/- 8.8 nm measured by transmission electron microscopy (TEM). Polymeric PHBV nanoparticles loaded with magnetite (MgNPs) were analyzed using dynamic light scattering and showed a size of 258.6 +/- 35.7 nm and a negative zeta potential (-10.8 +/- 3.5 mV). The TEM examination of MgNPs exhibited a spherical core-shell structure and the magnetic measurements showed in both, non-encapsulated magnetite and MgNPs, a superparamagnetic performance. Finally, the in vitro studies about the magnetic retention of MgNPs in a segment of small intestine of rats showed an active accumulation in the region of the magnetic field. Conclusions: The results obtained make the MgNPs suitable as potential magnetic resonance imaging contrast agents, also promoting hyperthermia and even as potential nanocarriers for site-specific transport and delivery of drugs.</t>
  </si>
  <si>
    <t>Ortiz, Cristian/F-9162-2014; Denardin, Juliano/S-6407-2019; Altbir, Dora/R-6781-2018</t>
  </si>
  <si>
    <t>Altbir, Dora/0000-0002-2945-4909; Vilos, Cristian/0000-0001-5619-3348; Denardin, Juliano/0000-0002-1373-6207</t>
  </si>
  <si>
    <t>10.2225/vol16-issue5-fulltext-8</t>
  </si>
  <si>
    <t>WOS:000328339900006</t>
  </si>
  <si>
    <t>Damiani, A; Cabrera, S; Muñoz, RC; Cordero, RR; Labbe, F</t>
  </si>
  <si>
    <t>Damiani, A.; Cabrera, S.; Munoz, R. C.; Cordero, R. R.; Labbe, F.</t>
  </si>
  <si>
    <t>Satellite-derived UV irradiance for a region with complex morphology and meteorology: comparison against ground measurements in Santiago de Chile</t>
  </si>
  <si>
    <t>INTERNATIONAL JOURNAL OF REMOTE SENSING</t>
  </si>
  <si>
    <t>Ground-based measurements of ultraviolet (UV) irradiance, carried out by a four-channel UV radiometer in Santiago de Chile from October 2004 to December 2011, have been used to estimate daily values of the UV index (UVI). These ground-based data have been compared with UVI estimates retrieved from the Ozone Measurement Instrument (OMI) on board the Aura spacecraft. Since the widely used OMI-gridded UVI data may not be suitable for the complex local morphology and meteorology, a careful screening of overpass OMI data was applied. Nevertheless, we found that OMI-derived UVI data overestimate ground-based values; depending on cloud-cover conditions, the mean bias (MB) and the root mean square error (RMSE) range from 34.53% to 30.29% and from 35.22% to 43.50%, respectively, with the lowest MB (and the highest RMSE) values occurring under overcast conditions. Moreover, the difference between satellite-derived and ground-based UVI data exhibits a limited seasonality with somewhat larger differences in the fall season. The detected overestimation seems to be linked with the boundary layeraerosol absorptionthat is not accounted for by the OMI algorithm. Indeed, we found that the difference in UVI increases with the aerosol concentration (which in Santiago shows seasonal variations). Ceilometer profiles of backscatter intensities, directly related to aerosol concentrations, and PM10 concentrations correlate with UVI differences (correlation coefficient r of approximately 0.6 and 0.4, respectively) under cloud-free conditions for time scales ranging from months to years. Additional comparisons were performed between UVI estimates retrieved from our ground-based measurements in Santiago and from the Tropospheric Emission Monitoring Internet Service (TEMIS) Scanning Imaging Absorption Spectrometer for Atmospheric Cartography (SCIAMACHY). Under cloudless conditions, also TEMIS-derived data overestimate ground-based UVI estimations (by about 31%) and exhibit a small seasonality.</t>
  </si>
  <si>
    <t>Damiani, Alessandro/X-4677-2019; Cabrera, Sergio/J-2713-2013; Cordero, Raul/M-7979-2017; Munoz, Ricardo/A-1967-2011</t>
  </si>
  <si>
    <t>Munoz, Ricardo/0000-0002-4434-5620; Cordero, Raul R./0000-0001-7607-7993; Damiani, Alessandro/0000-0003-3014-6193</t>
  </si>
  <si>
    <t>0143-1161</t>
  </si>
  <si>
    <t>1366-5901</t>
  </si>
  <si>
    <t>10.1080/01431161.2013.796101</t>
  </si>
  <si>
    <t>WOS:000320187700011</t>
  </si>
  <si>
    <t>Synthesis and classical pathway Complement inhibitory activity of C7-functionalized filifolinol derivatives, inspired in K-76 COOH</t>
  </si>
  <si>
    <t>EUROPEAN JOURNAL OF MEDICINAL CHEMISTRY</t>
  </si>
  <si>
    <t>A series of carboxylic acids carrying various functionalization on C-7 of their common 3H-spiro [benzofuran-2,1'-cyclohexane] skeleton were synthesized from filifolinol, as analogs of the natural Complement inhibitor K-76 COOH. In order to probe the relevance of the C-7 functionalization on their bioactivity, the ability of the analogs to inhibit Complement activation through the classical pathway was determined. The observed results suggest that functionalization of C-7 can modulate the inhibitory activity of the tested compounds. The 7-trifluoromethyl derivative was the compound with the lowest IC50 value among the tested analogs (IC50 = 100 mu M), being more potent than K-76 COOH (IC50 = 570 mu M). (C) 2012 Elsevier Masson SAS. All rights reserved.</t>
  </si>
  <si>
    <t>0223-5234</t>
  </si>
  <si>
    <t>1768-3254</t>
  </si>
  <si>
    <t>10.1016/j.ejmech.2012.07.003</t>
  </si>
  <si>
    <t>WOS:000309494100009</t>
  </si>
  <si>
    <t>Cárdenas-Jirón, GI; Gonzalez, C; Benavides, J</t>
  </si>
  <si>
    <t>Cardenas-Jiron, Gloria I.; Gonzalez, Cristhy; Benavides, Julie</t>
  </si>
  <si>
    <t>Nitric Oxide Oxidation Mediated by Substituted Nickel Phthalocyanines: A Theoretical Viewpoint</t>
  </si>
  <si>
    <t>JOURNAL OF PHYSICAL CHEMISTRY C</t>
  </si>
  <si>
    <t>The oxidation of nitric oxide (NO) mediated by substituted nickel phthalocyanines (NiPc(X)(n)) has been investigated for 19 complexes at the B3LYP and M05-2X/LANL2DZ/6-31G(d) levels of theory. Unimolecular reactivity descriptors like chemical potential and electrophilicity were calculated for NiPc(X)(n), giving an account of the substituent effect and indicating that electron-withdrawing groups favor the reduction of NiPc(X)(n). Bimolecular reactivity descriptor as donor-acceptor hardness was used to get information about the affinity of NO by NiPc(X)(n) and suggests that Ni(III) has better affinity than Ni(II). A mechanism where Ni(III) catalyzes the oxidation of NO instead of Ni(II) was proposed. Optimized molecular structures calculated for the NO center dot center dot center dot NiPc(X)(n) adducts confirm that a larger charge transfer occurs from NO to Ni(III)Pc(X) in comparison with Ni(II)Pc(X)(n) and that the reduction in the former complexes happens on the phthalocyanine ligand.</t>
  </si>
  <si>
    <t>Cardenas-Jiron, Gloria/H-9508-2012</t>
  </si>
  <si>
    <t>Cardenas-Jiron, Gloria/0000-0003-4305-8088</t>
  </si>
  <si>
    <t>1932-7447</t>
  </si>
  <si>
    <t>AUG 16</t>
  </si>
  <si>
    <t>10.1021/jp3025232</t>
  </si>
  <si>
    <t>WOS:000307494600021</t>
  </si>
  <si>
    <t>Aliaga, C; Briones, L; Rezende, MC; Tirapegui, C</t>
  </si>
  <si>
    <t>Aliaga, Carolina; Briones, Luis; Caroli Rezende, Marcos; Tirapegui, Cristian</t>
  </si>
  <si>
    <t>The thermochromism of the ET(30) betaine in a micro-heterogeneous medium: A spectral and dynamics simulation study</t>
  </si>
  <si>
    <t>JOURNAL OF COLLOID AND INTERFACE SCIENCE</t>
  </si>
  <si>
    <t>A spectral investigation of the thermochromic behavior of Reichardt's E-T(30) betaine in aqueous solutions of block copolymers (poloxamers) P407, P237 and P105 was carried out as a function of temperature and concentration. The betaine microenvironment at various stages of the micellization process in these systems was mimicked with the aid of molecular dynamics simulations of model systems. These consisted of the E-T(30) probe in boxes of water molecules, in the presence of an isolated block copolymer of formula (PEO)(11)-(PPO)(16)-(PEO)(11), and of a micelle formed of 50 of these unimers. (C) 2010 Elsevier Inc. All rights reserved.</t>
  </si>
  <si>
    <t>Caroli, Marcos/H-3570-2019; Tirapegui, Cristian/U-3748-2018; Aliaga, Carolina/G-6024-2019</t>
  </si>
  <si>
    <t>Tirapegui, Cristian/0000-0002-2895-3204; Rezende, Marcos/0000-0003-2040-9009; Aliaga, Carolina/0000-0002-1352-3164</t>
  </si>
  <si>
    <t>0021-9797</t>
  </si>
  <si>
    <t>1095-7103</t>
  </si>
  <si>
    <t>10.1016/j.jcis.2010.05.088</t>
  </si>
  <si>
    <t>WOS:000280692000015</t>
  </si>
  <si>
    <t>Elizondo, R; Parada, V; Pradenas, L; Artigues, C</t>
  </si>
  <si>
    <t>Elizondo, Rafael; Parada, Victor; Pradenas, Lorena; Artigues, Christian</t>
  </si>
  <si>
    <t>An evolutionary and constructive approach to a crew scheduling problem in underground passenger transport</t>
  </si>
  <si>
    <t>JOURNAL OF HEURISTICS</t>
  </si>
  <si>
    <t>Operations management of subway systems is associated with combinatorial optimization problems (i.e. crew and train scheduling and rostering) which belong to the np-hard class of problems. Therefore, they are generally solved heuristically in real situations. This paper considers the problem of duty generation, i.e. identifying an optimal trips set that the conductors should complete in one workday. With regard to operational and labor conditions, the problem is to use the lowest possible number of conductors and minimize total idle time between trips. The problem is modeled and solved using a constructive hybrid approach, which has the advantage of visualizing a solution construction similar to the manual approach typically used. Our approach takes advantage of the benefits offered by evolutionary methods, which store a candidate solutions population in each stage, thus controlling the combinatorial explosion of possible solutions. The results thus obtained for problems similar to those that are solved manually in the Santiago Metro System were compared with two alternative approaches, based on tabu search and a greedy method. The hybrid method produced solutions with the minimum number of duties in six of the ten problems solved. However, the tabu search method provided better results in terms of idle time than either the hybrid method or the greedy method.</t>
  </si>
  <si>
    <t>Artigues, Christian/HPH-0010-2023; Pradenas, Lorena/ACZ-4624-2022; Parada, Victor/M-5840-2014</t>
  </si>
  <si>
    <t>Pradenas, Lorena/0000-0001-5199-7187</t>
  </si>
  <si>
    <t>1381-1231</t>
  </si>
  <si>
    <t>10.1007/s10732-009-9102-x</t>
  </si>
  <si>
    <t>WOS:000279034100003</t>
  </si>
  <si>
    <t>Reyes, A; Siegel, S; Torres, J; Derosas, C; Acuña, F; Marine, L; Julio, R; Saavedra, C; Obando, R; Lemus, C; Schultz, C</t>
  </si>
  <si>
    <t>Reyes D, Andres; Siegel A, Stephanie; Torres R, Joaquin; Derosas A, Carlos; Acuna D, Francisco; Marine M, Leopoldo; Julio A, Rodrigo; Saavedra H, Cristina; Obando, Ricardo, V; Lemus R, Claudia; Schultz S, Claudio</t>
  </si>
  <si>
    <t>Vessel loops for primary closure of fasciotomies</t>
  </si>
  <si>
    <t>REVISTA CHILENA DE CIRUGIA</t>
  </si>
  <si>
    <t>Background: Compartment syndrome of the extremity may occur after severe trauma with vascular lesions secondary to fractures, crushes or gunshots. To prevent it a fasciotomy must be done. Aim To report the use vessel loop shoelace technique for the progressive closure of the fasciotomy. Material and methods: Descriptive study of 24 patients aged 26 9 years (21 males) that required fasciotomy to prevent compartment syndromes. The fasciotomy wound was closed progressively using vessel loops anchored to the skin with staples or sutures, which were tightened progressively, according to the evolution. Results: The studied patients required a total of 56 fasciotomies. In all patients a complete or near complete closure of the wound was achieved. The mean closure time was 9.5 +/- 3.3 days. Mean hospital stay was 12.3 +/- 4.3 days. Conclusions: Vessel loop shoelace technique is effective for fasciotomy wound closure.</t>
  </si>
  <si>
    <t>0379-3893</t>
  </si>
  <si>
    <t>WOS:000280433400009</t>
  </si>
  <si>
    <t>Sanhueza, PA; Torreblanca, MA; Diaz-Robles, LA; Schiappacasse, LN; Silva, MP; Astelle, TD</t>
  </si>
  <si>
    <t>Sanhueza, Pedro A.; Torreblanca, Monica A.; Diaz-Robles, Luis A.; Nicolas Schiappacasse, L.; Silva, Maria P.; Astelle, Teresa D.</t>
  </si>
  <si>
    <t>Particulate Air Pollution and Health Effects for Cardiovascular and Respiratory Causes in Temuco, Chile: A Wood-Smoke-Polluted Urban Area</t>
  </si>
  <si>
    <t>JOURNAL OF THE AIR &amp; WASTE MANAGEMENT ASSOCIATION</t>
  </si>
  <si>
    <t>Temuco is one of the most highly wood-smoke-polluted cities in the world. Its population in 2004 was 340,000 inhabitants with 1587 annual deaths, of which 24% were due to cardiovascular and 11% to respiratory causes. For hospital admissions, cardiovascular diseases represented 6% and respiratory diseases 13%. Emergency room visits for acute respiratory infections represented 28%. The objective of the study presented here was to determine the relationship between air pollution from particulate matter less than or equal to 10 mu m in aerodynamic diameter (PM10; Mostly PM2.5 or particulate matter &lt;2.5 mu m in aerodynamic diameter) and health effects measured as the daily number of deaths, hospital admissions, and emergency room visits for cardiovascular, respiratory, and acute respiratory infection (ARI) diseases. The Air Pollution Health Effects European Approach (APHEA2) protocol was followed, and a multivariate Poisson regression model was fitted, controlling for trend, seasonality, and confounders for Temuco during 1998-2006. The results show that PM10 had a significant association with daily mortality and morbidity, with the elderly (population &gt;65 yr of age) being the group that presented the greatest risk. The relative risk for respiratory causes, with an increase of 100 mu g/m(3) of PM10, was 1.163 with a 95% confidence interval (CI) of 1.057-1.279 for mortality, 1.137 (CI 1.096-1.178) for hospital admissions, and 1.162 for ARI (CI 1.144-1.181). There is evidence in Temuco of positive relationships between ambient particulate levels and mortality, hospital admissions, and ARI for cardiovascular and respiratory diseases. These results are consistent with those of comparable studies in other similar cities where wood smoke is the most important air pollution problem.</t>
  </si>
  <si>
    <t>Diaz-Robles, Luis/D-3450-2013</t>
  </si>
  <si>
    <t>Diaz-Robles, Luis/0000-0002-6098-7746</t>
  </si>
  <si>
    <t>1096-2247</t>
  </si>
  <si>
    <t>2162-2906</t>
  </si>
  <si>
    <t>10.3155/1047-3289.59.12.1481</t>
  </si>
  <si>
    <t>WOS:000272414500012</t>
  </si>
  <si>
    <t>Munoz-Youñg, E; Navas, A; Pujals, E; Vásquez, CH</t>
  </si>
  <si>
    <t>Munoz-Young, Esteban; Navas, Andres; Pujals, Enrique; Vasquez, Carlos H.</t>
  </si>
  <si>
    <t>A continuous Bowen-Mane type phenomenon</t>
  </si>
  <si>
    <t>In this work we exhibit a one-parameter family of C-1-diffeomorphisms F-alpha of the 2-sphere, wher alpha &gt; 1, such that the equator S-1 is an attracting set for every F-alpha and F-alpha vertical bar(1)(S) is the identity. For alpha &gt; 2 the Lebesgue measure on the equtor is a non ergodic physical measure having uncountably many ergoidc components. On the other hand, for 1 &lt; alpha &lt;= 2 there is no physical measure for F-alpha. If alpha &lt; 2 this follows directly from the fact that the omega-limit of almost every point is a single point on the equator (and the basin of each of these points has zero Lebesgue measure). This is no longer true for alpha = 2, and the non existence of physical in this critical case is a more subtle issue.</t>
  </si>
  <si>
    <t>Vasquez, Carlos H./0000-0003-0529-571X; Pujals, Enrique/0000-0002-7735-6289</t>
  </si>
  <si>
    <t>WOS:000252485600012</t>
  </si>
  <si>
    <t>Antilén, M; Briceño, M; Galindo, G; Escudey, M</t>
  </si>
  <si>
    <t>Antilen, Monica; Briceno, Margarita; Galindo, Gerardo; Escudey, Mauricio</t>
  </si>
  <si>
    <t>Effect of biosolids on the organic matter content and phosphorus chemical fractionation of heated volcanic Chilean soils</t>
  </si>
  <si>
    <t>AUSTRALIAN JOURNAL OF SOIL RESEARCH</t>
  </si>
  <si>
    <t>Biosolids produced in wastewater treatment plants with high organic matter (OM) content can be used to reclaim organic components in heated soils. The impact of biosolids amendment on soil pH, electric conductivity (EC), exchangeable cations, OM content, and phosphorus (P) chemical fractionation in 3 heated volcanic soils in southern Chile was investigated in a 4-month incubation study. In amended heated soils, pH, EC, OM content, and exchangeable cations were greater than in control soils. The control OM content was increased by biosolids, and the incubation time effect to reclaim the organic component was important in Andisols and Inceptisols. The pH decreased with incubation time, reflecting the buffer capacity of volcanic soils, and EC increased. In the heated incubated soils, inorganic P was in general higher than organic P. Phosphorus distribution showed little difference with incubation time, showing that after a short time (4 months) biosolids P was not significantly redistributed to organic P; however, more available P forms (Olsen P) were determined. It can be concluded that biosolids are a valid option for reclaiming the OM content lost in soils affected by forest fires. However, an important amount of inorganic P, strongly fixed in volcanic soils, with a relative contribution of available forms for plants, could potentially contribute to soil and water pollution.</t>
  </si>
  <si>
    <t>Antilen-Lizana, Monica/0000-0003-0512-4267</t>
  </si>
  <si>
    <t>0004-9573</t>
  </si>
  <si>
    <t>1446-568X</t>
  </si>
  <si>
    <t>10.1071/SR07130</t>
  </si>
  <si>
    <t>WOS:000258823800002</t>
  </si>
  <si>
    <t>Farkas, ME; Rodríguez, E; Longo, C; Monasterios, M; Ortega, MC; Rivas, AB; Pardey, AJ; López, R; Moya, SA</t>
  </si>
  <si>
    <t>Reduction of 5-nitrofuran compounds catalyzed by a rhodium complex immobilized on poly(4-vinylpyridine):: A relationship with antibacterial activity</t>
  </si>
  <si>
    <t>This paper describes the catalytic activation studies of the reduction of some 2-substituted-5-nitrofuran compounds by [Rh(COD)(2-picoline)(2)] (PF6) (COD = 1,5-cyclooctadiene) anchored on poly(4-vinylpyridine) in contact with 80% aqueous 2-ethoxyethanol at 100 degrees C undercarbon monoxide atmosphere. The effect of varying the nature of the 2-substituents of the furan ring was evaluated. The importance of the present catalysis studies can be emphasized, because the potential activity against bacteria of the 2-substituted-5-nitrofuran compounds could be monitored by determining the facility of catalytic reduction of the nitro group.</t>
  </si>
  <si>
    <t>WOS:000236260500014</t>
  </si>
  <si>
    <t>Hernández, S; Sáez, D; Mery, D</t>
  </si>
  <si>
    <t>Campilho, A; Kamel, M</t>
  </si>
  <si>
    <t>Neuro-fuzzy method for automated defect detection in aluminium castings</t>
  </si>
  <si>
    <t>IMAGE ANALYSIS AND RECOGNITION, PT 2, PROCEEDINGS</t>
  </si>
  <si>
    <t>Lecture Notes in Computer Science</t>
  </si>
  <si>
    <t>International Conference on Image Analysis and Recognition</t>
  </si>
  <si>
    <t>SEP 29-OCT 01, 2004</t>
  </si>
  <si>
    <t>Oporto, PORTUGAL</t>
  </si>
  <si>
    <t>Univ Porto, Fac Engn, Dept Elect &amp; Comp Engn,Inst Engenharia Biomed,Univ Waterloo, Pattern Analy &amp; Mach Intelligence Grp</t>
  </si>
  <si>
    <t>The automated flaw detection in aluminium castings consists of two steps: a) identification of potential defects using image processing techniques, and b) classification of potential defects into 'defects' and 'regular structures' (false alarms) using pattern recognition techniques. In the second step, since several features can be extracted from the potential defects, a feature selection must be performed. In addition, since the two classes have a skewed distribution, the classifier must be carefully trained. In this paper, we deal with the classifier design, i.e., which features can be selected, and how the two classes can be efficiently separated in a skewed class distribution. We propose the consideration of a self-organizing feature map (SOM) approach for stratified dimensionality reduction for simplified model building. After a feature selection and data compression stage, a neuro-fuzzy method named ANFIS is used for pattern classification. The proposed method was tested on real data acquired from 50 noisy radioscopic images, where 23000 potential defects (with only 60 real detects) were segmented and 405 features were extracted in each potential defect. Using the new method, a good classification performance was achieved using only two features, yielding an area under the ROC curve A(z) = 0.9976.</t>
  </si>
  <si>
    <t>Saez, Doris/JBJ-6880-2023; Mery, Domingo/D-1385-2014; Saez, Doris/D-3301-2009</t>
  </si>
  <si>
    <t>Mery, Domingo/0000-0003-4748-3882; Saez, Doris/0000-0001-8029-9871</t>
  </si>
  <si>
    <t>0302-9743</t>
  </si>
  <si>
    <t>1611-3349</t>
  </si>
  <si>
    <t>3-540-23240-0</t>
  </si>
  <si>
    <t>WOS:000224317200100</t>
  </si>
  <si>
    <t>Mejias, L; Schollmeyer, D; Sepulveda-Boza, S; Ritter, H</t>
  </si>
  <si>
    <t>Cyclodextrins in polymer synthesis:: Enzymatic polymerization of a 2,6-dimethyl-β-cyclodextrin/2,4-dihydroxyphenyl-4′-hydroxybenzylketone host-guest complex catalyzed by horseradish peroxidase (HRP)</t>
  </si>
  <si>
    <t>MACROMOLECULAR BIOSCIENCE</t>
  </si>
  <si>
    <t>This paper reports the enzymatic polymerization of the inclusion complex 2,4-dihydroxyphenyl-4'-hydroxybenzylketone/2,6-dimethyl-beta-cyclodextrin by horseradish peroxidase (HRP) in aqueous media. The structure of the complex was determined by means of NOESY-NMR and crystallographic analysis (indicating an orthorhombic structure). The enzymatic polymerization of the uncomplexed 2,4-dihydroxyphenyl-4'-hydroxybenzyl-ketone yields oligomers with molecular weights up to (M) over bar (w) = 4 x 10(3) in organic-aqueous media, but because of its poor solubility in aqueous systems, no polymerization is observed if water is used as solvent. An increase of the availability of the ketone in solution is achieved by complexing it with random-methylated beta-cyclodextrin in water. We found that the use of methylated beta-cyclodextrin in equimolar concentration to the monomer increases the polymerization yield and the average molecular weight. The polymers formed were analyzed by GPC and ATR-FTIR techniques.</t>
  </si>
  <si>
    <t>1616-5187</t>
  </si>
  <si>
    <t>AUG 28</t>
  </si>
  <si>
    <t>10.1002/mabi.200350008</t>
  </si>
  <si>
    <t>WOS:000184787300001</t>
  </si>
  <si>
    <t>Llesuy, S; Evelson, P; Campos, AM; Lissi, E</t>
  </si>
  <si>
    <t>Methodologies for evaluation of total antioxidant activities in complex mixtures. A critical review</t>
  </si>
  <si>
    <t>BIOLOGICAL RESEARCH</t>
  </si>
  <si>
    <t>Evelson, Pablo Andres/J-1245-2014</t>
  </si>
  <si>
    <t>Evelson, Pablo Andres/0000-0001-7920-7968; Francisca Llesuy, Susana/0000-0001-6818-051X</t>
  </si>
  <si>
    <t>0716-9760</t>
  </si>
  <si>
    <t>0717-6287</t>
  </si>
  <si>
    <t>WOS:000171382700004</t>
  </si>
  <si>
    <t>Trollund, E; Ardiles, P; Aguirre, MJ; Biaggio, SR; Rocha, RC</t>
  </si>
  <si>
    <t>Spectroelectrochemical and electrical characterization of poly(cobalt-tetraaminophthalocyanine)-modified electrodes: electrocatalytic oxidation of hydrazine</t>
  </si>
  <si>
    <t>POLYHEDRON</t>
  </si>
  <si>
    <t>Polymeric complex films of cobalt-tetraaminophthalocyanine (Co-TAPc) and tetraaminophthalocyanine without the metallic center (H-2-TAPc) were grown potentiodynamically on either glassy-carbon or conducting-glass electrodes. The electrolyte used in the electropolymerization was a 0.1 M tetrabutylammonium perchlorate-DMF solution containing the monomer. The modified electrodes were characterized by UV-Vis spectroscopy, voltammetry and electrochemical impedance spectroscopy. The role of the Co(II) center and the performance of these polymeric electrodes as electrocatalysts for hydrazine oxidation in aqueous solutions of pH 13 are discussed. The results indicated that Co(II) is the species acting as the electronic receptor of hydrazine, thus enhancing the electrocatalytic effect of the poly(Co-TAPc) electrode. This was also confirmed by the charge transfer resistance values from electrochemical impedance spectroscopy obtained during hydrazine oxidation, i.e. about 6 x 10(3) Omega on the poly (H-2-TAPc) electrode and about 500 Omega on the poly(Co-TAPc) electrode. (C) 2000 Elsevier Science B.V. All rights reserved.</t>
  </si>
  <si>
    <t>Aguirre, Maria/A-3935-2013; Rocha-Filho, Romeu C./E-9681-2012; Biaggio, Sonia R./D-9810-2012</t>
  </si>
  <si>
    <t>Aguirre, Maria/0000-0003-1134-4469; Rocha-Filho, Romeu C./0000-0003-4699-2423; Biaggio, Sonia R./0000-0003-2127-859X</t>
  </si>
  <si>
    <t>0277-5387</t>
  </si>
  <si>
    <t>NOV 15</t>
  </si>
  <si>
    <t>22-23</t>
  </si>
  <si>
    <t>10.1016/S0277-5387(00)00493-9</t>
  </si>
  <si>
    <t>WOS:000166064800010</t>
  </si>
  <si>
    <t>Gamboa, J; Plyushchay, M; Zanelli, J</t>
  </si>
  <si>
    <t>Three aspects of bosonized supersymmetry and linear differential field equation with reflection</t>
  </si>
  <si>
    <t>NUCLEAR PHYSICS B</t>
  </si>
  <si>
    <t>Recently it was observed by one of the authors that supersymmetric quantum mechanics (SUSYQM) admits a formulation in terms of only one bosonic degree of freedom. Such a construction, called the minimally bosonized SUSYQM, appeared in the context of integrable systems and dynamical symmetries. We show that the minimally bosonized SUSYQM can be obtained from Witten's SUSYQM by applying to it a non-local unitary transformation with a subsequent reduction to one of the eigenspaces of the total reflection operator. The transformation depends on the parity operator, and the deformed Heisenberg algebra with reflection, intimately related to parabosons and parafermions, emerges here in a natural way. It is shown that the minimally bosonized SUSYQM can also be understood as a supersymmetric two-fermion system. With this interpretation, the bosonization construction is generalized to the case of N = 1 supersymmetry in two dimensions. The same special unitary transformation diagonalizes the Hamiltonian operator of the 2D massive free Dirac theory. The resulting Hamiltonian is not a square root like in the Foldy-Wouthuysen case, but is linear in spatial derivative. Subsequent reduction to the 'up' or 'down' field component gives rise to a linear differential equation with reflection whose 'square' is the massive Klein-Gordon equation. In the massless limit this becomes the self-dual Weyl equation. The linear differential equation with reflection admits generalisations to higher dimensions and can be consistently coupled to gauge fields. The bosonized SUSYQM can also be generated applying the non-local unitary transformation to the Dirac field in the background of a non-linear scalar field in a kink configuration. (C) 1999 Elsevier Science B.V.</t>
  </si>
  <si>
    <t>Gamboa, Jorge/R-8744-2019</t>
  </si>
  <si>
    <t>0550-3213</t>
  </si>
  <si>
    <t>MAR 22</t>
  </si>
  <si>
    <t>10.1016/S0550-3213(98)00832-3</t>
  </si>
  <si>
    <t>WOS:000079254700019</t>
  </si>
  <si>
    <t>Cárdenas-Bravo, C; Cortés-Severino, R; Morales, F; Barraza, R; Sánchez-Squella, A; Valdivia-Lefort, P</t>
  </si>
  <si>
    <t>Cardenas-Bravo, Carlos; Cortes-Severino, Rodrigo; Morales, Felipe; Barraza, Rodrigo; Sanchez-Squella, Antonio; Valdivia-Lefort, Patricio</t>
  </si>
  <si>
    <t>Online crack detection on photovoltaic devices using a dynamic response analysis</t>
  </si>
  <si>
    <t>RENEWABLE ENERGY</t>
  </si>
  <si>
    <t>This study presents a method to detect cracks in solar photovoltaic modules by analyzing their dynamic electrical response without interrupting operation. The approach evaluates indicators like settling time and damping coefficient using dynamic current and voltage measurements. Baseline assessments rely on electroluminescence imaging and I-V curve analysis. A DC/DC converter generates transient responses, and outdoor tests under stable irradiance confirm the method's reliability, achieving a correlation coefficient above 0.89. Results show that cracks affect the damping coefficient in both current and voltage. Cracked modules exhibit a damping coefficient notably different from healthy ones. A linear dynamic electrical model supports this, showing healthy modules have a more oscillatory response. This method enables real-time, non-intrusive fault detection in PV modules, offering a practical solution for continuous health monitoring in solar energy systems. Its effectiveness across varying temperatures and irradiance suggests broad applicability in real-world conditions. Future research should address nonlinear aspects of the transient response, extend testing to diverse conditions, and integrate this method with current diagnostic techniques to improve accuracy. Additionally, incorporating advanced signal processing and machine learning could further enhance its ability to identify faults.</t>
  </si>
  <si>
    <t>VALDIVIA, PATRICIO/KMA-0184-2024; Sánchez-Squella, Antonio/J-1975-2015; Barraza, Rodrigo/O-3204-2016</t>
  </si>
  <si>
    <t>0960-1481</t>
  </si>
  <si>
    <t>1879-0682</t>
  </si>
  <si>
    <t>AUG 1</t>
  </si>
  <si>
    <t>10.1016/j.renene.2025.122990</t>
  </si>
  <si>
    <t>WOS:001473226900001</t>
  </si>
  <si>
    <t>Salazar, DB; Graham, A; Williams, C</t>
  </si>
  <si>
    <t>Salazar, Daniel Barrera; Graham, Andrew; Williams, Chris</t>
  </si>
  <si>
    <t>On p-refined Friedberg-Jacquet integrals and the classical symplectic locus in the GL2n eigenvariety</t>
  </si>
  <si>
    <t>RESEARCH IN NUMBER THEORY</t>
  </si>
  <si>
    <t>Friedberg-Jacquet proved that if pi is a cuspidal automorphic representation of GL(2n)(A), then pi is a functorial transfer from GSpin(2n+1) if and only if a global zeta integral Z(H) over H = GL(n) x GL(n) is non-vanishing on pi. We conjecture a p-refined analogue: that any P-parahoric p-refinement (pi) over tilde (P) is a functorial transfer from GSpin(2n+1) if and only if a P-twisted version of Z(H) is non-vanishing on the (pi) over tilde (P)-eigenspace in pi. This twisted Z(H) appears in all constructions of p-adic L-functions via Shalika models. We connect our conjecture to the study of classical symplectic families in the GL(2n) eigenvariety, and-by proving upper bounds on the dimensions of such families-obtain various results towards the conjecture.</t>
  </si>
  <si>
    <t>2522-0160</t>
  </si>
  <si>
    <t>2363-9555</t>
  </si>
  <si>
    <t>10.1007/s40993-025-00631-z</t>
  </si>
  <si>
    <t>WOS:001476776200001</t>
  </si>
  <si>
    <t>Jian, PR; Xiang, S; Sabzalian, MH</t>
  </si>
  <si>
    <t>Jian, Peiru; Xiang, Si; Sabzalian, Mohammad Hosein</t>
  </si>
  <si>
    <t>Planning of a charging station for electric and hydrogen vehicles under hydrogen storage and fuel cell systems using a novel stochastic p-robust optimization technique</t>
  </si>
  <si>
    <t>INTERNATIONAL JOURNAL OF HYDROGEN ENERGY</t>
  </si>
  <si>
    <t>This article presented a robust plan for an off-grid charging station (OGCS) for electric vehicles (EVs) and hydrogen vehicles (HVs) based on a photovoltaic (PV) system and a hydrogen storage system (HSS). This OGCS simultaneously supplies HVs and EVs continuously throughout the day. Also, HSS and fuel cell (FC) systems have been allocated in the OGCS to be used when we do not have access to the power of the PV system. In addition, a diesel generator (DG) is also designed to prevent in cases where we have extreme uncertainty, including the lack of energy in the PV system and the high load of the system, which may lead to load interruption. Uncertainties of electric and hydrogen loads of EVs and HVs in addition to PV production power are simulated using scenario-based stochastic optimization technique (SOT). Finally, a new framework based on stochastic p-robust optimization technique (SPROT) is applied to optimize the maximum relative regret (MRR) in the worst scenario in order to achieve robust planning in the uncertain environment. The obtained results from the proposed SPROT are compared with SOT. The compared results indicate a 4.51% raise in the average cost in SPROT and a 45.73% decrease in MRR that leads to robust planning. Finally, installed capacity of PV system will decrease from 1688 to 1685 kW, while installed capacity of DG will increase from 78 to 123 kW.</t>
  </si>
  <si>
    <t>Sabzalian, Mohammadhosein/AGZ-1425-2022</t>
  </si>
  <si>
    <t>0360-3199</t>
  </si>
  <si>
    <t>1879-3487</t>
  </si>
  <si>
    <t>OCT 28</t>
  </si>
  <si>
    <t>10.1016/j.ijhydene.2024.09.228</t>
  </si>
  <si>
    <t>SEP 2024</t>
  </si>
  <si>
    <t>WOS:001321887600001</t>
  </si>
  <si>
    <t>Magnot, JP; Reyes, EG</t>
  </si>
  <si>
    <t>Magnot, Jean-Pierre; Reyes, Enrique G.</t>
  </si>
  <si>
    <t>On Equation Manifolds, the Vinogradov Spectral Sequence, and Related Diffeological Structures</t>
  </si>
  <si>
    <t>SYMMETRY-BASEL</t>
  </si>
  <si>
    <t>We consider basic diffeological structures that can be highlighted naturally within the theory of the Vinogradov spectral sequence and equation manifolds. These interrelated features are presented in a rigorous and accurate way, that complements some heuristic formulations appearing in very recent literature. We also propose a refined definition of the Vinogradov spectral sequence using diffeologies.</t>
  </si>
  <si>
    <t>Magnot, Jean-pierre/K-7324-2013; Reyes, Enrique/AAD-1308-2019</t>
  </si>
  <si>
    <t>Reyes, Enrique G./0000-0001-8460-444X</t>
  </si>
  <si>
    <t>2073-8994</t>
  </si>
  <si>
    <t>10.3390/sym16020192</t>
  </si>
  <si>
    <t>WOS:001172651400001</t>
  </si>
  <si>
    <t>Manquian, C; Navarrete, A; Vivas, L; Troncoso, L; Singh, DP</t>
  </si>
  <si>
    <t>Manquian, Carolina; Navarrete, Alberto; Vivas, Leonardo; Troncoso, Loreto; Singh, Dinesh Pratap</t>
  </si>
  <si>
    <t>Synthesis and Optimization of Ni-Based Nano Metal-Organic Frameworks as a Superior Electrode Material for Supercapacitor</t>
  </si>
  <si>
    <t>NANOMATERIALS</t>
  </si>
  <si>
    <t>Metal-organic frameworks (MOFs) are hybrid materials that are being explored as active electrode materials in energy storage devices, such as rechargeable batteries and supercapacitors (SCs), due to their high surface area, controllable chemical composition, and periodic ordering. However, the facile and controlled synthesis of a pure MOF phase without impurities or without going through a complicated purification process (that also reduces the yield) are challenges that must be resolved for their potential industrial applications. Moreover, various oxide formations of the Ni during Ni-MOF synthesis also represent an issue that affects the purity and performance. To resolve these issues, we report the controlled synthesis of nickel-based metal-organic frameworks (NiMOFs) by optimizing different growth parameters during hydrothermal synthesis and by utilizing nickel chloride as metal salt and H(2)bdt as the organic ligand, in a ratio of 1:1 at 150 degrees C. Furthermore, the synthesis was optimized by introducing a magnetic stirring stage, and the reaction temperature varied across 100, 150, and 200 degrees C to achieve the optimized growth of the NiMOFs crystal. The rarely used H(2)bdt ligand for Ni-MOF synthesis and the introduction of the ultrasonication stage before putting it in the furnace led to the formation of a pure phase without impurities and oxide formation. The synthesized materials were further characterized by powder X-ray diffraction (XRD) technique, scanning electron microscopy (SEM), and UV-vis spectroscopy. The SEM images exhibited the formation of nano NiMOFs having a rectangular prism shape. The average size was 126.25 nm, 176.0 nm, and 268.4 nm for the samples (1:1)s synthesized at 100 degrees C, 150 degrees C, and 200 degrees C, respectively. The electrochemical performances were examined in a three-electrode configuration, in a wide potential window from -0.4 V to 0.55 V, and an electrolyte concentration of 2M KOH was maintained for each measurement. The charge-discharge galvanostatic measurement results in specific capacitances of 606.62 F/g, 307.33 F/g, and 287.42 F/g at a current density of 1 A/g for the synthesized materials at 100 degrees C, 150 degrees C, and 200 degrees C, respectively.</t>
  </si>
  <si>
    <t>Vivas, Leonardo/S-1584-2019; SINGH, DINESH/A-2509-2011</t>
  </si>
  <si>
    <t>Vivas, Leonardo/0000-0001-5044-9680; SINGH, DINESH/0000-0002-2893-7749; Manquian Villalobos, Carolina/0000-0003-1329-7790; Troncoso, Loreto/0000-0003-1621-3310; Navarrete Villegas, Alberto/0009-0000-6189-558X</t>
  </si>
  <si>
    <t>2079-4991</t>
  </si>
  <si>
    <t>10.3390/nano14040353</t>
  </si>
  <si>
    <t>WOS:001176942000001</t>
  </si>
  <si>
    <t>Rites, AA; Merino-Muñoz, P; Ribeiro, F; Miarka, B; Salermo, V; Gomes, DV; Brito, CJ; Aedo-Muñoz, E</t>
  </si>
  <si>
    <t>Rites, Alex Ambrosio; Merino-Munoz, Pablo; Ribeiro, Fabiano; Miarka, Bianca; Salermo, Veronica; Gomes, Diego Viana; Brito, Ciro Jose; Aedo-Munoz, Esteban</t>
  </si>
  <si>
    <t>Effects of peppermint oil inhalation on vertical jump performance in elite young professional soccer players: A double-blinded randomized crossover study</t>
  </si>
  <si>
    <t>HELIYON</t>
  </si>
  <si>
    <t>Aims: To evaluate peppermint essential oil (PEO) inhalation's effect on young soccer athletes' motor performance. Methods: A randomized crossover design was used to test the effect of the PEO. Eleven U-17 soccer players were evaluated into two conditions (PEO and Placebo - PLA). The players were tested in squat jump and countermovement jump and inhaled PEO or PLA and 10 min later performed the physical tests again. A mixed ANOVA was performed to test the hypotheses. Results: Main effects were found for the time in jumping height in the CMJ (p = 0.037). No main and interaction effects were found in the SJ variables. Conclusion: From the results, decrease CMJ performance acutely, both conditions presented decrease in JH, but based in effect size, PLA decrease is higher (more sample size for corroborate this) possibly due to improvements in the eccentric yielding sub-phase, where mentioned phase could be reflecting neural changes (required experimental verification). The PEO could be the interest in trainers for use before of match or in the half-time for minimize the decreased of physical performance by the rest.</t>
  </si>
  <si>
    <t>Viana-Gomes, Diego/E-7176-2012; Aedo-Muñoz, Esteban/R-5623-2019; Brito, Ciro/ABH-2245-2020; Merino Muñoz, Pablo/JGL-6690-2023</t>
  </si>
  <si>
    <t>brito, ciro/0000-0002-9678-1977; Aedo-Munoz, Esteban/0000-0003-1544-2824; Merino-Munoz, Pablo/0000-0002-8323-726X</t>
  </si>
  <si>
    <t>2405-8440</t>
  </si>
  <si>
    <t>JAN 30</t>
  </si>
  <si>
    <t>e24360</t>
  </si>
  <si>
    <t>10.1016/j.heliyon.2024.e24360</t>
  </si>
  <si>
    <t>JAN 2024</t>
  </si>
  <si>
    <t>WOS:001164874100001</t>
  </si>
  <si>
    <t>Chaumont-Frelet, T; Vega, P</t>
  </si>
  <si>
    <t>Chaumont-Frelet, Theophile; Vega, Patrick</t>
  </si>
  <si>
    <t>FREQUENCY-EXPLICIT A POSTERIORI ERROR ESTIMATES FOR DISCONTINUOUS GALERKIN DISCRETIZATIONS OF MAXWELL'S EQUATIONS</t>
  </si>
  <si>
    <t>SIAM JOURNAL ON NUMERICAL ANALYSIS</t>
  </si>
  <si>
    <t>We propose a new residual-based a posteriori error estimator for discontinuous Galerkin discretizations of time-harmonic Maxwell's equations in first-order form. We establish that the estimator is reliable and efficient, and the dependency of the reliability and efficiency constants on the frequency is analyzed and discussed. The proposed estimates generalize similar results previously obtained for the Helmholtz equation and conforming finite element discretizations of Maxwell's equations. In addition, for the discontinuous Galerkin scheme considered here, we also show that the proposed estimator is asymptotically constant-free for smooth solutions.</t>
  </si>
  <si>
    <t>Vega, Patrick/AHC-8969-2022</t>
  </si>
  <si>
    <t>Vega, Patrick/0000-0001-6047-9074</t>
  </si>
  <si>
    <t>0036-1429</t>
  </si>
  <si>
    <t>1095-7170</t>
  </si>
  <si>
    <t>10.1137/22M1516348</t>
  </si>
  <si>
    <t>WOS:001174352200005</t>
  </si>
  <si>
    <t>Osorio, NT; Zárate, MS; Sierra, D; Goldflam, M</t>
  </si>
  <si>
    <t>Osorio, Nicolas Trujillo; Zarate, Maria Soledad; Sierra, Daniel; Goldflam, Margarita</t>
  </si>
  <si>
    <t>IMAGE AND INSTITUTIONALITY OF SCIENCE. THE POLITICAL ICONOGRAPHY OF THE NATIONAL COMMISSION FOR SCIENTIFIC AND TECHNOLOGICAL RESEARCH (CONICYT), 1967-2018.</t>
  </si>
  <si>
    <t>REVISTA NOTAS HISTORICAS Y GEOGRAFICAS</t>
  </si>
  <si>
    <t>For 51 years, the National Commission for Scientific and Technological Research (Conicyt) designed policies and instruments to finance and promote scientific research in Chile (1967-2018). This work was the central axis for the development of the political understanding of the production of scientific knowledge in the country. This article presents a historical and panoramic interpretation of this institutional understanding and its respective sociocultural valuation of scientific knowledge production in Chile. For this purpose, we propose an iconological analysis of the six main corporate images of Conicyt, used to symbolize the identity and organizational mission of the institution. We focus the attention on the scientific motifs that compose these images and base our interpretation on the historical analysis of institutional documents, official publications, interviews, and debates on science policy in Latin America. In particular, we argue that each image articulates a political iconography that contains the main expectations and understandings of this institution regarding knowledge production in Chile. Furthermore, we show that these iconographies correlate with the central political changes between the different governments that succeeded each other in the country. Finally, we argue that these political iconographies allow us to distinguish two types of institutional understanding of scientific knowledge, which have remained in tension throughout the history of this public institution.</t>
  </si>
  <si>
    <t>Sierra, Daniel/AAL-5064-2020</t>
  </si>
  <si>
    <t>0717-036X</t>
  </si>
  <si>
    <t>0719-4404</t>
  </si>
  <si>
    <t>JAN-JUN</t>
  </si>
  <si>
    <t>WOS:001339596200002</t>
  </si>
  <si>
    <t>Parra, F; González, J; Chacón, M; Marín, M</t>
  </si>
  <si>
    <t>Parra, Francisco; Gonzalez, Jaime; Chacon, Max; Marin, Mauricio</t>
  </si>
  <si>
    <t>Modeling and Evaluation of the Susceptibility to Landslide Events Using Machine Learning Algorithms in the Province of Chañaral, Atacama Region, Chile</t>
  </si>
  <si>
    <t>Landslides represent one of the main geological hazards, especially in Chile. The main purpose of this study is to evaluate the application of machine learning algorithms (SVM, RF, XGBoost and logistic regression) and compare the results for the modeling of landslide susceptibility in the province of Chanaral, III region, Chile. A total of 86 sites are identified using various sources, in addition to 86 non-landslide sites. This spatial data management and analysis are conducted using QGIS software. The sites are randomly divided, and then a cross-validation process is applied to calculate the accuracy of the models. After that, from 22 conditioning factors, 12 are chosen based on the information gain ratio (IGR). Subsequently, five factors are excluded by the correlation criterion. After this analysis, two indices not previously utilized in the literature, the NDGI (normalized difference glacier index) and EVI (enhanced vegetation index), are employed for the final model. The performance of the models is evaluated through the area under the ROC (receiver operating characteristic) curve (AUC). To study the statistical behavior of the model, the Friedman nonparametric test is performed to compare the performance with the other algorithms and the Nemenyi test for pairwise comparison. Of the algorithms used, RF (AUC = 0.957) and XGBoost (AUC = 0.955) have the highest accuracy values measured in AUC compared to the other models and can be used for the same purpose in other geographic areas with similar characteristics. The findings of this investigation have the potential to assist in land use planning, landslide risk reduction, and informed decision making in the surrounding zones.</t>
  </si>
  <si>
    <t>Parra, Francisco/JWO-9350-2024</t>
  </si>
  <si>
    <t>Parra, Francisco/0009-0006-0435-1854</t>
  </si>
  <si>
    <t>10.3390/su152416806</t>
  </si>
  <si>
    <t>WOS:001131140200001</t>
  </si>
  <si>
    <t>Conejero, JA; Garibo-i-Orts, O; Lizama, C</t>
  </si>
  <si>
    <t>Conejero, J. Alberto; Garibo-i-Orts, Oscar; Lizama, Carlos</t>
  </si>
  <si>
    <t>Inferring the fractional nature of Wu Baleanu trajectories</t>
  </si>
  <si>
    <t>NONLINEAR DYNAMICS</t>
  </si>
  <si>
    <t>We infer the parameters of fractional discrete Wu Baleanu time series by using machine learning architectures based on recurrent neural networks. Our results shed light on howclearly one can determine that a given trajectory comes from a specific fractional discrete dynamical system by estimating the fractional exponent and the growth parameter mu. With this example, we also show how machine learning methods can be incorporated into the study of fractional dynamical systems.</t>
  </si>
  <si>
    <t>Conejero, J. Alberto/A-8589-2008; Lizama, Carlos/E-5909-2011; Garibo i Orts, Oscar/ABG-6879-2020</t>
  </si>
  <si>
    <t>Lizama, Carlos/0000-0002-9807-1100; Garibo i Orts, Oscar/0000-0001-8089-1904; Conejero, J. Alberto/0000-0003-3681-7533</t>
  </si>
  <si>
    <t>0924-090X</t>
  </si>
  <si>
    <t>1573-269X</t>
  </si>
  <si>
    <t>s11071-023-08463-1</t>
  </si>
  <si>
    <t>10.1007/s11071-023-08463-1</t>
  </si>
  <si>
    <t>MAY 2023</t>
  </si>
  <si>
    <t>WOS:000985442600002</t>
  </si>
  <si>
    <t>Saez-Briones, P; Palma, B; Burgos, H; Barra, R; Hernandez, A</t>
  </si>
  <si>
    <t>Saez-Briones, Patricio; Palma, Boris; Burgos, Hector; Barra, Rafael; Hernandez, Alejandro</t>
  </si>
  <si>
    <t>Aromatic Bromination Abolishes Deficits in Visuospatial Learning Induced by MDMA (Ecstasy) in Rats While Preserving the Ability to Increase LTP in the Prefrontal Cortex</t>
  </si>
  <si>
    <t>INTERNATIONAL JOURNAL OF MOLECULAR SCIENCES</t>
  </si>
  <si>
    <t>It has recently been demonstrated that aromatic bromination at C(2) abolishes all typical psychomotor, and some key prosocial effects of the entactogen MDMA in rats. Nevertheless, the influence of aromatic bromination on MDMA-like effects on higher cognitive functions remains unexplored. In the present work, the effects of MDMA and its brominated analog 2Br-4,5-MDMA (1 mg/kg and 10 mg/kg i.p. each) on visuospatial learning, using a radial, octagonal Olton maze (4 x 4) which may discriminate between short-term and long-term memory, were compared with their influence on in vivo long-term potentiation (LTP) in the prefrontal cortex in rats. The results obtained indicate that MDMA diminishes both short- and long-term visuospatial memory but increases LTP. In contrast, 2Br-4,5-MDMA preserves long-term visuospatial memory and slightly accelerates the occurrence of short-term memory compared to controls, but increases LTP, like MDMA. Taken together, these data are consistent with the notion that the modulatory effects induced by the aromatic bromination of the MDMA template, which abolishes typical entactogenic-like responses, might be extended to those effects affecting higher cognitive functions, such as visuospatial learning. This effect seems not to be associated with the increase of LTP in the prefrontal cortex.</t>
  </si>
  <si>
    <t>BURGOS, HECTOR/ABA-6821-2020</t>
  </si>
  <si>
    <t>BURGOS, HECTOR/0000-0001-7705-4347; barra pezo, rafael/0000-0002-2898-3729; Palma, Boris/0000-0002-8224-0897</t>
  </si>
  <si>
    <t>1661-6596</t>
  </si>
  <si>
    <t>1422-0067</t>
  </si>
  <si>
    <t>10.3390/ijms24043724</t>
  </si>
  <si>
    <t>WOS:000938738800001</t>
  </si>
  <si>
    <t>Campos, S; Lorca, J; Vidal, J; Calzadilla, W; Toledo-Neira, C; Aranda, M; Miralles-Cuevas, S; Cabrera-Reina, A; Salazar, R</t>
  </si>
  <si>
    <t>Campos, Sebastian; Lorca, Javier; Vidal, Jorge; Calzadilla, Wendy; Toledo-Neira, Carla; Aranda, Mario; Miralles-Cuevas, Sara; Cabrera-Reina, Alejandro; Salazar, Ricardo</t>
  </si>
  <si>
    <t>Removal of contaminants of emerging concern by solar photo electro-Fenton process in a solar electrochemical raceway pond reactor*</t>
  </si>
  <si>
    <t>PROCESS SAFETY AND ENVIRONMENTAL PROTECTION</t>
  </si>
  <si>
    <t>This work proposes the degradation of different contaminants of emerging concern (CECs) present in a secondary effluent from a municipal wastewater treatment plant in a solar electrochemical raceway pond reactor (SECRPR), applying the solar photo electro-Fenton (SPFE) process. Tap water and a secondary effluent were enriched with 100 mu g L-1 of 7 CECs to study the degradation of these compounds by the SPEF process in a SEC-RPR. Among the results obtained, an elimination over 96% and 90% of 5 CECs (progesterone, estradiol, ibuprofen, diclofenac and estrone) was achieved, while sulfamethazine and carbamazepine were eliminated by 73, 37% and 80, 66% after 1 h of treatment, respectively. In turn, a secondary effluent that already achieved the minimum organic load standards established by Chilean regulations was treated in a SEC-RPR by applying different electrochemical advanced oxidation processes (EAOPs). However, regardless of the applied treatment (SPEF, electro-Fenton and electro-oxidation/H2O2), it was possible to further reduce the organic content and even mineralize it. These experiments were performed at pH 3, with Na2SO4 0.05 mM, Fe2+ 0.05 mM and applying a current density of 20 mA cm-2. The SPEF process implemented in a SEC-RPR is presented as an excellent alternative for the treatment of municipal wastewater, due to the large contact area between the effluent and UV radiation, in addition to the continuous and homogeneous generation of H2O2, which allows for the production of hydroxyl radicals in solution, favoring the degradation and mineralization of pollutants.</t>
  </si>
  <si>
    <t>Salazar, Ricardo/L-7870-2013; Miralles-Cuevas, Sara/HGF-1348-2022; Cabrera, Alejandro/GNH-3181-2022; Calzadilla, Wendy/KHY-6999-2024; Aranda, Mario/A-6599-2013</t>
  </si>
  <si>
    <t>Calzadilla, Wendy/0000-0002-1082-7875; Aranda, Mario/0000-0001-7846-9149; Campos milla, Sebastian/0000-0003-4023-1017; Vidal, Jorge/0000-0002-1334-377X; Lorca-Ponce, Javier/0000-0002-5810-2267; Toledo Neira, Carla Beatriz/0000-0003-2872-3043; Cabrera Reina, Alejandro/0000-0002-0425-5487; Salazar-Gonzalez, Ricardo/0000-0003-2180-6022</t>
  </si>
  <si>
    <t>0957-5820</t>
  </si>
  <si>
    <t>1744-3598</t>
  </si>
  <si>
    <t>10.1016/j.psep.2022.11.033</t>
  </si>
  <si>
    <t>WOS:000910853400002</t>
  </si>
  <si>
    <t>Palma, JG</t>
  </si>
  <si>
    <t>Palma, Jose Gabriel</t>
  </si>
  <si>
    <t>Finance as an (ever more fragile) 'perpetual mania': have they all lost their collective minds? How the new alchemists distorted Kindleberger's financial-crisis cycle, and how the abundance of easy rents led to lazy elites</t>
  </si>
  <si>
    <t>CAMBRIDGE JOURNAL OF ECONOMICS</t>
  </si>
  <si>
    <t>This paper analyses events in financial markets since the 2008 financial crisis in both the developed and the developing worlds, giving especial attention to the processes of 'financialisation'. Its main conclusion is that we are paying the price (a huge one) for two related phenomena. The first relates to the failure of economic theory since the 1970s, especially (although not only) of the mainstream type, to really take on board those developments in the world of international finance that 'did not fit in their models' (such as the 1970s stagflation; Volker's subsequent radical monetarist recession; the 'savings and loan' debacle following Reagan's financial liberalisation and deregulation?policies reinforced in the 1990s; the inability of both monetarists, and traditional Keynesian policies to revert Japan's 'lost decade'; and the 'endogenous' nature of the 2008 financial crisis). Basically, economic theory has failed to reinvent itself when needed as it did after the 1930s crash. The second, in turn, relates to the fact that rocketing the net worth of a few individuals was a rather odd way to reactivate fragile economies after the 2008 crisis and the 2020 pandemic. But when rentier agents were allowed to become 'too-large-to-be-challenged', it was likely that these newly (and artificially) created 'whales' would capture policy-making and take it in this direction?leaving the politicians and central bankers to tell stories explaining why the very rich should become the biggest welfare recipients of all time. As one group of Native Americans used to say, 'Those who are better at storytelling will dominate the world'.</t>
  </si>
  <si>
    <t>0309-166X</t>
  </si>
  <si>
    <t>1464-3545</t>
  </si>
  <si>
    <t>SEP 5</t>
  </si>
  <si>
    <t>10.1093/cje/beac031</t>
  </si>
  <si>
    <t>AUG 2022</t>
  </si>
  <si>
    <t>WOS:000843662900001</t>
  </si>
  <si>
    <t>Aguila-Camacho, N; García-Bustos, JE; Castillo-López, EI; Gallegos, JA; Travieso-Torres, JC</t>
  </si>
  <si>
    <t>Aguila-Camacho, Norelys; Garcia-Bustos, Jorge E.; Castillo-Lopez, Eduardo I.; Gallegos, Javier A.; Travieso-Torres, Juan C.</t>
  </si>
  <si>
    <t>Switched Fractional Order Model Reference Adaptive Control for First Order Plants: A Simulation-Based Study</t>
  </si>
  <si>
    <t>JOURNAL OF DYNAMIC SYSTEMS MEASUREMENT AND CONTROL-TRANSACTIONS OF THE ASME</t>
  </si>
  <si>
    <t>This paper presents the results and analysis of an exhaustive simulation study where switched fractional order model reference adaptive control (SFOMRAC) is used for first order plants, along with the analytical proof of boundedness and convergence of the scheme. The analysis is focused on the controlled system behavior through the integral of the time-weighted squared control error (ITSE) and on the control energy through the integral of the squared control signal (ISI). Controller parameters such as fractional order, adaptive gain, and switching time are varied along the simulation studies, as well as plant parameters and reference models. The results show that SFOMRAC controllers can be found for every plant and reference model used such that both system behavior and control energy can be improved, compared to equivalent nonswitched fractional order and integer order control strategies.</t>
  </si>
  <si>
    <t>Garcia Bustos, Jorge/CAA-0327-2022; Aguila-Camacho, Norelys/J-4449-2015; Travieso Torres, Juan carlos/N-6437-2019</t>
  </si>
  <si>
    <t>Aguila-Camacho, Norelys/0000-0002-4514-0037; Travieso Torres, Juan carlos/0000-0002-9246-4827; Garcia, Jorge Eduardo/0009-0007-0473-393X</t>
  </si>
  <si>
    <t>0022-0434</t>
  </si>
  <si>
    <t>1528-9028</t>
  </si>
  <si>
    <t>APR 1</t>
  </si>
  <si>
    <t>10.1115/1.4053293</t>
  </si>
  <si>
    <t>WOS:000760196600009</t>
  </si>
  <si>
    <t>González-Teuber, M; Contreras, RA; Zúñiga, GE; Barrera, D; Bascuñán-Godoy, L</t>
  </si>
  <si>
    <t>Gonzalez-Teuber, Marcia; Contreras, Rodrigo A.; Zuniga, Gustavo E.; Barrera, Diego; Bascunan-Godoy, Luisa</t>
  </si>
  <si>
    <t>Synergistic Association With Root Endophytic Fungi Improves Morpho-Physiological and Biochemical Responses of Chenopodium quinoa to Salt Stress</t>
  </si>
  <si>
    <t>FRONTIERS IN ECOLOGY AND EVOLUTION</t>
  </si>
  <si>
    <t>Symbiotic associations with microbes can contribute to mitigating abiotic environmental stress in plants. In this study, we investigated individual and interactive effects of two root endophytic fungal species on physiological and biochemical mechanisms of the crop Chenopodium quinoa in response to salinity. Fungal endophytes (FE) Talaromyces minioluteus and Penicillium murcianum, isolated from quinoa plants that occur naturally in the Atacama Desert, were used for endophyte inoculation. A greenhouse experiment was developed using four plant groups: (1) plants inoculated with T. minioluteus (E1+), (2) plants inoculated with P. murcianum (E2+), (3) plants inoculated with both fungal species (E1E2+), and (4) non-inoculated plants (E-). Plants from each group were then assigned to either salt (300 mM) or control (no salt) treatments. Differences in morphological traits, photosynthesis, stomatal conductance, transpiration, superoxide dismutase (SOD), ascorbate peroxidase (APX), peroxidase, (POD), phenylalanine ammonia-lyase (PAL), phenolic content, and lipid peroxidation between plant groups under each treatment were examined. We found that both endophyte species significantly improved morphological and physiological traits, including plant height, number of shoots, photosynthesis, stomatal conductance, and transpiration, in C. quinoa in response to salt, but optimal physiological responses were observed in E1E2+ plants. Under saline conditions, endophyte inoculation improved SOD, APX, and POD activity by over 50%, and phenolic content by approximately 30%, with optimal enzymatic responses again observed in E1E2+ plants. Lipid peroxidation was significantly lower in inoculated plants than in non-inoculated plants. Results demonstrate that both endophyte species enhanced the ability of C. quinoa to cope with salt stress by improving antioxidative enzyme and non-enzyme systems. In general, both FE species interacting in tandem yielded better morphological, physiological, and biochemical responses to salinity in quinoa than inoculation by a single species in isolation. Our study highlights the importance of stress-adapted FE as a biological agent for mitigating abiotic stress in crop plants.</t>
  </si>
  <si>
    <t>Zuñiga, Gustavo/P-8306-2015; Contreras, Rodrigo/I-1871-2013; González-Teuber, Marcia/ABH-2318-2021; Godoy, Luisa/AAF-2978-2019</t>
  </si>
  <si>
    <t>Gonzalez-Teuber, Marcia/0000-0003-0565-9333; Contreras, Rodrigo/0000-0001-9970-3125</t>
  </si>
  <si>
    <t>2296-701X</t>
  </si>
  <si>
    <t>JAN 7</t>
  </si>
  <si>
    <t>10.3389/fevo.2021.787318</t>
  </si>
  <si>
    <t>WOS:000758000500001</t>
  </si>
  <si>
    <t>Badreddine, E; Taha, Z; Barbosa, KA; Ahmed, E; Abdelaziz, H</t>
  </si>
  <si>
    <t>Badreddine, El Haiek; Taha, Zoulagh; Barbosa, Karina A.; Ahmed, El Hajjaji; Abdelaziz, Hmamed</t>
  </si>
  <si>
    <t>Descriptor formulation for a robust static output feedback H∞ control for polytopic discrete-time system</t>
  </si>
  <si>
    <t>2022 8TH INTERNATIONAL CONFERENCE ON CONTROL, DECISION AND INFORMATION TECHNOLOGIES (CODIT'22)</t>
  </si>
  <si>
    <t>International Conference on Control Decision and Information Technologies</t>
  </si>
  <si>
    <t>8th International Conference on Control, Decision and Information Technologies (CoDIT)</t>
  </si>
  <si>
    <t>MAY 17-20, 2022</t>
  </si>
  <si>
    <t>Istanbul, TURKEY</t>
  </si>
  <si>
    <t>IEEE,IEEE Control Syst Soc,IEEE Syst, Man &amp; Cybernet Soc,Int Federat Automat Control,CNRS, Groupment Rech, Rech Operationnelle,Univ Tunis, LISIER Lab,Izmir Univ Econ</t>
  </si>
  <si>
    <t>This paper investigates the problem of robust static output feedback (SOF) H-infinity controllers for polytopic uncertain discrete-time systems. The descriptor redundancy approach and linear matrix inequality (LMI) techniques are applied to solve the static output feedback H-infinity controllers problem. By considering auxiliary slack variables with free structure, new sufficient conditions for static output feedback H-infinity design are presented in terms of linear matrix inequalities (LMIs), which guarantee the robust stability of the closed-loop systems under prescribed H-infinity performances. Numerical examples are given to illustrate the advantages of the proposed procedure when compared with other methods available in the literature.</t>
  </si>
  <si>
    <t>Barbosa, Karina/A-2236-2014; El Hajjaji, Ahmed/D-6459-2016</t>
  </si>
  <si>
    <t>El Hajjaji, Ahmed/0000-0002-7564-3620</t>
  </si>
  <si>
    <t>2576-3555</t>
  </si>
  <si>
    <t>978-1-6654-9607-0</t>
  </si>
  <si>
    <t>10.1109/CODIT55151.2022.9803945</t>
  </si>
  <si>
    <t>WOS:000846862800132</t>
  </si>
  <si>
    <t>Leon, G; González, E; Lepe, S; Michea, C; Millano, AD</t>
  </si>
  <si>
    <t>Leon, Genly; Gonzalez, Esteban; Lepe, Samuel; Michea, Claudio; Millano, Alfredo D.</t>
  </si>
  <si>
    <t>Averaging generalized scalar field cosmologies I: locally rotationally symmetric Bianchi III and open Friedmann-Lemaitre-Robertson-Walker models (vol 81, 414, 2021)</t>
  </si>
  <si>
    <t>EUROPEAN PHYSICAL JOURNAL C</t>
  </si>
  <si>
    <t>González, Esteban/AGF-1575-2022; Millano, Alfredo/JLL-5668-2023; Leon, Genly/E-9436-2015</t>
  </si>
  <si>
    <t>Leon, Genly/0000-0002-1152-6548</t>
  </si>
  <si>
    <t>1434-6044</t>
  </si>
  <si>
    <t>1434-6052</t>
  </si>
  <si>
    <t>10.1140/epjc/s10052-021-09909-9</t>
  </si>
  <si>
    <t>WOS:000729822100005</t>
  </si>
  <si>
    <t>Sandoval, MA; Fuentes, R; Pérez, T; Walsh, FC; Nava, JL; de León, CP</t>
  </si>
  <si>
    <t>Sandoval, Miguel A.; Fuentes, Rosalba; Perez, Tzayam; Walsh, Frank C.; Nava, Jose L.; Ponce de Leon, Carlos</t>
  </si>
  <si>
    <t>Modelling and simulation of H2-H2O bubbly flow through a stack of three cells in a pre-pilot filter press electrocoagulation reactor</t>
  </si>
  <si>
    <t>SEPARATION AND PURIFICATION TECHNOLOGY</t>
  </si>
  <si>
    <t>Computational fluid dynamics simulations were carried out to describe the hydrodynamic characteristics of a two-phase bubbly flow in a filter-press flow reactor stack of three cells, which is typically used in electrocoagulation (EC). The hydrogen evolution reaction (HER) took place at the cathode; dissolution of aluminium occurred at the anode. The fundamental transport equations of momentum and electrical potential were simultaneously solved to simulate the H-2-H2O flow. Continuous (H2O) and dispersed phase (H-2) velocity fields were modelled via the Euler-Eulerian approach, using the biphasic Reynolds Averaged Navier-Stokes (RANS) equations and the standard k - epsilon turbulence model. The influence of volumetric flow rate (1.7 &lt;= Q &lt;= 15 cm(3) s(-1)) and applied current density (-28 &lt;= j &lt;= -5 mA cm(-2)) was systematically addressed to calculate the fraction of dispersed phase and current distribution along the electrodes. The evolved H-2 bubbles were transported away from the electrode by the liquid flow. The dispersion of H-2 through the electrode gap showed a modest bubble curtain profile due to the liquid flow rate. A homogeneous current distribution along the electrode length was experienced due to the geometrical design of the electrochemical cell and the low degree of H-2 dispersion. The velocity profiles of the H-2-H2O mixture were different in each cell due to the change of flow direction. H-2 bubbles increased the velocity of the liquid phase but the gas fraction of such bubbles resulted in a higher pressure drop. Good agreement between theoretical and experimental residence time distribution curves was achieved; the experimental aluminium dose released by the anode agreed well with the simulations.</t>
  </si>
  <si>
    <t>Sandoval, Miguel A/JCF-1838-2023; Perez, Tzayam/AEU-9806-2022; Nava, Jose/N-3313-2014; Leon, Carlos/HTQ-8220-2023; Sandoval, Miguel/F-3645-2019</t>
  </si>
  <si>
    <t>Nava, Jose/0000-0003-2239-9123; Sandoval, Miguel/0000-0001-9659-5827; Ponce de Leon, Carlos/0000-0002-1907-5913; Perez, Tzayam/0000-0003-4200-8724</t>
  </si>
  <si>
    <t>1383-5866</t>
  </si>
  <si>
    <t>1873-3794</t>
  </si>
  <si>
    <t>APR 15</t>
  </si>
  <si>
    <t>10.1016/j.seppur.2020.118235</t>
  </si>
  <si>
    <t>JAN 2021</t>
  </si>
  <si>
    <t>WOS:000614728800006</t>
  </si>
  <si>
    <t>Vásquez, MFL; Alcivar-Cevallos, R; Panerai, RB; Chacon, M</t>
  </si>
  <si>
    <t>Lobos Vasquez, Maria Fernanda; Alcivar-Cevallos, Roberth; Panerai, Ronney B.; Chacon, Max</t>
  </si>
  <si>
    <t>Machine learning techniques versus complexity theory in the cerebral haemodynamics of traumatic brain injury patients</t>
  </si>
  <si>
    <t>2021 IEEE LATIN AMERICAN CONFERENCE ON COMPUTATIONAL INTELLIGENCE (LA-CCI)</t>
  </si>
  <si>
    <t>IEEE Latin American Conference on Computational Intelligence (LA-CCI)</t>
  </si>
  <si>
    <t>NOV 02-04, 2021</t>
  </si>
  <si>
    <t>Temuco, CHILE</t>
  </si>
  <si>
    <t>The objective of this study was to compare two paradigms of haemodynamic signals analysis which have been used to characterize between two physiological states. Cerebral blood flow velocity and arterial blood pressure signals of 30 patients with traumatic brain injury (TBI) and 30 healthy subjects were obtained non-invasively. Although different machine learning models have been tested with successful results in many cases of clinical interest, there is emerging evidence that complexity and entropy analysis of biomedical signals can detect underlying changes in physiology which relates to diseases. In many studies, both paradigms have been proved in high accuracy in discriminating between health and disease. In this current work a SVM model and two Complexity-Entropy planes were developed, achieving great power in discriminating health from TBI patients, with an AUC of 0.89 for the machine learning approach, and a highest 0.94 AUC by one of the Complexity-Entropy planes. There are almost no cases that compare these two paradigms, which makes it of great interest to put them side by side and discuss their contributions and particularities.</t>
  </si>
  <si>
    <t>Vasquez, maria/M-1492-2018</t>
  </si>
  <si>
    <t>978-1-7281-8864-5</t>
  </si>
  <si>
    <t>10.1109/LA-CCI48322.2021.9769819</t>
  </si>
  <si>
    <t>WOS:000925148800021</t>
  </si>
  <si>
    <t>Moreira-Arce, D; Hernández, F; Abufarhue, K</t>
  </si>
  <si>
    <t>Moreira-Arce, Dario; Hernandez, Felipe; Abufarhue, Karim</t>
  </si>
  <si>
    <t>First records of non-native Eurasian wild boar Sus scrofa (Linnaeus, 1758) (Mammalia: Artiodactyla) in a coastal ecosystem of Temperate Forest of south-central Chile</t>
  </si>
  <si>
    <t>BIOINVASIONS RECORDS</t>
  </si>
  <si>
    <t>We report the first casual record of Eurasian wild boar Sus scrofa in Nahuelbuta Mountain Area. located in the coastal Temperate Forest of south-central Chile. Camera-trapping was conducted between January 2018 and February 2019 at two sites comprised by native native forest and commercial tree plantations. Wild boars were detected within plantations of Monterey pine mainly during Austral summer (December to February). daytime (between 11:00 and 20:00) and close (3 km) to Nahuelbuta National Park. The combination of its highly adaptable generalist behaviour and the extensive presence of commercial tree plantations in Nahuelbuta Mountain Area may favour the expansion of the invasive wild boar throughout this imperilled ecosystem, including its potential occurrence within the small and isolated protected areas present in it.</t>
  </si>
  <si>
    <t>Moreira-Arce, Dario/ABG-2898-2021</t>
  </si>
  <si>
    <t>Moreira Arce, Dario/0000-0002-1188-496X</t>
  </si>
  <si>
    <t>2242-1300</t>
  </si>
  <si>
    <t>10.3391/bir.2020.9.4.29</t>
  </si>
  <si>
    <t>WOS:000592519700020</t>
  </si>
  <si>
    <t>Magaña, I; Martínez, P; Loyola, MS</t>
  </si>
  <si>
    <t>Magana, Irene; Martinez, Pablo; Loyola, Maria-Soledad</t>
  </si>
  <si>
    <t>Health outcomes of unpaid caregivers in low- and middle-income countries: A systematic review and meta-analysis</t>
  </si>
  <si>
    <t>JOURNAL OF CLINICAL NURSING</t>
  </si>
  <si>
    <t>Aims and objectives To explore differences in health outcomes between unpaid caregivers and noncaregivers living in low- and middle-income countries (LMICs). Background Previous meta-analyses found worse health outcomes for unpaid caregivers in high-income nations. However, no meta-analysis has considered unpaid caregivers from LMICs. A systematic integration of this topic may contribute to nursing care for unpaid caregivers in LMICs. Design Systematic review and meta-analysis of observational studies. Methods Following PRISMA statement, studies were searched for using the CINAHL, PubMed and SciELO databases, limited to publications until 31 December 2019. Random- and fixed-effects meta-analyses were used for data synthesis. Results Fourteen studies from Africa, Asia and South America were included. Unpaid caregivers of people with ill-health were more anxious and depressed than noncaregivers. Studies conducted in Asia and South America reported poorer health outcomes for unpaid caregivers than noncaregivers, whereas the trend for African studies was the opposite. Unpaid caregivers of healthy individuals may have better health status than noncaregivers, particularly those caring between 1-14 hr per week. Of the six studies which examined gender differences, two studies informed worse health outcomes for women, one presented the opposite effect, and three found no differences. Conclusions Individual, social, cultural and systemic factors play an important role in the health outcomes of unpaid caregivers in LMICs. More evidence is needed from LMICs. As unpaid caregivers are predominantly female, urgent attention to the health outcomes of female unpaid caregivers is required. Relevance to clinical practice The management of mental health problems, particularly anxiety and depression, should be an integral part of nursing care for unpaid caregivers living in LMICs. To further promote the health of unpaid caregivers in developing countries, stakeholders should consider launching educational campaigns that assist caregivers in finding ways to meet their cultural obligations while also reinforcing caregiver self-care.</t>
  </si>
  <si>
    <t>Martínez, Pablo/LZF-5853-2025</t>
  </si>
  <si>
    <t>Loyola, Maria Soledad/0000-0003-1418-558X; Martinez, Pablo/0000-0003-4482-7993; Magana, Irene/0000-0002-0096-2432</t>
  </si>
  <si>
    <t>0962-1067</t>
  </si>
  <si>
    <t>1365-2702</t>
  </si>
  <si>
    <t>21-22</t>
  </si>
  <si>
    <t>10.1111/jocn.15450</t>
  </si>
  <si>
    <t>SEP 2020</t>
  </si>
  <si>
    <t>WOS:000565640700001</t>
  </si>
  <si>
    <t>Robles-Planells, C; Barrera-Avalos, C; Rojo, LE; Spencer, E; Cortez-San Martin, M; Matiacevich, S; Pavez, J; Milla, LA; Navarro, FD; Martínez, BA; Bravo, FJ; Mella, A; Huidobro-Toro, JP; Fernandez, R; Escobar, A; Castillo, CA</t>
  </si>
  <si>
    <t>Robles-Planells, Claudia; Barrera-Avalos, Carlos; Rojo, Leonel E.; Spencer, Eugenio; Cortez-San Martin, Marcelo; Matiacevich, Silvia; Pavez, Jorge; Milla, Luis A.; Navarro, Franco D.; Martinez, Brandon A.; Bravo, Francisco J.; Mella, Andrea; Pablo Huidobro-Toro, Juan; Fernandez, Ricardo; Escobar, Alejandro; Acuna Castillo, Claudio</t>
  </si>
  <si>
    <t>Chitosan-Based Delivery of Avian Reovirus Fusogenic Protein p10 Gene: In Vitro and In Vivo Studies towards a New Vaccine against Melanoma</t>
  </si>
  <si>
    <t>BIOMED RESEARCH INTERNATIONAL</t>
  </si>
  <si>
    <t>Reovirus is known to have an anticancer effect in both the preclinical and clinical assays. Current evidence suggests that the reovirus-mediated impact on tumor growth depends on the activation of specific antitumor immune responses. A feasible explanation for the oncolytic effects and immune system activation is through the expression of the fusogenic reovirus protein. In this work, we evaluated thein vivoantitumor effects of the expression of fusogenic protein p10 of avian reovirus (ARV-p10). We used chitosan nanoparticles (CH-NPs) as a vehicle for the ARV-p10 DNA in murine B16 melanoma models bothin vitroandin vivo. We confirmed that ARV-p10 delivery through a chitosan-based formulation (ARV-p10 CH-NPs) was capable of inducing cell fusion in cultured melanoma cells, showing a mild cytotoxic effect. Interestingly, intratumor injection of ARV-p10 CH-NPs delayed tumor growth, without changing lymphoid populations in the tumor tissue and spleen. The injection of chitosan nanoparticles (CH-NPs) also delayed tumor growth, suggesting the nanoparticle itself would attack tumor cells. In conclusion, we proved thatin vitroARV-p10 protein expression using CH-NPs in murine melanoma cells induces a cytotoxic effect associated with its cell fusion. Further studies are necessary for establishing a protocol for efficientin vivoDNA delivery of fusion proteins to produce an antitumoral effect.</t>
  </si>
  <si>
    <t>Robles-Planells, Claudia/LTF-7300-2024; Milla, Luis/AAU-5222-2020; Acuña-Castillo, Claudio/AAI-7090-2021; Escobar, Alejandro/I-2775-2013; PAVEZ, JORGE/K-6904-2014; Fernandez, Ricardo/H-3422-2018</t>
  </si>
  <si>
    <t>Milla, Luis/0000-0001-9738-6234; PAVEZ, JORGE/0000-0002-5100-6707; Acuna-Castillo, Claudio/0000-0003-3607-6077; Rojo, Leonel/0000-0002-0188-2266; Bravo, Francisco/0009-0003-8451-8754; Robles-Planells, Claudia/0000-0003-3339-8871; Fernandez, Ricardo/0000-0003-4493-9362; Barrera-Avalos, Carlos/0000-0001-6160-9563</t>
  </si>
  <si>
    <t>2314-6133</t>
  </si>
  <si>
    <t>2314-6141</t>
  </si>
  <si>
    <t>JUN 13</t>
  </si>
  <si>
    <t>10.1155/2020/4045760</t>
  </si>
  <si>
    <t>WOS:000543499900006</t>
  </si>
  <si>
    <t>Muñoz-Villagrán, C; Contreras, F; Cornejo, F; Figueroa, M; Valenzuela-Bezanilla, D; Luraschi, R; Reinoso, C; Rivas-Pardo, J; Vásquez, C; Castro, M; Arenas, F</t>
  </si>
  <si>
    <t>Munoz-Villagran, C.; Contreras, F.; Cornejo, F.; Figueroa, M.; Valenzuela-Bezanilla, D.; Luraschi, R.; Reinoso, C.; Rivas-Pardo, J.; Vasquez, C.; Castro, M.; Arenas, F.</t>
  </si>
  <si>
    <t>Understanding gold toxicity in aerobically-grown Escherichia coli</t>
  </si>
  <si>
    <t>Background There is an emerging field to put into practice new strategies for developing molecules with antimicrobial properties. In this line, several metals and metalloids are currently being used for these purposes, although their cellular effect(s) or target(s) in a particular organism are still unknown. Here we aimed to investigate and analyze Au3+ toxicity through a combination of biochemical and molecular approaches. Results We found that Au3+ triggers a major oxidative unbalance in Escherichia coli, characterized by decreased intracellular thiol levels, increased superoxide concentration, as well as by an augmented production of the antioxidant enzymes superoxide dismutase and catalase. Because ROS production is, in some cases, associated with metal reduction and the concomitant generation of gold-containing nanostructures (AuNS), this possibility was evaluated in vivo and in vitro. Conclusions Au3+ is toxic for E. coli because it triggers an unbalance of the bacterium's oxidative status. This was demonstrated by using oxidative stress dyes and antioxidant chemicals as well as gene reporters, RSH concentrations and AuNS generation.</t>
  </si>
  <si>
    <t>Luraschi, Roberto/AAI-7965-2021</t>
  </si>
  <si>
    <t>Cornejo, Fabian/0000-0002-6633-392X; Luraschi, Roberto/0000-0001-5611-4320; Valenzuela-Bezanilla, Daniela/0000-0003-4069-4230</t>
  </si>
  <si>
    <t>JUN 8</t>
  </si>
  <si>
    <t>10.1186/s40659-020-00292-5</t>
  </si>
  <si>
    <t>WOS:000539026300001</t>
  </si>
  <si>
    <t>Castello, NF</t>
  </si>
  <si>
    <t>Freire Castello, Nicolas</t>
  </si>
  <si>
    <t>Social Upheaval in Chile: No One Saw It Coming?</t>
  </si>
  <si>
    <t>LATIN AMERICAN POLICY</t>
  </si>
  <si>
    <t>2041-7365</t>
  </si>
  <si>
    <t>2041-7373</t>
  </si>
  <si>
    <t>WOS:000534214800010</t>
  </si>
  <si>
    <t>Rosas, E; Garay, F; Hidalgo, N</t>
  </si>
  <si>
    <t>Rosas, Erika; Garay, Felipe; Hidalgo, Nicolas</t>
  </si>
  <si>
    <t>Context-aware self-adaptive routing for delay tolerant network in disaster scenarios</t>
  </si>
  <si>
    <t>AD HOC NETWORKS</t>
  </si>
  <si>
    <t>In the generalized loss of communication as a result of extensive damage to the communication infrastructure in disaster or emergency scenarios, mobile ad-hoc networks can play an important role in improving communication in the affected areas and working around network disruptions. Communication protocols face a highly dynamic and congested network topology that require highly adaptable solutions. This article proposes a context-aware self-adaptive routing protocol for Delay Tolerant Networks that is able to adapt to different scenarios, allowing the participants of the network to automatically select a DTN protocol according to past performance of routing protocols under the current scenario. We define metrics to implement this approach in a disaster scenario and evaluate our proposal with simulation over three different mobility models. The proposed protocol shows a significant reduction of energy consumption with a good tradeoff with the delivery rate. (C) 2020 Elsevier B.V. All rights reserved.</t>
  </si>
  <si>
    <t>1570-8705</t>
  </si>
  <si>
    <t>1570-8713</t>
  </si>
  <si>
    <t>10.1016/j.adhoc.2020.102095</t>
  </si>
  <si>
    <t>WOS:000527929500002</t>
  </si>
  <si>
    <t>Gil, Y; Llanos, L; Cancino, P; Fuentealba, P; Vega, A; Spodine, E; Aravena, D</t>
  </si>
  <si>
    <t>Gil, Yolimar; Llanos, Leonel; Cancino, Patricio; Fuentealba, Pablo; Vega, Andres; Spodine, Evgenia; Aravena, Daniel</t>
  </si>
  <si>
    <t>Effect of Second-Sphere Interactions on the Magnetic Anisotropy of Lanthanide Single-Molecule Magnets: Electrostatic Interactions and Supramolecular Contacts</t>
  </si>
  <si>
    <t>To study how second-sphere interactions affect single-molecule magnet (SMM) properties of mononuclear lanthanide systems, two dysprosium(III) complexes [Dy(N-NCS)(3)(H2O)(5)]center dot 0.45(KSCN)(18-crown-6) (1) and [Dy(NO3)(2)(N-NCS)(3)(H2O)]center dot(H2O)-(NH4)(2)2(18-crown-6) (2) were synthesized and characterized by single-crystal X-ray diffraction, ac, dc magnetometry, and multireference ab initio calculations. For 1, Dy-III complexes are encapsulated between two crown ether molecules, while crown ether molecules and Dy-III complexes crystallize in separate rows for 2. Ab initio calculations indicate that encapsulation is detrimental for magnetic anisotropy in the case of 1. This effect is related to a mismatch of the anisotropy axis of the Dy-III complex and the symmetry axis of the encapsulating crown ether molecules. Ab initio calculations show that the reorientation of the electrostatic potential exerted by the crown ethers to a more symmetric position produces an enhancement of magnetic anisotropy. We tested the general character of this effect by analyzing a reported Dy-III complex encapsulated by crown ether molecules. We also investigated how specific hydrogen-bond interactions affect magnetic anisotropy and show that H-bonds can be beneficial or prejudicial for magnetic anisotropy, depending on their position with respect to the magnetic axis. Our conclusions give general orientations about tuning intermolecular interactions to promote single-molecule magnet properties by controlling electrostatic and supramolecular interactions.</t>
  </si>
  <si>
    <t>Vega, Andres/B-2122-2010; Cancino, Patricio/AGE-4774-2022; Aravena, Daniel/F-2174-2011</t>
  </si>
  <si>
    <t>Gil Sanchez, Yolimar/0000-0002-1756-2726; Vega, Andres/0000-0001-6501-4161; Aravena, Daniel/0000-0003-3140-4852; llanos silva, leonel/0000-0001-6494-1908</t>
  </si>
  <si>
    <t>1932-7455</t>
  </si>
  <si>
    <t>10.1021/acs.jpcc.9b09234</t>
  </si>
  <si>
    <t>WOS:000518703000041</t>
  </si>
  <si>
    <t>Liparulo, A; Esposito, R; Mirra, S; Spaziano, G; Ramírez, ACM; Capuano, A; Filosa, R; Puglia, C; D'Agostino, B</t>
  </si>
  <si>
    <t>Liparulo, Angela; Esposito, Renata; Mirra, Salvatore; Spaziano, Giuseppe; Munoz Ramirez, Alejandra Catalina; Capuano, Annalisa; Filosa, Rosanna; Puglia, Carmelo; D'Agostino, Bruno</t>
  </si>
  <si>
    <t>RF22C, a 5-lipoxygenase inhibitor, in monocrotaline-induced PAH</t>
  </si>
  <si>
    <t>EUROPEAN RESPIRATORY JOURNAL</t>
  </si>
  <si>
    <t>International Congress of the European-Respiratory-Society (ERS)</t>
  </si>
  <si>
    <t>SEP 28-OCT 02, 2019</t>
  </si>
  <si>
    <t>Madrid, SPAIN</t>
  </si>
  <si>
    <t>European Respiratory Soc</t>
  </si>
  <si>
    <t>D'Agostino, Bruno/HLQ-1827-2023; Capuano, Annalisa/HTL-3144-2023; Puglia, Carmelo/G-8470-2013; SPAZIANO, GIUSEPPE/H-9202-2016; Filosa, Rosanna/AAI-4553-2021</t>
  </si>
  <si>
    <t>D'AGOSTINO, Bruno/0000-0002-7220-7962</t>
  </si>
  <si>
    <t>0903-1936</t>
  </si>
  <si>
    <t>1399-3003</t>
  </si>
  <si>
    <t>SEP 28</t>
  </si>
  <si>
    <t>PA1421</t>
  </si>
  <si>
    <t>10.1183/13993003.congress-2019.PA1421</t>
  </si>
  <si>
    <t>WOS:000507372401433</t>
  </si>
  <si>
    <t>García-Hermoso, A; Correa-Bautista, JE; Olloquequi, J; Ramírez-Vélez, R</t>
  </si>
  <si>
    <t>Garcia-Hermoso, Antonio; Correa-Bautista, Jorge E.; Olloquequi, Jordi; Ramirez-Velez, Robinson</t>
  </si>
  <si>
    <t>Health-related physical fitness and weight status in 13-to 15-year-old Latino adolescents. A pooled analysis</t>
  </si>
  <si>
    <t>JORNAL DE PEDIATRIA</t>
  </si>
  <si>
    <t>Objective: The aim of this study was to investigate the relation between health-related physical fitness and weight status in 13- to 15-year-old Latino adolescents. Method: The final sample consisted of 73,561 adolescents aged 13-15 years (35,175 girls) from Chile (n = 48,771) and Colombia (n = 24,790). Cardiorespiratory and musculoskeletal fitness were measured using 20-m shuttle run (relative peak oxygen uptake - VO2peak) and standing broad jump test (lower body explosive strength), respectively. The International Obesity Task Force definition was used to define weight status (i.e., underweight, normal weight, overweight, and obese). Results: The present study found an inverted J-shape relationship between body mass index, cardiorespiratory fitness, and musculoskeletal fitness in both genders and all age groups (p &lt; 0.01). Results also suggest that underweight adolescents, and not just overweight and obese adolescents, have lower odds of having a healthy cardiorespiratory fitness (based on new international criterion-referenced standards) profile when compared with their normal weight peers, except in girls aged 14 (p = 0.268) and 15 years (p= 0.280). Conclusions: The present results indicate low cardiorespiratory fitness and musculoskeletal fitness levels in underweight, overweight, and obese adolescents when compared with their normal weight peers. The findings appear to suggest that exercise programs should to decrease fat mass in overweight/obese adolescents and increase muscle mass in underweight adolescents. (C) 2018 Sociedade Brasileira de Pediatria. Published by Elsevier Editora Ltda.</t>
  </si>
  <si>
    <t>Correa-Bautista, Jorge Enrique/JDD-3131-2023; Olloquequi, Jordi/ITR-9680-2023; García-Hermoso, Antonio/ADU-2591-2022; Correa-Bautista, Jorge Enrique/N-2741-2015; Ramirez-Velez, Robinson/D-5311-2016; Garcia-Hermoso, Antonio/P-1857-2017</t>
  </si>
  <si>
    <t>Olloquequi, Jordi/0000-0002-6492-2739; Correa-Bautista, Jorge Enrique/0000-0002-0646-2316; Ramirez-Velez, Robinson/0000-0003-3075-6960; Garcia-Hermoso, Antonio/0000-0002-1397-7182</t>
  </si>
  <si>
    <t>0021-7557</t>
  </si>
  <si>
    <t>1678-4782</t>
  </si>
  <si>
    <t>10.1016/j.jped.2018.04.002</t>
  </si>
  <si>
    <t>WOS:000485792700008</t>
  </si>
  <si>
    <t>Pizarro, C; Escudey, M; Gacitúa, M; Fabris, JD</t>
  </si>
  <si>
    <t>Pizarro, Carmen; Escudey, Mauricio; Gacitua, Manuel; Fabris, Jose Domingos</t>
  </si>
  <si>
    <t>Iron-bearing minerals from soils developing on volcanic materials from Southern Chile: Application in heterogeneous catalysis</t>
  </si>
  <si>
    <t>JOURNAL OF SOIL SCIENCE AND PLANT NUTRITION</t>
  </si>
  <si>
    <t>Chilean soils derived from volcanic ashes are a natural source of iron oxides. Due to their properties, mineralogy, and surface characteristics, iron oxides from Chilean soils are potential candidates for technological applications such as heterogeneous catalysis. However, before a direct application in catalysis, pre-treatment methods are necessary to concentrate iron oxides from bulk volcanic soils. Here, we provide a comprehensive review of pre-treatment strategies for iron oxide concentration including physical separation and selective chemical dissolutive methods for application in catalytic processes, such as the water gas shift (WGS) and Fenton reactions. For preparation of WGS catalyst from volcanic soils, thermal treatment has been demonstrated to be effective, yielding enhanced results for Andisols compared to Ultisols. Based on mineralogical characterisation, it seems that WGS reaction efficiency depends on mineralogical phase shift and the changes of Fe2+/Fe3+ ratio, produced through heating. In addition, Ultisols have shown as efficient catalysts in Fenton and Fenton-like processes, after application of physical and chemical pre-treatments to different size-fractions of the soil sample, improving the yield performance of catalysts. Magnetic separates from the Ultisol sand fraction (compared to the silt+clay fractions) demonstrate the best catalytic performance as Fenton reagent due to their natural magnetite and titanomagnetite content. Application of NaOH selective dissolutive treatment to silt+clay fraction of volcanic soils also produces Fenton and Fenton-like catalyst with improved performance. Our review indicates that catalytic performance can be explained not only by the iron oxide mineral content but also by their characteristics and magnetic properties. The application of the appropriate physical and chemical pre-treatment methods can modulate and enhance the catalytic capabilities of iron oxides from volcanic soils.</t>
  </si>
  <si>
    <t>Gacitua, Manuel/R-8868-2019; Fabris, José/H-4121-2012</t>
  </si>
  <si>
    <t>Gacitua, Manuel/0000-0003-0807-2677</t>
  </si>
  <si>
    <t>0718-9508</t>
  </si>
  <si>
    <t>0718-9516</t>
  </si>
  <si>
    <t>WOS:000450917100005</t>
  </si>
  <si>
    <t>Aguirre, A; Castillo, E; Cruchaga, M; Codina, R; Baiges, J</t>
  </si>
  <si>
    <t>Aguirre, A.; Castillo, E.; Cruchaga, M.; Codina, R.; Baiges, J.</t>
  </si>
  <si>
    <t>Stationary and time-dependent numerical approximation of the lid-driven cavity problem for power-law fluid flows at high Reynolds numbers using a stabilized finite element formulation of the VMS type</t>
  </si>
  <si>
    <t>JOURNAL OF NON-NEWTONIAN FLUID MECHANICS</t>
  </si>
  <si>
    <t>In this work, a variational multiscale finite element formulation is used to approximate numerically the liddriven cavity flow problem for high Reynolds numbers. For Newtonian fluids, this benchmark case has been extensively studied by many authors for low and moderate Reynolds numbers (up to Re = 10, 000), giving place to steady flows, using stationary and time-dependent approaches. For more convective flows, the solution becomes unstable, describing an oscillatory behavior. The critical Reynolds number which gives place to this time-dependent fluid dynamics has been defined over a wide range 7, 300 less than or similar to Re less than or similar to 35, 000, using different numerical approaches. In the non-Newtonian case, the cavity problem has not been studied deeply for high Reynolds number (Re &gt; 10, 000), specifically, in the oscillatory time-dependent case. A VMS formulation is presented to be validated using existing results, to determine flow conditions at which the instability appears, and lastly, to establish new benchmark solutions for high-Reynolds numbers fluid flows using the power-law model. Obtained results show a good agreement with those reported in the references, and new data related with the oscillatory behavior of the flow has been found for the non-Newtonian case. In this regard, time-dependent flows show dependence on both Reynolds number and power-law index, and the unsteady starting point has been determined for all studied cases. It is determined that the critical Reynolds number (Re-c) that defines the first Hopf bifurcation for Newtonian fluid flow is ranged between 8,100 less than or similar to Re, less than or similar to 8, 250, whereas for power-law indexes n = 0.5 and n = 1.5, it is 7,100 less than or similar to Re, less than or similar to 7,200 and 18,250 less than or similar to Re, less than or similar to 18,500, respectively.</t>
  </si>
  <si>
    <t>; Codina, Ramon/I-2311-2014; Castillo, Ernesto/D-1612-2015; Baiges, Joan/D-3433-2014; Cruchaga, Marcela/M-7522-2014</t>
  </si>
  <si>
    <t>Aguirre, Alejandro/0000-0003-0638-5258; Codina, Ramon/0000-0002-7412-778X; Castillo, Ernesto/0000-0001-7013-6008; Baiges, Joan/0000-0002-3940-5887; Cruchaga, Marcela/0000-0002-8708-2402</t>
  </si>
  <si>
    <t>0377-0257</t>
  </si>
  <si>
    <t>1873-2631</t>
  </si>
  <si>
    <t>10.1016/j.jnnfm.2018.03.014</t>
  </si>
  <si>
    <t>WOS:000436889100003</t>
  </si>
  <si>
    <t>Velasco-Orjuela, GP; Quintero, AD; Domínguez-Sanchéz, MA; Correa-Bautista, JE; García-Hermoso, A; Peña-Ibagon, JC; Ramírez-Vélez, R</t>
  </si>
  <si>
    <t>Paola Velasco-Orjuela, Gina; del Pilar Quintero, Andrea; Dominguez-Sanchez, Maria A.; Correa-Bautista, Jorge E.; Garcia-Hermoso, Antonio; Pena-Ibagon, Jhonatan C.; Ramirez-Velez, Robinson</t>
  </si>
  <si>
    <t>Clinical Trial To Assess The Effect Of High-intensity Interval, Progressive Resistance Or Concurrent Exercise Protocol On Hormonal Responses In Latin-american Overweight Adults</t>
  </si>
  <si>
    <t>MAY 29-JUN 02, 2018</t>
  </si>
  <si>
    <t>García-Hermoso, Antonio/ADU-2591-2022; Ramírez-Vélez, Robinson/D-5311-2016; Correa-Bautista, Jorge/N-2741-2015; Garcia-Hermoso, Antonio/P-1857-2017</t>
  </si>
  <si>
    <t>Garcia-Hermoso, Antonio/0000-0002-1397-7182</t>
  </si>
  <si>
    <t>WOS:000456870500186</t>
  </si>
  <si>
    <t>Tapiero, Y; Rivas, BL; Sánchez, J; Avila, EG</t>
  </si>
  <si>
    <t>Tapiero, Yesid; Rivas, Bernabe L.; Sanchez, Julio; Avila, Enrique G.</t>
  </si>
  <si>
    <t>DONNAN DIALYSIS ASSISTED BY INTERPENETRATING POLYMER NETWORKS FOR CHROMIUM ION TRANSPORT IN AQUEOUS MEDIA</t>
  </si>
  <si>
    <t>Macroporous polypropylene (MPP) membranes incorporating poly[sodium (styrene sulphonate)], P(SSNa), and poly[(ar-vinylbenzyl) trimethylammonium chloride],P(CIVBTA) were modified via in situ radical polymerization. Modified and unmodified MPP were characterized using SEM and charge density properties. Donnan dialysis was used to transport chromium ions. The results show that the degree of modification varied between 2.5% and 4.0%. and the water uptake percentage varied between 15% and 20%. Experimental data for chromium ion transport (Cr(III) and Cr(VI)) were fitted to a mathematical model, and a correlation coefficient very close to I was obtained. The main parameters of this mathematical fit are k and a. These parameters report the concentration of chromium ions that converge in the Donnan equilibrium (k) and the response rate of the modified membrane (a).</t>
  </si>
  <si>
    <t>Rivas, Bernabé/D-9945-2015; Sanchez, Julio/AEO-4360-2022</t>
  </si>
  <si>
    <t>10.4067/s0717-97072018000103902</t>
  </si>
  <si>
    <t>WOS:000432570900020</t>
  </si>
  <si>
    <t>Chigo-Anota, E; Cárdenas-Jirón, G; Villanueva, MS; Hernández, AB; Castro, M</t>
  </si>
  <si>
    <t>Chigo-Anota, E.; Cardenas-Jiron, G.; Salazar Villanueva, M.; Bautista Hernandez, A.; Castro, M.</t>
  </si>
  <si>
    <t>Covalent functionalization of octagraphene with magnetic octahedral B6- and non-planar C6- clusters</t>
  </si>
  <si>
    <t>PHYSICA E-LOW-DIMENSIONAL SYSTEMS &amp; NANOSTRUCTURES</t>
  </si>
  <si>
    <t>The interaction between the magnetic boron octahedral (B-6(-)) and non-planar (C-6(-)) carbon clusters with semimetal nano-sheet of octa-graphene (C64H24) in the gas phase is studied by means of DFT calculations. These results reveal that non-planar-1 (anion) carbon cluster exhibits structural stability, low chemical reactivity, magnetic (1.0 magneton bohr) and semiconductor behavior. On the other hand, there is chemisorption phenomena when the stable B-6(-) and C-6(-) clusters are absorbed on octa-graphene nanosheets. Such absorption generates high polarity and the low-reactivity remains as on the individual pristine cases. Electronic charge transference occurs from the clusters toward the nanosheets, producing a reduction of the work function for the complexes and also induces a magnetic behavior on the functionalized sheets. The quantum descriptors obtained for these systems reveal that they are feasible candidates for the design of molecular circuits, magnetic devices, and nano-vehicles for drug delivery.</t>
  </si>
  <si>
    <t>Chigo, Ernesto/ABE-8083-2021; Salazar, Martin/HNJ-1129-2023; Cardenas-Jiron, Gloria/H-9508-2012</t>
  </si>
  <si>
    <t>Salazar, Martin/0000-0002-8611-7685; Bautista-Hernandez, Alejandro/0000-0003-1360-9483; Cardenas-Jiron, Gloria/0000-0003-4305-8088; Chigo, Ernesto/0000-0001-6037-7123</t>
  </si>
  <si>
    <t>1386-9477</t>
  </si>
  <si>
    <t>1873-1759</t>
  </si>
  <si>
    <t>10.1016/j.physe.2017.08.012</t>
  </si>
  <si>
    <t>WOS:000410790900032</t>
  </si>
  <si>
    <t>Bonatti, C; Monteverde, I; Navas, A; Rivas, C</t>
  </si>
  <si>
    <t>Bonatti, C.; Monteverde, I.; Navas, A.; Rivas, C.</t>
  </si>
  <si>
    <t>Rigidity for C1 actions on the interval arising from hyperbolicity I: solvable groups</t>
  </si>
  <si>
    <t>MATHEMATISCHE ZEITSCHRIFT</t>
  </si>
  <si>
    <t>We consider Abelian-by-cyclic groups for which the cyclic factor acts by hyperbolic automorphisms on the Abelian subgroup. We show that if such a group acts faithfully by C(1)diffeomorphisms of the closed interval with no global fixed point at the interior, then the action is topologically conjugate to that of an affine group. Moreover, in case of non-Abelian image, we show a rigidity result concerning the multipliers of the homotheties, despite the fact that the conjugacy is not necessarily smooth. Some consequences for non-solvable groups are proposed. In particular, we give new proofs/examples yielding the existence of finitely-generated, locally-indicable groups with no faithful action by C-1 diffeomorphisms of the interval.</t>
  </si>
  <si>
    <t>Rivas, Cristobal/0000-0003-4021-2705; Navas Flores, Andres Ignacio/0000-0002-0853-5136</t>
  </si>
  <si>
    <t>0025-5874</t>
  </si>
  <si>
    <t>1432-1823</t>
  </si>
  <si>
    <t>10.1007/s00209-016-1790-y</t>
  </si>
  <si>
    <t>WOS:000405599900007</t>
  </si>
  <si>
    <t>Oriol-Granado, X; Mendoza-Lira, M; Covarrubias-Apablaza, CG; Molina-Lopez, VM</t>
  </si>
  <si>
    <t>Oriol-Granado, Xavier; Mendoza-Lira, Michelle; Covarrubias-Apablaza, Carmen-Gloria; Molina-Lopez, Victor-Michel</t>
  </si>
  <si>
    <t>Positive Emotions, Autonomy Support and Academic Performance of University Students: The Mediating Role of Academic Engagement and Self-efficacy</t>
  </si>
  <si>
    <t>REVISTA DE PSICODIDACTICA</t>
  </si>
  <si>
    <t>The overall objective of this study is to prove whether some variables, such as autonomy support and positive affect experienced in the classroom, are predictors of academic performance through self-efficacy and engagement in university students. The tested model confirms the expected results but notes that self-efficacy does not show a significant direct effect on performance. Therefore, a second model is tested. We include self-efficacy as a predictor of academic engagement, eliminating the direct effect of this variable on performance. The results show a greater adjustment in the second model. It is concluded that: (a) positive emotions and autonomy support predict academic performance, self-efficacy and academic engagement; (b) self-efficacy predicts higher levels of academic engagement and the latter improves academic performance, and (c) indirect effects also show the existence of a mediation of these variables on the predictive relationship of autonomy support and positive emotions on performance. (C) 2017 Universidad del Pais Vasco. Published by Elsevier Espana, S.L.U. All rights reserved.</t>
  </si>
  <si>
    <t>Mendoza Lira, Michelle/ABH-2214-2021; Oriol, Xavier/AAO-3112-2021</t>
  </si>
  <si>
    <t>Mendoza Lira, Michelle/0000-0003-4275-1841; Oriol, Xavier/0000-0001-7130-7729</t>
  </si>
  <si>
    <t>1136-1034</t>
  </si>
  <si>
    <t>2254-4372</t>
  </si>
  <si>
    <t>10.1387/RevPsicodidact.14280</t>
  </si>
  <si>
    <t>WOS:000401275500007</t>
  </si>
  <si>
    <t>Junqueira-Gonçalves, MP; Alarcón, E; Niranjan, K</t>
  </si>
  <si>
    <t>Paula Junqueira-Goncalves, Maria; Alarcon, Erica; Niranjan, Keshavan</t>
  </si>
  <si>
    <t>The efficacy of potassium sorbate-coated packaging to control postharvest gray mold in raspberries, blackberries and blueberries</t>
  </si>
  <si>
    <t>POSTHARVEST BIOLOGY AND TECHNOLOGY</t>
  </si>
  <si>
    <t>The aim of this work is to build on the success of in vitro studies of an active packaging, produced by coating the surface of post-consumer recycled polyethylene terephthalate (PCRPET) package with an aqueous silicone solution (2%, v/v) containing an antifungal agent (potassium sorbate, KS). Antifungal efficacy was evaluated, in vivo, during the storage of raspberries, blackberries and blueberries by examining their shelf life extension. The packaging effectively delayed the growth of Botutis by extending its lag-phase, which, in turn, extended the shelf life of the berries by up to 3 d. Among the three berries tested, the packaging proved to be more advantageous in the case of raspberries, due to their physiological characteristics and shorter shelf life. Based on sensory panel evaluations, it was shown that the coating, containing KS, did not influence the packaging appearance and transparency, and the fruit did not suffer from any off-flavor development. (C) 2015 Elsevier By. All rights reserved.</t>
  </si>
  <si>
    <t>Niranjan, Keshavan/0000-0002-6525-1543</t>
  </si>
  <si>
    <t>0925-5214</t>
  </si>
  <si>
    <t>1873-2356</t>
  </si>
  <si>
    <t>10.1016/j.postharvbio.2015.09.014</t>
  </si>
  <si>
    <t>WOS:000364361700027</t>
  </si>
  <si>
    <t>Tasca, F; Farias, D; Castro, C; Acuna-Rougier, C; Antiochia, R</t>
  </si>
  <si>
    <t>Tasca, Federico; Farias, Diego; Castro, Carmen; Acuna-Rougier, Cristina; Antiochia, Riccarda</t>
  </si>
  <si>
    <t>Bilirubin Oxidase from Myrothecium verrucaria Physically Absorbed on Graphite Electrodes. Insights into the Alternative Resting Form and the Sources of Activity Loss</t>
  </si>
  <si>
    <t>PLOS ONE</t>
  </si>
  <si>
    <t>The oxygen reduction reaction is one of the most important chemical processes in energy converting systems and living organisms. Mediator-less, direct electro-catalytic reduction of oxygen to water was achieved on spectrographite electrodes modified by physical adsorption of bilirubin oxidases from Myrothecium verrucaria. The existence of an alternative resting form of the enzyme is validated. The effect on the catalytic cycle of temperature, pH and the presence of halogens in the buffer was investigated. Previous results on the electrochemistry of bilirubin oxidase and on the impact of the presence of halogens are reviewed and reinterpreted.</t>
  </si>
  <si>
    <t>CastroCastillo, Carmen/KXQ-9408-2024; Tasca, Federico/J-4134-2015</t>
  </si>
  <si>
    <t>Castro, Carmen/0000-0002-0103-155X; ANTIOCHIA, RICCARDA/0000-0001-8990-8506</t>
  </si>
  <si>
    <t>1932-6203</t>
  </si>
  <si>
    <t>JUL 21</t>
  </si>
  <si>
    <t>e0132181</t>
  </si>
  <si>
    <t>10.1371/journal.pone.0132181</t>
  </si>
  <si>
    <t>WOS:000358547600026</t>
  </si>
  <si>
    <t>Bourchak, M; Ajaj, RM; Flores, EIS; Khalid, M; Juhany, KA</t>
  </si>
  <si>
    <t>Bourchak, M.; Ajaj, R. M.; Flores, E. I. Saavedra; Khalid, M.; Juhany, K. A.</t>
  </si>
  <si>
    <t>Optimum design of a PID controller for the adaptive torsion wing</t>
  </si>
  <si>
    <t>AERONAUTICAL JOURNAL</t>
  </si>
  <si>
    <t>This paper presents the optimum design of a PID controller for the Adaptive Torsion Wing (ATW) using the genetic algorithm (GA) optimiser. The ATW is a thin-wall, two-spar wingbox whose torsional stiffness can be adjusted by translating the spar webs in the chordwise direction inward and towards each. The reduction in torsional stiffness allows external aerodynamic loads to deform the wing and maintain its shape. The ATW is integrated within the wing of a representative UAV to replace conventional ailerons and provide roll control. The ATW is modelled as a two-dimensional equivalent aerofoil using bending and torsion shape functions to express the equations of motion in terms of the twist angle and plunge displacement at the wingtip. The full equations of motion for the ATW equivalent aerofoil were derived using Lagrangian mechanics. The aerodynamic lift and moment acting on the aerofoil were modelled using Theodorsen's unsteady aerodynamic theory. The equations of motion are then linearised around an equilibrium position and the GA is employed to design a PID controller for the linearised system to minimise the actuation power require. Finally, the sizing and selection of a suitable actuator is performed.</t>
  </si>
  <si>
    <t>Bourchak, Mostefa/H-8821-2012; Khalid, Muhammad/V-1685-2019; Ajaj, Rafic/P-6314-2016; Flores, Erick/I-7646-2012</t>
  </si>
  <si>
    <t>Juhany, Khalid/0000-0002-5612-0605</t>
  </si>
  <si>
    <t>0001-9240</t>
  </si>
  <si>
    <t>WOS:000358393300004</t>
  </si>
  <si>
    <t>Takei, A; Roman, B; Bico, J; Hamm, E; Melo, F</t>
  </si>
  <si>
    <t>Takei, Atsushi; Roman, Benoit; Bico, Jose; Hamm, Eugenio; Melo, Francisco</t>
  </si>
  <si>
    <t>Forbidden Directions for the Fracture of Thin Anisotropic Sheets: An Analogy with the Wulff Plot</t>
  </si>
  <si>
    <t>PHYSICAL REVIEW LETTERS</t>
  </si>
  <si>
    <t>It is often postulated that quasistatic cracks propagate along the direction allowing fracture for the lowest load. Nevertheless, this statement is debated, in particular for anisotropic materials. We performed tearing experiments in anisotropic brittle thin sheets that validate this principle in the case of weak anisotropy. We also predict the existence of forbidden directions and facets in strongly anisotropic materials, through an analogy with the description of equilibrium shapes in crystals. However, we observe cracks that do not necessarily follow the easiest direction but can select a harder direction, which is only locally more advantageous than neighboring paths. These results challenge the traditional description of fracture propagation, and we suggest a modified, less restrictive criterion compatible with our experimental observations. DOI: 10.1103/PhysRevLett.110.144301</t>
  </si>
  <si>
    <t>Melo, Francisco/M-3923-2014; Hamm, Eugenio/A-7927-2013; Takei, Atsushi/M-4181-2018; Bico, Jose/Q-1614-2015; Roman, Benoit/C-6273-2014</t>
  </si>
  <si>
    <t>Melo, Francisco Esteban/0000-0001-6818-5476; Takei, Atsushi/0000-0003-4729-3034; Bico, Jose/0000-0002-3872-1239; Roman, Benoit/0000-0002-1473-2734</t>
  </si>
  <si>
    <t>0031-9007</t>
  </si>
  <si>
    <t>APR 2</t>
  </si>
  <si>
    <t>10.1103/PhysRevLett.110.144301</t>
  </si>
  <si>
    <t>WOS:000316959200016</t>
  </si>
  <si>
    <t>Reinoso, CA; Appanna, VD; Vásquez, CC</t>
  </si>
  <si>
    <t>Reinoso, Claudia A.; Appanna, Vasu D.; Vasquez, Claudio C.</t>
  </si>
  <si>
    <t>α-Ketoglutarate Accumulation Is Not Dependent on Isocitrate Dehydrogenase Activity during Tellurite Detoxification in Escherichia coli</t>
  </si>
  <si>
    <t>Tellurite is toxic to most microorganisms because of its ability to generate oxidative stress. However, the way in which tellurite interferes with cellular processes is not fully understood to date. In this line, it was previously shown that tellurite-exposed cells displayed reduced activity of the alpha-ketoglutarate dehydrogenase complex (alpha-KGDH), which resulted in alpha-ketoglutarate (alpha-KG) accumulation. In this work, we assessed if alpha-KG accumulation in tellurite-exposed E. coli could also result from increased isocitrate dehydrogenase (ICDH) and glutamate dehydrogenase (GDH) activities, both enzymes involved in alpha-KG synthesis. Unexpectedly both activities were found to decrease in the presence of the toxicant, an observation that seems to result from the decreased transcription of icdA and gdhA genes (encoding ICDH and GDH, resp.). Accordingly, isocitrate levels were found to increase in tellurite-exposed E. coli. In the presence of the toxicant, cells lacking icdA or gdhA exhibited decreased reactive oxygen species (ROS) levels and higher tellurite sensitivity as compared to the wild type strain. Finally, a novel branch activity of ICDH as tellurite reductase is presented.</t>
  </si>
  <si>
    <t>Appanna, Vasu/0000-0002-0138-5665</t>
  </si>
  <si>
    <t>10.1155/2013/784190</t>
  </si>
  <si>
    <t>WOS:000327963400001</t>
  </si>
  <si>
    <t>Lucero, M; Riquelme, M; Ramírez, G; Goya, MC; Orive, AG; Creus, AH; Arévalo, MC; Aguirre, MJ</t>
  </si>
  <si>
    <t>Lucero, Mauricio; Riquelme, Maritza; Ramirez, Galo; Carmen Goya, M.; Gonzalez Orive, Alejandro; Hernandez Creus, Alberto; Carmen Arevalo, M.; Aguirre, Maria J.</t>
  </si>
  <si>
    <t>A New Modified Electrode with a Copolymer of Aniline/Fe(III)-Tetrakis(Para-Aminophenyl)Porphyrin: Test of Its Electrocatalytic Activity Toward the Reduction of Molecular Oxygen and Oxidation of Ascorbic Acid and Sulfite Ion.</t>
  </si>
  <si>
    <t>INTERNATIONAL JOURNAL OF ELECTROCHEMICAL SCIENCE</t>
  </si>
  <si>
    <t>The simultaneous electropolymerization of aniline and Fe-porphyrin in HCl by cycling the potential on glassy carbon (GC) and highly ordered pyrolytic graphite (HOPG) electrodes was studied by Scanning Electron Microscopy (SEM), Atomic Force Microscopy (AFM) and electrochemical techniques. A conducting copolymer thin film was produced, which was stable and contained a low quantity of porphyrin compared to aniline. Its electrocatalytic activity was tested for the reduction of molecular oxygen and also for the oxidation of ascorbic acid and sulfite anion. This activity was higher than that of the poly-porphyrin and the poly-aniline modified electrodes for these reactions. Here we describe in detail the electropolymerization process and the film morphology. The electrocatalytic behavior of the aniline and porphyrin homopolymers is compared to that of the aniline-porphyrin copolymer.</t>
  </si>
  <si>
    <t>Aguirre, Maria/A-3935-2013; Arévalo, M./AAY-1729-2020; Hernandez Creus, Alberto/K-3621-2014; Gonzalez Orive, Alejandro/L-2345-2014</t>
  </si>
  <si>
    <t>Arevalo, M. Carmen/0000-0003-4629-1643; Ramirez, Galo/0000-0002-6217-4730; Aguirre, Maria/0000-0003-1134-4469; Hernandez Creus, Alberto/0000-0002-8793-6236; Gonzalez Orive, Alejandro/0000-0002-9217-5574</t>
  </si>
  <si>
    <t>1452-3981</t>
  </si>
  <si>
    <t>WOS:000302723700019</t>
  </si>
  <si>
    <t>López, R; Menéndez, MI; Santander-Nelli, M; Cárdenas-Jirón, GI</t>
  </si>
  <si>
    <t>Lopez, Ramon; Isabel Menendez, M.; Santander-Nelli, Mireya; Cardenas-Jiron, Gloria I.</t>
  </si>
  <si>
    <t>A theoretical investigation on the spectroscopic properties and photosensitizing capability of 5, 10, 15, 20-tetraphenylsapphyrin and 5, 10, 15, 20-tetraphenyl-26,28-diheterosapphyrins with two O, S, or Se Atoms</t>
  </si>
  <si>
    <t>THEORETICAL CHEMISTRY ACCOUNTS</t>
  </si>
  <si>
    <t>A density functional theory (DFT) study of the V/UV spectrum and the adiabatic energy released from the triplet excited state of sapphyrin and three disubstituted derivatives (with O, S or Se atoms) is performed in order to obtain an accurate theoretical description of their capability as photosensitizers in photodynamic therapy (PDT). For the calculation of the V/UV spectra, we used two functionals already tested for porphyrin derivatives, B3LYP and PBE0, and two new ones recently proposed, MPWB1 K and M05, all of them with two different basis sets and two continuum solvent models. The best agreement with experimental data was obtained at the CPCM-M05/6-31 + G(d)//B3LYP/6-31 + G(d) level, at which errors lie in the range of 0.13-0.20 eV for the Q band in CH2Cl2 solution. A careful comparison between triplet and singlet geometries shows that the inner macrocycle enlarges, but planarity distortions lead to a volume contraction upon excitation to the triplet state for sapphyrin, and O and S heterosapphyrins, and to negligible volume changes for Se heterosapphyrin. Actually, the heterosapphyrins with S and Se atoms acquire a saddle shape in the triplet state. According to our results, the energy released from the triplet state for S- and Se- disubstituted sapphyrins could be adequate to generate activated oxygen both in the gas phase and in CH2Cl2 solution.</t>
  </si>
  <si>
    <t>Menendez, M. Isabel/B-7698-2009; LOPEZ, RAMON/H-5078-2015; Cardenas-Jiron, Gloria/H-9508-2012</t>
  </si>
  <si>
    <t>Santander-Nelli, Mireya/0000-0002-3687-6528; Cardenas-Jiron, Gloria/0000-0003-4305-8088</t>
  </si>
  <si>
    <t>1432-881X</t>
  </si>
  <si>
    <t>1432-2234</t>
  </si>
  <si>
    <t>5-6</t>
  </si>
  <si>
    <t>10.1007/s00214-010-0735-5</t>
  </si>
  <si>
    <t>WOS:000284237000005</t>
  </si>
  <si>
    <t>Troncoso, AJ; Cabezas, NJ; Faúndez, EH; Urzúa, A; Niemeyer, HM</t>
  </si>
  <si>
    <t>Troncoso, Alejandra J.; Cabezas, Nancy J.; Faundez, Eric H.; Urzua, Alejandro; Niemeyer, Hermann M.</t>
  </si>
  <si>
    <t>Host-mediated volatile polymorphism in a parasitic plant influences its attractiveness to pollinators</t>
  </si>
  <si>
    <t>OECOLOGIA</t>
  </si>
  <si>
    <t>Host-plants can mediate the interactions between herbivores and their mutualists and also between parasitic plants and their mutualists. The present study reveals how a hemiparasitic plant parasitizing three host species gives rise to three distinct hemiparasite-host neighborhoods which differ in terms of volatile composition and pollinator attractiveness. The study was performed in a population of the mistletoe Tristerix verticillatus infecting three different species of hosts occurring in sympatry within a small area, thus exposing all individuals studied to similar abiotic conditions and pollinator diversity; we assessed the effect of hosts on the hemiparasites' visual and olfactory cues for pollinator attraction. During the study period, the hemiparasite individuals were flowering but the hosts were past their flowering stage. We collected volatile organic compounds from the hemiparasite and its hosts, measured floral display characteristics and monitored bird and insect visitors to inflorescences of T. verticillatus. We showed that: (1) floral patches did not differ in terms of floral display potentially involved in the attraction of pollinators, (2) hosts and hemiparasites on each host were discriminated as distinct chemical populations in terms of their volatile chemical profiles, (3) insect visitation rates differed between hemiparasites parasitizing different hosts, and (4) volatile compounds from the host and the hemiparasite influenced the visitation of hemiparasite flowers by insects. The study showed that a species regarded as ornithophilic by its floral morphology was actually mostly visited by insects that interacted with its sexual organs during their visits and carried its pollen, and that host-specific plant-volatile profiles within the T. verticillatus population were associated with differential attractiveness to pollinating insects.</t>
  </si>
  <si>
    <t>Troncoso, Alejandra/B-9480-2008; Niemeyer, Hermann/I-1100-2013</t>
  </si>
  <si>
    <t>Urzua, Alejandro/0000-0003-2638-0921; Niemeyer, Hermann/0000-0003-2273-1608</t>
  </si>
  <si>
    <t>0029-8549</t>
  </si>
  <si>
    <t>1432-1939</t>
  </si>
  <si>
    <t>10.1007/s00442-009-1478-7</t>
  </si>
  <si>
    <t>WOS:000273795200015</t>
  </si>
  <si>
    <t>Alvarez, C; Jadue, A; Rojas, F; Cerda, C; Ramírez, M; Cornejo, C</t>
  </si>
  <si>
    <t>Alvarez Z, Carlos; Jadue T, Andres; Rojas R, Francisco; Cerda C, Cesar; Ramirez, Miguel, V; Cornejo S, Carlos</t>
  </si>
  <si>
    <t>Spontaneous pneumomediastinum. Review of eight cases</t>
  </si>
  <si>
    <t>Background: Hamman syndrome or spontaneous pneumomediastinum is uncommon and its clinical manifestations are chest pain, dyspnea and subcutaneous emphysema. Aim: To report a series of patients with spontaneous pneumomediastinum. Material and methods: Medical records of patients with the diagnosis managed between 2002 and 2007 in a public hospital, were retrieved and reviewed. Results: Eight patients aged between 16 and 41 years (five males) were identified. The most common symptom was chest pain and the most common sign was subcutaneous emphysema. A chest X ray was performed in all and a chest CT scan in seven. All were managed conservatively with oxygen, ana analgesia and rest. No patient required surgery and the evolution was favourable. Conclusions: The most common presenting complaint of spontaneous pneumomediastinum is chest pain and its management does not require surgery (Rev Med Chile 2009: 137: 1045-50).</t>
  </si>
  <si>
    <t>WOS:000270339400007</t>
  </si>
  <si>
    <t>Olivares, IE; Cuadra, JA; Aguilar, FA; Gómez, JGA; Duarte, FJ</t>
  </si>
  <si>
    <t>Olivares, I. E.; Cuadra, J. A.; Aguilar, F. A.; Aguirre Gomez, J. G.; Duarte, F. J.</t>
  </si>
  <si>
    <t>Optical method using rotating Glan-Thompson polarizers to independently vary the power of the excitation and repumping lasers in laser cooling experiments</t>
  </si>
  <si>
    <t>JOURNAL OF MODERN OPTICS</t>
  </si>
  <si>
    <t>A simple optical technique consisting in the rotation of Glan-Thompson polarizers is applied to independently vary and control the power of the cooling laser and the repumping laser in laser cooling experiments of Rb-85. For our experimental conditions, which include initial laser powers of approximately 48 mW (for each laser), it was observed that the atom cloud was still visible after reducing the power of the cooling laser to similar to 10mW while keeping the power of the repumping laser at its initial level. On the other hand, the atom cloud maintained visibility after reducing the power of the repumping laser to similar to 103 mu W while keeping the power of the excitation laser at its initial level. In both cases the power variation of the lasers is achieved without altering the frequency or tuning characteristics of the lasers.</t>
  </si>
  <si>
    <t>Duarte, Fernando/AAF-4712-2020; Gómez, José/F-4796-2016; Olivares, Ignacio/AAU-9355-2021; Aguilar Sandoval, Felipe/G-7545-2015; Cuadra, Jorge/O-7766-2017</t>
  </si>
  <si>
    <t>Aguilar Sandoval, Felipe/0000-0001-5146-7856; Cuadra, Jorge/0000-0002-9745-760X; Olivares, Ignacio/0000-0001-8440-7665; Duarte, F. J./0000-0001-6275-4674</t>
  </si>
  <si>
    <t>0950-0340</t>
  </si>
  <si>
    <t>1362-3044</t>
  </si>
  <si>
    <t>10.1080/09500340903318562</t>
  </si>
  <si>
    <t>WOS:000272379700007</t>
  </si>
  <si>
    <t>Escrig, J; Landeros, P; Altbir, D; Bahiana, M; e Castro, JD</t>
  </si>
  <si>
    <t>Escrig, Juan; Landeros, Pedro; Altbir, Dora; Bahiana, Monica; e Castro, Jose D'Albuquerque</t>
  </si>
  <si>
    <t>Role of interactions in layered nanorings</t>
  </si>
  <si>
    <t>INTERNATIONAL JOURNAL OF NANOTECHNOLOGY</t>
  </si>
  <si>
    <t>The magnetic properties of nanorings consisting of alternate layers of magnetic and non-magnetic materials are studied. The relative stability of the different magnetic configurations is examined as a function of the ring geometry. The interactions between the magnetic layers play an important role which is evidenced in the phase diagrams presented.</t>
  </si>
  <si>
    <t>Altbir, Dora/R-6781-2018; Escrig, Juan/N-4304-2015; Landeros, Pedro/B-4603-2012</t>
  </si>
  <si>
    <t>Altbir, Dora/0000-0002-2945-4909; Escrig, Juan/0000-0002-3958-8185; Landeros, Pedro/0000-0002-0927-1419</t>
  </si>
  <si>
    <t>1475-7435</t>
  </si>
  <si>
    <t>1741-8151</t>
  </si>
  <si>
    <t>10.1504/IJNT.2007.014750</t>
  </si>
  <si>
    <t>WOS:000249817800008</t>
  </si>
  <si>
    <t>Surre, F; Kennedy, B; Landais, P; Philippe, S; Bradley, AL</t>
  </si>
  <si>
    <t>Marciniak, M</t>
  </si>
  <si>
    <t>Surre, F.; Kennedy, B.; Landais, P.; Philippe, S.; Bradley, A. L.</t>
  </si>
  <si>
    <t>Polarization resolved four-wave-mixing-based measurement in bulk material semiconductor optical amplifier</t>
  </si>
  <si>
    <t>ICTON 2006: 8TH INTERNATIONAL CONFERENCE ON TRANSPARENT OPTICAL NETWORKS, VOL 2, PROCEEDINGS: ESPC, NAON</t>
  </si>
  <si>
    <t>8th International Conference on Transparent Optical Networks</t>
  </si>
  <si>
    <t>JUN 18-22, 2006</t>
  </si>
  <si>
    <t>Nottingham, ENGLAND</t>
  </si>
  <si>
    <t>IEEE Univ Nottingham,IEEE/LEOS,Univ Nottingham,George Green Inst Electromagnet Res,Natl Inst Telecommun,LEOS Poland Chapter,Photon Design,European Cooperat Field Sci &amp; Tech Res,RSOFT Design Grp</t>
  </si>
  <si>
    <t>The anticipated growth in demand for bandwidth leads to the development of all-optical signal processing techniques at ever increasing data rates. One possible candidate to achieve the required performance is the semiconductor optical amplifier (SOA). It has been demonstrated that ultra-fast gain processes are dominant for pulsewidths below 10 ps. In this paper we present experimental results on the polarization dependence of ultra-fast gain dynamics in InGaAsP/InP bulk material SOA probed using a four-wave mixing technique. Using a standard low-pass filter model it is possible to retrieve information on the polarization dependence of linewidth enhancement factors and the timescales for non-linear phenomena such as carried density pulsation and carrier heating.</t>
  </si>
  <si>
    <t>Bradley, Louise/G-5108-2011; Landais, Pascal/AAI-2239-2020; Kennedy, Brendan/C-2455-2013</t>
  </si>
  <si>
    <t>Bradley, Louise/0000-0002-9399-8628; Kennedy, Brendan/0000-0003-4782-0498; Surre, Frederic/0000-0003-1605-0531</t>
  </si>
  <si>
    <t>1-4244-0235-2</t>
  </si>
  <si>
    <t>+</t>
  </si>
  <si>
    <t>WOS:000240400000045</t>
  </si>
  <si>
    <t>Matsuhiro, B; Conte, AF; Damonte, EB; Kolender, AA; Matulewicz, MC; Mejías, EG; Pujol, CA; Zúñiga, EA</t>
  </si>
  <si>
    <t>Structural analysis and antiviral activity of a sulfated galactan from the red seaweed Schizymenia binderi (Gigartinales, Rhodophyta)</t>
  </si>
  <si>
    <t>CARBOHYDRATE RESEARCH</t>
  </si>
  <si>
    <t>Aqueous extraction of gametophytic Schizyinenia binderi afforded a polysaccharide composed of galactose and sulfate groups in a molar ratio of 1.0:0.89 together with uronic acids (6.8 wt %) and minor amounts of other neutral sugars. Alkali-treatment of the polysaccharide afforded a polysaccharide devoid of 3,6-anhydrogalactose. C-13 NMR spectroscopy of the desulfated alkali-treated polysaccharide showed a backbone structure of alternating 3-linked beta-D-galactopyranosyl and 4-linked alpha-galactopyranosyl units that are predominantly of the D-configuration and partly of the L-configuration. Methylation, ethylation and NMR spectroscopic studies of the alkali-treated polysaccharide indicated that the sulfate groups are located mainly at positions O-2 of 3-linked beta-D-galactopyranosyl residue and at position O-3 of 4-linked-alpha-galactopyranosyl residues, the latter is partially glycosylated at position O-2. The sulfated galactan from S. binderi exhibited highly selective antiviral activity against Herpes simplex virus types 1 and 2, with selectivity indices (ratio cytotoxicity/antiviral activity) &gt;1000 for all assayed virus strains. This compound was shown to interfere with the initial adsorption of viruses to cells. (C) 2005 Elsevier Ltd. All rights reserved.</t>
  </si>
  <si>
    <t>Conte, Alessandra/JTJ-0650-2023; Mejias, Enrique/ABF-1155-2022; Mejias, Enrique/N-3564-2017</t>
  </si>
  <si>
    <t>Zuniga, Elisa/0000-0002-9232-6651; Kolender, Adriana/0000-0001-9933-6556; Mejias, Enrique/0000-0001-5577-3025</t>
  </si>
  <si>
    <t>0008-6215</t>
  </si>
  <si>
    <t>1873-426X</t>
  </si>
  <si>
    <t>10.1016/j.carres.2005.08.004</t>
  </si>
  <si>
    <t>WOS:000232645600006</t>
  </si>
  <si>
    <t>López, R; Villagra, D; Ferraudi, G; Moya, SA; Guerrero, J</t>
  </si>
  <si>
    <t>Preparation and photophysical properties of precursors of inorganic macromolecules.: Mono and binuclear complexes of Ru(II) and terpyridine derivatized with thiophene and 4′-(5-bromothiophene) groups</t>
  </si>
  <si>
    <t>INORGANICA CHIMICA ACTA</t>
  </si>
  <si>
    <t>The preparation and characterization of mono and binuclear complexes of Ru(II) with a newly synthesized derivate of the terpyridine ligand, 4'-(5-bromothiophene)-2,2',6',2-terpyridine, are communicated. In the binuclear complex, 2,5-bis(2,2',6',2-terpyridine4'yl)thiophene was used as a bridge between two Ru(II) centers. The new compounds were characterized by H NMR, UV-Vis and IR spectroscopies. Bands at similar to500 nm for the Ru(II) to terpyridine charge transfer transition and absorption bands at &lt; 400 nm assigned to intraligand transitions, pi* &lt;-- pi, centered in the tpy moiety were observed in the UV-Vis spectra of the complexes. Irradiation of the complexes in CH3CN at 337 or 500 nm induced luminescence with maxima at similar to670 nm and lifetimes r less than or equal to 10(2) ns. Time-resolved absorption spectroscopy revealed the formation of long-lived species during the decay of the metal to ligand charge transfer excited states. The intermediates were tentatively assigned as unstable products of ligand-substitution or orthometalation excited state reactions. (C) 2004 Elsevier B.V. All rights reserved.</t>
  </si>
  <si>
    <t>Villagra, Diego/H-6694-2013</t>
  </si>
  <si>
    <t>0020-1693</t>
  </si>
  <si>
    <t>1873-3255</t>
  </si>
  <si>
    <t>SEP 10</t>
  </si>
  <si>
    <t>10.1016/j.ica.2004.02.038</t>
  </si>
  <si>
    <t>WOS:000223967200013</t>
  </si>
  <si>
    <t>Pardo, F; Perich, F; Torres, R; Delle Monache, F</t>
  </si>
  <si>
    <t>Plant iridoid glycosides and phytogrowth-inhibitory activity of Verbascum virgatum</t>
  </si>
  <si>
    <t>BIOCHEMICAL SYSTEMATICS AND ECOLOGY</t>
  </si>
  <si>
    <t>0305-1978</t>
  </si>
  <si>
    <t>1873-2925</t>
  </si>
  <si>
    <t>10.1016/j.bse.2003.09.001</t>
  </si>
  <si>
    <t>WOS:000189313200017</t>
  </si>
  <si>
    <t>Jabalquinto, AM; Laivenieks, M; González-Nilo, FD; Yévenes, A; Encinas, MV; Zeikus, JG; Cardemil, E</t>
  </si>
  <si>
    <t>Evaluation by site-directed mutagenesis of active site amino acid residues of Anaerobiospirillum succiniciproducens phosphoenolpyruvate carboxykinase</t>
  </si>
  <si>
    <t>Anaerobiospirillum succiniciproducens phosphoenolpyruvate (PEP) carboxykinase catalyzes the reversible formation of oxaloacetate and adenosine triphosphate from PEP, adenosine diphosphate, and carbon dioxide, and uses Mn2+ as the activating metal ion. The enzyme is a monomer and presents 68% identity with Escherichia coli PEP carboxykinase. Comparison with the crystalline structure of homologous E. coli PEP carboxykinase [Tari, L. W., Matte, A., Goldie, H., and Delbaere, L. T.J. (1997). Nature Struct. Biol. 4, 990-994] suggests that His225, Asp262, Asp263, and Thr249 are located in the active site of the protein, interacting with manganese ions. In this work, these residues were individually changed to Gln (His225) or Asn. The mutated enzymes present 3-6 orders of magnitude lower values of V-max /K-m, indicating high catalytic relevance for these residues. The His225Gln mutant showed increased K-m values for Mn2+ and PEP as compared with wild-type enzyme, suggesting a role of His(225) in Mn2+ and PEP binding. From 1.5-1.6 Kcal/mol lower affinity for the 3'(2')-O-(N-methylantraniloyl) derivative of adenosine diphosphate was observed for the His225Gln and Asp263Asn mutant A. succiniciproducens PEP carboxykinases, implying a role of His(225) and Asp(263) in nucleotide binding.</t>
  </si>
  <si>
    <t>Encinas, Maria/L-9686-2014; Gonzalez Nilo, Fernando Danilo/M-5671-2016</t>
  </si>
  <si>
    <t>Yevenes, Alejandro/0000-0003-3799-1509; Gonzalez Nilo, Fernando Danilo/0000-0001-6857-3575</t>
  </si>
  <si>
    <t>10.1023/A:1021178432158</t>
  </si>
  <si>
    <t>WOS:000179359800003</t>
  </si>
  <si>
    <t>Gulppi, M; Bedioui, F; Zagal, JH</t>
  </si>
  <si>
    <t>Overoxidized polypyrrole/cobalt tetrasulfonated phthalocyanine modified ultramicro-carbon-fiber electrodes for the electrooxidation of 2-mereaptoethanol</t>
  </si>
  <si>
    <t>We report on the catalytic electrooxidation of 2-mercaptoethanol on ultramicro-carbon-fiber electrode (UMCF) modified with overoxidized polypyrrole-doped cobalt-tetrasulfonated phthalocyanine (CoTSPc) film. The easily prepared electrodes are stable and do not passivate after repetitive use. The sensitivity of the modified UMCF electrode towards the amperometric detection of 2-mercaptoethanol was tested with differential pulse voltammetry (DPV) and differential normal pulse amperometry (DNPA). A calculated detection limit as low as 8 x 10(-5) M was obtained by DPV. Our results show that UMCF electrodes are promising for the detection of low concentrations of thiols as mass transport limitations are minimized.</t>
  </si>
  <si>
    <t>10.1002/1521-4109(200109)13:13&lt;1136::AID-ELAN1136&gt;3.0.CO;2-#</t>
  </si>
  <si>
    <t>WOS:000171267200013</t>
  </si>
  <si>
    <t>Altbir, D; Vargas, P; Cartes, J; Vogel, E</t>
  </si>
  <si>
    <t>Magnetization jumps in the ±J spin glass model</t>
  </si>
  <si>
    <t>REVISTA MEXICANA DE FISICA</t>
  </si>
  <si>
    <t>XIth Southern Workshop on Solid State Physics</t>
  </si>
  <si>
    <t>OCT 22-25, 1997</t>
  </si>
  <si>
    <t>VILLARRICA, CHILE</t>
  </si>
  <si>
    <t>Ctr Latinamer Fis,Comis Nacl Ciencia &amp; Tecnol,Soc Chilena Fis,Univ La Frontera, Fac Ingn,Univ La Frontera, Dept Phys,Univ Concepcion, Fac Ciencias Fis &amp; Matemat,Pontificia Univ Catolica Chile, Fac Fis,Univ Santiago Chile, Fac Ciencias,Univ Bio Bio, Fac Ciencias,Univ Diego Portales, Fac Ciencias Ingn</t>
  </si>
  <si>
    <t>We investigate the hysteresis curve of a 2D Random Bond Ising Model (RBIM) with anti- (AF) and ferromagnetic (F) couplings at concentration of 50% each. The hysteresis curves show magnetization jumps (first order transitions) at well defined magnetic fields indicating topological blocking effects caused by frustration domains in the system.</t>
  </si>
  <si>
    <t>Vargas, Patricio/AAL-2633-2020; Altbir, Dora/R-6781-2018</t>
  </si>
  <si>
    <t>vargas, patricio/0000-0001-9235-9747; Vogel, Eugenio/0000-0002-1701-3030; Altbir, Dora/0000-0002-2945-4909</t>
  </si>
  <si>
    <t>0035-001X</t>
  </si>
  <si>
    <t>WOS:000076407000021</t>
  </si>
  <si>
    <t>PREVITALI, CM; BERTOLOTTI, SG; NEUMANN, MG; PASTRE, IA; RUFS, AM; ENCINAS, MV</t>
  </si>
  <si>
    <t>LASER FLASH-PHOTOLYSIS STUDY OF THE PHOTOINITIATOR SYSTEM SAFRANINE-T ALIPHATIC-AMINES FOR VINYL POLYMERIZATION</t>
  </si>
  <si>
    <t>MACROMOLECULES</t>
  </si>
  <si>
    <t>The polymerization of a-hydroxyethyl methacrylate, in a methanol solution, proceeds efficiently using the photoinitiator safranine T in the presence of tertiary aliphatic amines. Polymerization rates were measured at several amine concentrations. These values increase with the amine concentration, reaching a maximum, and further amine addition slowly reduces the polymerization rate. The quenching of the dye excited states by amines was analyzed by static fluorescence and laser flash photolysis. The excited singlet quenching involves a charge-transfer process with rate constants near the diffusional limit. Flash photolysis studies of safranine in the presence of amines, in a methanol solution, yield the triplet species (SH+)-S-3 and S-3(+) and the unprotonated semireduced radical. This latter transient follows a dependence with the amine concentration similar to that found for polymerization rates. Al these results indicate that polymerization involves the interaction of the excited triplet with the amine, while quenching of the excited singlet inhibits the polymerization.</t>
  </si>
  <si>
    <t>Neumann, Miguel/AAM-1395-2021; Pastre, Iêda/J-6133-2014; Encinas, Maria/L-9686-2014</t>
  </si>
  <si>
    <t>Pastre, Ieda/0000-0003-3855-2233</t>
  </si>
  <si>
    <t>0024-9297</t>
  </si>
  <si>
    <t>DEC 5</t>
  </si>
  <si>
    <t>10.1021/ma00103a031</t>
  </si>
  <si>
    <t>WOS:A1994PW05900031</t>
  </si>
  <si>
    <t>Marambio, OG; Muñoz, A; Martin-Trasancos, R; Sánchez, J; Pizarro, GD</t>
  </si>
  <si>
    <t>Marambio, Oscar G.; Munoz, Alejandro; Martin-Trasancos, Rudy; Sanchez, Julio; del C. Pizarro, Guadalupe</t>
  </si>
  <si>
    <t>The Design of a Controlled-Release Polymer of a Phytopharmaceutical Agent: A Study on the Release in Different PH Environments Using the Ultrafiltration Technique</t>
  </si>
  <si>
    <t>POLYMERS</t>
  </si>
  <si>
    <t>A series of hydrophilic copolymers were prepared using 2-hydroxyethyl methacrylate (HEMA) and itaconic acid (IA) from free radical polymerization at different feed monomer ratios using ammonium persulfate (APS) initiators in water at 70 degrees C. The herbicide 2,4-dichlorophenoxy acetic acid (2,4-D) was grafted to Poly(HEMA-co-IA) by a condensation reaction. The hydrolysis of the polymeric release system, Poly(HEMA-co-IA)-2,4-D, demonstrated that the release of the herbicide in an aqueous phase depends on the polymeric system's pH value and hydrophilic character. In addition, the swelling behavior (Wt%) was studied at different pH values using Liquid-phase Polymer Retention (LPR) in an ultrafiltration system. The acid hydrolysis of the herbicide from the conjugates follows a first-order kinetic, showing higher kinetic constants as the pH increases. The base-catalyzed hydrolysis reaction of the herbicide follows a zero-order kinetic, where the basic medium acts as a catalyst, accelerating the release rate of the herbicide and showing higher kinetic constants as the pH increases. The differences in the release rates found for the hydrogel herbicide at different pH values can be correlated with the difference in their swelling capacity, where the release rate generally increases with an increase in the swelling capacity from water solution at higher pH values. The study of the release process revealed that all samples in distilled water at a pH of 10 are representative of agricultural systems. It showed first-order swelling kinetics and an absorption capacity that conforms to the parameters for hydrogels for agricultural applications, which supports their potential for these purposes.</t>
  </si>
  <si>
    <t>Sanchez, Julio/AEO-4360-2022; Martin Trasancos, Rudy/ITV-2921-2023; PIZARRO, GUADALUPE/V-3353-2017</t>
  </si>
  <si>
    <t>PIZARRO, GUADALUPE/0000-0003-2063-1072; Sanchez, Julio/0000-0003-4245-0096</t>
  </si>
  <si>
    <t>2073-4360</t>
  </si>
  <si>
    <t>10.3390/polym16243492</t>
  </si>
  <si>
    <t>WOS:001383919500001</t>
  </si>
  <si>
    <t>Goodrich, C; Lizama, C</t>
  </si>
  <si>
    <t>Goodrich, Christopher; Lizama, Carlos</t>
  </si>
  <si>
    <t>An unexpected property of fractional difference operators: Finite and eventual monotonicity</t>
  </si>
  <si>
    <t>MATHEMATICAL METHODS IN THE APPLIED SCIENCES</t>
  </si>
  <si>
    <t>We consider the relationship between the sign of the fractional difference (Delta(alpha) u) (n) and the positivity or monotonicity of u. Our focus is on the case in which the fractional difference can be negative, and we show that surprisingly, (Delta(alpha) u) (n) &gt; -C, where C &gt; 0 is a constant, can still imply that u is increasing or is positive. We also consider the setting of sequential difference operators such as Delta(beta) o Delta(alpha) for suitable choices of the parameters alpha and beta. As is demonstrated by explicit examples, our results substantially improve some recent results in the literature and, moreover, shed light on some previous observations that heretofore were only able to be investigated by numerical simulations. We also provide applications of our results to an analysis of fractional-order initial value problems.</t>
  </si>
  <si>
    <t>Lizama, Carlos/E-5909-2011</t>
  </si>
  <si>
    <t>Lizama, Carlos/0000-0002-9807-1100</t>
  </si>
  <si>
    <t>0170-4214</t>
  </si>
  <si>
    <t>1099-1476</t>
  </si>
  <si>
    <t>10.1002/mma.9875</t>
  </si>
  <si>
    <t>WOS:001139910400001</t>
  </si>
  <si>
    <t>Muñoz-Becerra, K; Recio, FJ; Venegas, R; Zagal, JH</t>
  </si>
  <si>
    <t>Munoz-Becerra, Karina; Recio, Francisco J.; Venegas, Ricardo; Zagal, Jose H.</t>
  </si>
  <si>
    <t>An overview of the catalytic activity of MN4 molecular catalysts for the heterogeneous hydrogen evolution reaction</t>
  </si>
  <si>
    <t>CURRENT OPINION IN ELECTROCHEMISTRY</t>
  </si>
  <si>
    <t>The electrocatalysis of the Hydrogen Evolution Reaction (HER) has been studied on metal electrodes and alloys for many years, mainly involving precious metals like Pt. The search for MN4-macrocyclic molecular HER catalysts is rather recent and pursues to reduce the dependence on expensive Pt-based catalysts. Some MN4 complexes are cost-effective and exhibit good activity, but many improvements are needed. Their activity can be modulated by changes in the molecular and electronic structure and can serve as models for this re-action. Many publications combine experiments and theory to quantify the influence of the N4 ligand and the central metal on the electrocatalytic properties of these materials. Their confinement on electrode surfaces is also described. In this review, we discuss the recent progress in this area and the factors that lead to high catalytic activity in terms of the mo-lecular structure of catalysts and the influence of the nature of the support.</t>
  </si>
  <si>
    <t>zagal, jose/L-9648-2014; Venegas, Ricardo/U-6376-2019; Muñoz-Becerra, Karina/GPP-1386-2022; Recio, Javier/GVU-5031-2022</t>
  </si>
  <si>
    <t>Munoz-Becerra, Karina/0000-0001-9882-6342; Venegas, Ricardo/0000-0001-7440-484X; Zagal, Jose/0000-0002-5276-1042</t>
  </si>
  <si>
    <t>2451-9103</t>
  </si>
  <si>
    <t>10.1016/j.coelec.2023.101387</t>
  </si>
  <si>
    <t>OCT 2023</t>
  </si>
  <si>
    <t>WOS:001088439900001</t>
  </si>
  <si>
    <t>Nocetti-de-la-Barra, A; Soto, MM; Bravo, PM; Rojas, AB; Lantano, AS</t>
  </si>
  <si>
    <t>Nocetti-de-la-Barra, Alejandra; Soto, Maurine Munoz; Bravo, Pablo Montoya; Rojas, Alvaro Bustamante; Lantano, Alejandra Saez</t>
  </si>
  <si>
    <t>REFLECTIVE EXPERIENCE IN THE TEACHING NARRATIVE SEMINAR: A BRIDGE BETWEEN THE UNIVERSITY AND THE SCHOOL</t>
  </si>
  <si>
    <t>PERSPECTIVA EDUCACIONAL</t>
  </si>
  <si>
    <t>Teacher training processes traditionally obey a positivist epistemology that values theory more than knowledge built on experience, which is ineffective and would explain the separation between university and school. However, teachers construct professional knowledge that emerges from reflection on their own practice and guides their performance. In this regard, the writing of teachers' narratives is a way of reconstructing the experience through a reflective process that helps to acquire knowledge from the lived experience. Likewise, sharing between trainers, teachers and teachers in training implies moving towards a more horizontal relationship in the formative processes, in which the subjects tell their narratives and a collaborative professional learning experience takes place. In this context, the objective is to describe reflective experience of teachers and teachers in training in a seminar called Seminario Narrativo Docente (SND) based on an interdisciplinary, collaborative and interinstitutional approach. The research was interpretative; a case study was conducted with the participation of 48 in-service teachers and 88 teachers in training from two different universities in the Biobio region. Thirty-four interviews were conducted, ethical criteria were respected and data were subjected to content analysis. The results show that, initially, teacher reflection is conceived as an evaluative experience, which has hindered educational and university institutions because of its instrumental caracter. In addition, cultural aspects in schools such as individual teaching work, competitive environments and the overvaluation of administrative aspects, discourage systematic reflection. On the other hand, participation in the SND as a collective experience re-signifies the reflective practice, ceasing to be an evaluative and individual experience. On the contrary, it is recognized as an examination of one's own experience (narratives) in a collective that makes possible the construction of professional knowledge. The narrative experience in SND increases the awareness of the experience, diversifying the meanings attributed to the experience with the help of others. This leads to new interpretations of the teaching profession that give greater visibility and value to practical knowledge and to the collective reflection that favors its construction. It is concluded that the SND experience transformed the meaning of reflective practice and countered barriers such as: fear of being judged and the strong competition among teachers. This methodological approach, characterized by a reflective analysis shared among trainers, students and educational staffs, stimulates the collective construction of new meanings for teaching. The identification of theoretical concepts is achieved, which produces a certain re-signification and openness to new interpretations. In this way, the SND is a formative experience that links university and school through the recognition and valuation of practical knowledge built by the education personnel. Likewise, it diminishes the epistemological asymmetry, strengthening the articulation between the formative experience of the university and the educational institution.</t>
  </si>
  <si>
    <t>0718-9729</t>
  </si>
  <si>
    <t>10.4151/07189729-Vol.62-Iss.1-Art.1414</t>
  </si>
  <si>
    <t>WOS:001019127100003</t>
  </si>
  <si>
    <t>Aqueveque, P; Diaz, M; Gomez, B; Osorio, R; Pastene, F; Radrigan, L; Morales, A</t>
  </si>
  <si>
    <t>Aqueveque, Pablo; Diaz, Macarena; Gomez, Britam; Osorio, Rodrigo; Pastene, Francisco; Radrigan, Luciano; Morales, Anibal</t>
  </si>
  <si>
    <t>Embedded Electronic Sensor for Monitoring of Breathing Activity, Fitting and Filter Clogging in Reusable Industrial Respirators</t>
  </si>
  <si>
    <t>BIOSENSORS-BASEL</t>
  </si>
  <si>
    <t>Millions of workers are required to wear reusable respirators in several industries worldwide. Reusable respirators include filters that protect workers against harmful dust, smoke, gases, and vapors. These hazards may cause cancer, lung impairment, and diseases. Respiratory protection is prone to failure or misuse, such as wearing respirators with filters out of service life and employees wearing respirators loosely. Currently, there are no commercial systems capable of reliably alerting of misuse of respiratory protective equipment during the workday shifts or provide early information about dangerous clogging levels of filters. This paper proposes a low energy and non-obtrusive functional building block with embedded electronics that enable breathing monitoring inside an industrial reusable respirator. The embedded electronic device collects multidimensional data from an integrated pressure, temperature, and relative humidity sensor inside a reusable industrial respirator in real time and sends it wirelessly to an external platform for further processing. Here, the calculation of instantaneous breathing rate and estimation of the filter's respirator fitting and clogging level is performed. The device was tested with ten healthy subjects in laboratory trials. The subjects were asked to wear industrial reusable respirator with the embedded electronic device attached inside. The signals measured with the system were compared with airflow signals measured with calibrated transducers for validation purposes. The correlation between the estimated breathing rates using pressure, temperature, and relative humidity with the reference signal (airflow) is 0.987, 0.988 and 0.989 respectively, showing that instantaneous breathing rate can be calculated accurately using the information from the embedded device. Moreover, respirator fitting (well-fitted or loose condition) and filter's clogging levels (&lt;= 60%, 80% and 100% clogging) also can be estimated using features extracted from absolute pressure measurements combined to statistical analysis ANOVA models. These experimental outputs represent promising results for further development of data-driven prediction models using machine learning techniques to determine filters end-of-service life. Furthermore, the proposed system would collect relevant data for real-time monitoring of workers' breathing conditions and respirator usage, helping to improve occupational safety and health in the workplace.</t>
  </si>
  <si>
    <t>Pastene, Francisco/AAV-3345-2021; morales, anibal/AAA-1700-2019; Gómez, Britam/AAY-6534-2020; Aqueveque, Pablo/I-1463-2012</t>
  </si>
  <si>
    <t>Aqueveque, Pablo/0000-0001-9101-0383; Radrigan, Luciano/0000-0003-1276-123X; Diaz Cortes, Macarena/0000-0002-6481-5589; Morales, Anibal/0000-0002-5052-7682; Pastene, Francisco/0000-0001-7557-1826; Osorio, Rodrigo/0000-0002-4139-3969; Gomez, Britam/0000-0001-6563-2955</t>
  </si>
  <si>
    <t>2079-6374</t>
  </si>
  <si>
    <t>10.3390/bios12110991</t>
  </si>
  <si>
    <t>WOS:000895261800001</t>
  </si>
  <si>
    <t>Zárate, MS; Sierra, D; Goldflam, M</t>
  </si>
  <si>
    <t>Soledad Zarate, Maria; Sierra, Daniel; Goldflam, Margarita</t>
  </si>
  <si>
    <t>Origins and development of a national scientific policy in Chile: Conicyt, 1967-1981</t>
  </si>
  <si>
    <t>HISTORIA CIENCIAS SAUDE-MANGUINHOS</t>
  </si>
  <si>
    <t>In 1967, the founding of the Comision Nacional de Investigacion Cientifica y Tecnologica (Conicyt) constituted a milestone by creating a national and public body, different from the university, which coordinated and financed scientific -technological activity, linked to the productive development in Chile, and the history of Latin American research councils. Conicyt led a demanding process by debating the contents of a scientific policy in a period in which Chile experienced opposing political-economic development models that conditioned its formulation and objectives. This article characterizes the origins and development of this commission from 1967 to 1981 when the Fondo Nacional de Ciencia y Tecnologia was created and a new institutional stage began.</t>
  </si>
  <si>
    <t>0104-5970</t>
  </si>
  <si>
    <t>1678-4758</t>
  </si>
  <si>
    <t>OCT-DEC</t>
  </si>
  <si>
    <t>10.1590/S0104-59702022000400005</t>
  </si>
  <si>
    <t>WOS:000904518700001</t>
  </si>
  <si>
    <t>Belinchón, JA; Cornejo-Pérez, O; Cruz, N</t>
  </si>
  <si>
    <t>Belinchon, Jose Antonio; Cornejo-Perez, Octavio; Cruz, Norman</t>
  </si>
  <si>
    <t>Exact solutions of a causal viscous FRW cosmology within the Israel-Stewart theory through factorization</t>
  </si>
  <si>
    <t>GENERAL RELATIVITY AND GRAVITATION</t>
  </si>
  <si>
    <t>In this paper we find exact analytic cosmological solutions for a relativistic dissipative fluid, in the framework of the causal Israel-Stewart theory. We use a general expression for the relaxation time, which is related with the bulk viscosity coefficient, the energy density and pressure of the fluid, and non-adiabatic contribution to the speed of sound. Through the factorization method we find some new exact parametric solutions for the special case s = 1/2. For each solution the deceleration parameter, the energy density, the dissipative pressure, the entropy, and the ratio between the dissipative pressure and the fluid's pressure are evaluated as a function of the cosmic time. We finally discuss the kinematic behavior of the solutions and their relationship with their thermodynamic behavior.</t>
  </si>
  <si>
    <t>Belinchón, José Antonio/HHY-9618-2022</t>
  </si>
  <si>
    <t>Jose Antonio, Belinchon/0000-0001-9731-8581; Cruz, Norman/0000-0002-0737-3497</t>
  </si>
  <si>
    <t>0001-7701</t>
  </si>
  <si>
    <t>1572-9532</t>
  </si>
  <si>
    <t>10.1007/s10714-021-02895-z</t>
  </si>
  <si>
    <t>WOS:000745019800001</t>
  </si>
  <si>
    <t>Pavez, C; González-Muñoz, B; O'Brien, JA; Laurie, VF; Osorio, F; Núñez, E; Vega, RE; Bordeu, E; Brossard, N</t>
  </si>
  <si>
    <t>Pavez, Carolina; Gonzalez-Munoz, Beatriz; O'Brien, Jose A.; Felipe Laurie, V; Osorio, Fernando; Nunez, Emerson; Vega, Ricardo E.; Bordeu, Edmundo; Brossard, Natalia</t>
  </si>
  <si>
    <t>Red wine astringency: Correlations between chemical and sensory features</t>
  </si>
  <si>
    <t>LWT-FOOD SCIENCE AND TECHNOLOGY</t>
  </si>
  <si>
    <t>Thirty-seven red wines from different varieties, origins, and styles were characterized to identify the chemical parameters that better correlate with wine astringency. Principal Component Analysis showed that tannin content was the most important parameter influencing overall astringency and its sub-quality dryness, followed by polyphenolic content, color index and, to a lesser extent, pH and alcoholic degree. Given that astringency is a textural sensation caused by the interaction between salivary proteins and tannins, a comparison between two tannin precipitation assays (i.e., methylcellulose, MCP; and Harbertson-Adams assays, HA) were performed to evaluate their ability as estimators of red wine astringency. Results of the sensory correlations showed that MCP and HA have a different behavior toward intensity of astringency and dryness, mainly influenced by the tannin concentration. HA exhibited a sigmoidal behavior with a better astringency predictive performance at low and mid tannin concentration range, whilst MCP showed a linear behavior with a better performance at high tannin concentration range.</t>
  </si>
  <si>
    <t>Brossard, Natalia/ABH-2990-2021; O'Brien, Jose/AAN-8430-2020; Laurie, Felipe/C-4041-2012; Pavez Moreno, Carolina/AHI-1364-2022; osorio, fernando/AAY-7304-2021</t>
  </si>
  <si>
    <t>Laurie, Felipe/0000-0003-4465-2337; Brossard, Natalia/0000-0001-7444-8869; Nunez Ferrada, Emerson Andres/0000-0002-5335-6065; osorio, fernando/0000-0001-7206-0924</t>
  </si>
  <si>
    <t>0023-6438</t>
  </si>
  <si>
    <t>1096-1127</t>
  </si>
  <si>
    <t>10.1016/j.lwt.2021.112656</t>
  </si>
  <si>
    <t>NOV 2021</t>
  </si>
  <si>
    <t>WOS:000714774600003</t>
  </si>
  <si>
    <t>García-Muñoz, F; Díaz-González, F; Corchero, C</t>
  </si>
  <si>
    <t>Garcia-Munoz, Fernando; Diaz-Gonzalez, Francisco; Corchero, Cristina</t>
  </si>
  <si>
    <t>A novel algorithm based on the combination of AC-OPF and GA for the optimal sizing and location of DERs into distribution networks</t>
  </si>
  <si>
    <t>SUSTAINABLE ENERGY GRIDS &amp; NETWORKS</t>
  </si>
  <si>
    <t>This article proposes an algorithm to obtain an optimal local solution for the network planning process related to the optimal integration of different renewable energy sources (RES) and different Battery Energy Storage Systems (BESS) into a distribution network (DN). The algorithm provides strategic information related to investment and operation costs regarding the type of technology, location, and sizing. The mathematical formulation is based on an AC optimal power flow (OPF) to ensure the network's minimal stability conditions. Besides, through the use of linearization and a modified version of a genetic algorithm (GA), the algorithm proposed breaks the 24 h wall, used until now in the literature, and extend it to 8760 h, which represents a much more realistic scenario to define the storage and power generation capacity of a DN in a planning context. The algorithm has been tested in a modified version of the IEEE 33-bus considering two cases of study: an off-grid case and grid-connected case, to measure the CapEx and OpEx variability, achieving to show that a grid-connected system reduces the installed capacity of DG and BESS in 37.4% and the CapEx 22.8%. (C) 2021 Elsevier Ltd. All rights reserved.</t>
  </si>
  <si>
    <t>Corchero, Cristina/G-5229-2013; García-Muñoz, Fernando/AAX-9963-2020</t>
  </si>
  <si>
    <t>Garcia-Munoz, Fernando/0000-0001-9376-4357</t>
  </si>
  <si>
    <t>2352-4677</t>
  </si>
  <si>
    <t>10.1016/j.segan.2021.100497</t>
  </si>
  <si>
    <t>MAY 2021</t>
  </si>
  <si>
    <t>WOS:000692827300001</t>
  </si>
  <si>
    <t>Rojas, P; Castro, SA; Vila, I; Jaksic, FM</t>
  </si>
  <si>
    <t>Rojas, Pablo; Castro, Sergio A.; Vila, Irma; Jaksic, Fabian M.</t>
  </si>
  <si>
    <t>Exotic species modify the functional diversity patterns of freshwater fish assemblages in continental Chile: Examining historical and geographical patterns</t>
  </si>
  <si>
    <t>GLOBAL ECOLOGY AND CONSERVATION</t>
  </si>
  <si>
    <t>The Neotropical region is an important reservoir of functional diversity of freshwater fish in the world. Recent studies have shown that functional and taxonomic diversity in this region has increased as a consequence of the introduction of exotic species. However, little is known about how this phenomenon has modified functional diversity at the watershed level. In the present study, we analyze the spatio-temporal changes of functional diversity in 22 watersheds of continental Chile, hypothesizing that the introduction of exotic species could have contributed to increasing and homogenizing the functional diversity within and among watersheds. Toward this purpose, we implemented measures of functional diversity (F-Ric), beta-diversity (F-Div), turnover (F-tur), and nestedness (F-nes) in two compositional stages, which we call historical and current. The former considered the most probable composition of native species prior to European colonization, while the latter considered the current distribution of native and exotic species. For these two stages, we determined the changes in (F-Ric, F-Div, F-tur, and F-nes between pairs of watersheds, as well as the effect of geographic distance. Our results showed that, on average, F-Ric has increased its historical value by 156%; on the other hand, Delta F-Div and Delta F-tur decreased significantly from its historical composition to current one (Delta F-Div =-7.4%; Delta F-tur =-13.2%; both P &lt; 0.05), while nestedness showed no significant changes (Delta F-nes =-3.6%; P &gt; 0.05), while Delta F-nes did not show a significant correlation with distance (r = 0.178; P &gt; 0.05). These results indicate that exotic species (a) have increased functional diversity in local assemblages, because they display historically absent functional features; and (b) have promoted functional homogenization between assemblages, which is more intense between geographically more distant ones. These findings suggest that, due to their functional features, the presence of exotic species poses a probable risk for the functional stability of watersheds in continental Chile, and that it is necessary to implement conservation measures to protect this unique fish fauna. (C) 2020 The Authors. Published by Elsevier B.V. This is an open access article under the CC BY-NC-ND license.</t>
  </si>
  <si>
    <t>Jaksic, Fabian M./G-1705-2014</t>
  </si>
  <si>
    <t>Jaksic, Fabian M./0000-0003-0098-0291</t>
  </si>
  <si>
    <t>2351-9894</t>
  </si>
  <si>
    <t>e01355</t>
  </si>
  <si>
    <t>10.1016/j.gecco.2020.e01355</t>
  </si>
  <si>
    <t>WOS:000608479000014</t>
  </si>
  <si>
    <t>Berroeta, H; de Carvalho, LP; Castillo-Sepúlveda, J; Opazo, L</t>
  </si>
  <si>
    <t>Berroeta, Hector; Pinto de Carvalho, Lais; Castillo-Sepulveda, Jorge; Opazo, Luis</t>
  </si>
  <si>
    <t>Sociospatial ties and postdisaster reconstruction: An analysis of the assemblage in the mega-fire of Valparaiso</t>
  </si>
  <si>
    <t>JOURNAL OF COMMUNITY PSYCHOLOGY</t>
  </si>
  <si>
    <t>Disasters affect sociospatial links in a dynamic and unstable meshwork of aspects that are reconfigured. In this sense, accounting for this complexity is central to analyze the transformation of the sociospatial linkage of the affected people and communities. Addressing from community environmental psychology, we propose the concept of assemblage to guide a situated reading of subjective, material, and community aspects present in a reconstruction process after a disaster. Following a qualitative methodology, using spatially referenced narrative interviews (n = 16) and thematic analysis, it is described how these links are presented in a community that lived the mega-fire of a part of the city of Valparaiso in Chile. The results describe that the experience of being a community is a variable flow within a process defined by an ever-emerging configuration of spatial, technological, personal, social, and sensory characteristics. We conclude by pointing out the qualities of the communities when considered from an assemblage perspective.</t>
  </si>
  <si>
    <t>Pinto de Carvalho, Laís/AAX-4736-2020; Castillo-Sepulveda, Jorge/E-8632-2014</t>
  </si>
  <si>
    <t>Pinto de Carvalho, Lais/0000-0002-9326-515X; Castillo-Sepulveda, Jorge/0000-0002-6315-3798; Opazo, Luis/0000-0003-3523-0001; Berroeta, Hector/0000-0002-5742-8193</t>
  </si>
  <si>
    <t>0090-4392</t>
  </si>
  <si>
    <t>1520-6629</t>
  </si>
  <si>
    <t>10.1002/jcop.22431</t>
  </si>
  <si>
    <t>AUG 2020</t>
  </si>
  <si>
    <t>WOS:000564231600001</t>
  </si>
  <si>
    <t>Zúñiga-Núñez, D; Mura, F; Zamora, RA; Poblete, H; Fuentealba, D; Aspée, A</t>
  </si>
  <si>
    <t>Zuniga-Nunez, Daniel; Mura, Francisco; Zamora, Ricardo A.; Poblete, Horacio; Fuentealba, Denis; Aspee, Alexis</t>
  </si>
  <si>
    <t>Cinnamoyl-coumarin hybrid derivatives with remarkable fluorescent molecular-rotor properties in mixtures of DPPC:DOPC LUVs</t>
  </si>
  <si>
    <t>DYES AND PIGMENTS</t>
  </si>
  <si>
    <t>Cinnamoyl coumarin probes acting as fluorescent molecular-rotors were used for evaluating microenvironments in DPPC:DOPC liposomes. For this purpose, derivatization with aliphatic chains between 5 and 12 carbons was used for maximizing interaction with lipid membranes. These probes showed a decrease in the fluorescence intensities and hypsochromic shifts in fluid DOPC and DPPC:DOPC in comparison with DPPC. In particular, for C-CH-5 and C-CH-12, in DPPC:DOPC (1:1) were observed shorter fluorescence lifetimes tau(1) associated to the TICT excited state, as well as, an increase on the contribution of the tau(3) associated to the ICT excited state, in comparison with other lipid proportions and even pure DPPC and DOPC. Interestingly, all the probes showed one rotational correlation time phi(1) in DPPC associated with the restricted environment. However, in fluid DOPC and DPPC:DOPC lipid membranes, the long aliphatic chain probes (C-CH-8, 10, and 12) exhibited a faster rotational correlation time phi(1) than in DPPC and also a larger phi(2), that indicate the existence of two different environments. The most favorable orientations for C-CH-8 cinnamoyl-coumarin was estimated by employing Molecular Dynamics simulation and an enhanced sampling method. Moreover, the results show two energetic minima corresponding to the most favorable orientations of the probe in the mixture of DPPC:DOPC. These orientations are surrounded by different lipid compositions, which would explain the two rotational correlation times in the lipid mixture.</t>
  </si>
  <si>
    <t>Poblete, Horacio/J-9781-2012; Zamora, Ricardo/O-8717-2018; Fuentealba, Denis/R-9880-2016</t>
  </si>
  <si>
    <t>Zamora, Ricardo/0000-0002-7707-7482; Zuniga, Daniel/0000-0001-9967-1653; Mura Mardones, Francisco/0000-0003-0463-1814; Fuentealba, Denis/0000-0003-4798-7204</t>
  </si>
  <si>
    <t>0143-7208</t>
  </si>
  <si>
    <t>1873-3743</t>
  </si>
  <si>
    <t>10.1016/j.dyepig.2020.108356</t>
  </si>
  <si>
    <t>WOS:000525304400031</t>
  </si>
  <si>
    <t>Martínez, P; Contreras, D; Moreno, M</t>
  </si>
  <si>
    <t>Martinez, Pablo; Contreras, Daniela; Moreno, Monica</t>
  </si>
  <si>
    <t>Safe mobility, socioeconomic inequalities, and aging: A 12-year multilevel interrupted time-series analysis of road traffic death rates in a Latin American country</t>
  </si>
  <si>
    <t>As the resources for road safety in developing countries are scarce and unevenly distributed, vulnerable road users-such as the elderly- may be particularly at risk of road traffic deaths. To date, the impact of road safety measures over the rate of road traffic deaths in older adults (60 years or older), considering the within-country socioeconomic inequalities, has not been explored in developing nations. This study takes the Chilean case as an example -with its 2005 traffic law reform as one of the road safety measures investigated-, in which open data available from official national sources for all its 13 regions over the 2002-2013 period were used for a multilevel interrupted time-series analysis. A statistically significant secular reduction of the rates of road traffic deaths in the elderly population was found (incidence rate ratio [IRR] 0.95, 95% confidence interval [CI] 0.91 to 0.99), but no evidence for a significant intercept or slope change after the traffic law reform was observed. Regions with the highest number of traffic offenses prosecuted in local police courts had lower rates of road traffic deaths in older adults (IRR 0.95, 95% CI 0.90 to 1.00), and those regions in the third (IRR 1.61, 95% CI 1.16 to 2.25) and the fifth (IRR 1.66, 95% CI 1.08 to 2.54) quintiles of socioeconomic deprivation had higher rates of road traffic deaths in the elderly. Such findings strongly support the conceptualization of the road safety of seniors in developing countries as a social equity issue, with implications for the design of traffic regulations and road environments.</t>
  </si>
  <si>
    <t>Martinez, Pablo/0000-0003-4482-7993</t>
  </si>
  <si>
    <t>e0224545</t>
  </si>
  <si>
    <t>10.1371/journal.pone.0224545</t>
  </si>
  <si>
    <t>WOS:000534333800007</t>
  </si>
  <si>
    <t>Cerda, C; Rojas, F; Pineda, C; Pereda, J; Diaz, M; Salgado, J; Droguett, G; Valdés, D; Gatica, G</t>
  </si>
  <si>
    <t>Cerda, Carlos; Rojas, Felix; Pineda, Cristian; Pereda, Javier; Diaz, Matias; Salgado, Jordan; Droguett, Gabriel; Valdes, Dario; Gatica, Gustavo</t>
  </si>
  <si>
    <t>Inductor design for a High performance DC-DC Modular Multilevel Converter</t>
  </si>
  <si>
    <t>2019 IEEE CHILEAN CONFERENCE ON ELECTRICAL, ELECTRONICS ENGINEERING, INFORMATION AND COMMUNICATION TECHNOLOGIES (CHILECON)</t>
  </si>
  <si>
    <t>IEEE CHILEAN Conference on Electrical, Electronics Engineering, Information and Communication Technologies (CHILECON)</t>
  </si>
  <si>
    <t>OCT 29-31, 2019</t>
  </si>
  <si>
    <t>Valparaiso, CHILE</t>
  </si>
  <si>
    <t>IEEE Consejo Cono Sur,IEEE Consejo Chile,Chilean Assoc Automat Control,IEEE Chilean Chapter ontrol Syst,IEEE Chilean Chapter SMC,Univ Catolica Valparaiso Chile, Escuela Ingn Informatica, Fac Ingn Pontificia,IEEE,IEEE Syst Man &amp; Cybernet Soc,Chilean AssocElect &amp; Elect Ind,IEEE Control Syst Soc</t>
  </si>
  <si>
    <t>In this paper is presented a simple method to design an inductor for high performance on a DC-DC Modular Multilevel Converter(MMC). This element is one of the main limitations for a proper fulfilment. A high-frequency inductor for high power applications is a key element to achieve high efficiency in such type of converters. The theoretical design of the inductor is compared with an experimental prototype, which is then implemented in a high-power DC-DC converter. Experimental results validate the accuracy of the theoretical design and the improvements in the efficiency of the overall DC-DC high power converter.</t>
  </si>
  <si>
    <t>Rojas, Felix/U-3305-2019; gatica, gustavo/KXR-7308-2024; Diaz, Matias/R-7570-2018; Pereda Torres, Javier/F-8244-2013</t>
  </si>
  <si>
    <t>Droguett, Gabriel/0000-0003-4858-0369; Diaz, Matias/0000-0003-4489-9532; Pereda Torres, Javier/0000-0002-3407-5233</t>
  </si>
  <si>
    <t>978-1-7281-3185-6</t>
  </si>
  <si>
    <t>10.1109/chilecon47746.2019.8988111</t>
  </si>
  <si>
    <t>WOS:000542919100212</t>
  </si>
  <si>
    <t>Polloni, DF</t>
  </si>
  <si>
    <t>Contreras, RO; Polloni, DF; Orozco, JLM; Rucker, U; Canal, CY</t>
  </si>
  <si>
    <t>Faure Polloni, Daniel</t>
  </si>
  <si>
    <t>Education Education (Popular) and Cultural Management (Community) Contributions to understand its relationship from Nuestramerican perspective</t>
  </si>
  <si>
    <t>CONCEPTOS CLAVE DE LA GESTION CULTURAL: ENFOQUES DESDE LATINOAMERICA, VOL I</t>
  </si>
  <si>
    <t>Fauré Polloni, Daniel/AAQ-6023-2021</t>
  </si>
  <si>
    <t>978-956-8416-74-4</t>
  </si>
  <si>
    <t>WOS:000480324700008</t>
  </si>
  <si>
    <t>Pérez-Cruz, K; Moncada-Basualto, M; Morales-Valenzuela, J; Barriga-González, G; Navarrete-Encina, P; Núñez-Vergara, L; Squella, JA; Olea-Azar, C</t>
  </si>
  <si>
    <t>Perez-Cruz, Karina; Moncada-Basualto, Mauricio; Morales-Valenzuela, Javier; Barriga-Gonzalez, German; Navarrete-Encina, Patricio; Nunez-Vergara, Luis; Squella, J. A.; Olea-Azar, Claudio</t>
  </si>
  <si>
    <t>Synthesis and antioxidant study of new polyphenolic hybrid-coumarins</t>
  </si>
  <si>
    <t>ARABIAN JOURNAL OF CHEMISTRY</t>
  </si>
  <si>
    <t>The antioxidant capacity of hydroxylated coumarins and hydroxybenzoic acids has been widely described. However, there is little information on the antioxidant activity when both systems are functionalized. In this work, new hybrid compounds synthesis with a common coumarin scaffold and hydroxybenzoic acids is described. Their antioxidant capacity was evaluated against reactive oxygen species (ROS) using oxygen radical absorbance capacity-fluorescein (ORAC-FL), electron spin resonance (ESR) spin trapping, quenching of superoxide anion, cellular antioxidant activity (CAA) and a ferric reducing ability of plasma (FRAP assay). Additionally, the local reactivity indicator (Fukui index) was calculated to discriminate different reactive sites in the new molecules in which the oxidative process occurs. Likewise, the BDE values were calculated in order to obtain information about the antioxidant capacity for HAT mechanisms. The insertion of organic phenols in a simple coumarin structure produced new derivatives with an improved antioxidant capacity in relation to coumarin 1a. For compound 3c, a synergy phenomenon in ORAC-FL and the FRAP test was observed. For compound 3b, this phenomenon was observed in the superoxide scavenging test. According to the CAA assay results, the activity of the new compounds is limited to those oxidative processes in lipophilic media (e.g., bio membranes). (C) 2017 The Authors. Production and hosting by Elsevier B.V. on behalf of King Saud University.</t>
  </si>
  <si>
    <t>moncada, mauricio/HHN-6394-2022; Squella, Juan Arturo/A-5093-2009; OLEA AZAR, CLAUDIO/I-1605-2013</t>
  </si>
  <si>
    <t>moncada, mauricio/0000-0003-1733-9126; Morales Valenzuela, Javier Eduardo/0000-0002-9880-2567; Barriga-Gonzalez, German/0000-0002-9628-2414; Squella, Juan Arturo/0000-0003-0362-4399; OLEA AZAR, CLAUDIO/0000-0001-5805-0746</t>
  </si>
  <si>
    <t>1878-5352</t>
  </si>
  <si>
    <t>1878-5379</t>
  </si>
  <si>
    <t>10.1016/j.arabjc.2017.05.007</t>
  </si>
  <si>
    <t>WOS:000438122800008</t>
  </si>
  <si>
    <t>Alamos, P; Tello, M; Bustamante, P; Gutiérrez, F; Shmaryahu, A; Maldonado, J; Levicán, G; Orellana, O</t>
  </si>
  <si>
    <t>Alamos, Pamela; Tello, Mario; Bustamante, Paula; Gutierrez, Fernanda; Shmaryahu, Amir; Maldonado, Juan; Levican, Gloria; Orellana, Omar</t>
  </si>
  <si>
    <t>Functionality of tRNAs encoded in a mobile genetic element from an acidophilic bacterium</t>
  </si>
  <si>
    <t>RNA BIOLOGY</t>
  </si>
  <si>
    <t>The genome of the acidophilic, bioleaching bacterium Acidithiobacillus ferrooxidans, strain ATCC 23270, contains 95 predicted tRNA genes. Thirty-six of these genes (all 20 species) are clustered within an actively excising integrative-conjugative element (ICEAfe1). We speculated that these tRNA genes might have a role in adapting the bacterial tRNA pool to the codon usage of ICEAfe1 genes. To answer this question, we performed theoretical calculations of the global tRNA adaptation index to the entire A. ferrooxidans genome with and without the ICEAfe1 encoded tRNA genes. Based on these calculations, we observed that tRNAs encoded in ICEAfe1 negatively contribute to adapt the tRNA pool to the codon use in A. ferrooxidans. Although some of the tRNAs encoded in ICEAfe1 are functional in aminoacylation or protein synthesis, we found that they are expressed at low levels. These findings, along with the identification of a tRNA-like RNA encoded in the same cluster, led us to speculate that tRNA genes encoded in the mobile genetic element ICEAfe1 might have acquired mutations that would result in either inactivation or the acquisition of new functions.</t>
  </si>
  <si>
    <t>Bustamante, Paula/LIF-3295-2024; Tello, Mario/N-4198-2019; Levican, Gloria/R-5191-2019</t>
  </si>
  <si>
    <t>Tello, Mario/0000-0003-4573-6460; Bustamante, Paula/0000-0001-7200-4439; Levican, Gloria/0000-0002-1275-7399</t>
  </si>
  <si>
    <t>1547-6286</t>
  </si>
  <si>
    <t>1555-8584</t>
  </si>
  <si>
    <t>4-5</t>
  </si>
  <si>
    <t>10.1080/15476286.2017.1349049</t>
  </si>
  <si>
    <t>WOS:000441672400011</t>
  </si>
  <si>
    <t>Araya, M; García, S; González-Teuber, M</t>
  </si>
  <si>
    <t>Araya, Michael; Garcia, Samantha; Gonzalez-Teuber, Marcia</t>
  </si>
  <si>
    <t>Rapid Identification and Simultaneous Quantification of Aristolochic Acids by HPLC-DAD and Confirmations by MS in Aristolochia chilensis Using a Limited Biomass</t>
  </si>
  <si>
    <t>JOURNAL OF ANALYTICAL METHODS IN CHEMISTRY</t>
  </si>
  <si>
    <t>Six aristolochic acids were identified in the Chilean species Aristolochia chilensis using high-performance liquid chromatography coupled to a diode array detector (HPLC-DAD) and subsequent confirmation with mass spectrometry (MS). The fractions of each signal were collected and injected directly into an Orbitrap mass detector model Q Exactive Focus (Thermo Scientific). The acids extraction was done with 0.10-0.50 g of lyophilized and pulverized sample and concentrated in Soxhlet extraction equipment. The liquid-liquid separations and a subsequent solid phase extraction (SPE) C18 were performed using 100 mu L of the extract that contains the aristolochic acids present in the Aristolochia chilensis plant. The HPLC conditions used a single mobile phase acetonitrile : water (1 : 1) acidified with 0.1% acetic acid and an isocratic elution to 1 mL.min(-1). The column InertSustain C18 250 x 4.6 mm and 3 mu m was used, the injection volume was 20 mu L, and the time of run was reduced to 15 min. Calibration curves were constructed with r(2) being 0.9997. The quantification limit for AAI was 0.138 +/- 0.010 mu g/mL, and for AAII, it was 0.558 +/- 0.042 mu g/mL.</t>
  </si>
  <si>
    <t>González-Teuber, Marcia/ABH-2318-2021</t>
  </si>
  <si>
    <t>Gonzalez-Teuber, Marcia/0000-0003-0565-9333</t>
  </si>
  <si>
    <t>2090-8865</t>
  </si>
  <si>
    <t>2090-8873</t>
  </si>
  <si>
    <t>10.1155/2018/5036542</t>
  </si>
  <si>
    <t>WOS:000435808800001</t>
  </si>
  <si>
    <t>Aranda, CS; Wandalsen, G; Fonzar, L; Bianca, ACD; Mallol, J; Solé, D</t>
  </si>
  <si>
    <t>Aranda, C. S.; Wandalsen, G.; Fonzar, L.; Bianca, A. C. D.; Mallol, J.; Sole, D.</t>
  </si>
  <si>
    <t>Risk factors for recurrent wheezing - International Study of Wheezing in Infants (EISL) phase 3</t>
  </si>
  <si>
    <t>ALLERGOLOGIA ET IMMUNOPATHOLOGIA</t>
  </si>
  <si>
    <t>Background: We aimed to identify factors associated with recurrent wheezing (RW) in infants in the first year of life living in the Southern region of Sao Paulo city and participating in the Estudio Internacional de Sibilancias en Lactantes (EISL) - phase 3 (P3). Methods: 1335 parents of infants who were attended in primary care health units in the Southern region of Sao Paulo city from 2009 to 2010 answered the EISL-P3 written questionnaire. The wheezing group was stratified in accordance to the frequency of wheezing episodes as occasional wheezing (OW, less than three episodes), or RW (three or more episodes). Wheezing-associated factors were evaluated using multivariate analysis and were expressed as odds ratio (OR) and 95% confidence interval (95%CI). Results: The most relevant factors related to OW were pneumonia (OR = 3.10, 95%CI=1.68-5.73), hospitalisation due to pneumonia (OR = 2.88, 95%CI = 1.26-6.56) and recurrent upper respiratory infection (URI, OR = 1.87, 95%CI = 1.25-2.81). Regarding RW, recurrent URI (OR = 5.34, 95%CI = 3.83-7.45), pneumonia (OR= 4.06, 95%CI = 2.87-5.74) and asthmatic siblings (OR= 3.02, 95%CI = 1.67-5.45) were the most significantly associated factors. Conclusions: In the present study, we found that recurrent URI, positive history of pneumonia and familiar history of asthma were the most relevant factors associated with RW. The precocious knowledge of these factors can enable the identification of the probable asthmatic infants and can improve both prevention strategies and treatment of these patients. (C) 2014 SEICAP. Published by Elsevier Espana, S.L.U. All rights reserved.</t>
  </si>
  <si>
    <t>Solé, Dirceu/JAO-0340-2023; Wandalsen, Gustavo/D-8412-2013</t>
  </si>
  <si>
    <t>Mallol, Javier/0000-0003-2528-8672</t>
  </si>
  <si>
    <t>0301-0546</t>
  </si>
  <si>
    <t>1578-1267</t>
  </si>
  <si>
    <t>JAN-FEB</t>
  </si>
  <si>
    <t>10.1016/j.aller.2015.05.011</t>
  </si>
  <si>
    <t>WOS:000369047300002</t>
  </si>
  <si>
    <t>Meyer, R; Romeo, JS</t>
  </si>
  <si>
    <t>Meyer, Renate; Romeo, Jose S.</t>
  </si>
  <si>
    <t>Bayesian semiparametric analysis of recurrent failure time data using copulas</t>
  </si>
  <si>
    <t>BIOMETRICAL JOURNAL</t>
  </si>
  <si>
    <t>International Biometric Satellite Conference (IBC)</t>
  </si>
  <si>
    <t>JUL 02-04, 2014</t>
  </si>
  <si>
    <t>Zurich, SWITZERLAND</t>
  </si>
  <si>
    <t>Univ Zuric</t>
  </si>
  <si>
    <t>The analysis of recurrent event data is of particular importance in medical statistics where patients suffering from chronic diseases often present with multiple recurring relapses or cancer patients experience several tumor recurrences. Whereas individual subjects can be assumed to be independent, the times between events of one subject are neither independent nor identically distributed. Apart from the marginal approach by Wei etal. (), the shared frailty model, see for example Duchateau and Janssen (), has been used extensively to analyze recurrent event data, where the correlation between sequential times is implicitly taken into account via a random effect. Oakes () and Romeo etal. () showed and exemplified the equivalence of frailty models for bivariate survival data to Archimedean copulas. Despite the fact that copula-based models have been used to model parallel survival data, their application to recurrent failure time data has only recently been suggested by Lawless and Yilmaz () for the bivariate case. Here, we extend this to more than two recurrent events and model the joint distribution of recurrent events explicitly using parametric copulas within a Bayesian framework. This framework allows for parametric as well as a nonparametric modeling of the marginal baseline hazards and models the influence of covariates on the marginals via a proportional hazards assumption. Furthermore, the parameters of the copula may also depend on the covariates. We illustrate the flexibility of this approach using data from an asthma prevention trial in young children.</t>
  </si>
  <si>
    <t>Romeo, Jose/J-6496-2019</t>
  </si>
  <si>
    <t>Romeo, Jose/0000-0002-6707-3429; Meyer, Renate/0000-0003-0268-8569</t>
  </si>
  <si>
    <t>0323-3847</t>
  </si>
  <si>
    <t>1521-4036</t>
  </si>
  <si>
    <t>10.1002/bimj.201400125</t>
  </si>
  <si>
    <t>WOS:000363419700004</t>
  </si>
  <si>
    <t>Moraes, LSL; Takano, OA; Mallol, J; Solé, D</t>
  </si>
  <si>
    <t>Moraes, Lillian S. L.; Takano, Olga A.; Mallol, Javier; Sole, Dirceu</t>
  </si>
  <si>
    <t>Risk factors associated with wheezing in infants</t>
  </si>
  <si>
    <t>Objective: to identify possible risk factors associated with wheezing in infants (12-15 months-old) in the state of Mato Grosso, Brazil. Methods: this was a cross-sectional study performed by applying a standardized written questionnaire from the international study on wheezing in infants (Estudio Internacional de Sibilancia en Lactantes - EISL), phase 3. Parents and/or guardians of infants were interviewed at primary health care clinics or at home from August of 2009 to November of 2010. Factors associated to wheezing were studied using bivariate and multivariate analysis (using the Statistical Package for Social Sciences [SPSS] v.18.0), and expressed as odds ratios (OR) and 95% confidence intervals (95% CI). Results: the written questionnaire was answered by 1,060 parents and/or guardians. The risk factors for wheezing were: history of asthma in the family [mother (OR = 1.62; 95% CI = 1.07-2.43); father (OR = 1.98; 95% CI = 1.22-3.23); siblings (OR = 2.13; 95% CI = 1.18-3.87)]; history of previous pneumonia (OR = 10.80; 95% CI = 4.52-25.77); having had more than six upper respiratory tract infections (URTIs) (OR = 2.95; 95% CI = 2.11-4.14); having had first URTI before the third month of life (OR = 1.50; 95% CI = 1.04-2.17); living in a moderately polluted area (OR = 1.59; 95% CI = 1.08-2.33); paracetamol use for URTI (OR = 2.13; 95% CI = 1.54-2.95); and antibiotic use for skin infection (OR = 2.29; 95% CI = 1.18-4.46). Conclusions: the study of risk factors for wheezing in the first year of life is important to help physicians identify young children at high risk of developing asthma and to improve public health prevention strategies in order to reduce the morbidity of wheezing in childhood. (C) 2013 Sociedade Brasileira de Pediatria. Published by Elsevier Editora Ltda. All rights reserved.</t>
  </si>
  <si>
    <t>TAKANO, OLGA/AAA-8473-2019; Solé, Dirceu/JAO-0340-2023</t>
  </si>
  <si>
    <t>NOV-DEC</t>
  </si>
  <si>
    <t>10.1016/j.jped.2013.04.004</t>
  </si>
  <si>
    <t>WOS:000328910100008</t>
  </si>
  <si>
    <t>Bidaut-Véron, MF; García-Huidobro, M; Yarur, C</t>
  </si>
  <si>
    <t>Bidaut-Veron, Marie-Francoise; Garcia-Huidobro, Marta; Yarur, Cecilia</t>
  </si>
  <si>
    <t>KELLER-OSSERMAN ESTIMATES FOR SOME QUASILINEAR ELLIPTIC SYSTEMS</t>
  </si>
  <si>
    <t>COMMUNICATIONS ON PURE AND APPLIED ANALYSIS</t>
  </si>
  <si>
    <t>In this article we study quasilinear systems of two types, in a domain Omega of R-N : with absorption terms, or mixed terms: (A) {A(p)u = v(delta), A(q)v = u(mu), (M) {A(p)u = v(delta), -A(q)v = u(mu), where delta, mu &gt; 0 and 1 &lt; p, q &lt; N, and D = delta mu - (p - 1)(q - 1) &gt; 0; the model case is A(p) = Delta(p), A(q) = Delta q. Despite of the lack of comparison principle, we prove a priori estimates of Keller-Osserman type: u(x) &lt;= Cd(x, partial derivative Omega)-p(q - 1)+q delta/D, v(x) &lt;= Cd(x, partial derivative Omega)-q(p -1)+ p mu/D. Concerning system (M); we show that v always satisfies Harnack inequality. In the case Omega = B (0, 1) \ {0}, we also study the behaviour near 0 of the solutions of more general weighted systems, giving a priori estimates and removability results. Finally we prove the sharpness of the results.</t>
  </si>
  <si>
    <t>García-Huidobro, Marta/JJE-8451-2023</t>
  </si>
  <si>
    <t>1534-0392</t>
  </si>
  <si>
    <t>10.3934/cpaa.2013.12.1547</t>
  </si>
  <si>
    <t>WOS:000313274100003</t>
  </si>
  <si>
    <t>Rabagliati, FM; Yañez, DE; Canales, D; Quijada, R; Zapata, PA</t>
  </si>
  <si>
    <t>Rabagliati, Franco M.; Yanez, Daniela E.; Canales, Daniel; Quijada, Raul; Zapata, Paula A.</t>
  </si>
  <si>
    <t>Styrene copolymerization using a metallocene-MAO initiator system. Homo- and copolymerization of styrene with some cycloalkenes</t>
  </si>
  <si>
    <t>POLYMER BULLETIN</t>
  </si>
  <si>
    <t>The copolymerization of styrene with cyclohexene, 1-methyl-1-cyclohexene, and norbornene using ethenylbisindenylzirconium dichloride and methylaluminoxane, Et(Ind)(2)ZrCl2-MAO, initiating systems has been tested. The results obtained with each styrene-cycloalkene couple, except styrene/norbornene, indicate a less effective polymerization process compared to styrene homopolymerization, in agreement with the electronic and steric effects present in each comonomer. The electronic I+ effects of substituent groups, depending on their placement, largely improve the polymerization process, while bulky groups on or near the vinyl carbon double bond of styrene decrease its effectiveness. The present study shows that the copolymers obtained are amorphous and their composition showed a lower abundance of comonomer units with respect to the initial feed. For comparison, the results of the copolymerization of styrene/(1-octadecene) using the same initiator system and polymerization process are included, a polymerization that indicates a more reactive process, and as the proportion of octadecene in the initial feed increases, it showed a crystalline fusion temperature as well as a Tg in the styrene region which can be attributed to the formation of block styrene/octadecene copolymers.</t>
  </si>
  <si>
    <t>Canales Arévalo, Daniel/HSG-6748-2023</t>
  </si>
  <si>
    <t>Zapata, Paula Andrea/0000-0003-3361-6226; Canales, Daniel A./0000-0002-2691-6864; QUIJADA, RAUL/0000-0003-0791-6954</t>
  </si>
  <si>
    <t>0170-0839</t>
  </si>
  <si>
    <t>1436-2449</t>
  </si>
  <si>
    <t>10.1007/s00289-013-0935-y</t>
  </si>
  <si>
    <t>WOS:000319884300011</t>
  </si>
  <si>
    <t>Iturriaga, L; Lorca, S; Saavedra, E; Ubilla, P</t>
  </si>
  <si>
    <t>Iturriaga, Leonelo; Lorca, Sebastian; Saavedra, Eugenio; Ubilla, Pedro</t>
  </si>
  <si>
    <t>QUASILINEAR EQUATIONS INVOLVING NONLINEAR NEUMANN BOUNDARY CONDITIONS</t>
  </si>
  <si>
    <t>DIFFERENTIAL AND INTEGRAL EQUATIONS</t>
  </si>
  <si>
    <t>We study the multiplicity of positive solutions of the problem -Delta(p)u + vertical bar u vertical bar(p-2)u = 0 in a bounded smooth domain Omega subset of R-N, with a nonlinear boundary condition given by vertical bar del u vertical bar(p-2)partial derivative u/partial derivative v = lambda f(u) + mu phi(x)vertical bar u vertical bar(q-1)u, where f is continuous and satisfies some kind of p-superlinear condition at 0 and p-sublinear condition at infinity, 0 &lt; q &lt; p - 1 and phi is L-beta(partial derivative Omega)) for some beta &gt; 1. In addition, we consider the case q = 0, where the nonlinear boundary condition becomes an elliptic inclusion. Our approach allows us to show that these problems have at least six nontrivial solutions, three positive and three negative, for some positive parameters lambda and mu. The proof is based on variational arguments.</t>
  </si>
  <si>
    <t>Iturriaga, Leonelo/F-6339-2012</t>
  </si>
  <si>
    <t>Iturriaga, Leonelo/0000-0001-7621-7976</t>
  </si>
  <si>
    <t>0893-4983</t>
  </si>
  <si>
    <t>7-8</t>
  </si>
  <si>
    <t>WOS:000305163600005</t>
  </si>
  <si>
    <t>Vergara, PM; Jiménez, JE; Schlatter, RP</t>
  </si>
  <si>
    <t>Vergara, Pablo M.; Jimenez, Jaime E.; Schlatter, Roberto P.</t>
  </si>
  <si>
    <t>Effective Point-Count Duration for Estimating Bird Species' Richness in Chilean Forests</t>
  </si>
  <si>
    <t>ZOOLOGICAL STUDIES</t>
  </si>
  <si>
    <t>Pablo M. Vergara, Jaime E. Jimenez, and Roberto P. Schlatter (2010) Effective point-count duration for estimating bird species' richness in Chilean forests. Zoological Studies 49(3): 381-391. When point counts are used to assess species richness or diversity, optimizing the allocation of sampling effort requires that the effective point-count duration be determined that optimizes the species detection rate at each point. In this study, we used species accumulation functions to estimate the effective point-count duration in 6 different Chilean forests. An effective point-count duration was dependent upon forest habitat, the type of accumulation function, and travel time. The effective count durations predicted by 2 different species accumulation functions, the linear dependence and Clench models, increased with increasing travel time. For short travel times (&lt;= 10 min), effective count durations were &lt;= 5 min and slightly shorter than count durations required to reach 80% of the function asymptote. For long travel times (20-30 min), effective count durations were about 7 min, but shorter than count durations required to reach 90% of the function asymptote. These results show that for travel times of 5 min, the use of effective count durations can result in 50% more points. Effective count durations are suggested when a survey is focused on assessing species richness and the presence of common or conspicuous species. http://zoolstud.sinica.edu.tw/Journals/49.3/381.pdf</t>
  </si>
  <si>
    <t>Vergara, Pablo/F-2519-2010; Jimenez, Jaime/AAO-7531-2020</t>
  </si>
  <si>
    <t>Vergara, Pablo/0000-0002-0024-1678</t>
  </si>
  <si>
    <t>1021-5506</t>
  </si>
  <si>
    <t>1810-522X</t>
  </si>
  <si>
    <t>WOS:000277820800011</t>
  </si>
  <si>
    <t>Laroze, D; Martinez-Mardones, J; Pérez, LM</t>
  </si>
  <si>
    <t>Laroze, D.; Martinez-Mardones, J.; Perez, L. M.</t>
  </si>
  <si>
    <t>AMPLITUDE EQUATION FOR STATIONARY CONVECTION IN A VISCOELASTIC MAGNETIC FLUID</t>
  </si>
  <si>
    <t>INTERNATIONAL JOURNAL OF BIFURCATION AND CHAOS</t>
  </si>
  <si>
    <t>16th Conference on Nonequilibrium Statistical Mechanics and Nonlinear Physics (MEDYFINOL)</t>
  </si>
  <si>
    <t>DEC 01-05, 2008</t>
  </si>
  <si>
    <t>Punta del Este, URUGUAY</t>
  </si>
  <si>
    <t>We report theoretical and numerical results on convection for a magnetic fluid in a viscoelastic carrier liquid. We focus on the stationary convection for idealized boundary conditions. We obtain explicit expressions of convective thresholds in terms of the control parameters of the system. Close to bifurcation, the coefficients of the corresponding amplitude equation are determined analytically. The effect of the rheology and Kelvin force are emphasized and, finally, the nature of the bifurcation is discussed.</t>
  </si>
  <si>
    <t>Laroze, David/Z-2852-2019; Pérez, Laura/AAZ-1995-2020; Perez, Laura/K-9357-2017; Laroze, David/E-9134-2011</t>
  </si>
  <si>
    <t>Perez, Laura/0000-0002-2915-309X; Laroze, David/0000-0002-6487-8096</t>
  </si>
  <si>
    <t>0218-1274</t>
  </si>
  <si>
    <t>1793-6551</t>
  </si>
  <si>
    <t>10.1142/S0218127410025673</t>
  </si>
  <si>
    <t>WOS:000276977400005</t>
  </si>
  <si>
    <t>Fernández, C; Lizama, C; Poblete, V</t>
  </si>
  <si>
    <t>Fernandez, Claudio; Lizama, Carlos; Poblete, Veronica</t>
  </si>
  <si>
    <t>Maximal Regularity for Flexible Structural Systems in Lebesgue Spaces</t>
  </si>
  <si>
    <t>MATHEMATICAL PROBLEMS IN ENGINEERING</t>
  </si>
  <si>
    <t>We study abstract equations of the form lambda u'''(t) + u(t) = c(2) Au(t) + c(2)mu Au'(t) + f (t), 0 &lt; lambda &lt; mu which is motivated by the study of vibrations of flexible structures possessing internal material damping. We introduce the notion of (alpha;beta;gamma)-regularized families, which is a particular case of (a; k)-regularized families, and characterize maximal regularity in L-p-spaces based on the technique of Fourier multipliers. Finally, an application with the Dirichlet-Laplacian in a bounded smooth domain is given.</t>
  </si>
  <si>
    <t>Poblete, Veronica/D-8810-2015; Lizama, Carlos/E-5909-2011</t>
  </si>
  <si>
    <t>1024-123X</t>
  </si>
  <si>
    <t>1563-5147</t>
  </si>
  <si>
    <t>10.1155/2010/196956</t>
  </si>
  <si>
    <t>WOS:000277897700001</t>
  </si>
  <si>
    <t>Kleptsyn, V; Navas, A</t>
  </si>
  <si>
    <t>Kleptsyn, Victor; Navas, Andres</t>
  </si>
  <si>
    <t>A DENJOY TYPE THEOREM FOR COMMUTING CIRCLE DIFFEOMORPHISMS WITH DERIVATIVES HAVING DIFFERENT HOLDER DIFFERENTIABILITY CLASSES</t>
  </si>
  <si>
    <t>MOSCOW MATHEMATICAL JOURNAL</t>
  </si>
  <si>
    <t>Let d &gt;= 2 an integer number, and left f(k,) k is an element of {1, . . . , d}, be C(1+tau k) commuting circle diffeomorphisms, with tau(k) is an element of ]0, 1[ and tau 1 + . . . + tau(d) &gt; 1. We prove that if the rotation numbers of the f(k)'s are independent over the rationals (that is, if the corresponding action of Z(n) on the circle is free), then they are simultaneously (topologically)conjugate to rotations.</t>
  </si>
  <si>
    <t>1609-3321</t>
  </si>
  <si>
    <t>10.17323/1609-4514-2008-8-3-477-492</t>
  </si>
  <si>
    <t>WOS:000261829800005</t>
  </si>
  <si>
    <t>Escrig, J; Landeros, P; Altbir, D; Bahiana, M; Castro, JDE</t>
  </si>
  <si>
    <t>Escrig, J.; Landeros, P.; Altbir, D.; Bahiana, M.; e Castro, J. d'Albuquerque</t>
  </si>
  <si>
    <t>Magnetic properties of layered nanorings</t>
  </si>
  <si>
    <t>APPLIED PHYSICS LETTERS</t>
  </si>
  <si>
    <t>The magnetic structure of nanorings consisting of alternate layers of magnetic and nonmagnetic materials is investigated as a function of their geometry. Phase diagrams giving the relative stability of characteristic internal magnetic configurations of the rings are obtained. Attention is focused on the condition for occurrence of the vortex configurations, in which case the layered structure might be used to produce magnetoresistive random access memories. (c) 2006 American Institute of Physics.</t>
  </si>
  <si>
    <t>Landeros, Pedro/B-4603-2012; Escrig, Juan/N-4304-2015; Altbir, Dora/R-6781-2018</t>
  </si>
  <si>
    <t>Landeros, Pedro/0000-0002-0927-1419; Escrig, Juan/0000-0002-3958-8185; Altbir, Dora/0000-0002-2945-4909</t>
  </si>
  <si>
    <t>0003-6951</t>
  </si>
  <si>
    <t>SEP 25</t>
  </si>
  <si>
    <t>10.1063/1.2356692</t>
  </si>
  <si>
    <t>WOS:000240875800077</t>
  </si>
  <si>
    <t>Barrera, NP; Torres, S; Morales, B; Villalon, M</t>
  </si>
  <si>
    <t>Prediction of synergism on frequency of responses in the attojoule range</t>
  </si>
  <si>
    <t>PHYSICAL CHEMISTRY CHEMICAL PHYSICS</t>
  </si>
  <si>
    <t>Synergistic molecular responses control processes widely distributed in physical and biological systems. However, the prediction of the molecular basis for the synergism has not yet been addressed. We present a physicochemical model for the synergism based on the frequency (f) of response using the number of molecules (n) of the maximum joint response in the attojoule (aJ) range. The model predicts that individual responses containing the highest n and lowest kinetic energies (epsilon), trigger the highest rate of change in the generation of n of the synergistic response. In addition, the rate of change in the decay of synergism is correlated with epsilon and potential energy (epsilon(pot)) values, but is independent of the range between epsilon magnitude of individual responses and the epsilon of joint response. To evaluate our approach, we applied a mathematical model on the synergistic increase on ciliary beat f (CBF) induced by ATP and Adenosine. This produced the highest value of n of the joint response at minimal E of individual responses. Furthermore, higher synergism presents a higher sensitivity on initial steps of transduction mechanisms. Our findings may be fruitful in the investigation of molecular synergism in physical and biological systems.</t>
  </si>
  <si>
    <t>Torres, Soledad/G-6529-2014</t>
  </si>
  <si>
    <t>Torres, Soledad/0000-0002-4346-883X; Barrera, Nelson/0000-0001-7825-1406</t>
  </si>
  <si>
    <t>1463-9076</t>
  </si>
  <si>
    <t>1463-9084</t>
  </si>
  <si>
    <t>APR 21</t>
  </si>
  <si>
    <t>10.1039/b314008c</t>
  </si>
  <si>
    <t>WOS:000221455200025</t>
  </si>
  <si>
    <t>Panerai, RB; Chacon, M; Pereira, R; Evans, DH</t>
  </si>
  <si>
    <t>Neural network modelling of dynamic cerebral autoregulation: assessment and comparison with established methods</t>
  </si>
  <si>
    <t>MEDICAL ENGINEERING &amp; PHYSICS</t>
  </si>
  <si>
    <t>A time lagged recurrent neural network (TLRN) was implemented to model the dynamic relationship between arterial blood pressure (ABP) and cerebral blood flow velocity (CBFV) and its performance was compared to classical linear model such as transfer function analysis, Aaslid's dynamic autoregulation model, and the Wiener-Laguerre moving average filter. A simple linear regression was also tested as a naive estimator. In 16 normal subjects, CBFV was continuously recorded with Doppler ultrasound and ABP with the Finapres device during six repeated thigh cuff manoeuvres. Using mean beat-to-beat values of ABP as input and CBFV as output, the performance of each method was assessed by the model's predicted velocity correlation coefficient and normalized mean square error (MSE). Cross-validation was performed using three thigh cuff manoeuvres for the training data set and the other three for the validation set. The four methods studied performed significantly better than the zero-order naive estimator. The TLRN performed better than transfer function analysis, but was not significantly different from the time-domain techniques, despite showing the minimum predictive MSE. CBFV step responses could be extracted from the TLRN showing the presence of non-linear behaviour both in terms of amplitude and directionality. (C) 2003 IPEM. Published by Elsevier Ltd. All rights reserved.</t>
  </si>
  <si>
    <t>1350-4533</t>
  </si>
  <si>
    <t>10.1016/j.medengphy.2003.08.001</t>
  </si>
  <si>
    <t>WOS:000187752600005</t>
  </si>
  <si>
    <t>Mery, D; da Silva, RR; Calôba, LP; Rebello, JMA</t>
  </si>
  <si>
    <t>Pattern recognition in the automatic inspection of aluminium castings</t>
  </si>
  <si>
    <t>INSIGHT</t>
  </si>
  <si>
    <t>In this paper, we report the results obtained recently by analysing around 400 features measured from 23,000 regions segmented in 50 noisy radioscopic images of cast aluminium with defects. The extracted features are divided into two groups: geometric features (area, perimeter, height,. width, roundness, Fourier descriptors, invariant moments, and other shape factors) and grey value features (mean grey value, mean gradient in the boundary, mean second derivate in the region, radiographic contrasts, invariant moments with grey value information, local variance, textural features based on the co-occurrence matrix, coefficients of the discrete Fourier transform, the Karhunen Loeve transform and the discrete cosine transform). We propose a new contrast feature obtained from grey level profiles along straight lines crossing the segmented potential defects. Analysing the area A- under the receiver operation characteristic (ROC) curve, this feature presents the best individual detection performance yielding an area A(z)=0.9944. In order to make, a compact pattern representation and a simple decision strategy, the number of features is reduced using feature selection approaches. The relevance of the selected features is evaluated by the calculation of a linear correlation coefficient. The results are shown in Tables of the linear correlation coefficients between features, and among features and class of defect. In addition, statistical classifiers and classifiers based on neuronal networks are implemented in order to establish decision boundaries in the space of the selected features which separate patterns (our segmented regions) belonging to two different classes (regular structure or defects).</t>
  </si>
  <si>
    <t>Mery, Domingo/D-1385-2014</t>
  </si>
  <si>
    <t>Mery, Domingo/0000-0003-4748-3882</t>
  </si>
  <si>
    <t>1354-2575</t>
  </si>
  <si>
    <t>1754-4904</t>
  </si>
  <si>
    <t>10.1784/insi.45.7.475.54452</t>
  </si>
  <si>
    <t>WOS:000184183300009</t>
  </si>
  <si>
    <t>Encinas, MV; González-Nilo, FD; Goldie, H; Cardemil, E</t>
  </si>
  <si>
    <t>Ligand interactions and protein conformational changes of phosphopyridoxyl-labeled Escherichia coli phosphoenol pyruvate carboxykinase determined by fluorescence spectroscopy</t>
  </si>
  <si>
    <t>EUROPEAN JOURNAL OF BIOCHEMISTRY</t>
  </si>
  <si>
    <t>Escherichia coli phosphoenol pyruvate (PEP) carboxykinase catalyzes the decarboxylation of oxaloacetate and transfer of the gamma-phosphoryl group of ATP to yield PEP, ADP, and CO2 . The interaction of the enzyme with the substrates originates important domain movements in the protein. In this work, the interaction of several substrates and ligands with E. coli PEP carboxykinase has been studied in the phosphopyridoxyl (P-pyridoxyl)-enzyme adduct. The derivatized enzyme retained the substrate-binding characteristics of the native protein, allowing the determination of several protein-ligand dissociation constants, as well as the role of Mg2+ and Mn2+ in substrate binding. The binding affinity of PEP to the enzyme-Mn2+ complex was -8.9 kcal.mol(-1) , which is 3.2 kcal.mol(-1) more favorable than in the complex with Mg2+ . For the substrate nucleotide-metal complexes, similar binding affinities (-6.0 to -6.2 kcal.mol(-1) ) were found for either metal ion. The fluorescence decay of the P-pyridoxyl group fitted to two lifetimes of 5.15 ns (34%) and 1.2 ns. These lifetimes were markedly altered in the derivatized enzyme-PEP-Mn complexes, and smaller changes were obtained in the presence of other substrates. Molecular models of the P-pyridoxyl-E. coli PEP carboxykinase showed different degrees of solvent-exposed surfaces for the P-pyridoxyl group in the open (substrate-free) and closed (substrate-bound) forms, which are consistent with acrylamide quenching experiments, and suggest that the fluorescence changes reflect the domain movements of the protein in solution.</t>
  </si>
  <si>
    <t>Gonzalez Nilo, Fernando Danilo/0000-0001-6857-3575</t>
  </si>
  <si>
    <t>0014-2956</t>
  </si>
  <si>
    <t>10.1046/j.1432-1033.2002.03196.x</t>
  </si>
  <si>
    <t>WOS:000178608400006</t>
  </si>
  <si>
    <t>Gamboa, J; Loewe, M; Rojas, JC</t>
  </si>
  <si>
    <t>Noncommutative quantum mechanics</t>
  </si>
  <si>
    <t>PHYSICAL REVIEW D</t>
  </si>
  <si>
    <t>A general noncommutative quantum mechanical system in a central potential V= V(r) in two dimensions is considered. The spectrum is bounded from below and, for large values of the anticommutative parameter theta, we find an explicit expression for the eigenvalues. In fact, any quantum mechanical system with these characteristics is equivalent to a commutative one in such a way that the interaction V(r) is replaced by V = V((H) over cap (HO), (L) over cap (z)), where (H) over cap (HO) is the Hamiltonian of the two-dimensional harmonic oscillator and (L) over cap (z) is the z component of the angular momentum. For other finite values of theta the model can be solved by using perturbation theory.</t>
  </si>
  <si>
    <t>Loewe, Marcelo/0000-0002-8998-6923; Gamboa, Jorge/0000-0001-7992-7199</t>
  </si>
  <si>
    <t>2470-0010</t>
  </si>
  <si>
    <t>2470-0029</t>
  </si>
  <si>
    <t>10.1103/PhysRevD.64.067901</t>
  </si>
  <si>
    <t>WOS:000170978200081</t>
  </si>
  <si>
    <t>Imarai, CM; Rocha, A; Acuña, C; Garrido, J; Vargas, R; Cardenas, H</t>
  </si>
  <si>
    <t>Endocytosis and MHC class II expression by human oviductal epithelium according to stage of the menstrual cycle</t>
  </si>
  <si>
    <t>HUMAN REPRODUCTION</t>
  </si>
  <si>
    <t>The epithelium is the first barrier against pathogens invading the lumen of the human oviduct, Its expression of class II major histocompatibility complex (MHC class II) proteins suggests that it might play a role in antigen presentation during the local immune response. To study the role of the oviductal epithelium in antigen processing, its endocytic properties and MHC class II expression were examined. For assay of endocytosis, fluorescein isothiocyanate-labelled bovine serum albumin (BSA-FITC) or Escherichia coli (E. coli-FITC) was infused into the lumen. One-centimetre pieces of oviduct were incubated for 2 h and processed for fluorescence and confocal microscopy, and transmission electron microscopy, Incorporation into secretory and ciliated epithelial cells was observed, which was unrelated to the phase of the menstrual cycle. Small pieces of the organs were frozen and processed for immunohistochemistry, Most oviducts expressed MHC class II (HLA.DR) in the epithelium and in some cases this was coincident with endocytosis, but there was no statistically significant association between this expression and either endocytotic activity or the phase of the menstrual cycle. Results demonstrate that the epithelium of the human oviduct exhibits endocytic properties towards luminal soluble and particle antigens, which is not related either to MHC class LI expression or to the phase of the menstrual cycle.</t>
  </si>
  <si>
    <t>Acuña-Castillo, Claudio/AAI-7090-2021</t>
  </si>
  <si>
    <t>Imarai, Monica/0000-0001-8767-9180; Acuna-Castillo, Claudio/0000-0003-3607-6077</t>
  </si>
  <si>
    <t>0268-1161</t>
  </si>
  <si>
    <t>10.1093/humrep/13.5.1163</t>
  </si>
  <si>
    <t>WOS:000074105500019</t>
  </si>
  <si>
    <t>LISSI, EA; ABUIN, E; SAEZ, M; ZANOCCO, A; DISALVO, A</t>
  </si>
  <si>
    <t>ANOMALOUS DEPENDENCE OF PYRENE SPECTRA AND LIFETIMES WITH TEMPERATURE IN LARGE UNILAMELLAR VESICLES FROM DIOCTADECYLDIMETHYLAMMONIUM CHLORIDE AND DIPALMITOYLPHOSPHATIDYLCHOLINE</t>
  </si>
  <si>
    <t>LANGMUIR</t>
  </si>
  <si>
    <t>Lifetimes of pyrene incorporated into large unilamellar vesicles of dipalmitoylphosphatidylcholine and dioctadecyldimethylammonium chloride increase when the temperature increases prior to the melting temperature of the bilayers. These changes are paralleled by a decrease in the vibronic bands intensity ratio I(I)/I(III) of the fluorescence spectra, indicative of water expulsion and/or a deeper penetration of the probe prior to the bilayer phase transition. In DPPC vesicles, both pyrene lifetimes and the I(I)/I(III) ratios show at the phase transition temperature changes that are indicative of increased water penetration.</t>
  </si>
  <si>
    <t>ZANOCCO, ANTONIO/0000-0002-6521-5382</t>
  </si>
  <si>
    <t>0743-7463</t>
  </si>
  <si>
    <t>10.1021/la00038a002</t>
  </si>
  <si>
    <t>WOS:A1992HG56600002</t>
  </si>
  <si>
    <t>ENGEL, AB; BEZERRA, SJ; ARIE, S</t>
  </si>
  <si>
    <t>COMMUNICATIONS - A MODEL FOR ACCURATE CARDIAC VOLUMETRY - EXPERIMENTAL RESULTS ON THE NORMAL HEART</t>
  </si>
  <si>
    <t>KYBERNETES</t>
  </si>
  <si>
    <t>The mathematical model and computer algorithm reported in a previous issue of this journal have been tested on 21 normal heart moulds by comparing the true volume value, measured by Archimedes' principle, with the predicted theoretical volume.</t>
  </si>
  <si>
    <t>0368-492X</t>
  </si>
  <si>
    <t>10.1108/eb005869</t>
  </si>
  <si>
    <t>WOS:A1990ER63400006</t>
  </si>
  <si>
    <t>Llorca-Jaña, M; Rivas, J; Morales-Campos, D</t>
  </si>
  <si>
    <t>Llorca-Jana, Manuel; Rivas, Javier; Morales-Campos, Daniel</t>
  </si>
  <si>
    <t>Poor Sanitation, Deaths, and Regional Inequality in Twentieth-Century Chile</t>
  </si>
  <si>
    <t>JOURNAL OF INTERDISCIPLINARY HISTORY</t>
  </si>
  <si>
    <t>Llorca-Jaña, Manuel/AAB-9317-2020</t>
  </si>
  <si>
    <t>Morales-Campos, Daniel/0000-0002-5581-8542</t>
  </si>
  <si>
    <t>0022-1953</t>
  </si>
  <si>
    <t>1530-9169</t>
  </si>
  <si>
    <t>JAN 24</t>
  </si>
  <si>
    <t>10.1162/jinh_a_02037</t>
  </si>
  <si>
    <t>WOS:001406388600002</t>
  </si>
  <si>
    <t>Maldonado, M; Ramos, I; Martinez, J; Artigas, A; Bustos, P; Morales, M; Miranda, N</t>
  </si>
  <si>
    <t>Maldonado, M.; Ramos, I.; Martinez, J.; Artigas, A.; Bustos, P.; Morales, M.; Miranda, N.</t>
  </si>
  <si>
    <t>A multivariable submersible sensor for monitoring in real-time industrial flotation cells</t>
  </si>
  <si>
    <t>MINERALS ENGINEERING</t>
  </si>
  <si>
    <t>This paper describes the development and validation of a submersible sensing technology for industrial flotation cells. The sensor provides simultaneous real-time measurements of gas and solid holdups, as well as the density and viscosity of the slurry in the pulp zone of flotation machines. The submersible device comprises a gas exclusion cell, which resembles an inverted truncated cone assembled to a single-straight tube Coriolis meter. When the sensor device is vertically immersed in the aerated slurry, a continuous bubble-free flow of slurry is induced through the device, which allows the Coriolis meter to provide measurements of the slurry flow, density, and viscosity. The magnitude of the induced flow is a primary function of the sensor's geometry and gas holdup. Applying the Bernoulli equation reveals that gas holdup can be expressed as the square of the induced flow velocity. A discharge coefficient parameter is introduced to compensate for variations in the velocity profile and flow losses. This coefficient is a function of the fluid Reynolds number, calculated in real-time based on the Coriolis measurements. The sensing technology was assessed in a pilot column operated in a water-air system and industrial forced-air and self-aspirated large flotation cells. Results demonstrate the sensor's capabilities to provide reliable, accurate, real-time, long-term continuous gas dispersion and solid suspension-related variables, which could be used for supervision, control, and optimization applications.</t>
  </si>
  <si>
    <t>0892-6875</t>
  </si>
  <si>
    <t>10.1016/j.mineng.2024.108939</t>
  </si>
  <si>
    <t>AUG 2024</t>
  </si>
  <si>
    <t>WOS:001301518300001</t>
  </si>
  <si>
    <t>Arboleda-Ariza, JC; Bravo, GP; Bavosi, S; Riascos-Guerrero, A</t>
  </si>
  <si>
    <t>Arboleda-Ariza, Juan Carlos; Bravo, Gabriel Prosser; Bavosi, Santiago; Riascos-Guerrero, Alejandro</t>
  </si>
  <si>
    <t>The Globalized Model of the Past:A Qualitative Comparative Study of the Official Memory Policies in Chile and Colombia</t>
  </si>
  <si>
    <t>GESTION Y POLITICA PUBLICA</t>
  </si>
  <si>
    <t>Reparations policies within the framework of transitional justice, as implemented by Chile and Colombia, serve as mechanisms for addressing the harm inflicted upon victims. This paper explores the construction of the memory concept within official reparations policies in these two countries. The methodology used was a transnational comparative analysis, developed through a content analysis to examine the formulation of memory in official reparation policies. The findings reveal a prescriptive global memory model characterized by four key aspects: the interplay between memory and official truth, memory institutions, the role of archives, and commemorative practices. The study concludes that despite historical differences, Chile and Colombia exhibit strikingly similar approaches in addressing their violent pasts through a prescriptive global memory model within transitional justice.</t>
  </si>
  <si>
    <t>Arboleda-Ariza, Juan Carlos/ABB-5892-2021</t>
  </si>
  <si>
    <t>1405-1079</t>
  </si>
  <si>
    <t>10.60583/gypp.v33i2.8271</t>
  </si>
  <si>
    <t>WOS:001332749600004</t>
  </si>
  <si>
    <t>Navarrete, A; Utrera, A; Rivera, E; Latorre, M; Celentano, DJ; García-Herrera, CM</t>
  </si>
  <si>
    <t>Navarrete, Alvaro; Utrera, Andres; Rivera, Eugenio; Latorre, Marcos; Celentano, Diego J.; Garcia-Herrera, Claudio M.</t>
  </si>
  <si>
    <t>An inverse fitting strategy to determine the constrained mixture model parameters: application in patient-specific aorta</t>
  </si>
  <si>
    <t>FRONTIERS IN BIOENGINEERING AND BIOTECHNOLOGY</t>
  </si>
  <si>
    <t>The Constrained Mixture Model (CMM) is a novel approach to describe arterial wall mechanics, whose formulation is based on a referential physiological state. The CMM considers the arterial wall as a mixture of load-bearing constituents, each of them with characteristic mass fraction, material properties, and deposition stretch levels from its stress-free state to the in-vivo configuration. Although some reports of this model successfully assess its capabilities, they barely explore experimental approaches to model patient-specific scenarios. In this sense, we propose an iterative fitting procedure of numerical-experimental nature to determine material parameters and deposition stretch values. To this end, the model has been implemented in a finite element framework, and it is calibrated using reported experimental data of descending thoracic aorta. The main results obtained from the proposed procedure consist of a set of material parameters for each constituent. Moreover, a relationship between deposition stretches and residual strain measurements (opening angle and axial stretch) has been numerically proved, establishing a strong consistency between the model and experimental data.</t>
  </si>
  <si>
    <t>Latorre, Marcos/I-2640-2015; Rivera, Eugenio/LEN-3594-2024; García-Herrera, Claudio/ABE-8991-2020; Celentano, Diego/JQW-5027-2023</t>
  </si>
  <si>
    <t>Rivera Mancilla, Eugenio/0000-0001-8103-2706</t>
  </si>
  <si>
    <t>2296-4185</t>
  </si>
  <si>
    <t>NOV 20</t>
  </si>
  <si>
    <t>10.3389/fbioe.2023.1301988</t>
  </si>
  <si>
    <t>WOS:001112622900001</t>
  </si>
  <si>
    <t>Alaniz, AJ; Espinoza-Contreras, C; Hernández, I; Vergara, PM; Moreira-Arce, D; Carvajal, MA; Hidalgo-Corrotea, C; Soto, AF</t>
  </si>
  <si>
    <t>Alaniz, Alberto J.; Espinoza-Contreras, Catalina; Hernandez, Isabel; Vergara, Pablo M.; Moreira-Arce, Dario; Carvajal, Mario A.; Hidalgo-Corrotea, Claudia; Francisca Soto, Ana</t>
  </si>
  <si>
    <t>STRANDED HUMBOLDT PENGUINS SPHENISCUS HUMBOLDTI WITH BILATERAL BLINDNESS ALONG CHILEAN COASTS</t>
  </si>
  <si>
    <t>MARINE ORNITHOLOGY</t>
  </si>
  <si>
    <t>Bilateral blindness is an important cause of mortality in penguin chicks. However, this pathological condition remains little explored for the endangered Humboldt Penguin Spheniscus humboldti. Here, we present the first spatiotemporal dataset detailing young Humboldt Penguins having bilateral blindness. Information was gathered from birds found stranded along the coast of continental Chile over a ten-year (20112021) period. We present a number of cases analyzed by geographical distribution, sex, body mass, and season. Preliminary analysis shows that 73.3% of cases were concentrated along Chile's central coast. Only 17.1% of individuals were sexed, and the distribution was slightly skewed in favor of males. Two temporal peaks were identified (2015 and 2019) in which slight decreases in body mass were observed. The highest incidence occurred in summer. This dataset will contribute to the understanding of the spatiotemporal mechanisms associated with bilateral blindness in Humboldt Penguins, a condition that can be related to pollution, climatic, and conservation issues.</t>
  </si>
  <si>
    <t>Alaniz, Alberto/J-3104-2019; Carvajal, Mario/GYU-2659-2022; Moreira-Arce, Dario/ABG-2898-2021; Vergara, Pablo/F-2519-2010</t>
  </si>
  <si>
    <t>1018-3337</t>
  </si>
  <si>
    <t>2074-1235</t>
  </si>
  <si>
    <t>WOS:001181797800007</t>
  </si>
  <si>
    <t>Gómez, G; Rodríguez, JF</t>
  </si>
  <si>
    <t>Gomez, Gabriel; Rodriguez, Jose F.</t>
  </si>
  <si>
    <t>New non-Abelian Reissner-Nordstrom black hole solutions in the generalized SU(2) Proca theory and some astrophysical implications</t>
  </si>
  <si>
    <t>The generalized SU(2) Proca theory is a vector-tensor theory of gravity whose action is invariant under global transformations of the SU(2) group and includes second-order derivative self-interactions of the vector field beyond the massive Yang-Mills theory. We find, in particular, that the presence of two Lagrangian pieces consisting of four gauge fields minimally coupled to gravity gives rise to an exact Reissner-Nordstrom black hole solution endowed with two different non-Abelian effective charges that depend on the specific combination &amp; chi; 1/4 2 &amp; chi;1 thorn &amp; chi;2 of the respective coupling constants. After studying the spacetime structure of the black hole, which allows us to characterize the parameter space that preserves the weak cosmic censorship conjecture, some astrophysical implications of the black hole solutions are investigated. First, joint analysis of observations of the Event Horizon Telescope's first images of Sagittarius A ⋆ of our Galaxy and the Keck telescope set the first serious constraint on the free parameters of the theory beyond the theoretical bounds found. Second, we investigate the accretion properties of spherical steady flows around this class of non Abelian Reissner-Nordstrom black hole. Specifically, we examine the general conditions under which transonic flow is allowed. An analytical solution for critical accretion is found in terms of the coupling constant. In addition, we explore the effect of changing &amp; chi; on the radial velocity and mass density numerically and show how the extremal Reissner-Nordstrom and the standard Schwarzschild solutions as limit cases are achieved. Finally, working in the fully relativistic regime, an analytical expression for the critical mass accretion rate of a polytropic fluid onto a black hole is derived. As a main result, we find that the critical accretion rate efficiency can be noticeably improved compared to the Schwarzschild case for a specific region of the parameter space where the non-Abelian charge becomes imaginary.</t>
  </si>
  <si>
    <t>Gomez, Gabriel/MVW-4321-2025</t>
  </si>
  <si>
    <t>Gomez Diaz, Luis Gabriel/0000-0002-3618-9824; Rodriguez Ruiz, Jose Fernando/0000-0003-3627-5084</t>
  </si>
  <si>
    <t>JUL 31</t>
  </si>
  <si>
    <t>10.1103/PhysRevD.108.024069</t>
  </si>
  <si>
    <t>WOS:001055253600002</t>
  </si>
  <si>
    <t>Plaza-Garrido, A; Ampuero, M; Gaggero, A; Villamar-Ayala, CA</t>
  </si>
  <si>
    <t>Plaza-Garrido, Angela; Ampuero, Manuel; Gaggero, Aldo; Alejandra Villamar-Ayala, Cristina</t>
  </si>
  <si>
    <t>Norovirus, Hepatitis A and SARS-CoV-2 surveillance within Chilean rural wastewater treatment plants based on different biological treatment typologies</t>
  </si>
  <si>
    <t>During the COVID-19 pandemic, wastewater from WWTPs became an interesting source of epidemiological surveillance. However, there is uncertainty about the influence of treatment type on virus removal. The aim of this study was to assess viral surveillance within wastewater treatment plants (WWTPs) based on different biological treatments. Seasonal monitoring (autumn-winter and spring-summer) was conducted in 10 Chilean rural WWTPs, which were based on activated sludge, aerated lagoons, bio-discs, constructed wetlands, vermifilters and mixed systems. Viruses were measured (influent/effluent) by the RT-qPCR technique, using a commercial kit for SARS-CoV-2, NoV GI, NoV GII, and HAV. The detection of SARS-CoV-2 viral variants by genotyping was performed using SARS-CoV-2 Mutation Assays (ThermoFisher Scientific, USA). JC polyomavirus detection (control), as well as a qPCR technique. Results showed that SARS-CoV-2, NoV GI and GII were detected in influents at values between &lt;5 and 462, 0 to 28, and 0 to 75 GC/mL, respectively. HAV was not detected among the studied WWTPs. The monitored WWTPs removed these viruses at percentages between 0 and 100 %. WWTPs based on activated sludge with bio-discs demonstrated to be the most efficient at removing SARS-CoV-2 (up to 98 %) and NoV GI and GII (100%). Meanwhile, bio-discs technologies were the least efficient for viral removal, due to biofilm detachment, which could also adsorb viral aggregates. A correlation analysis established that solids, pH, and temperature are themost influential parameters in viral removal. Wastewater-based surveillance at WWTP allowed for the detection of Omicron before the Chilean health authorities notified its presence in the population. In addition, surveillance of viruses and other microorganisms could help assess the potential public health risk of wastewater recycling.</t>
  </si>
  <si>
    <t>Villamar, Cristina-Alejandra/AAB-4154-2019; Gaggero, Aldo/GYJ-8166-2022</t>
  </si>
  <si>
    <t>Gaggero, Aldo/0000-0003-2657-0776; Villamar, Cristina Alejandra/0000-0003-4654-0670</t>
  </si>
  <si>
    <t>MAR 10</t>
  </si>
  <si>
    <t>10.1016/j.scitotenv.2022.160685</t>
  </si>
  <si>
    <t>DEC 2022</t>
  </si>
  <si>
    <t>WOS:000909991400004</t>
  </si>
  <si>
    <t>Lizama, C; Warma, M; Zamorano, S</t>
  </si>
  <si>
    <t>Lizama, Carlos; Warma, Mahamadi; Zamorano, Sebastian</t>
  </si>
  <si>
    <t>Exterior controllability properties for a fractional Moore-Gibson-Thompson equation</t>
  </si>
  <si>
    <t>The three concepts of exact, null and approximate controllabilities are analyzed from the exterior of the Moore-Gibson-Thompson equation associated with the fractional Laplace operator subject to the nonhomogeneous Dirichlet type exterior condition. Assuming that b &gt; 0 and alpha - tau c(2)/b, we show that if 0 &lt; s &lt; 1 and Omega subset of R-N (N &gt;= 1) is a bounded domain with a Lipschitz continuous boundary partial derivative Omega, then there is no control function g such that the following system {tau u(ttt )+ alpha u(tt) + c(2)(-Delta)(s) u + b(-Delta)(s) u(t) = 0 in Omega x (0, T), u = g chi O in (R-N\Omega) x (0, T), u(., 0) = u(0), u(t) (., 0) = u(1), u(tt)(., 0) = u(2) in Omega, is exactly or null controllable in time T &gt; 0. However, we prove that for 0 &lt; s &lt; 1, the system is approximately controllable for every g is an element of H-1 ((0, T); L-2(O)), where O subset of R-N\(Omega) over bar is an arbitrary non-empty open set.</t>
  </si>
  <si>
    <t>Zamorano, Sebastián/AAY-2547-2020; Lizama, Carlos/E-5909-2011</t>
  </si>
  <si>
    <t>10.1007/s13540-022-00018-2</t>
  </si>
  <si>
    <t>MAY 2022</t>
  </si>
  <si>
    <t>WOS:000807923100003</t>
  </si>
  <si>
    <t>Diéguez, MI; Helm, M; Poblete, ME</t>
  </si>
  <si>
    <t>Isabel Dieguez, Maria; Helm, Mario; Eugenia Poblete, Maria</t>
  </si>
  <si>
    <t>Translation in Chile 50 years after the beginning of the training of professional translators and 30 years after the creation of the Chilean Association of Translators and Interpreters</t>
  </si>
  <si>
    <t>ONOMAZEIN</t>
  </si>
  <si>
    <t>In the context of celebrating 50 years of translator training and 30 years since the creation of the Chilean Association of Translators and Interpreters - Cotich, the purpose of this article is to describe the present situation of the training of translators, to present an historical overview of the research initiatives in the discipline, and to expose some professional, trade union and legal characteristics of the practice of translation in our country. First, we describe the transla- tor training offered by universities and professional institutes as of the year 2020, followed by a summary of the development of research on translation and related areas since the mid-1980s. Secondly, we describe the work carried out by Cotich as a professional association, the features of the labor market, and some professional aspects that characterize legal translation in Chile. We end the analysis with a discussion of the data, considering its historical evolution over the last 50 years and some future projections. This general overview of translation, since the be- ginning of its institutionalization process in the early 1970s, may contribute to the training of translators, and serve as a reference tool for students, academics, and professional translators.</t>
  </si>
  <si>
    <t>0717-1285</t>
  </si>
  <si>
    <t>0718-5758</t>
  </si>
  <si>
    <t>10.7764/onomazein.ne10.13</t>
  </si>
  <si>
    <t>WOS:000861022500013</t>
  </si>
  <si>
    <t>Bargueno, DR; Salomon, VAP; Marins, FAS; Palominos, P; Marrone, LA</t>
  </si>
  <si>
    <t>Bargueno, David Ruiz; Salomon, Valerio Antonio Pamplona; Marins, Fernando Augusto Silva; Palominos, Pedro; Marrone, Luis Armando</t>
  </si>
  <si>
    <t>State of the Art Review on the Analytic Hierarchy Process and Urban Mobility</t>
  </si>
  <si>
    <t>MATHEMATICS</t>
  </si>
  <si>
    <t>Cultural, economical, political, and social developments, added to population increases, favored the consolidation of cities. However, rapid city growth in the last decades has contrasted with the slowness in which states and municipalities responded to the new reality. In this sense, the analytic hierarchy process (AHP), a leading multiple criteria decision-making (MCDM) method, can be applied in the solution of common demands among municipalities, evaluating alternative plans for urban mobility. Since AHP has been applied to these specific decision problems, our research question is: How has AHP been applied to solve decision problems regarding urban mobility? The objective of this work is to identify the state of the art of AHP applications to urban mobility. To answer the research question, this paper presents a literature review (LR). State of the art review (SAR) is an LR approach expected to deliver results with medium comprehensiveness and results closer to exhaustive. With the support of graphical software, three clusters were identified, in the keywords network: AHP, Innovation &amp; Public Management, and Urban Mobility. In the AHP cluster, research is driven by methodological subjects; on Innovation &amp; Public Management, there is an open discussion on local versus national coordination; and the urban mobility cluster has hybrid or non-AHP applications of MCDM.</t>
  </si>
  <si>
    <t>Marins, Fernando/AAD-5805-2019; Ruiz, David/AAX-5271-2020; Salomon, Valerio/G-1600-2012</t>
  </si>
  <si>
    <t>Palominos, Pedro/0000-0002-5695-3025; Marins, Fernando Augusto Silva/0000-0001-6510-9187; RUIZ BARGUENO, DAVID/0000-0003-0060-9564; Salomon, Valerio/0000-0002-5619-5076</t>
  </si>
  <si>
    <t>2227-7390</t>
  </si>
  <si>
    <t>10.3390/math9243179</t>
  </si>
  <si>
    <t>WOS:000735570600001</t>
  </si>
  <si>
    <t>Leon, G; Cuéllar, S; González, E; Lepe, S; Michea, C; Millano, AD</t>
  </si>
  <si>
    <t>Leon, Genly; Cuellar, Sebastian; Gonzalez, Esteban; Lepe, Samuel; Michea, Claudio; Millano, Alfredo D.</t>
  </si>
  <si>
    <t>Averaging generalized scalar field cosmologies II: locally rotationally symmetric Bianchi I and flat Friedmann-Lemaitre-Robertson-Walker models (vol 81, 100, 2021)</t>
  </si>
  <si>
    <t>10.1140/epjc/s10052-021-09911-1</t>
  </si>
  <si>
    <t>WOS:000730224100002</t>
  </si>
  <si>
    <t>Montecinos, C; Angel, MJ; Navia, V</t>
  </si>
  <si>
    <t>Montecinos, Claudio; Jose Angel, Maria; Navia, Victor</t>
  </si>
  <si>
    <t>Thrombolysis with Tenecteplase in a stroke with a long time window after onset of symptoms. Report of one case</t>
  </si>
  <si>
    <t>We report a 78-year-old man with a basal Rankin score of 2 points, last seen 10 hours before in good conditions, who arrived at the emergency department with left hemiparesis, hypoesthesia, and spacial neglect. Neuroimaging was compatible with stroke in the territory of the right middle cerebral artery. Due to the evolution time of the stroke, usual thrombolysis was contraindicated. Therefore, a thrombolysis with Tenecteplase was used with reversal of symptoms without symptomatic bleeding and with recovery of baseline functionality.</t>
  </si>
  <si>
    <t>NAVIA, VICTOR/0000-0002-5920-7730</t>
  </si>
  <si>
    <t>WOS:000652089600015</t>
  </si>
  <si>
    <t>Parrini, R; Celis, N; Calquin, C; Celedón, R</t>
  </si>
  <si>
    <t>Parrini, Rodrigo; Celis, Nicolas; Calquin, Claudia; Celedon, Roberto</t>
  </si>
  <si>
    <t>Masculinities: Critical fields, emancipatory processes and reconfigurations of hegemony</t>
  </si>
  <si>
    <t>HYBRIS-REVISTA DE FILOSOFIA</t>
  </si>
  <si>
    <t>0718-8382</t>
  </si>
  <si>
    <t>WOS:000706760800001</t>
  </si>
  <si>
    <t>Rau, F; Soto, I; Adasme, P; Zabala-Blanco, D; Azurdia-Meza, CA</t>
  </si>
  <si>
    <t>Rau, Francisco; Soto, Ismael; Adasme, Pablo; Zabala-Blanco, David; Azurdia-Meza, Cesar A.</t>
  </si>
  <si>
    <t>Network Traffic Prediction Using Online-Sequential Extreme Learning Machine</t>
  </si>
  <si>
    <t>2021 THIRD SOUTH AMERICAN COLLOQUIUM ON VISIBLE LIGHT COMMUNICATIONS (SACVLC 2021)</t>
  </si>
  <si>
    <t>3rd South American Colloquium on Visible Light Communications (SACVLC)</t>
  </si>
  <si>
    <t>NOV 12-12, 2021</t>
  </si>
  <si>
    <t>Toledo, BRAZIL</t>
  </si>
  <si>
    <t>Univ Tecnologica Fed Parana,IEEE Commun Soc,IEEE,Univ Santiago Chile, Departtamento Ingn Electrica,SBrT</t>
  </si>
  <si>
    <t>For years, it has been a great challenge for Internet Service Providers (ISP) to predict traffic load or future demand, since each bit of traffic is an economic cost to operators. Additionally, more and more users are adopting the different telecommunication services as well as the ISP must provide more bandwidth and reliability. In this sense, the study focuses on forecasting with neural network techniques, specifically Long Short-Term Memory (LSTM) and Online-Sequential Extreme Learning Machine (OS-ELM), the real traffic of a Chile ISP. The results show that OS-ELM outperforms LSTM in terms of computational cost by a factor of 2300, and in terms of network prediction, OS-ELM effectively competes with LSTM.</t>
  </si>
  <si>
    <t>Adasme, Pablo/U-1735-2019; Meza, Cesar/D-6948-2014; Rau, Francisco/JEP-6394-2023</t>
  </si>
  <si>
    <t>Rau, Francisco/0000-0003-3890-4876</t>
  </si>
  <si>
    <t>978-1-6654-4225-1</t>
  </si>
  <si>
    <t>10.1109/SACVLC53127.2021.9652247</t>
  </si>
  <si>
    <t>WOS:000760247000003</t>
  </si>
  <si>
    <t>Muñoz-Becerra, K; Báez, DF; Zagal, JH; Bollo, S; Toro-Labb, A; Venegas, R; Recio, FJ</t>
  </si>
  <si>
    <t>Munoz-Becerra, Karina; Baez, Daniela F.; Zagal, Jose H.; Bollo, Soledad; Toro-Labb, Alejandro; Venegas, Ricardo; Recio, F. Javier</t>
  </si>
  <si>
    <t>Reactivity descriptors for Cu bis-phenanthroline catalysts for the hydrogen peroxide reduction reaction</t>
  </si>
  <si>
    <t>Following previous studies where the metal-centered redox potentials of MN4 complexes are proposed as a reactivity descriptor for different electrochemical reactions, in the present work we expand this idea to a series of substituted Cu(I)-phenanthrolines adsorbed on glassy carbon electrodes as catalysts for the hydrogen peroxide reduction reaction (HPRR) in aqueous media. As the foot of the wave for HPRR on Cu-based modified electrodes is closely related to the Cu(II)/Cu(I) formal potential, we have found a linear correlation between the catalytic activity expressed as (log i)(E) and the E-Cu(II)/Cu(I)degrees' redox potential of the complexes with a slope (dE degrees/dlogi)(E) close to +0.120 V dec(-1), showing that the catalytic activity increases with the shift of E-Cu(II)/Cu(I)degrees' to more positive potentials as a result of the electron-withdrawing nature of the substituents on the ligands. Moreover, the theoretical differences in the calculated chemical potentials (Delta mu) of the reactive species follow a similar trend with the E-Cu(II)/Cu(I)degrees' where a positive shift of this parameter is related with a higher Delta mu and in consequence, with high catalytic activity. Furthermore, this strategy can be used for the smart design of biosensors as it was shown by the electroanalytical results. (C) 2020 Elsevier Ltd. All rights reserved.</t>
  </si>
  <si>
    <t>Muñoz-Becerra, Karina/GPP-1386-2022; Recio, Javier/GVU-5031-2022; Bollo, Soledad/B-5257-2011; Toro-Labbé, Alejandro/ABD-9107-2020; zagal, jose/L-9648-2014; Venegas, Ricardo/U-6376-2019; Toro-Labbe, Alejandro/J-5026-2013</t>
  </si>
  <si>
    <t>Toro-Labbe, Alejandro/0000-0001-9906-2153; Munoz-Becerra, Karina/0000-0001-9882-6342; Baez, Daniela F./0000-0002-9663-8521; Recio, Francisco/0000-0002-5181-3197; Venegas, Ricardo/0000-0001-7440-484X; Bollo, Soledad/0000-0003-0868-4294</t>
  </si>
  <si>
    <t>OCT 10</t>
  </si>
  <si>
    <t>10.1016/j.electacta.2020.136881</t>
  </si>
  <si>
    <t>WOS:000582852200032</t>
  </si>
  <si>
    <t>McNab, M; García, C; Tabak, D; Aranibar, L; Castro, A; Wortsman, X</t>
  </si>
  <si>
    <t>McNab, Maria; Garcia, Carolina; Tabak, Denise; Aranibar, Ligia; Castro, Ariel; Wortsman, Ximena</t>
  </si>
  <si>
    <t>Subclinical Ultrasound Characteristics of Infantile Hemangiomas That May Potentially Affect Involution</t>
  </si>
  <si>
    <t>JOURNAL OF ULTRASOUND IN MEDICINE</t>
  </si>
  <si>
    <t>Objectives Infantile hemangiomas (IHs) are the most common benign tumors in children. Color Doppler ultrasound is a noninvasive imaging modality that can show subclinical anatomic parameters in a wide range of dermatologic conditions. The purpose of this study was to describe the ultrasound characteristics of IHs and look for subclinical features with the potential to influence the involution and therapeutic response. Methods A review of the ultrasound database of children with clinical and ultrasound IH diagnoses was conducted. The clinically reported duration and the ultrasound assessment of the proliferative phase were compared. Descriptive and statistical analyses of qualitative and quantitative parameters of the series were performed. Significance was set atP &lt; .05. Results A total of 204 IHs were included. Twenty percent had arteriovenous shunts; 15% had afferent branches from main regional arteries; and almost 30% showed involvement of deep structures. Sixty-one percent of IHs were in the head and neck. Deep hemangiomas showed significantly thicker lesional vessels. A prolonged proliferative stage was significantly associated with a higher presence of arteriovenous shunts and a higher peak systolic velocity of the arterial vessels (&gt;= 15 cm/s) within the lesions. Conclusions Color Doppler ultrasound can support the detection of subclinical anatomic features that may potentially influence the involution and response to treatment of IHs. Some of these characteristics may serve as potential markers to predict and manage IHs in prolonged proliferative stages.</t>
  </si>
  <si>
    <t>Wortsman, Ximena/F-4432-2010</t>
  </si>
  <si>
    <t>Wortsman, Ximena/0000-0003-3359-5023</t>
  </si>
  <si>
    <t>0278-4297</t>
  </si>
  <si>
    <t>1550-9613</t>
  </si>
  <si>
    <t>10.1002/jum.15489</t>
  </si>
  <si>
    <t>WOS:000566763200001</t>
  </si>
  <si>
    <t>Riquelme, N; Robert, P; Troncoso, E; Arancibia, C</t>
  </si>
  <si>
    <t>Riquelme, N.; Robert, P.; Troncoso, E.; Arancibia, C.</t>
  </si>
  <si>
    <t>Influence of the particle size and hydrocolloid type on lipid digestion of thickened emulsions</t>
  </si>
  <si>
    <t>FOOD &amp; FUNCTION</t>
  </si>
  <si>
    <t>Hydrocolloids are used as stabilizing agents in order to enhance the physical stability of emulsions during their storage. However, they can also play an important role in nutrient release and bioavailability. In this context, the aim of this research was to study the effect of the emulsion type and thickener type on the physical-structural changes and free fatty acid release duringin vitrodigestion. Oil-in-water emulsions were prepared with different particle sizes (CE: conventional emulsions and NE: nanoemulsions) and thickening agents (starch and xanthan gum). The experimental conditions of homogenization used allowed food emulsions to be obtained at the microscale and nanoscale, with particle sizes ranging among 3.2-3.4 mu m and 78-107 nm for CE and NE, respectively. The addition of thickening agents (XG and ST) modified the physical properties of emulsions (particle size, zeta potential and stability) slightly, and thickened samples with similar viscosity were obtained. The kinetics of FFAs released during thein vitrointestinal digestion showed no significant differences (p&gt; 0.05) in the digestion rate among samples; however, emulsion and thickener types decreased the final extent of free fatty acids, being more evident for those samples with starch. Xanthan gum kept the particle size of nanoemulsions stable during the oral and gastric phases, which promoted the release of FFAs during the intestinal phase. Therefore, xanthan gum could be used as a thickening agent of nanoemulsions exerting a minor impact on their lipid bioaccessibility.</t>
  </si>
  <si>
    <t>Arancibia, Carla/AAN-2290-2020; Robert, Paz/G-8198-2014</t>
  </si>
  <si>
    <t>Riquelme Hinojosa, Natalia Andrea/0000-0003-3490-1045</t>
  </si>
  <si>
    <t>2042-6496</t>
  </si>
  <si>
    <t>2042-650X</t>
  </si>
  <si>
    <t>JUL 1</t>
  </si>
  <si>
    <t>10.1039/d0fo01202e</t>
  </si>
  <si>
    <t>WOS:000551326500021</t>
  </si>
  <si>
    <t>Droguett, T; Mora-Gómez, J; García-Gabaldón, M; Ortega, E; Mestre, S; Cifuentes, G; Pérez-Herranz, V</t>
  </si>
  <si>
    <t>Droguett, Tamara; Mora-Gomez, Julia; Garcia-Gabaldon, Montserrat; Ortega, Emma; Mestre, Sergio; Cifuentes, Gerardo; Perez-Herranz, Valentin</t>
  </si>
  <si>
    <t>Electrochemical Degradation of Reactive Black 5 using two-different reactor configuration</t>
  </si>
  <si>
    <t>Novel Sb-doped SnO2 ceramic electrodes sintered at different temperatures, are applied to the degradation of Reactive Black 5in both divided and undivided electrochemical reactors. In the undivided reactor the discoloration of the solution took place via the oxidation of RB5 dye, without the corresponding reduction in the chemical oxygen demand for the ceramic electrodes. However, in the divided one, it was possible to achieve the discoloration of the solution while at the same time decreasing the chemical oxygen demand through the .OH-mediated oxidation, although the chemical oxygen demand degradation took place at a slower rate.</t>
  </si>
  <si>
    <t>Pérez-Herranz, Valentín/N-3505-2019; Mora, Julia/GNP-2100-2022; Cifuentes, Gerardo/AAS-2148-2021; Perez-Herranz, Valentin/H-2905-2015; Ortega, Emma/H-5291-2015; Garcia Gabaldon, Montserrat/H-3282-2015; Mestre Beltran, Sergio/B-1211-2017</t>
  </si>
  <si>
    <t>Perez-Herranz, Valentin/0000-0002-4010-0888; Mora Gomez, Julia/0000-0002-1781-8664; Cifuentes, Gerardo/0000-0002-9543-1625; Ortega, Emma/0000-0001-6902-018X; Garcia Gabaldon, Montserrat/0000-0003-4254-6733; Mestre Beltran, Sergio/0000-0002-7799-8927</t>
  </si>
  <si>
    <t>MAR 11</t>
  </si>
  <si>
    <t>10.1038/s41598-020-61501-5</t>
  </si>
  <si>
    <t>WOS:000560132200014</t>
  </si>
  <si>
    <t>Montalvo, S; Martinez, J; Castillo, A; Huiliñir, C; Borja, R; García, V; Salazar, R</t>
  </si>
  <si>
    <t>Montalvo, S.; Martinez, J.; Castillo, A.; Huilinir, C.; Borja, R.; Garcia, Veronica; Salazar, Ricardo</t>
  </si>
  <si>
    <t>Sustainable energy for a winery through biogas production and its utilization: A Chilean case study</t>
  </si>
  <si>
    <t>SUSTAINABLE ENERGY TECHNOLOGIES AND ASSESSMENTS</t>
  </si>
  <si>
    <t>The anaerobic digestion of organic residues generated from the wine production process was evaluated. Organic residues namely the stalks, pomace, vine shoots and waste-activated sludge (WAS) from the liquid waste treatment plant and wine lees were used as substrates. A physical and chemical characterization of the solid residues was carried out, demonstrating that the different residues had favorable properties for methane production, although most had acidic characteristics. It was concluded that the highest methane yields (LCH4/kg VS) were achieved in the digesters operating with wine lees and WAS from the aerobic treatment plant with values of 876 +/- 45 and 690 +/- 25 L CH4/kg VS for day 57 of the batch process. By contrast, the wine shoots gave the lowest methane yield achieving values of 93 +/- 5 and 150 +/- 6 L CH4/kg VS on days 30 and 57, respectively. An energy balance was made for the use of biogas in a wine production plant, observing that the amount of biogas generated was sufficient to supply all the necessary energy used by the production plant. An environmental analysis was also carried out focused on the emission of greenhouse gases.</t>
  </si>
  <si>
    <t>Salazar, Ricardo/L-7870-2013; García, Verónica/AAM-1175-2021; Huilinir, Cesar/IYS-6899-2023; Borja, Rafael/P-5314-2016</t>
  </si>
  <si>
    <t>Borja, Rafael/0000-0002-3699-7223; Salazar-Gonzalez, Ricardo/0000-0003-2180-6022; Huilinir, Cesar/0000-0002-3487-684X</t>
  </si>
  <si>
    <t>2213-1388</t>
  </si>
  <si>
    <t>2213-1396</t>
  </si>
  <si>
    <t>10.1016/j.seta.2020.100640</t>
  </si>
  <si>
    <t>WOS:000514838400065</t>
  </si>
  <si>
    <t>Gamboa, J; Méndez, F; Tapia, N</t>
  </si>
  <si>
    <t>Gamboa, J.; Mendez, F.; Tapia, N.</t>
  </si>
  <si>
    <t>Anapole dark matter quantum mechanics</t>
  </si>
  <si>
    <t>The dynamics of an anapole seen as dark matter at low energies is studied by solving the Schrodinger-Pauli equation in a potential involving the Dirac delta and its derivatives in three dimensions. This is an interesting mathematical problem that, as far as we know, has not been previously discussed. We show how bound states emerge in this approach, and the scattering problem is formulated (and solved) directly. The total cross section is in full agreement with independent calculations in the standard model.</t>
  </si>
  <si>
    <t>Gamboa, Jorge/0000-0001-7992-7199; Tapia Arellano, Natalia/0000-0002-1138-1975</t>
  </si>
  <si>
    <t>JAN 23</t>
  </si>
  <si>
    <t>10.1103/PhysRevD.101.015013</t>
  </si>
  <si>
    <t>WOS:000509495300002</t>
  </si>
  <si>
    <t>dos Santos, LPM; Freire, RM; Michea, S; Denardin, JC; Araújo, DB; Barros, EB; Correia, AN; De Lima, P</t>
  </si>
  <si>
    <t>dos Santos, Luis P. M.; Freire, Rafael M.; Michea, Sebastian; Denardin, Juliano C.; Araujo, Daniel B.; Barros, Eduardo B.; Correia, Adriana N.; De Lima-Neto, Pedro</t>
  </si>
  <si>
    <t>Electrodeposition of 1-D tellurium nanostructure on gold surface from choline chloride-urea and choline chloride-ethylene glycol mixtures</t>
  </si>
  <si>
    <t>The electrodeposition of Te on Au substrate was investigated in either choline chloride-urea and in choline chloride-ethylene glycol deep eutectic solvents, at a molar ration of 1:2, containing 0.05 mol L-1 TeCl4. The electrodeposition of Te on Au electrode followed a three-dimensional progressive nucleation mechanism in both eutectic solvents. The diffusion coefficients of Te4+ species as a function of temperature were well fitted by a like-Arrhenius equation in both plating solutions. The apparent activation energies were 22.20 and 22.55 kJ mol(-1) for Scharifker-Hills and Cottrell's models, respectively, in 1 ChCl:2EG. On the other hand, in 1ChCl:2 U these values were 59.20 and 57.80 kJ mol(-1). In addition. SEM micrographs of Te electrodeposits from both revealed a large-scale Te rods-like morphology with hexagonal cross-section in nanoscale regime uniformly distributed on electrode surface. TEM investigation suggested that Te single-crystalline grew perpendicular direction of (100) planes which implied in the preferential growth direction of [001]. (C) 2019 Elsevier B.V. All rights reserved.</t>
  </si>
  <si>
    <t>Correia, Adriana/K-3953-2015; De Lima-Neto, Pedro/F-2440-2012; Denardin, Juliano/S-6407-2019; BARROS, EDUARDO/A-4555-2013; Michea, Sebastian/E-9043-2017; de Araujo, Daniel/R-8297-2017; dos Santos, Luis Paulo Mourao/L-1162-2018</t>
  </si>
  <si>
    <t>de Araujo, Daniel/0000-0001-5216-6035; Michea, Sebastian/0000-0001-9312-5766; dos Santos, Luis Paulo Mourao/0000-0002-8136-955X</t>
  </si>
  <si>
    <t>10.1016/j.molliq.2019.111038</t>
  </si>
  <si>
    <t>WOS:000480664700036</t>
  </si>
  <si>
    <t>Guzmán, H; Sepúlveda, M; Rosso, N; San Martin, AE; Guzmán, F; Guzmán, H</t>
  </si>
  <si>
    <t>Guzman M., Hernan; Sepulveda, Matias; Rosso, Nicolas; Esteban San Martin, Andres; Guzman, Felipe; Guzman C., Hernan</t>
  </si>
  <si>
    <t>Incidence and Risk Factors for Cholelithiasis After Bariatric Surgery (vol 29, pg 2110, 2019)</t>
  </si>
  <si>
    <t>OBESITY SURGERY</t>
  </si>
  <si>
    <t>SEPULVEDA, MATIAS/0000-0002-9454-7466</t>
  </si>
  <si>
    <t>0960-8923</t>
  </si>
  <si>
    <t>1708-0428</t>
  </si>
  <si>
    <t>10.1007/s11695-019-03950-0</t>
  </si>
  <si>
    <t>WOS:000477590600054</t>
  </si>
  <si>
    <t>Berthé, V; Bernales, PC</t>
  </si>
  <si>
    <t>Berthe, Valerie; Cecchi Bernales, Paulina</t>
  </si>
  <si>
    <t>Balancedness and coboundaries in symbolic systems</t>
  </si>
  <si>
    <t>THEORETICAL COMPUTER SCIENCE</t>
  </si>
  <si>
    <t>This paper studies balancedness for infinite words and subshifts, both for letters and factors. Balancedness is a measure of disorder that amounts to strong convergence properties for frequencies. It measures the difference between the numbers of occurrences of a given word in factors of the same length. We focus on two families of words, namely dendric words and words generated by substitutions. The family of dendric words includes Sturmian and Arnoux-Rauzy words, as well as codings of regular interval exchanges. We prove that dendric words are balanced on letters if and only if they are balanced on words. In the substitutive case, we stress the role played by the existence of coboundaries taking rational values and show simple criteria when frequencies take rational values for exhibiting imbalancedness. (C) 2018 Elsevier B.V. All rights reserved.</t>
  </si>
  <si>
    <t>Cecchi Bernales, Paulina/0009-0002-3669-6081</t>
  </si>
  <si>
    <t>0304-3975</t>
  </si>
  <si>
    <t>1879-2294</t>
  </si>
  <si>
    <t>JUL 19</t>
  </si>
  <si>
    <t>10.1016/j.tcs.2018.09.012</t>
  </si>
  <si>
    <t>WOS:000473372800006</t>
  </si>
  <si>
    <t>Dintrans, PV</t>
  </si>
  <si>
    <t>Villalobos Dintrans, Pablo</t>
  </si>
  <si>
    <t>Why Health Reforms Fail: Lessons from the 2014 Chilean Attempt to Reform</t>
  </si>
  <si>
    <t>HEALTH SYSTEMS &amp; REFORM</t>
  </si>
  <si>
    <t>In 2014, Chile started a process to reform its private health insurance scheme. A commission was created and released a report with recommendations, but no changes have been introduced yet. This article analyzes that reform process. The analysis included document review and interviews with key stakeholders involved in the process. Results show that although the Commission failed in producing the intended changes, it contributed to opening the debate regarding the Chilean health system, making explicit the different positions on the issue. The analysis shows that the reform did not advance because of the lack of basic consensus on the Commission's role, scope, and main purpose among stakeholders. Previous reforms highlight the relevance of time and information in creating a successful reform process.</t>
  </si>
  <si>
    <t>Dintrans, Pablo/AAM-6248-2020</t>
  </si>
  <si>
    <t>Villalobos Dintrans, Pablo/0000-0002-2236-6447</t>
  </si>
  <si>
    <t>2328-8604</t>
  </si>
  <si>
    <t>2328-8620</t>
  </si>
  <si>
    <t>APR 3</t>
  </si>
  <si>
    <t>10.1080/23288604.2019.1589916</t>
  </si>
  <si>
    <t>WOS:000473721400007</t>
  </si>
  <si>
    <t>Villamar-Ayala, CA; Carrera-Cevallos, JV; Vasquez-Medrano, R; Espinoza-Montero, PJ</t>
  </si>
  <si>
    <t>Alejandra Villamar-Ayala, Cristina; Veronica Carrera-Cevallos, Jeanette; Vasquez-Medrano, Ruben; Javier Espinoza-Montero, Patricio</t>
  </si>
  <si>
    <t>Fate, eco-toxicological characteristics, and treatment processes applied to water polluted with glyphosate: A critical review</t>
  </si>
  <si>
    <t>CRITICAL REVIEWS IN ENVIRONMENTAL SCIENCE AND TECHNOLOGY</t>
  </si>
  <si>
    <t>Glyphosate is the most widely used active ingredient of Glyphosate Based Herbicides (GBHs), and which has environmental mobility towards water by its physicochemical characteristics. These properties determine its low availability in living organisms (log K-ow &lt; 0), which is increased by the presence of co-adjuvant activators in GBHs and its biodegradation (metabolites). Eco-toxicological studies have determined that glyphosate affects to several aquatic trophic-levels (freshwater/marine environments), being more toxics GBHs. Therefore, its potential environmental risk has promoted the development of conventional (biological and physicochemical) and non-conventional (Advanced-Oxidation-Processes or AOPs, combined processes) treatment strategies. Biological processes will generate incomplete degradation (metabolites generation), and variable removal efficiencies (25-99%). Physicochemical processes will be efficient (approx. 90%) but transferring the glyphosate from water to the adsorbent material (dangerous waste generation). Currently, AOPs will arise as a rapid (minutes) and effective alternative for glyphosate removal (&gt;90%), depending on operational conditions, and without generation of intermediate metabolites. Moreover, new strategies (electrochemical) will avoid the hazardous waste production. Other combined processes (biological + physicochemical) will also reach glyphosate efficiencies removal above 90% but needing large spaces. However, their physical characteristics would make them feasible to be applied in agricultural areas.</t>
  </si>
  <si>
    <t>Villamar, Cristina-Alejandra/AAB-4154-2019; Espinoza-Montero, Patricio/J-2435-2018</t>
  </si>
  <si>
    <t>Vasquez-Medrano, Ruben/0009-0007-3692-1492; Espinoza-Montero, Patricio Javier/0000-0003-0592-8652; Villamar, Cristina Alejandra/0000-0003-4654-0670; Carrera-Cevallos, Jeanette Veronica/0000-0002-8617-0080</t>
  </si>
  <si>
    <t>1064-3389</t>
  </si>
  <si>
    <t>1547-6537</t>
  </si>
  <si>
    <t>10.1080/10643389.2019.1579627</t>
  </si>
  <si>
    <t>MAR 2019</t>
  </si>
  <si>
    <t>WOS:000463455900001</t>
  </si>
  <si>
    <t>Contreras, RC; Polloni, DF; Orozco, JLM; Rucker, U; Canal, CY</t>
  </si>
  <si>
    <t>Chavarria Contreras, Rafael; Faure Polloni, Daniel; Mariscal Orozco, Jose Luis; Rucker, Ursula; Yanez Canal, Carlos</t>
  </si>
  <si>
    <t>KEY CONCEPTS OF CULTURAL MANAGEMENT APPROACHES FROM LATIN AMERICA</t>
  </si>
  <si>
    <t>Orozco, José/AFM-0634-2022; Fauré Polloni, Daniel/AAQ-6023-2021</t>
  </si>
  <si>
    <t>WOS:000480324700001</t>
  </si>
  <si>
    <t>Julio, R; Zambra, C; Merlet, G; Cabezas, R; Correa, G; Salinas, G; González, J; Veliz, F; Lemus-Mondac, R</t>
  </si>
  <si>
    <t>Julio, Romero; Zambra, Carlos; Merlet, Gaston; Cabezas, Rene; Correa, Gonzalo; Salinas, Gonzalo; Gonzalez, Johan; Veliz, Felipe; Lemus-Mondac, Roberto</t>
  </si>
  <si>
    <t>Liquid-liquid extraction of hydroxytyrosol, tyrosol, and oleuropein using ionic liquids</t>
  </si>
  <si>
    <t>SEPARATION SCIENCE AND TECHNOLOGY</t>
  </si>
  <si>
    <t>Hydroxytyrosol (HT), tyrosol (TY), and oleuropein (OL) are valuable compounds that can be obtained from olive oil production waste. This study implemented liquid-liquid extraction to obtain HT, TY, and OL from model solutions using two organic solvents, namely, ethyl acetate and n-butyl acetate, and three ionic liquids (ILs), namely, [P-6,P-6,P-6,P-14][Tf2N], [P-6,P-6,P-6,P-14][DCA], and [omim][Tf2N]. [P-6,P-6,P-6,P-14][DCA] showed the best performance, with extraction efficiencies of 92%, 96%, and 83% for HT, TY, and OL, respectively. [omim][Tf2N] showed the highest selectivity in the extraction of TY. Comparisons of the results of a proposed mathematical model with experimental data yielded errors lower than 0.5%.</t>
  </si>
  <si>
    <t>Romero, Julio/I-6705-2013; Cabezas, Rene/HAR-6189-2022; Merlet Venturelli, Gaston/B-4109-2019; Lemus-Mondaca, Roberto/E-8348-2017</t>
  </si>
  <si>
    <t>Merlet Venturelli, Gaston/0000-0003-2602-6471; Lemus-Mondaca, Roberto/0000-0002-1252-2573; Cabezas, Rene/0000-0002-4162-3429; Gonzalez, Johan/0000-0001-8740-8743</t>
  </si>
  <si>
    <t>0149-6395</t>
  </si>
  <si>
    <t>1520-5754</t>
  </si>
  <si>
    <t>10.1080/01496395.2018.1555171</t>
  </si>
  <si>
    <t>WOS:000711843700001</t>
  </si>
  <si>
    <t>An elliptic equation with an indefinite sublinear boundary condition</t>
  </si>
  <si>
    <t>ADVANCES IN NONLINEAR ANALYSIS</t>
  </si>
  <si>
    <t>We investigate the problem {-Delta u = vertical bar u vertical bar(p-2)u in Omega, partial derivative u/partial derivative n = lambda b(x)vertical bar u vertical bar(q-2) on partial derivative Omega, where Omega is a bounded and smooth domain of R-N (N &gt;= 2), 1 &lt; q &lt; 2 &lt; p, lambda &gt; 0, and b is an element of C1+alpha(partial derivative Omega) for some alpha is an element of( 0, 1). We show that integral(partial derivative Omega) b &lt; 0 is a necessary and sufficient condition for the existence of nontrivial non-negative solutions of this problem. Under the additional condition b(+) not equivalent to 0 we show that for lambda &gt; 0 sufficiently small this problem has two nontrivial non-negative solutions which converge to zero in C(Omega) as lambda -&gt; 0. When p &lt; 2* we also provide the asymptotic profiles of these solutions.</t>
  </si>
  <si>
    <t>2191-9496</t>
  </si>
  <si>
    <t>2191-950X</t>
  </si>
  <si>
    <t>10.1515/anona-2016-0023</t>
  </si>
  <si>
    <t>WOS:000459891200009</t>
  </si>
  <si>
    <t>Muñoz, PM; Carrió-Pastor, ML</t>
  </si>
  <si>
    <t>Moya Munoz, Patritio; Luisa Carrio-Pastor, Maria</t>
  </si>
  <si>
    <t>Attenuation in comments on digital news in Spanish and Chilean newspapers</t>
  </si>
  <si>
    <t>The objective of this research is to identify the variation in the use of attenuation strategies used by digital newspaper commentators of El Pais (Spain) and Emol (Chile) in two contexts, politics and sports. In this analysis we consider attenuation as part of interactional meta-discourse analysis, that is, those elements that indicate the decision of writers to recognize different points of views to not compromise themselves with a proposition (Hyland, 2005). In this study, we compiled a corpus of 2,400 comments; then it was analyzed with the tool UAM Corpus Tool to detect the discourse markers used to attenuate the digital comments to digital news. The results indicated that, on the one hand, the comments from El Pais included more attenuators than the comments included in Emol. On the other hand, it was observed that there was no difference in the use of attenuators if we consider the two specific contexts analysed, i.e. politics and sports.</t>
  </si>
  <si>
    <t>Carrio Pastor, Maria Luisa/L-6629-2014</t>
  </si>
  <si>
    <t>Carrio Pastor, Maria Luisa/0000-0002-3040-5362; Moya Munoz, Patricio/0000-0003-0035-6683</t>
  </si>
  <si>
    <t>10.7764/onomazein.40.04</t>
  </si>
  <si>
    <t>WOS:000437735200004</t>
  </si>
  <si>
    <t>Escanilla-Figueroa, C; Jimeno-Ortega, I; Fuenzalida-Wong, H; Chávez-Rojas, F</t>
  </si>
  <si>
    <t>Escanilla-Figueroa, Claudio; Jimeno-Ortega, Isabel; Fuenzalida-Wong, Hector; Chavez-Rojas, Francisco</t>
  </si>
  <si>
    <t>Generalized linear porokeratosis</t>
  </si>
  <si>
    <t>ANAIS BRASILEIROS DE DERMATOLOGIA</t>
  </si>
  <si>
    <t>CHAVEZ ROJAS, FRANCISCO JAVIER/0000-0003-1763-2920; Jimeno Ortega, Isabel/0000-0003-4631-4382</t>
  </si>
  <si>
    <t>0365-0596</t>
  </si>
  <si>
    <t>1806-4841</t>
  </si>
  <si>
    <t>MAY-JUN</t>
  </si>
  <si>
    <t>10.1590/abd1806-4841.20187798</t>
  </si>
  <si>
    <t>WOS:000435632300040</t>
  </si>
  <si>
    <t>Astorga, CR; González-Candia, A; Candia, AA; Figueroa, EG; Cañas, D; Ebensperger, G; Reyes, RV; Llanos, AJ; Herrera, EA</t>
  </si>
  <si>
    <t>Astorga, Cristian R.; Gonzalez-Candia, Alejandro; Candia, Alejandro A.; Figueroa, Esteban G.; Canas, Daniel; Ebensperger, German; Reyes, Roberto V.; Llanos, Anibal J.; Herrera, Emilio A.</t>
  </si>
  <si>
    <t>Melatonin Decreases Pulmonary Vascular Remodeling and Oxygen Sensitivity in Pulmonary Hypertensive Newborn Lambs</t>
  </si>
  <si>
    <t>FRONTIERS IN PHYSIOLOGY</t>
  </si>
  <si>
    <t>Background: Chronic hypoxia and oxidative stress during gestation lead to pulmonary hypertension of the neonate (PHN), a condition characterized by abnormal pulmonary arterial reactivity and remodeling. Melatonin has strong antioxidant properties and improves pulmonary vascular function. Here, we aimed to study the effects of melatonin on the function and structure of pulmonary arteries from PHN lambs. Methods: Twelve lambs (Ovis aries) gestated and born at highlands (3,600 m) were instrumented with systemic and pulmonary catheters. Six of them were assigned to the control group (CN, oral vehicle) and 6 were treated with melatonin (MN, 1 mg.kg(-1) .d(-1)) during 10 days. At the end of treatment, we performed a graded oxygenation protocol to assess cardiopulmonary responses to inspired oxygen variations. Further, we obtained lung and pulmonary trunk samples for histology, molecular biology, and immunohistochemistry determinations. Results: Melatonin reduced the in vivo pulmonary pressor response to oxygenation changes. In addition, melatonin decreased cellular density of the media and diminished the proliferation marker KI67 in resistance vessels and pulmonary trunk (p &lt; 0.05). This was associated with a decreased in the remodeling markers alpha-actin (CN 1.28 +/- 0.18 vs. MN 0.77 +/- 0.04, p &lt; 0.05) and smoothelin-B (CN 2.13 +/- 0.31 vs. MN 0.88 +/- 0.27, p &lt; 0.05). Further, melatonin increased vascular density by 134% and vascular luminal surface by 173% (p &lt; 0.05). Finally, melatonin decreased nitrotyrosine, an oxidative stress marker, in small pulmonary vessels (CN 5.12 +/- 0.84 vs. MN 1.14 +/- 0.34, p &lt; 0.05). Conclusion: Postnatal administration of melatonin blunts the cardiopulmonary response to hypoxia, reduces the pathological vascular remodeling, and increases angiogenesis in pulmonary hypertensive neonatal lambs. These effects improve the pulmonary vascular structure and function in the neonatal period under chronic hypoxia.</t>
  </si>
  <si>
    <t>Candia, Alejandro/HLW-6943-2023; Ebensperger, Germán/AAP-8227-2020; Figueroa, Esteban/JNT-6352-2023; Gonzalez-Candia, Alejandro/GOV-6045-2022; Herrera, Emilio A/H-5992-2018</t>
  </si>
  <si>
    <t>Candia, Alejandro A./0000-0002-1726-7559; Gonzalez-Candia, Alejandro/0000-0001-8429-367X; Herrera, Emilio A/0000-0002-6342-085X; Figueroa Becerra, Esteban Gabriel/0000-0003-1316-738X; Llanos, Anibal/0000-0002-6285-9158</t>
  </si>
  <si>
    <t>1664-042X</t>
  </si>
  <si>
    <t>MAR 6</t>
  </si>
  <si>
    <t>10.3389/fphys.2018.00185</t>
  </si>
  <si>
    <t>WOS:000426746200001</t>
  </si>
  <si>
    <t>Kinetic and Mechanistic Observations on the Photoinduced Isomerization Reaction of Organometallic Chalcones: A Steady State and Flash Photolysis Study</t>
  </si>
  <si>
    <t>CHEMPHOTOCHEM</t>
  </si>
  <si>
    <t>The photoinduced isomerization (E to Z) processes of a new series of organometallic chalcones derived from cyrhetrene, ferrocene and cymantrene functionalized with a benzo or 4-benzo-15-crown-5 moiety were studied in acetonitrile. The influence of near-UV steady-state irradiation on the properties of the chalcones was followed by means of UV/Vis absorption and (HNMR)-H-1 spectroscopy. Time-resolved ultrafast transient absorption and nanosecond flash photolysis spectroscopic studies revealed that irradiation of E-cyrhetrenyl chalcones (1a, b) led to the formation of an intermediate excited state which evolves irreversibly into the Zisomer. A second excited state, formed in the picosecond timescale, is responsible for the luminescence of the cyrhetrenyl chalcone 1b. The photoisomerization mechanism was found to be different for the ferrocenyl chalcones (2a, b) compared to the E-cyrhetrenyl chalcones (1a, b). For the ferrocenyl chalcones, minimal concentrations of the Zisomer are formed and an excited state, assigned as a metal-to-ligand charge transfer excited state, leads to the formation of another product of reaction. The photoisomerization processes of the complexes, as seen through the values of the quantum yields and rate constants, are affected by the steric hindrance created by the macrocycle as well as the perturbation of the electronic system by metal ions, such as Ca2+, coordinated to the macrocycle.</t>
  </si>
  <si>
    <t>Ferraudi, Guillermo/0000-0003-2840-5520; Godoy, Fernando/0000-0002-3916-4753; Maldonado Hernandez, Tamara/0000-0002-3863-3001</t>
  </si>
  <si>
    <t>2367-0932</t>
  </si>
  <si>
    <t>10.1002/cptc.201700129</t>
  </si>
  <si>
    <t>WOS:000424895200006</t>
  </si>
  <si>
    <t>Donoso, F; Espinoza, M; Diaz, M; Letelier, A; Cardenas, R</t>
  </si>
  <si>
    <t>Donoso, Felipe; Espinoza, Mauricio; Diaz, Matias; Letelier, Arturo; Cardenas, Roberto</t>
  </si>
  <si>
    <t>Back-to-Back Modular Multilevel Converter for drive applications under unbalanced grid conditions</t>
  </si>
  <si>
    <t>2018 20TH EUROPEAN CONFERENCE ON POWER ELECTRONICS AND APPLICATIONS (EPE'18 ECCE EUROPE)</t>
  </si>
  <si>
    <t>European Conference on Power Electronics and Applications</t>
  </si>
  <si>
    <t>20th European Conference on Power Electronics and Applications (EPE ECCE Europe)</t>
  </si>
  <si>
    <t>SEP 17-21, 2018</t>
  </si>
  <si>
    <t>Riga, LATVIA</t>
  </si>
  <si>
    <t>Riga Tech Univ,IEEE Power Electron Soc,EPE,IEEE ENERGY CONVERSION CONGRESS &amp; EXPO,IEEE,Latvenergo</t>
  </si>
  <si>
    <t>In this paper, a control system for a Back-to-Back Modular Multilevel Converter based drive is proposed. The control system is able to operate either in balanced and unbalanced grid-conditions by regulating the power oscillations choosing an appropriate circulating current reference. Unity power factor operation (for balanced grid), reduced harmonic distortion, capacitor voltage balance and bidirectional power flow are feasible with the proposed methodology. Simulations and experimental results obtained with a 7.5-kW 30 power cells prototype are presented to validate the effectiveness of the proposed control system.</t>
  </si>
  <si>
    <t>Diaz, Matias/R-7570-2018; Espinoza, Mauricio/AAH-8647-2019</t>
  </si>
  <si>
    <t>2325-0313</t>
  </si>
  <si>
    <t>978-9-0758-1528-3</t>
  </si>
  <si>
    <t>WOS:000450299300021</t>
  </si>
  <si>
    <t>Beltrán-Castillo, S; Olivares, MJ; Contreras, RA; Zúñiga, G; Llona, I; von Bernhardi, R; Eugenín, JL</t>
  </si>
  <si>
    <t>Beltran-Castillo, S.; Olivares, M. J.; Contreras, R. A.; Zuniga, G.; Llona, I.; von Bernhardi, R.; Eugenin, J. L.</t>
  </si>
  <si>
    <t>D-serine released by astrocytes in brainstem regulates breathing response to CO2 levels</t>
  </si>
  <si>
    <t>NATURE COMMUNICATIONS</t>
  </si>
  <si>
    <t>Central chemoreception is essential for adjusting breathing to physiological demands, and for maintaining CO2 and pH homeostasis in the brain. CO2-induced ATP release from brainstem astrocytes stimulates breathing. NMDA receptor (NMDAR) antagonism reduces the CO2-induced hyperventilation by unknown mechanisms. Here we show that astrocytes in the mouse caudal medullary brainstem can synthesize, store, and release D-serine, an agonist for the glycine-binding site of the NMDAR, in response to elevated CO2 levels. We show that systemic and raphe nucleus D-serine administration to awake, unrestrained mice increases the respiratory frequency. Application of D-serine to brainstem slices also increases respiratory frequency, which was prevented by NMDAR blockade. Inhibition of D-serine synthesis, enzymatic degradation of D-serine, or the sodium fluoroacetate-induced impairment of astrocyte functions decrease the basal respiratory frequency and the CO2-induced respiratory response in vivo and in vitro. Our findings suggest that astrocytic release of D-serine may account for the glutamatergic contribution to central chemoreception.</t>
  </si>
  <si>
    <t>Beltran Castillo, Sebastian/AAT-2028-2021; Contreras, Rodrigo/I-1871-2013; Zuñiga, Gustavo/P-8306-2015; von Bernhardi, Rommy/IAO-3764-2023; Olivares, Maria Jose/M-9606-2017</t>
  </si>
  <si>
    <t>Zuniga, Gustavo/0000-0002-8286-9468; Beltran-Castillo, Sebastian/0000-0003-4550-6323; Contreras, Rodrigo/0000-0001-9970-3125; Olivares, Maria Jose/0000-0002-0109-0672; von Bernhardi, Rommy/0000-0002-9022-7676</t>
  </si>
  <si>
    <t>2041-1723</t>
  </si>
  <si>
    <t>10.1038/s41467-017-00960-3</t>
  </si>
  <si>
    <t>WOS:000412603700001</t>
  </si>
  <si>
    <t>Sepulveda, M; Alamo, M; Lynch, R; Castillo, G; Saba, J; Preiss, Y; Prat, X; Guzman, H</t>
  </si>
  <si>
    <t>Sepulveda, M.; Alamo, M.; Lynch, R.; Castillo, G.; Saba, J.; Preiss, Y.; Prat, X.; Guzman, H.</t>
  </si>
  <si>
    <t>LONG-TERM WEIGHT LOSS BETWEEN SLEEVE GASTRECTOMY AND SLEEVE GASTRECTOMY WITH JEJUNAL BYPASS. A CASE-CONTROL STUDY New (Non Standard) Surgical Techniques</t>
  </si>
  <si>
    <t>Preiss, Yudith/JXN-5386-2024</t>
  </si>
  <si>
    <t>O.147</t>
  </si>
  <si>
    <t>WOS:000461382400147</t>
  </si>
  <si>
    <t>Cuevas, C; Soto, H; Ubilla, P</t>
  </si>
  <si>
    <t>Cuevas, Claudio; Soto, Herme; Ubilla, Pedro</t>
  </si>
  <si>
    <t>Discrete problems associated to elliptic equations</t>
  </si>
  <si>
    <t>This paper deals with the existence of positive solutions of the discrete counterpart of nonlinear elliptic problems. We apply our methods to the study of positive solutions under different hypotheses about the nonlinearities. For example, we consider the cases that are superlinear and sublinear at infinity. Copyright (c) 2016 John Wiley &amp; Sons, Ltd.</t>
  </si>
  <si>
    <t>Cuevas, Claudio/A-5896-2012</t>
  </si>
  <si>
    <t>10.1002/mma.3942</t>
  </si>
  <si>
    <t>WOS:000388308500034</t>
  </si>
  <si>
    <t>Cortez, MI; Durand, F; Petite, S</t>
  </si>
  <si>
    <t>Isabel Cortez, Maria; Durand, Fabien; Petite, Samuel</t>
  </si>
  <si>
    <t>Eigenvalues and strong orbit equivalence</t>
  </si>
  <si>
    <t>ERGODIC THEORY AND DYNAMICAL SYSTEMS</t>
  </si>
  <si>
    <t>We give conditions on the subgroups of the circle to be realized as the subgroups of eigenvalues of minimal Cantor systems belonging to a determined strong orbit equivalence class. Actually, the additive group of continuous eigenvalues E (X, T) of the minimal Cantor system (X, T) is a subgroup of the intersection I (X, T) of all the images of the dimension group by its traces. We show, whenever the infinitesimal subgroup of the dimension group associated with (X, T) is trivial, the quotient group I (X, T)/E(X, T) is torsion free. We give examples with non-trivial infinitesimal subgroups where this property fails. We also provide some realization results.</t>
  </si>
  <si>
    <t>Cortez, Maria Isabel/0000-0002-1819-032X; Durand, Fabien/0000-0001-6625-1839</t>
  </si>
  <si>
    <t>0143-3857</t>
  </si>
  <si>
    <t>1469-4417</t>
  </si>
  <si>
    <t>10.1017/etds.2015.26</t>
  </si>
  <si>
    <t>WOS:000387858800004</t>
  </si>
  <si>
    <t>Stock, RI; Schramm, ADS; Rezende, MC; Machado, VG</t>
  </si>
  <si>
    <t>Stock, Rafaela I.; Schramm, Adriana D. S.; Rezende, Marcos C.; Machado, Vanderlei G.</t>
  </si>
  <si>
    <t>Reverse solvatochromism in solvent binary mixtures: a case study using a 4-(nitrostyryl)phenolate as a probe</t>
  </si>
  <si>
    <t>A 4-(nitrostyryl)phenolate was synthesized and its use in pure solvents revealed a reversion in solvatochromism. Solutions of a dye in binary solvent mixtures, using as components the solvents in the region of the occurrence of the reversion, provided the first case in the literature of reverse solvatochromism in a binary mixture.</t>
  </si>
  <si>
    <t>Caroli, Marcos/H-3570-2019; Gageiro Machado, Vanderlei/C-7045-2018</t>
  </si>
  <si>
    <t>Gageiro Machado, Vanderlei/0000-0002-6995-6591; Rezende, Marcos/0000-0003-2040-9009</t>
  </si>
  <si>
    <t>AUG 14</t>
  </si>
  <si>
    <t>10.1039/c6cp03875a</t>
  </si>
  <si>
    <t>WOS:000381428600028</t>
  </si>
  <si>
    <t>García, FE; Wlodarczyk, A</t>
  </si>
  <si>
    <t>Garcia, Felipe E.; Wlodarczyk, Anna</t>
  </si>
  <si>
    <t>Psychometric Properties of the Posttraumatic Growth Inventory-Short Form Among Chilean Adults</t>
  </si>
  <si>
    <t>JOURNAL OF LOSS &amp; TRAUMA</t>
  </si>
  <si>
    <t>This study evaluated the factorial structure, internal consistency, and construct validity of the Chilean version of the Posttraumatic Growth Inventory-Short Form. The participants were 1,817 Chilean adults who had experienced the 2010 earthquake in Chile or other highly stressful events. Confirmatory factorial analysis supported the correlated five-factor structure of the PTGI-SF. A multigroup confirmatory factor analysis confirmed measurement invariance across different samples. Concurrent validity was assessed by correlation. These findings suggest that the psychometric properties of the PTGI-SF are adequate to measure posttraumatic growth in the Chilean and Latin American population.</t>
  </si>
  <si>
    <t>Wlodarczyk, Anna/HHC-3887-2022; GARCIA, FELIPE E./D-7099-2017; Wlodarczyk, Anna/K-4968-2014</t>
  </si>
  <si>
    <t>GARCIA, FELIPE E./0000-0002-4161-5840; Wlodarczyk, Anna/0000-0003-2106-5324</t>
  </si>
  <si>
    <t>1532-5024</t>
  </si>
  <si>
    <t>1532-5032</t>
  </si>
  <si>
    <t>10.1080/15325024.2015.1108788</t>
  </si>
  <si>
    <t>WOS:000378046900006</t>
  </si>
  <si>
    <t>Garrido, E; Olivares, F; Ureta-Zanartu, M</t>
  </si>
  <si>
    <t>Garrido, Elizabeth; Olivares, Felipe; Ureta-Zanartu, Maria</t>
  </si>
  <si>
    <t>Phenol degradation by heterogeneous electro-Fenton process using bi-metallic (Fe-Cu) allophane nanoclays as iron dosage</t>
  </si>
  <si>
    <t>ABSTRACTS OF PAPERS OF THE AMERICAN CHEMICAL SOCIETY</t>
  </si>
  <si>
    <t>Ureta-Zañartu, Maria/G-5239-2019</t>
  </si>
  <si>
    <t>0065-7727</t>
  </si>
  <si>
    <t>WOS:000432475502002</t>
  </si>
  <si>
    <t>Neustupa, J; Siginer, D</t>
  </si>
  <si>
    <t>Neustupa, Jiri; Siginer, Dennis</t>
  </si>
  <si>
    <t>Existence and structure of steady solutions of the Benard problem in a two dimensional quadrangular cavity</t>
  </si>
  <si>
    <t>NONLINEAR ANALYSIS-THEORY METHODS &amp; APPLICATIONS</t>
  </si>
  <si>
    <t>We prove the existence of a strong-weak solution (u, p, T) (= velocity, pressure, temperature) of the steady Benard problem in a 2D quadrangular cavity, heated/cooled on two opposite sides and thermally insulated on the other sides. Applying the tools of nonlinear analysis, we study the structure of the set of solutions in dependence on the acting volume force and on the given temperature profiles on the heated/cooled sides. Particularly, in the case when the cavity has the form of a trapezoid, we also study the structure of the solution set in dependence on the angle of inclination from the horizontal-vertical position. (C) 2015 Elsevier Ltd. All rights reserved.</t>
  </si>
  <si>
    <t>Neustupa, Jiri/D-5459-2014</t>
  </si>
  <si>
    <t>0362-546X</t>
  </si>
  <si>
    <t>1873-5215</t>
  </si>
  <si>
    <t>123-124</t>
  </si>
  <si>
    <t>10.1016/j.na.2015.03.024</t>
  </si>
  <si>
    <t>WOS:000355737200004</t>
  </si>
  <si>
    <t>Brisaboa, NR; Cerdeira-Pena, A; Gil-Costa, V; Marin, M; Pedreira, O</t>
  </si>
  <si>
    <t>Italiano, GF; MargariaSteffen, T; Pokorny, J; Quisquater, JJ; Wattenhofer, R</t>
  </si>
  <si>
    <t>Brisaboa, Nieves R.; Cerdeira-Pena, Ana; Gil-Costa, Veronica; Marin, Mauricio; Pedreira, Oscar</t>
  </si>
  <si>
    <t>Efficient Similarity Search by Combining Indexing and Caching Strategies</t>
  </si>
  <si>
    <t>SOFSEM 2015: THEORY AND PRACTICE OF COMPUTER SCIENCE</t>
  </si>
  <si>
    <t>41st International Conference on Current Trends in Theory and Practice of Computer Science ((SOFSEM)</t>
  </si>
  <si>
    <t>JAN 24-29, 2015</t>
  </si>
  <si>
    <t>Pecpod Snezkou, CZECH REPUBLIC</t>
  </si>
  <si>
    <t>Czech Soc Cybernet &amp; Informat</t>
  </si>
  <si>
    <t>A critical issue in large scale search engines is to efficiently handle sudden peaks of incoming query traffic. Research in metric spaces has addressed this problem from the point of view of creating caches that provide information to, if possible, exactly/approximately answer a query very quickly without needing to further process an index. However, one of the problems of that approach is that, if the cache is not able to provide an answer, the distances computed up to that moment are wasted, and the search must proceed through the index structure. In this paper we present an index structure that serves a twofold role: that of a cache and an index in the same structure. In this way, if we are not able to provide a quick approximate answer for the query, the distances computed up to that moment are used to query the index. We present an experimental evaluation of the performance obtained with our structure.</t>
  </si>
  <si>
    <t>Marin, Mauricio/GLR-7700-2022; Cerdeira-Pena, Ana/ABG-1110-2020; Pedreira, Oscar/ABA-5296-2020; Gil-Costa, Veronica/GPT-4785-2022; Brisaboa, Nieves R./S-4744-2016; Cerdeira-Pena, Ana/M-2878-2018</t>
  </si>
  <si>
    <t>Gil-Costa, Veronica/0000-0003-4637-9725; Brisaboa, Nieves R./0000-0001-8025-3048; Pedreira, Oscar/0000-0001-6176-4475; Cerdeira-Pena, Ana/0000-0003-1698-0093; Marin, Mauricio/0000-0003-0662-7149</t>
  </si>
  <si>
    <t>978-3-662-46078-8; 978-3-662-46077-1</t>
  </si>
  <si>
    <t>WOS:000357679300039</t>
  </si>
  <si>
    <t>Vergara-Fernández, A; Martín-Davison, JS; Díaz-Robles, LA; Soto-Sánchez, O</t>
  </si>
  <si>
    <t>Vergara-Fernandez, A.; San Martin-Davison, J.; Diaz-Robles, L. A.; Soto-Sanchez, O.</t>
  </si>
  <si>
    <t>EFFECT OF INITIAL SUBSTRATE/INOCULUM RATIO ON CELL YIELD IN THE REMOVAL OF HYDROPHOBIC VOCS IN FUNGAL BIOFILTERS</t>
  </si>
  <si>
    <t>REVISTA MEXICANA DE INGENIERIA QUIMICA</t>
  </si>
  <si>
    <t>Different kinetic models have been proposed to describe the elimination of hydrophobic volatile organic compounds (VOCs) by fungal biofiltration. In this process the ratio of the initial substrate concentration (C-b0(p)) to the initial biomass (X-0) has been shown to influence the cell yield. This paper presents a study of the effect of the C-b0(p)/X-0 ratio on observed cell yield (Y-obs) in a fixed bed batch system (microcosm) using a gaseous carbon source, as an approximation to its application in the fungal biofiltration of hydrophobic VOCs. Essays were carried out in fixed-bed microcosms using the filamentous fungus Fusarium solani as a biological agent and n-pentane as a carbon and energy source. The results indicated that Y-obs in the gas phase is inversely proportional to the C-b0(p)/X-0 ratio, with values of 0.9 to 0.35 g(biomass) g(pentane)(-1) being obtained when the C-b0(P)/x(0) ratio is changed from 0.1 to 1.0 g(pentane) g(biomass)(-1).The results indicate that more than 60% of n-pentane was consumed due to energy spilling, and that strong dissociation of catabolism from anabolism occurred at higher C-b0(p)/X-0 ratios.</t>
  </si>
  <si>
    <t>Vergara-Fernández, Alberto/D-1770-2011</t>
  </si>
  <si>
    <t>Vergara-Fernandez, Alberto/0000-0002-6075-9137</t>
  </si>
  <si>
    <t>1665-2738</t>
  </si>
  <si>
    <t>WOS:000346394800009</t>
  </si>
  <si>
    <t>Post-consumer Recycled PET Packaging for Fresh Berries: A Comparative Study between Incorporating an Antifungal Agent Superficially and into the Main Body of the Packaging</t>
  </si>
  <si>
    <t>FOOD AND BIOPROCESS TECHNOLOGY</t>
  </si>
  <si>
    <t>This study proposes to incorporate an antifungal agent (potassium sorbate, KS) to post-consumer recycled polyethylene terephthalate (PCRPET), by adding KS to the dip solution through which PCRPET normally passes after extrusion, in order to acquire a non-stick silicone coating, which prevents individual packages from adhering to each other while stacked. This method of imparting antifungal activity to the packaging is far more advantageous than adding KS to the extruder feed because it results in virtually no alterations to the colour and mechanical properties of PCRPET, which is a major issue when KS is added to the extruder feed. The antifungal efficacy of the active packaging was demonstrated against Botrytis cinerea growth by a novel method which mimics the action of the antifungal agent under fruit contact conditions. A reduction by 2 log cycles was observed when the initial concentration of the mould was 10(5) conidia/mL. The active packaging was effective over a test period lasting 6 months. The packaging microstructure was visualized by scanning electron microscopy (SEM); its thermal properties were characterized using a differential scanning calorimeter (DSC); its optical properties were characterized using CIE Lab colorimetry; and its mechanical properties were characterized by measuring resistance to dynamic compression. The mechanical properties showed no significant difference (P &gt; 0.05) with those of the control (PCRPET without KS), and despite a statistically significant difference (P &lt; 0.05) in the colour parameters (L*, a* and b*), the total colour difference (Delta E*) was found to be too small to be visually noticed. This study achieved the aim of adding antifungal activity to PCRPET packaging with little or no perceptible changes to its mechanical, thermal and optical properties and virtually no changes being made to the standard high-speed packaging production line.</t>
  </si>
  <si>
    <t>1935-5130</t>
  </si>
  <si>
    <t>1935-5149</t>
  </si>
  <si>
    <t>10.1007/s11947-014-1262-5</t>
  </si>
  <si>
    <t>WOS:000340050400015</t>
  </si>
  <si>
    <t>Artigas, EM; Moraga, ET; Yrigoyen, CC</t>
  </si>
  <si>
    <t>Marinao Artigas, Enrique; Torres Moraga, Eduardo; Chasco Yrigoyen, Coro</t>
  </si>
  <si>
    <t>Satisfaction: the determinant of tourist destination familiarity</t>
  </si>
  <si>
    <t>RAE-REVISTA DE ADMINISTRACAO DE EMPRESAS</t>
  </si>
  <si>
    <t>This study aims to prove the satisfaction felt by a tourist is the result of the functional, hedonic and symbolic benefits acquired from the site. In its turn, it aims to prove that satisfaction is an antecedent for the tourist destination to become more familiar. Different scales are identified to permit measuring these relations based on a confirmatory factor analysis (CFA). A non-probabilistic sample was used based on quotas, in the proportion of tourist destinations visited in Chile. The relationship between perceiving benefits as antecedents for satisfaction can be very important for the tourist destination to be perceived as more familiar than other destinations. This study suggests that satisfaction complies with a very important mediator function between the perception of benefits and the familiarity of the tourist destination. Authorities should consider the triad of benefits as a basis for establishing marketing strategies that seek an increase in satisfaction.</t>
  </si>
  <si>
    <t>Marinao-Artigas, Enrique/CAF-2031-2022; Chasco, Coro/IUN-0313-2023; Chasco, Coro/L-2577-2013</t>
  </si>
  <si>
    <t>Marinao-Artigas, Enrique/0000-0002-1588-5011; Chasco, Coro/0000-0001-8098-9979</t>
  </si>
  <si>
    <t>0034-7590</t>
  </si>
  <si>
    <t>2178-938X</t>
  </si>
  <si>
    <t>10.1590/S0034-759020140405</t>
  </si>
  <si>
    <t>WOS:000339643100005</t>
  </si>
  <si>
    <t>Pizarro, J; Vergara, PM; Morales, JL; Rodriguez, JA; Vila, I</t>
  </si>
  <si>
    <t>Pizarro, J.; Vergara, P. M.; Morales, J. L.; Rodriguez, J. A.; Vila, I.</t>
  </si>
  <si>
    <t>Influence of land use and climate on the load of suspended solids in catchments of Andean rivers</t>
  </si>
  <si>
    <t>ENVIRONMENTAL MONITORING AND ASSESSMENT</t>
  </si>
  <si>
    <t>Understanding the interaction between anthropogenic land use and the rainfall pattern can be crucial to predict changes in total suspended solids (TSS) in streams and rivers. We assessed the effects of land use and annual rainfall on the TSS load of 19 southern Chilean catchments. The results indicated that the concentration of TSS increased in catchments with a rainy regime and greater annual precipitation. TSS load also increased as the surface of open areas increased at the catchment scale and decreased with increasing cover of glaciers and perennial snow. However, we did not find support for models with interaction terms between climate and land use. Results suggest that a regional decrease in annual rainfall accompanied by an increase in the altitude of the zero isotherms, as predicted by climate models, should have multiple effects on TSS. In particular, increased TSS load can be expected from a contraction of glaciers and perennial snow areas as well as the intensification of new crops and urban expansion.</t>
  </si>
  <si>
    <t>Vergara, Pablo/F-2519-2010</t>
  </si>
  <si>
    <t>0167-6369</t>
  </si>
  <si>
    <t>1573-2959</t>
  </si>
  <si>
    <t>10.1007/s10661-013-3420-z</t>
  </si>
  <si>
    <t>WOS:000329647300015</t>
  </si>
  <si>
    <t>Castro, SA; Espinosa, C; Figueroa, JA</t>
  </si>
  <si>
    <t>Castro, Sergio A.; Espinosa, Christian; Figueroa, Javier A.</t>
  </si>
  <si>
    <t>Two haplotypes of Capsella bursa-pastoris (Brassicaceae) in Continental Chile support multiple introduction</t>
  </si>
  <si>
    <t>GAYANA BOTANICA</t>
  </si>
  <si>
    <t>Shepherd's purse (Capsella bursa-pastoris; Brassicaceae) is a global weed. In Chile, this species was introduced early during Spanish colonization, however, previous studies based on allozymes and RAPD fragments, show that populations in southernmost Chile could be related to England populations. Here, we analyze the geographical variation of three sequences of cpSSR in 286 individuals of C. bursa-pastoris (ATCP46615, ATCP66701 and ATCP31017). We collected plants from 14 populations distributed over a wide latitudinal gradient in continental Chile. Only one of the markers showed variation (ATCP31017), evidencing the presence of two haplotypes along the territory. The geographic distribution of these haplotypes support previous studies based on allozymes and RAPD fragments, suggesting that C. bursa-pastoris in continental Chile was introduced at least twice.</t>
  </si>
  <si>
    <t>Figueroa, Javier/I-3451-2019</t>
  </si>
  <si>
    <t>0717-6643</t>
  </si>
  <si>
    <t>10.4067/S0717-66432014000200004</t>
  </si>
  <si>
    <t>WOS:000348178200004</t>
  </si>
  <si>
    <t>Piqueras, JA; Olivares, J; Vera-Villarroel, P; Marzo, JC; Kuhne, W</t>
  </si>
  <si>
    <t>Antonio Piqueras, Jose; Olivares, Jose; Vera-Villarroel, Pablo; Carlos Marzo, Juan; Kuhne, Walter</t>
  </si>
  <si>
    <t>Factorial Invariance of the Social Anxiety Screening Scale (EDAS) in Spanish and Chilean adolescents</t>
  </si>
  <si>
    <t>ANALES DE PSICOLOGIA</t>
  </si>
  <si>
    <t>This instrumental study examines factorial invariance of the Scale for Social Anxiety Screening (EDAS) across countries and gender in two samples of Chilean and Spanish adolescents between 14 and 17 years using multigroup confirmatory factor analysis. The sample consisted of 1185 Spanish adolescents, with a mean age of 15.49 years (SD=1.10) and the Chilean sample consisted of 965 adolescents, whose age mean age was 15.51 (SD=1.09). The age and gender distribution was homogeneous. Results showed that EDAS showed a good fit to a three factors model (Avoidance, Anxiety and interference), representing each subscale a single dimension. No significant differences between Chilean and Spanish adolescents attributable to the countries and gentler. The reliability coefficients were high in each of the subscales. The results provide empirical evidence for the reliability, validity and factorial invariance of the EDAS in Spanish and Chilean adolescents.</t>
  </si>
  <si>
    <t>Olivares Rodríguez, José/F-5059-2016; Vera-Villarroel, Pablo/A-1134-2011; Marzo, Juan/L-7013-2014; Piqueras, Jose A/C-6011-2011</t>
  </si>
  <si>
    <t>Vera-Villarroel, Pablo/0000-0001-9187-8414; Olivares Rodriguez, Jose/0000-0002-8833-4448; Marzo, Juan/0000-0003-4284-6744; Piqueras, Jose A/0000-0002-3604-5441</t>
  </si>
  <si>
    <t>0212-9728</t>
  </si>
  <si>
    <t>1695-2294</t>
  </si>
  <si>
    <t>WOS:000297718000023</t>
  </si>
  <si>
    <t>Moraga, NO; Zambra, CE; Torres, PB; Lemus-Mondaca, RA</t>
  </si>
  <si>
    <t>Moraga, Nelson O.; Zambra, Carlos E.; Torres, Paul B.; Lemus-Mondaca, Roberto A.</t>
  </si>
  <si>
    <t>FLUID DYNAMICS, HEAT AND MASS TRANSFER MODELING BY FINITE VOLUME METHOD FOR AGROFOOD PROCESSES</t>
  </si>
  <si>
    <t>DYNA-COLOMBIA</t>
  </si>
  <si>
    <t>The two-dimensional transient momentum, heat and mass transfer for agrofood processes is described. These processes are: pre-harvest and fruit hot-air dehydration. The methodology includes mathematical modeling and computational simulation to describe conjugate heat and mass convection and diffusion between food and surrounding air. The mathematical model is written in terms of a system built based on the non-linear coupled partial differential equations of continuity, linear momentum, energy and mass. Temperature and concentration dependent fruit thermophysical properties were calculated from empirical models. The finite volume method with the SIMPLE algorithm is used to obtain the results of velocity (v), temperature (T) and moisture concentration (C) distributions in time for the processes studied. The validation procedure includes a comparison with v, T and C experimental and numerical results obtained in the specialized literature.</t>
  </si>
  <si>
    <t>Lemus-Mondaca, Roberto/E-8348-2017</t>
  </si>
  <si>
    <t>Lemus-Mondaca, Roberto/0000-0002-1252-2573</t>
  </si>
  <si>
    <t>0012-7353</t>
  </si>
  <si>
    <t>WOS:000297084800017</t>
  </si>
  <si>
    <t>Bridi, R; Aliaga, C; Aspée, A; Abuin, E; Lissi, E</t>
  </si>
  <si>
    <t>Bridi, Raquel; Aliaga, Carolina; Aspee, Alexis; Abuin, Elsa; Lissi, Eduardo</t>
  </si>
  <si>
    <t>Distribution and reactivity of gallates toward galvinoxyl radicals in SDS micellar solutions - Effect of the alkyl chain length</t>
  </si>
  <si>
    <t>CANADIAN JOURNAL OF CHEMISTRY-REVUE CANADIENNE DE CHIMIE</t>
  </si>
  <si>
    <t>In this work, we have evaluated the reactivity of methyl gallate, propyl gallate, and n-octyl gallate toward galvinoxyl radicals in homogeneous solution (ethanol) and sodium dodecyl sulfate micelles. In ethanol, the rate of galvinoxyl consumption was independent of the gallate's alkyl chain length. On the other hand, reaction rates in micelles were dependent on the length of the gallate alkyl chain. Measurements of the rate of the reaction at different pH show that, even at pH 7.0, the reaction mainly involves the monodeprotonated anionic form of the gallates. Plots of reaction rates as a function of the surfactant concentration allowed us to evaluate the distribution of the gallates (K(GH)) and an apparent rate constant defined by the product between the intramicellar rate constant of the anion (k(G-)) and its partition constant (K(G-)). The values of the increment of the apparent rate constant per methylene group in the alkyl chain strongly suggest that intramicellar rate constant values are independent of the alkyl chain length. This points to a similar intramicellar localization of the phenolate moiety in the three gallates considered.</t>
  </si>
  <si>
    <t>Bridi, Raquel/JCN-9916-2023; bridi, raquel/F-1572-2015; Aliaga, Carolina/G-6024-2019</t>
  </si>
  <si>
    <t>bridi, raquel/0000-0002-3891-5770; Aliaga, Carolina/0000-0002-1352-3164</t>
  </si>
  <si>
    <t>0008-4042</t>
  </si>
  <si>
    <t>10.1139/V10-114</t>
  </si>
  <si>
    <t>WOS:000287150300015</t>
  </si>
  <si>
    <t>González-García, J; Esclapez, MD; Bonete, P; Hernández, YV; Garretón, LG; Sáez, V</t>
  </si>
  <si>
    <t>Gonzalez-Garcia, Jose; Deseada Esclapez, Maria; Bonete, Pedro; Vargas Hernandez, Yolanda; Gaete Garreton, Luis; Saez, Veronica</t>
  </si>
  <si>
    <t>Current topics on sonoelectrochemistry</t>
  </si>
  <si>
    <t>ULTRASONICS</t>
  </si>
  <si>
    <t>International Congress on Ultrasonics</t>
  </si>
  <si>
    <t>JAN 11-17, 2009</t>
  </si>
  <si>
    <t>Univ Santiago Chile, Santiago, CHILE</t>
  </si>
  <si>
    <t>Univ Santiago Chile</t>
  </si>
  <si>
    <t>Sonoelectrochemistry is undergoing a reemerging activity in the last years with an increasing number of papers appearing in a wide range of peer review journals. Applied studies which cover environmental treatments, synthesis or characterization of nanostructures, polymeric materials synthesis, analytical procedures, films preparations, membrane preparations among other interesting applications have been reviewed. The revised fundamental analyses trying to elucidate the mechanism of the interactions between the ultrasound and electrical fields, are focused on test electrochemical processes, on the use of unconventional solvents and combination with other techniques. After the review of the achievements and faults of sonoelectrochemistry, future research lines are suggested. (C) 2009 Elsevier B.V. All rights reserved.</t>
  </si>
  <si>
    <t>; Esclapez, M. D./E-5016-2016</t>
  </si>
  <si>
    <t>Saez, Veronica/0000-0001-7122-9599; Gaete-Garreton, Luis/0000-0002-2234-8783; Esclapez, M. D./0000-0003-2946-9841</t>
  </si>
  <si>
    <t>0041-624X</t>
  </si>
  <si>
    <t>1874-9968</t>
  </si>
  <si>
    <t>10.1016/j.ultras.2009.09.022</t>
  </si>
  <si>
    <t>WOS:000271779500039</t>
  </si>
  <si>
    <t>Matsuhiro, B; Torres, R; Zúñiga, EA; Aguirre, MJ; Mendoza, L; Isaacs, M</t>
  </si>
  <si>
    <t>Matsuhiro, Betty; Torres, Rodrigo; Zuniga, Elisa A.; Aguirre, Maria J.; Mendoza, Leonora; Isaacs, Mauricio</t>
  </si>
  <si>
    <t>DETERMINATION OF LOW MOLECULAR WEIGHT CARBOHYDRATES IN CABERNET SAUVIGNON RED WINES</t>
  </si>
  <si>
    <t>Low molecular weight carbohydrates (LMW) were determined in a Chilean Cabernet Sauvignon red wine by the Dubois method, a specific method for the determination of carbohydrates. Dialysis treatment of red wine allowed the separation of pentoses, hexoses, reducing and non-reducing oligosaccharides and glycosides (LMW) from the polysaccharides fraction (HMW) fraction. The total sugar content of red wine by Dubois method was 5.55 g/L. The content of LMW sugars determined by Dubois method (3.63 g/L) is higher than the sugar content of the polysaccharides fraction (1.78 g/L). Analysis of twenty more samples of Cabernet Sauvignon red wines showed that the high molecular weight fraction content is quite iterative (mean value 2.50 g/L). The advantage of the Dubois method in relation to Fehling method is that the former does not need prior decolouration of the sample and there is not interference of aldehydes. The method developed in this work may be a complementary method for the determination of carbohydrates in wine industry.</t>
  </si>
  <si>
    <t>Isaacs, Mauricio/N-3027-2013; Aguirre, Maria/A-3935-2013</t>
  </si>
  <si>
    <t>Aguirre, Maria/0000-0003-1134-4469; Isaacs Casanova, Mauricio/0000-0003-0503-0949; Zuniga, Elisa/0000-0002-9232-6651</t>
  </si>
  <si>
    <t>0717-9324</t>
  </si>
  <si>
    <t>WOS:000273751200018</t>
  </si>
  <si>
    <t>Brache, V; Croxatto, H; Kumar, N; Sitruk-Ware, R; Cochón, L; Schiappacasse, V; Sivin, I; Muñoz, C; Maguire, R; Faundes, A</t>
  </si>
  <si>
    <t>Brache, Vivian; Croxatto, Horacio; Kumar, Narender; Sitruk-Ware, Regine; Cochon, Leila; Schiappacasse, Veronica; Sivin, Irving; Munoz, Carla; Maguire, Robin; Faundes, Anibal</t>
  </si>
  <si>
    <t>Effect of sexual intercourse on the absorption of levonorgestrel after vaginal administration of 0.75 mg in Carraguard® gel: a randomized, cross-over, pharmacokinetic study</t>
  </si>
  <si>
    <t>CONTRACEPTION</t>
  </si>
  <si>
    <t>Background: The Population Council studied a pre-coital contraceptive microbicide vaginal product containing levonorgestrel (LNG) as active component and Carraguard (R) gel as a vehicle (Carra/LNG gel) for Couples who engage in occasional unplanned intercourse. The objective of this study was to evaluate the effect of sexual intercourse after vaginal application of Carra/LNG gel on serum levels of LNG in women and to assess LNG absorption by the male partner. Study Design: This was a randomized, cross-over, pharmacokinetic study including an abstinence ann and an arm in which couples engaged in sexual intercourse between 2 and 4 It after gel application. In each study arm, each woman received a single application of Carra/LNG gel (0.75 mg in 4 mL gel) followed by serial blood samples taken at 0 1, 2, 4, 8, 24 and 48 h after gel application for LNG measurements. In the intercourse arm, LNG was measured in blood samples taken from the male partner before intercourse and at 4, 8 and 24 It after gel application in the female partner. Results: Time concentration curves for serum LNG levels showed a mean C-max of 7.8 +/- 5.5 and 8.3 +/- 5.7 nmol/L, a mean T-max of 6.2 +/- 5.9 and 7.5 +/- 5.7, and comparable area under the curve for the intercourse and abstinence ann, respectively. Pharmacokinetic parameters presented large variability between subjects, but excellent reproducibility within each subject. LNG was undetectable in 10 out of 12 male partners. Conclusion: Sexual intercourse does not appear to interfere with vaginal absorption of LNG after application of a Carra/LNG gel. A vaginal pre-coital contraceptive gel is feasible. (C) 2009 Elsevier Inc. All rights reserved.</t>
  </si>
  <si>
    <t>Kumar, Narender/JWP-7679-2024</t>
  </si>
  <si>
    <t>0010-7824</t>
  </si>
  <si>
    <t>1879-0518</t>
  </si>
  <si>
    <t>10.1016/j.contraception.2008.08.010</t>
  </si>
  <si>
    <t>WOS:000262687700013</t>
  </si>
  <si>
    <t>Brock, F; Iturriaga, L; Ubilla, P</t>
  </si>
  <si>
    <t>Brock, Friedemann; Iturriaga, Leonelo; Ubilla, Pedro</t>
  </si>
  <si>
    <t>A Multiplicity Result for the p-Laplacian Involving a Parameter</t>
  </si>
  <si>
    <t>ANNALES HENRI POINCARE</t>
  </si>
  <si>
    <t>1424-0637</t>
  </si>
  <si>
    <t>1424-0661</t>
  </si>
  <si>
    <t>10.1007/s00023-008-0386-4</t>
  </si>
  <si>
    <t>WOS:000260612500004</t>
  </si>
  <si>
    <t>Gil-Costa, V; Marin, M</t>
  </si>
  <si>
    <t>ElBaz, D; Bourgeois, J; Spies, F</t>
  </si>
  <si>
    <t>Gil-Costa, Veronica; Marin, Mauricio</t>
  </si>
  <si>
    <t>Distributed sparse spatial selection indexes</t>
  </si>
  <si>
    <t>PROCEEDINGS OF THE 16TH EUROMICRO CONFERENCE ON PARALLEL, DISTRIBUTED AND NETWORK-BASED PROCESSING</t>
  </si>
  <si>
    <t>Euromicro Conference on Parallel Distributed and Network-Based Processing</t>
  </si>
  <si>
    <t>16th Euromicro International Conference on Parallel, Distributed and Network-Based Processing</t>
  </si>
  <si>
    <t>FEB 13-15, 2008</t>
  </si>
  <si>
    <t>Toulouse, FRANCE</t>
  </si>
  <si>
    <t>Sun Microsyst,Minist Delegue Recherche,Ctr Natl Recherche Sci,Univ Paul Sabatier,CNRS LAAS,SGI,Reg Midi Pyrenees,Mairie Toulouse,Haute Garonne</t>
  </si>
  <si>
    <t>Searching for similar objects in metric-space databases can be efficiently solved by using index data structures. A number of alternative sequential indexes have been proposed in the literature. This paper proposes the parallelization of a recent pivot-based index data structure which can efficiently accommodate on-line updates and reduces the number of object-to-object comparisons during searches. We present algorithms for index construction and query processing.</t>
  </si>
  <si>
    <t>Marin, Mauricio/GLR-7700-2022; Gil-Costa, Veronica/GPT-4785-2022</t>
  </si>
  <si>
    <t>Marin, Mauricio/0000-0003-0662-7149; Gil-Costa, Veronica/0000-0003-4637-9725</t>
  </si>
  <si>
    <t>1066-6192</t>
  </si>
  <si>
    <t>978-0-7695-3089-5</t>
  </si>
  <si>
    <t>10.1109/PDP.2008.73</t>
  </si>
  <si>
    <t>WOS:000254266500059</t>
  </si>
  <si>
    <t>Pereda, J; Zorn, T; Soto-Suazo, M</t>
  </si>
  <si>
    <t>Pereda, Jaime; Zorn, Telma; Soto-Suazo, Mauricio</t>
  </si>
  <si>
    <t>Migration of human and mouse primordial germ cells and colonization of the developing ovary: An ultrastructural and cytochemical study</t>
  </si>
  <si>
    <t>MICROSCOPY RESEARCH AND TECHNIQUE</t>
  </si>
  <si>
    <t>This review is an account of the origin and migratory events of primordial germ cells until their settlement in the gonad before sexual differentiation in the human as well as mice. In this context, the morphodynamic characteristics of the migration of the primordial germ cells, the macromolocular characteristics of the extracellular matrix of the migratory pathway, and the factors involved in the germ cell guidance have been analyzed and discussed in the light of recent advances in this field, by means of immunocytochemical procedures. The events prior to gonadal morphogenesis and the origin of the somatic cell content of the human gonadal primordium have been also analyzed. In particular, evidences are presented showing that cells derived from the coelomic epithelium and mesenchyme are at the origin of the somatic components of the gonadal primordium and that a mesonephric cell contribution to the generation of somatic cell components of the genital ridge in humans should be discarded due to the morphological stability of the different nephric structures, during the period preceding the sexual differentiation of the gonad.</t>
  </si>
  <si>
    <t>Zorn, Telma/C-4065-2008</t>
  </si>
  <si>
    <t>1059-910X</t>
  </si>
  <si>
    <t>1097-0029</t>
  </si>
  <si>
    <t>10.1002/jemt.20298</t>
  </si>
  <si>
    <t>WOS:000238342900003</t>
  </si>
  <si>
    <t>Moreno, R; Antolín, G; Reyes, A</t>
  </si>
  <si>
    <t>Quality of fluidisation for the drying of forestry Biomass particles in a fluidised bed</t>
  </si>
  <si>
    <t>The objective of this work is to analyse three methods of forest biomass particles fluidisation, applied to the drying of solids. The techniques to promote fluidisation are: vibro-fluidised bed, mechanically agitated fluidised bed and fluidised bed with inert solids. The analysis of fluidisation quality was carried out by means of an orthogonal design with nested experiments and dummy treatment. The results indicated that the drying in the agitated fluidised bed is adapted to guarantee favourable conditions of homogeneity in the bed temperature: the average temperature differences in the bed were less than 0(.)3 degrees C. The high quality of fluidisation was also corroborated with high values of the coefficient of determination R-2 (0(.)997) for the drying curves during the period of constant drying rate. (c) 2006 IAgrE. All rights reserved Published by Elsevier Ltd.</t>
  </si>
  <si>
    <t>10.1016/j.biosystemseng.2006.01.011</t>
  </si>
  <si>
    <t>WOS:000237975400004</t>
  </si>
  <si>
    <t>Campomanes, P; Menéndez, MI; Cárderias-Jirón, GI; Sordo, TL</t>
  </si>
  <si>
    <t>Synthesis of β-lactams by Ag+-induced ring expansion of 1-hydroxycyclopropylamines:: A theoretical analysis</t>
  </si>
  <si>
    <t>A theoretical analysis of the silver-induced ring expansion of N-chloro-N-methyl-l-hydroxycyclopropylamine to form N-methyl-2-azetidinone, and of the Cl- elimination from this substrate without Ag+ assistance, was performed using the B3LYP method and the 6-31+G(d) basis set for C, N, O, H, and Cl atoms and the relativistic effective core pseudopotential LANL2DZ complemented with one set of f polarization functions (xi(f) = 0.473) for the Ag atom. The partial Ag+-assisted extrusion of Cl- at the rate-determining transition state provokes an important change in the nodal properties of the frontier molecular orbitals of the H3CCINCOHAg+ fragment, thus making very stabilizing HOMO-LUMO interactions between this fragment and the C2H4 moiety possible. This interaction leads to the ring opening and release of most of the strain energy, giving rise to a low energy barrier for the process. Also, by assisting the Cl- extrusion, Ag+ avoids the elimination of the hydroxyl hydrogen atom, which would provoke the fragmentation of the system instead of the formation of the beta-lactam.</t>
  </si>
  <si>
    <t>Menendez, M. Isabel/B-7698-2009; Cardenas-Jiron, Gloria/H-9508-2012; Campomanes, Pablo/E-1068-2014</t>
  </si>
  <si>
    <t>Cardenas-Jiron, Gloria/0000-0003-4305-8088; Campomanes, Pablo/0000-0001-9229-8323</t>
  </si>
  <si>
    <t>SEP 1</t>
  </si>
  <si>
    <t>10.1021/jp052291+</t>
  </si>
  <si>
    <t>WOS:000231497400023</t>
  </si>
  <si>
    <t>Aliaga, C; Stuart, DR; Aspée, A; Scaiano, JC</t>
  </si>
  <si>
    <t>Solvent effects on hydrogen abstraction reactions from lactones with antioxidant properties</t>
  </si>
  <si>
    <t>ORGANIC LETTERS</t>
  </si>
  <si>
    <t>[GRAPHICS] Solvent effects on the kinetics for hydrogen abstraction from a lactone antioxidant were determined for alkoxyl and nitroxyl radicals; their reactivity differ by about 7 orders of magnitude. A decrease by -12 and -35 were determined for H-abstraction by tert-butoxyl and nitroxyl radicals, respectively, upon changing the solvent from hexane to acetonitrile, Results of solvent and isotope studies indicate that the antioxidant properties of lactone antioxidants should be attributed to the enol, not the lactone.</t>
  </si>
  <si>
    <t>; Aliaga, Carolina/G-6024-2019</t>
  </si>
  <si>
    <t>Scaiano, Juan/0000-0002-4838-7123; Aliaga, Carolina/0000-0002-1352-3164</t>
  </si>
  <si>
    <t>1523-7060</t>
  </si>
  <si>
    <t>1523-7052</t>
  </si>
  <si>
    <t>AUG 18</t>
  </si>
  <si>
    <t>10.1021/ol050839p</t>
  </si>
  <si>
    <t>WOS:000231294400017</t>
  </si>
  <si>
    <t>Moreno, R; Antolín, G; Reyes, A; Alvarez, P</t>
  </si>
  <si>
    <t>Drying characteristics of forest biomass particles of Pinus radiata</t>
  </si>
  <si>
    <t>The objective of this study is to characterise, physically and thermally the forestry biomass particles (Pinus radiata D. Don) in southern Chile, in order to understand and optimise the process of drying wood particles in a fluidised bed. The basic density and anhydrous density of the biomass particles were 348 and 395 kg m(-3), respectively. Thus, the biomass has been classified as particulate material types B and D, according to the Geldart classification. The specific surface of the particles was determined by the permeametry method with values of 6530 and 5811 m(2) m(-3), for particle sizes of 1.44 and 3-56mm, respectively. The analysis of the equilibrium moisture content of the biomass showed that the Guggenheim-Anderson-Boer (GAB) model is the one that fits best to the experimental data. Thermogravimetric (TG) and differential thermogravimetric (DTG) curves show that if the drying is carried out at temperatures lower than 187degreesC, the mass loss of the solid throughout the process is caused exclusively by the migration of the humidity and not by devolatilisation. (C) 2004 Silsoe Research Institute. All rights reserved Published by Elsevier Ltd.</t>
  </si>
  <si>
    <t>10.1016/j.biosystemseng.2004.02.005</t>
  </si>
  <si>
    <t>WOS:000221409300010</t>
  </si>
  <si>
    <t>Pelissier, T; Alvarez, P; Hernández, A</t>
  </si>
  <si>
    <t>Effect of long-term ketamine administration on vocalization to paw pressure and on spinal wind-up activity in monoarthritic rats</t>
  </si>
  <si>
    <t>INTERNATIONAL JOURNAL OF NEUROSCIENCE</t>
  </si>
  <si>
    <t>The antinociceptive effect of long-lasting ketamine administration (mini-osmotic pump) was studied in monoarthritic rats by using hindpaw pressure testing and wind-up measurement in a C-fiber reflex paradigm. Chronic ketamine induced antinociception in the monoarthritic paw and significantly suppressed mechanical hyperalgesia during the 14-day treatment period. The treatment also reduced C-reflex wind-up in the monoarthritic hindpaw. After pump removal, vocalization thresholds and spinal wind-up scores from the monoarthritic paw returned to control values, while hyperalgesia developed in the normal paw. Results suggest that ketamine upregulates NMDA receptors upon long-term administration, resulting in hyperalgesic response in the normal paw after drug withdrawal.</t>
  </si>
  <si>
    <t>Hernandez, Alejandro/M-4796-2019</t>
  </si>
  <si>
    <t>Hernandez, Alejandro/0000-0001-9222-6522</t>
  </si>
  <si>
    <t>0020-7454</t>
  </si>
  <si>
    <t>1563-5279</t>
  </si>
  <si>
    <t>10.1080/00207450390212483</t>
  </si>
  <si>
    <t>WOS:000185728700010</t>
  </si>
  <si>
    <t>Ravanal, MC; Goldie, H; Cardemil, E</t>
  </si>
  <si>
    <t>Thermal stability of phosphoenolpyruvate carboxykinases from Escherichia coli, Trypanosoma brucei, and Saccharomyces cerevisiae</t>
  </si>
  <si>
    <t>The quaternary structure of ATP-dependent phosphoenolpyruvate ( PEP) carboxykinases is variable. Thus, the carboxykinases from Escherichia coli, Trypanosoma brucei, and Saccharomyces cerevisiae are monomer, homodimer, and homotetramer, respectively. In this work, we studied the effect of temperature on the stability of the enzyme activity of these three carboxykinases, and have found that it follows the order monomer&gt;dimer&gt;tetramer. The inactivation processes are first order with respect to active enzyme. The presence of substrates leads to an increase in the thermal stability of all three PEP carboxykinases. The protection effect of the substrates on the thermal inactivation of these enzymes suggests similarities in the substrate-bound form of these proteins. We propose that the higher structural complexity of some PEP carboxykinases could be related to the acquisition of properties of relevance in vivo.</t>
  </si>
  <si>
    <t>Ravanal, Maria/G-8682-2018</t>
  </si>
  <si>
    <t>Ravanal, Maria Cristina/0000-0003-2462-6270</t>
  </si>
  <si>
    <t>10.1023/A:1025306105105</t>
  </si>
  <si>
    <t>WOS:000184875600001</t>
  </si>
  <si>
    <t>Costamagna, J; Rios-Escudero, A; Villagran, M; Caruso, F; Vargas, J</t>
  </si>
  <si>
    <t>Costamagna, J.; Rios-Escudero, A.; Villagran, M.; Caruso, F.; Vargas, J.</t>
  </si>
  <si>
    <t>THE CRYSTAL AND MOLECULAR STRUCTURE OF (BIS N-OCTYL-HYDROXYNAPHTHALDIMINATOCOPPER(II)</t>
  </si>
  <si>
    <t>ACTA CRYSTALLOGRAPHICA A-FOUNDATION AND ADVANCES</t>
  </si>
  <si>
    <t>2053-2733</t>
  </si>
  <si>
    <t>C130</t>
  </si>
  <si>
    <t>10.1107/S0108767302090232</t>
  </si>
  <si>
    <t>WOS:000475976700511</t>
  </si>
  <si>
    <t>Cifuentes, G; Torrealba, J; Cifuentes, L; Kammel, R</t>
  </si>
  <si>
    <t>Kinetics of the electrochemical oxidation of cyanide on PbO2-coated stainless steel</t>
  </si>
  <si>
    <t>ZEITSCHRIFT FUR METALLKUNDE</t>
  </si>
  <si>
    <t>The kinetics of the electrolytic oxidation of cyanide to cyanate on PbO2-coated stainless steel anodes has been studied by both experimental and theoretical means. The anodes were based on 316 stainless steel and performed in a satisfactory fashion. The studied KCN solutions exhibited a constant pH = 11 value. Values for all the kinetic parameters have been determined and a rate law for the studied reaction is proposed.</t>
  </si>
  <si>
    <t>Seves, Luis/I-1108-2013; Cifuentes, Gerardo/AAS-2148-2021</t>
  </si>
  <si>
    <t>Cifuentes, Gerardo/0000-0002-9543-1625</t>
  </si>
  <si>
    <t>0044-3093</t>
  </si>
  <si>
    <t>WOS:000088301000015</t>
  </si>
  <si>
    <t>Chaïeb, S; Melo, F</t>
  </si>
  <si>
    <t>Crescent singularities and stress focusing in a buckled thin sheet:: Mechanics of developable cones</t>
  </si>
  <si>
    <t>The localization of deformation is a simple consequence of the fact that bending a thin sheet is energetically cheaper than stretching it. In this paper we investigate conical singularities that appear on a crumpled sheet and called developable cones (d cones). We found that for a sample of a finite thickness the singularity is never pointlike but has a spatial extension in the form of a crescent. A further deformation of the d cone leads to a transition to a plastic deformation equivalent to a decrease in the singularity size characterized from curvature and profile analysis. The crescent radius of curvature is measured both at small deformations and at large deformations. It is found that, during the buckling process, the curvature of the crescent exhibits two different scalings versus the deformation. From the cone profile, we measured the reaction force of the plate to deformation; and from force measurements, the energy that is necessary to create the singularity is characterized. [S1063-651X(99)09310-1].</t>
  </si>
  <si>
    <t>Melo, Francisco/M-3923-2014; c, sahraoui/H-1272-2015</t>
  </si>
  <si>
    <t>chaieb, sahraoui/0000-0002-8053-3610; Melo, Francisco Esteban/0000-0001-6818-5476</t>
  </si>
  <si>
    <t>10.1103/PhysRevE.60.6091</t>
  </si>
  <si>
    <t>WOS:000083870900057</t>
  </si>
  <si>
    <t>Sherrington, CA; Mallol, J</t>
  </si>
  <si>
    <t>Early effects of inhaled steroids on airway hyperreactivity and pulmonary function in asthma</t>
  </si>
  <si>
    <t>PEDIATRIC PULMONOLOGY</t>
  </si>
  <si>
    <t>While inhaled steroids (IS) are increasingly recognized as having a more rapid onset of action than was once thought, little is known about the early changes in objective measures of respiratory function that follow the inhalation of repeated doses. These early effects were examined in a randomized, double-blind, placebo-controlled, crossover study of 20 children aged 10-16 years with stable mild asthma. Beclomethasone dipropionate (BDP) 2,000 mcg, fluticasone propionate (FP) 400 meg, and placebo were given twice daily for three doses. Airway hyperreactivity (AHR) to methacholine (PC20), pulmonary function tests (PFT: FVC, FEV1, FEF25-75%), and the rate of recovery from methacholine-induced bronchospasm following administration of salbutamol were determined at 8 h (after 1 dose) and at 32 h (after three doses). At 8 h, minor improvements in AHR were demonstrated, averaging 0.32 doubling doses in PC20. At 32 h, significant improvements in AHR and PFTs were present, averaging 0.92 doubling doses in PC20, 3.96% of predicted values in FEV1, and 7.74% of predicted values in FEF25-75%. No significant changes occurred in FVC. There were no significant differences between the effects of BDP and FP. Inhaled steroids were associated with a slower response to salbutamol following methacholine challenge testing at 32 h. We conclude that IS, given in repeated high doses, result in significant improvements within 32 h in both AHR and PFTs, along with changes in response to beta(2) agonists. These effects are likely to be the result of the topical activity of IS. Pediatr Pulmonol, 1999; 27:376-382, (C) 1999 Wiley-Liss, Inc.</t>
  </si>
  <si>
    <t>8755-6863</t>
  </si>
  <si>
    <t>1099-0496</t>
  </si>
  <si>
    <t>WOS:000080705900003</t>
  </si>
  <si>
    <t>Espinoza, S; Pinto-Hamuy, T; Passig, C; Carreño, F; Marchant, F; Urzúa, C</t>
  </si>
  <si>
    <t>Deficit in the water-maze after lesions in the anteromedial extrastriate cortex in rats</t>
  </si>
  <si>
    <t>PHYSIOLOGY &amp; BEHAVIOR</t>
  </si>
  <si>
    <t>The Morris water-maze task was used to evaluate the role of the anteromedial extrastriate visual cortex in the processing of visuospatial information in rats. Six gray male rats received bilateral ibotenic acid injections targeted stereotactically to the rostral part of the anteromedial extrastriate visual cortex. These operated subjects and six other unoperated control rats were tested in the maze. Histological analysis confirmed the localization, symmetry, and depth of lesions in the rostral part of anteromedial area (AMa) in the operated subjects. In these animals, a significantly greater latency to reach the submerged platform was found (U = 0, p = 0.004). The Morris water-maze may be considered as a reference memory task. It presents a stronger demand on the use of allocentric spatial visual cues than on the use of egocentric cues for navigation. Therefore, the present data lend support to the participation of area AMa in the integration of allocentric visuospatial cues or as slink in the memory system involved in the acquisition of this task. (C) 1999 Elsevier Science Inc.</t>
  </si>
  <si>
    <t>CARRENO, FERNANDO/0000-0002-1480-6836</t>
  </si>
  <si>
    <t>0031-9384</t>
  </si>
  <si>
    <t>10.1016/S0031-9384(98)00315-1</t>
  </si>
  <si>
    <t>WOS:000080363800014</t>
  </si>
  <si>
    <t>Moenne, A; Begu, D; Jordana, X</t>
  </si>
  <si>
    <t>A reverse transcriptase activity in potato mitochondria</t>
  </si>
  <si>
    <t>PLANT MOLECULAR BIOLOGY</t>
  </si>
  <si>
    <t>A reverse transcriptase activity has been detected in potato mitochondria using special RNAs as templates: a bacterial RNA coding for neomycin phosphotransferase (neo pa RNA) and a Neurospora crassa mitochondrial RNA (184 nt RNA). Surprisingly, no exogenous primer addition was required. These RNA templates share a primary and secondary structure similar to the T psi CG loop of tRNAs that could constitute the recognition site for the enzyme. Reverse transcriptase activity was inhibited by ddTTP, ethidium bromide and aphidicolin, while potato mitochondrial DNA polymerase was not inhibited by aphidicolin indicating that these activities correspond to distinct enzymes. A conserved sequence of reverse transcriptases was detected in potato mitochondrial DNA suggesting that this enzyme could be mitochondrially encoded.</t>
  </si>
  <si>
    <t>Moenne, Alejandra/0000-0002-7309-9713; BEGU, DOMINIQUE/0000-0003-4650-9905</t>
  </si>
  <si>
    <t>0167-4412</t>
  </si>
  <si>
    <t>10.1007/BF00021796</t>
  </si>
  <si>
    <t>WOS:A1996VC92700013</t>
  </si>
  <si>
    <t>URZUA, A; TOJO, E; SOTO, J</t>
  </si>
  <si>
    <t>A DITERPENE XYLOSIDE FROM THE RESINOUS EXUDATE OF HAPLOPAPPUS-DIPLOPAPPUS</t>
  </si>
  <si>
    <t>PHYTOCHEMISTRY</t>
  </si>
  <si>
    <t>From the resinous exudate of Haplopappus diplopappus, a new labdane glycoside named 13-0-beta-xylopyranosyl-ent-manool was obtained. The structure was deduced by chemical and spectroscopic evidence (COSY, HMQC, NOE and MS-FAB). The known compound ent-manool was also isolated.</t>
  </si>
  <si>
    <t>Tojo, Emilia/B-3532-2011</t>
  </si>
  <si>
    <t>Tojo, Emilia/0000-0002-7099-3437; Urzua, Alejandro/0000-0003-2638-0921</t>
  </si>
  <si>
    <t>0031-9422</t>
  </si>
  <si>
    <t>10.1016/0031-9422(94)00590-P</t>
  </si>
  <si>
    <t>WOS:A1995QM41900052</t>
  </si>
  <si>
    <t>Aguado-Norese, C; Maldonado, JE; Hodar, C; Galvez, G; Palma, DE; Cambiazo, V; Gonzalez, M</t>
  </si>
  <si>
    <t>Aguado-Norese, Constanza; Maldonado, Jonathan E.; Hodar, Christian; Galvez, Gabriel; Palma, Daniel E.; Cambiazo, Veronica; Gonzalez, Mauricio</t>
  </si>
  <si>
    <t>Ironing out the conflicts: iron supplementation reduces negatives bacterial interactions in the rhizosphere of an Atacama-endemic perennial grass</t>
  </si>
  <si>
    <t>ENVIRONMENTAL MICROBIOME</t>
  </si>
  <si>
    <t>Background In plants, root exudates selectively influence the growth of bacteria that colonize the rhizosphere. Bacterial communities associated with root systems are involved in macro and micronutrients cycling and organic matter transformation. In particular, iron is an essential micronutrient required for the proper functioning of iron-containing enzymes in processes such as photosynthesis, respiration, biomolecule synthesis, redox homeostasis, and cell growth in plants. However, the impact of changes of iron availability on the structure and set of ecological interactions taking place in the rhizosphere remains poorly understood. In this study, field experiments were conducted to compare the effects of iron supplementation (0.1 and 0.5 mM of FeSO4) on the assembly of the bacterial community of rhizosphere soil and bulk soil in a perennial grass present in the Andes steppe of Atacama Desert. Results The results indicated that the difference in beta diversity between bulk soil and rhizosphere soil detected before supplementation did not persist after iron supplementation, in addition, co-occurrence networks showed a significant reduction in negative interactions among soil bacteria, mainly in rare taxa (&lt; 0.1% relative abundance). Conclusions These observations suggest that iron availability contributes to the differentiation between bulk soil and rhizosphere bacterial communities, a process that is linked to significant changes in the relative abundance of more abundant species (&gt; 0.1% relative abundance) and with a decrease in the negative interactions in both compartments after metal exposure. The differential effect of iron on the competition/cooperation ratio between bulk soils and the rhizosphere microbiome supports the hypothesis that the host limits the degree of cooperation that can be achieved by the bacterial community associated with an organ dedicated to nutrient absorption.</t>
  </si>
  <si>
    <t>Hodar, Christian/M-2849-2019</t>
  </si>
  <si>
    <t>Palma Igor, Daniel Esteban/0009-0007-2709-1781</t>
  </si>
  <si>
    <t>2524-6372</t>
  </si>
  <si>
    <t>10.1186/s40793-024-00661-7</t>
  </si>
  <si>
    <t>WOS:001441786100001</t>
  </si>
  <si>
    <t>Gomez-Arizaga, MP; Conejeros-Solar, ML; Cornejo-Araya, C</t>
  </si>
  <si>
    <t>Gomez-Arizaga, Maria P.; Conejeros-Solar, Maria Leonor; Cornejo-Araya, Claudia</t>
  </si>
  <si>
    <t>Gifted education in Chile: analyses from a learning-resource perspective</t>
  </si>
  <si>
    <t>COGENT EDUCATION</t>
  </si>
  <si>
    <t>This study aims to delve into the specific components of the Actiotope Model, which emphasizes the role of learning resources in education. It seeks to explore how these components are presented in the Chilean context of gifted education, while examining the current state of gifted education in the country. The methodology was a qualitative document analysis that included an active search for existing documents on gifted education and document analysis in the field of giftedness in Chile. The country owes a debt to the education of these students and urgently requires a broad vision of inclusion that truly addresses diversity and a legislation that makes them visible and establishes a framework to regulate their educational care. The findings of the study will contribute to a better understanding of the challenges and opportunities in gifted education in Chile and provide insights into how learning resources can be effectively utilized in this context.</t>
  </si>
  <si>
    <t>; Conejeros-Solar, Maria Leonor/F-8980-2016</t>
  </si>
  <si>
    <t>Gomez-Arizaga, Maria P./0000-0001-5984-6017; Cornejo-Araya, Claudia A./0000-0002-8054-9487; Conejeros-Solar, Maria Leonor/0000-0001-9725-9753</t>
  </si>
  <si>
    <t>2331-186X</t>
  </si>
  <si>
    <t>DEC 31</t>
  </si>
  <si>
    <t>10.1080/2331186X.2024.2397217</t>
  </si>
  <si>
    <t>WOS:001306326800001</t>
  </si>
  <si>
    <t>Agudelo-Hernández, F; Rojas-Andrade, R; Alvarez, ABG</t>
  </si>
  <si>
    <t>Agudelo-Hernandez, Felipe; Rojas-Andrade, Rodrigo; Alvarez, Ana Belen Giraldo</t>
  </si>
  <si>
    <t>Building an implementation strategy for community-based rehabilitation for mental health in Colombia</t>
  </si>
  <si>
    <t>JBI EVIDENCE IMPLEMENTATION</t>
  </si>
  <si>
    <t>Introduction:Scientific evidence indicates that the community-based rehabilitation (CBR) model is recommended for recovery from mental disorders. However, this approach encounters barriers and often lacks implementation strategies.Aim:The aim of this study was to create a strategy for the implementation of CBR for mental health in Colombia through the identification of barriers and facilitators, together with the expected outcomes, from the perspective of mental health decision-makers in Colombia.Methods:This study adopts a qualitative descriptive approach, using focus group data collection methods and thematic analysis to code and analyze the data.Results:A total of 208 individuals participated in the study, including mental health decision-makers and health care professionals. Intersectoral collaboration, contextualization, financial resources, and community commitment and autonomy were identified as barriers and facilitators. The element that was considered a priority for successful implementation was the contextualization of strategies.Conclusions:CBR needs to be strengthened through implementation science if these strategies are to be successfully developed and implemented in various contexts.Spanish abstract:http://links.lww.com/IJEBH/A210</t>
  </si>
  <si>
    <t>Hernandez, Andres/KVA-7010-2024; Giraldo Álvarez, Ana Belén/HNB-6230-2023</t>
  </si>
  <si>
    <t>AGUDELO HERNANDEZ, ANDRES FELIPE/0000-0002-8356-8878</t>
  </si>
  <si>
    <t>2691-3321</t>
  </si>
  <si>
    <t>10.1097/XEB.0000000000000431</t>
  </si>
  <si>
    <t>WOS:001287557500010</t>
  </si>
  <si>
    <t>Lekombo, CS; N'Tsoukpoe, KE; Bahamonde, CF; Dudita, M; Ko, GK; Agbokou, KS</t>
  </si>
  <si>
    <t>Lekombo, Claude Sara; N'Tsoukpoe, Kokouvi Edem; Bahamonde, Carolina Flores; Dudita, Mihaela; Ko, Gaelle Kafira; Agbokou, Kodjo Sedi</t>
  </si>
  <si>
    <t>In situ performance evaluation of a solar water heating system for a hospital laundry in the Sahel</t>
  </si>
  <si>
    <t>ENERGY FOR SUSTAINABLE DEVELOPMENT</t>
  </si>
  <si>
    <t>There is a limited number of empirical studies on the actual energy output of solar water heating systems (SWHSs). In the Sahel, where solar potential is abundant, the transition to sustainable energy solutions requires comprehensive evaluations of SWHSs, including their economic viability. Such assessments are crucial for informed decision-making by stakeholders and for facilitating the widespread adoption of SWHSs, including their integration into industrial processes. This paper presents a year-round experimental study assessing the real- world performance and economic viability of a SWHS integrated into a hospital laundry in Ouagadougou, Burkina Faso. The primary aim of the study is to analyse the practical performance of the integrated collector storage (ICS) SWHS and evaluate its economic viability. The performance of the ICS SWHS is monitored over the course of a year. Data collection included measurements of solar irradiation, ambient temperature, inlet and outlet water temperatures, and energy output of the SWHS. Economic assessments considered factors such as installation costs, energy savings, and payback periods. Environmental implications were evaluated through the estimation of avoided CO(2 )emissions. The ICS SWHS achieved an efficiency of 38 % and a solar fraction of 17 %, resulting in approximately 1.3 t of avoided CO(2 )emissions annually. Economic assessments revealed extended payback periods, leading to exploration of alternatives. Subsequently, a water-in-glass evacuated tube collector (ETC) system, deemed more cost-effective, was selected and it indicated superior energy production. Preliminary results suggest compelling payback periods for the ETC system, ranging from 3.1 to 4.5 years under realistic scenarios. The study underscores the significance of practical experimentation, appropriate technology selection, and improved market regulations for informed decision-making. SWHSs present a promising avenue for sustainable energy solutions in the Sahelian region and beyond, offering both economic benefits and environmental impact.</t>
  </si>
  <si>
    <t>N’TSOUKPOE, Kokouvi Edem/MIP-8131-2025</t>
  </si>
  <si>
    <t>N'TSOUKPOE, Kokouvi Edem/0000-0002-4013-6370</t>
  </si>
  <si>
    <t>0973-0826</t>
  </si>
  <si>
    <t>2352-4669</t>
  </si>
  <si>
    <t>10.1016/j.esd.2024.101499</t>
  </si>
  <si>
    <t>JUN 2024</t>
  </si>
  <si>
    <t>WOS:001325534300001</t>
  </si>
  <si>
    <t>González, CN; Rossel, GS; Ulloa, FL</t>
  </si>
  <si>
    <t>Gonzalez, Carolina Navarrete; Rossel, Gabriel Saldias; Ulloa, Fabian Leal</t>
  </si>
  <si>
    <t>AGAINST A NTHROPOCENTRIC E XCEPTIONALISM: P OSTHUMAN S UBJECTIVITIES IN M ÓNICA O JEDA'S L AS V OLADORAS</t>
  </si>
  <si>
    <t>ALEA-ESTUDOS NEOLATINOS</t>
  </si>
  <si>
    <t>The short story collection Las voladoras , published in 2020 by Ecuadorian writer M &amp; oacute;nica Ojeda, consists of eight stories that are shaped by an imaginative blend of the uncanny, violence, and the feminine. Within this narrative context, the aim is to address the assembly of women's bodies as heterogeneous constructs in relation to the violence they must confront, thus configuring posthuman subjectivities. We propose that in these stories, there are relationships between humans and non-humans that could be associated with what Donna Haraway terms queer kinship. These relationships reveal ways of articulating women's identities with an explicitly collective and posthuman dimension, where Haraway's concept of becoming-with becomes paramount: To be one is always to become with many. The reason these stories adopt this stance is because strictly human relationships, particularly those of men toward women, are highly hostile, marked by an excess of power and, therefore, violence. This motivates the need for women to generate complex, intergenerational, and vital connections among themselves and with other living entities, where such human exceptionalism can be nullified, contested, and/or transformed.</t>
  </si>
  <si>
    <t>1517-106X</t>
  </si>
  <si>
    <t>1807-0299</t>
  </si>
  <si>
    <t>e62118</t>
  </si>
  <si>
    <t>10.1590/1517-106X/2024e62118</t>
  </si>
  <si>
    <t>WOS:001225522800005</t>
  </si>
  <si>
    <t>Hinojosa-Torres, C; Espoz-Lazo, S; Zavala-Crichton, JP; Martin, LC; Yáñez-Sepúlveda, R</t>
  </si>
  <si>
    <t>Hinojosa-Torres, Claudio; Espoz-Lazo, Sebastian; Zavala-Crichton, Juan Pablo; Martin, Laura Canadas; Yanez-Sepulveda, Rodrigo</t>
  </si>
  <si>
    <t>Practices in Physical Education teacher training: Documentary analysis of accreditations in Chile</t>
  </si>
  <si>
    <t>SPORT TK-REVISTA EUROAMERICANA DE CIENCIAS DEL DEPORTE</t>
  </si>
  <si>
    <t>In Chile, accreditation of pedagogy programs is crucial to ensure quality in teacher training, according to Law 20.129. This qualitative documentary study reviewed 29 accreditation resolutions of Physical Education Pedagogy programs, using content analysis with Atlas.ti 24. The findings reveal that: a) practice is essential in teacher training; b) the quality and quantity of practice centers are key to achieve training objectives; and c) collaboration between universities and the school system raises the quality of educational practices.</t>
  </si>
  <si>
    <t>Espoz-Lazo, Sebastian/AAV-2358-2020; Zavala, Juan/J-4625-2016; Yañez, Rodrigo/HFZ-9707-2022</t>
  </si>
  <si>
    <t>2340-8812</t>
  </si>
  <si>
    <t>WOS:001360797000005</t>
  </si>
  <si>
    <t>Recovering discrete delayed fractional equations from trajectories</t>
  </si>
  <si>
    <t>We show how machine learning methods can unveil the fractional and delayed nature of discrete dynamical systems. In particular, we study the case of the fractional delayed logistic map. We show that given a trajectory, we can detect if it has some delay effect or not and also to characterize the fractional component of the underlying generation model.</t>
  </si>
  <si>
    <t>Conejero, J. Alberto/A-8589-2008; Garibo i Orts, Oscar/ABG-6879-2020; Lizama, Carlos/E-5909-2011</t>
  </si>
  <si>
    <t>Garibo i Orts, Oscar/0000-0001-8089-1904; Lizama, Carlos/0000-0002-9807-1100</t>
  </si>
  <si>
    <t>10.1002/mma.9228</t>
  </si>
  <si>
    <t>MAR 2023</t>
  </si>
  <si>
    <t>WOS:000956577300001</t>
  </si>
  <si>
    <t>Salfate, LE; Guerrero, G; Farré, JB; Salinas, FM</t>
  </si>
  <si>
    <t>Salfate, Lorena Espinoza; Guerrero, Gonzalo; Farre, Joaquim Barbe; Salinas, Felipe Marquez</t>
  </si>
  <si>
    <t>Design and Validation of a Classroom Observation Instrument to Evaluate the Quality of Mathematical Activity from a Gender Perspective</t>
  </si>
  <si>
    <t>EDUCATION SCIENCES</t>
  </si>
  <si>
    <t>This study aimed to design and validate an instrument as a guideline for classroom observation and analysis of teaching-learning process in mathematics. The instrument considers 3 dimensions and 16 subdimensions with a gender perspective. A content validity process by eight expert judges is presented, built from a dialectical work between theory and empirical evidence from more than 100 classes observed and recorded on video from 19 educational centers. The degree of agreement between experts was determined with Fleiss Kappa and Kendall coefficients. Experts' judgement scored each dimension from 1 to 3. Globally, an almost perfect strength of agreement was obtained in 6 of 16 dimensions with x(-)&gt;2.5, and in the other 10 dimensions, a strength of agreement was obtained between moderate and almost perfect, 2,14=x(-)=2,5. Fleiss Kappa coefficients were highest in relevance and clarity, ? = 0.425, 95% CI [0.344, 0.506], p &lt; 0.001 and, ? = 0.461, 95% CI [0.375, 0.548], p &lt; 0.001, respectively. Moreover, the degree of clarity, coherence, sufficiency, and relevance was statistically moderately agreed upon in their assessments, with an overall Kendall's W = 0.489, p &lt; 0.001.</t>
  </si>
  <si>
    <t>; Barbe, Joaquim/Q-5419-2017</t>
  </si>
  <si>
    <t>Guerrero, Gonzalo/0000-0002-7207-4880; Barbe, Joaquim/0000-0002-7260-5178; Marquez, Felipe/0000-0001-8903-2276</t>
  </si>
  <si>
    <t>2227-7102</t>
  </si>
  <si>
    <t>10.3390/educsci13030266</t>
  </si>
  <si>
    <t>WOS:000960166700001</t>
  </si>
  <si>
    <t>Lozano-Gil, RA; Rodríguez-Ríos, CY; Sepúlveda-Rojas, P</t>
  </si>
  <si>
    <t>Lozano-Gil, Ruben Alberto; Rodriguez-Rios, Claudia Yadira; Sepulveda-Rojas, Pedro</t>
  </si>
  <si>
    <t>Simulation of the Inventory Process in a Postharvest of Export Roses Under a Business Process Management approach</t>
  </si>
  <si>
    <t>REVISTA CORPOICA-CIENCIA Y TECNOLOGIA AGROPECUARIA</t>
  </si>
  <si>
    <t>Few companies in the Colombian floriculture sector manage their inventories, causing stock breaks, causing downtime in key post-harvest operations, causing non-compliance with sales orders and damage to the flower. For this reason, the general objective is to simulate the inventory process handled in the postharvest of rose (Rosa sp.), to find opportunities for improvement. This research work was a case study carried out in an export company of rose bouquets from Cundinamarca, the province with the largest volume of export -type flower production at the national level. The rose postharvest was selected by the indicators of low production. Because this is a descriptive and exploratory investigation, a modeling of the inventory process was carried out, with the help of the managers and an analysis of times and probability of occurrence of the tasks involved. Subsequently, the simulation was done with the inventory process cycle time in Bizagi Modeler (R), making a total of 36 replicas. This resulted in a total inventory process cycle time of 9,684 minutes for the Valentine's season, finding that 44 % of the activities can be optimized. Finally, it is concluded that, with the simulation of the inventory process, non -value-added activities can be found, serving as an input in the development of improvement strategies.</t>
  </si>
  <si>
    <t>0122-8706</t>
  </si>
  <si>
    <t>2500-5308</t>
  </si>
  <si>
    <t>e2615</t>
  </si>
  <si>
    <t>10.21930/rcta.vol24_num1_art:2615</t>
  </si>
  <si>
    <t>WOS:001046307400002</t>
  </si>
  <si>
    <t>Lara, N; Osorio, F; Ruales, J</t>
  </si>
  <si>
    <t>Lara, Nelly; Osorio, Fernando; Ruales, Jenny</t>
  </si>
  <si>
    <t>Variables related to microwave heating-toasting time and water migration assessment with kernel size approaches of specialty maize types</t>
  </si>
  <si>
    <t>JOURNAL OF THE SCIENCE OF FOOD AND AGRICULTURE</t>
  </si>
  <si>
    <t>BACKGROUND Three main maize types with specialty kernels are used to make ready-to-eat maize by traditional toasting, and microwave toasting may be an innovative application. However, little is known of the toasting process of these Andean maize types. Therefore, the present study aimed to explore the behavior of a broad scope of variables in these maize types. The kernels were packed in sealed paper envelopes and subjected to six microwave heating-toasting times from 0 to 390 s. Subsequently, with actual kernel size approaches, water content (WC), water ratio (WR), and water loss (WL) were analyzed. RESULTS In addition to WC, WR, and WL, the surface area (S), volume (V), and geometric mean diameter (GMD) behaved like time-related variables with a high correlation depending on the maize types and kernel dimensions. Thus, the WC, WR, and WL third-order polynomial regression curves computed with the spatial (S/V)(2) and distance (GMD/2)(2) approaches indicated the water variation at each microwave heating-toasting time with a clear difference among maize types a0, a1, and a2. Regarding their exchange profiles without and with the spatial (S/V)(2) approach, the maximum rates showed significant differences between maize types and WC and WL. Likewise, the maximum rates displayed significant differences between the spatial (S/V)(2) and distance (GMD/2)(2) approaches, revealing a notable lack of consistency with the distance (GMD/2)(2) approach. CONCLUSION The kernel size approaches revealed that water migration rates depended on differences in maize types. Such basic information represents the first insight into more physical-based models of water diffusion during raw microwave maize heating-toasting. (c) 2022 Society of Chemical Industry.</t>
  </si>
  <si>
    <t>osorio, fernando/AAY-7304-2021</t>
  </si>
  <si>
    <t>osorio, fernando/0000-0001-7206-0924; Lara, Nelly/0000-0003-4764-0892</t>
  </si>
  <si>
    <t>0022-5142</t>
  </si>
  <si>
    <t>1097-0010</t>
  </si>
  <si>
    <t>10.1002/jsfa.11961</t>
  </si>
  <si>
    <t>WOS:000792710300001</t>
  </si>
  <si>
    <t>Exotic species elicit decoupled responses in functional diversity components of freshwater fish assemblages in Chile</t>
  </si>
  <si>
    <t>ECOLOGICAL INDICATORS</t>
  </si>
  <si>
    <t>In the freshwater basins of central Chile, 28 exotic species have been introduced, which have contributed to increase taxonomic diversity. Nevertheless, how these species have modified the components of functional diversity in these assemblages, a key aspect in learning about their present and future stability within an ecosystem, is unknown. In this study, we analyzed how the introduction of exotic species affects the functional diversity components of richness (FRic), divergence (FDiv), specialization (FSpe), and functional originality (FOri). Additionally, we simulated the effect of the loss (extinction/extirpation) of threatened native species. To do so, we gathered information on the distribution and functional characters of native and exotic species. Through Principal Coordinates Analysis (PCo), we obtained three independent axes (PCoA1, PCoA2, and PCoA3), which allowed us to define a multidimensional space and then to calculate FRic, FDiv, FSpe, and FOri. Our results indicate that richness and functional originality have increased significantly with the introduction of exotic species (263% and 32%, respectively). In contrast, functional divergence and specialization have remained the same. The possible extinction of threatened native species may promote increases in functional originality, decreases in functional richness and divergence, and unchanged functional specialization. On the other hand, a subset of exotic species presents novel features, while another shows redundant features with native ichthyofauna. We emphasize that the possible extinction of native species currently classified as threatened may lead to the disappearance of unique functional groups, which puts at risk the persistence and stability of these assemblages.</t>
  </si>
  <si>
    <t>1470-160X</t>
  </si>
  <si>
    <t>1872-7034</t>
  </si>
  <si>
    <t>10.1016/j.ecolind.2021.108364</t>
  </si>
  <si>
    <t>WOS:000719661300001</t>
  </si>
  <si>
    <t>Texier, BD; Ibarra, A; Melo, F</t>
  </si>
  <si>
    <t>Darbois Texier, Baptiste; Ibarra, Alejandro; Melo, Francisco</t>
  </si>
  <si>
    <t>Propulsion by reciprocal motion into granular media</t>
  </si>
  <si>
    <t>PHYSICAL REVIEW FLUIDS</t>
  </si>
  <si>
    <t>The force experienced by an object moving in a granular medium is a necessary input to describe locomotion problems in such a context. Towards this objective, resistive force theory (RFT) has been developed for granular flows inspired by previous developments in the case of viscous flows. In viscous fluids, a reciprocal motion does not lead to a net propulsion due to the kinematics reversibility of viscous flows that is included in the RFT. We show that, in a granular medium, a reciprocal motion allows for propulsion. We investigate the specific mechanisms underlying this propulsion and discuss how they differ from that of viscous flows. Understanding these phenomena permit both the accurate description of locomotion in sand and the refinement of the RFT for granular materials. These achievements provide opportunities towards the development of robots that are able to progress inside granular media and are suitable for controlling industrial processes.</t>
  </si>
  <si>
    <t>Melo, Francisco/M-3923-2014; Darbois Texier, Baptiste/F-2747-2015</t>
  </si>
  <si>
    <t>Darbois Texier, Baptiste/0000-0002-8772-3433; Melo, Francisco Esteban/0000-0001-6818-5476; Ibarra, Alejandro/0000-0002-6916-8608</t>
  </si>
  <si>
    <t>2469-990X</t>
  </si>
  <si>
    <t>10.1103/PhysRevFluids.6.034604</t>
  </si>
  <si>
    <t>WOS:000627644800004</t>
  </si>
  <si>
    <t>Butter, B; Santander, P; Pizarro, GD; Oyarzún, DP; Tasca, F; Sánchez, J</t>
  </si>
  <si>
    <t>Butter, Bryan; Santander, Paola; Pizarro, Guadalupe del C.; Oyarzun, Diego P.; Tasca, Federico; Sanchez, Julio</t>
  </si>
  <si>
    <t>Electrochemical reduction of Cr(VI) in the presence of sodium alginate and its application in water purification</t>
  </si>
  <si>
    <t>JOURNAL OF ENVIRONMENTAL SCIENCES</t>
  </si>
  <si>
    <t>Chromium (Cr) is used in many manufacturing processes, and its release into natural waters is a major environmental problem today. Low concentrations of Cr(VI) are toxic to human health and living organisms due to the carcinogenic and mutagenic nature of this mineral. This work examined the conversion of Cr(VI) to Cr(III) via electrochemical reduction using gold electrode in an acidic sodium alginate (SA) solution and subsequent removal of the produced Cr(III)-SA by the polymer-enhanced ultrafiltration (PEUF) technique. A solution of SA in nitric acid was used both as an electrolytic medium during the voltammetric measurements and bulk electrolysis and as an extracting agent during the PEUF technique. The electroanalysis of Cr(VI) was performed by linear sweep voltammetry in the presence of acidic SA solution to study its voltammetric behavior as a function of the Cr(VI) concentration, pH, presence of Cr(III), SA concentration and scan rate. In addition, the quantitative reduction of Cr(VI) to Cr(III) was studied through the bulk electrolysis technique. The results showed efficient reduction with well-defined peaks at approximately 0.3 V vs. Ag/AgCl, using a gold working electrode. As the pH increased, the reduction signal strongly decreased until its disappearance. The optimum SA concentration was 10 mmol/L, and it was observed that the presence of Cr(III) did not interfere in the Cr(VI) electroanalysis. Through the quantitative reduction by bulk electrolysis in the presence of acidic SA solution, it was possible to reduce all Cr(VI) to Cr(III) followed by its removal via PEUF. (C) 2020 The Research Center for Eco-Environmental Sciences, Chinese Academy of Sciences. Published by Elsevier B.V.</t>
  </si>
  <si>
    <t>Santander, Paola/ITU-5257-2023; Oyarzun, Diego/MTF-4062-2025; PIZARRO, GUADALUPE/V-3353-2017; Sanchez, Julio/AEO-4360-2022; Tasca, Federico/J-4134-2015</t>
  </si>
  <si>
    <t>Sanchez, Julio/0000-0003-4245-0096; Santander, Paola/0000-0002-2084-6658</t>
  </si>
  <si>
    <t>1001-0742</t>
  </si>
  <si>
    <t>1878-7320</t>
  </si>
  <si>
    <t>10.1016/j.jes.2020.08.033</t>
  </si>
  <si>
    <t>WOS:000598914600025</t>
  </si>
  <si>
    <t>POSITIVITY, MONOTONICITY, AND CONVEXITY FOR CONVOLUTION OPERATORS</t>
  </si>
  <si>
    <t>We consider the convolution inequality a * u &gt;= v for given functions a and v, and we then investigate conditions on a and v that force the unknown function u to be positive or monotone or convex. We demonstrate that these results for abstract convolution equations can be specialized to yield new insights into the qualitative properties of fractional difference and differential operators. Finally, we apply our results to finite difference methods for fractional differential equations, and we show that our results yield insights into the qualitative behavior of these types of numerical approximations.</t>
  </si>
  <si>
    <t>10.3934/dcds.2020207</t>
  </si>
  <si>
    <t>WOS:000532059500015</t>
  </si>
  <si>
    <t>Urbina, K; Villarreal, P; Nespolo, RF; Salazar, R; Santander, R; Cubillos, FA</t>
  </si>
  <si>
    <t>Urbina, Kamila; Villarreal, Pablo; Nespolo, Roberto F.; Salazar, Ricardo; Santander, Rocio; Cubillos, Francisco A.</t>
  </si>
  <si>
    <t>Volatile Compound Screening Using HS-SPME-GC/MS on Saccharomyces eubayanus Strains under Low-Temperature Pilsner Wort Fermentation</t>
  </si>
  <si>
    <t>MICROORGANISMS</t>
  </si>
  <si>
    <t>The recent isolation of the yeast Saccharomyces eubayanus has opened new avenues in the brewing industry. Recent studies characterized the production of volatile compounds in a handful set of isolates, utilizing a limited set of internal standards, representing insufficient evidence into the ability of the species to produce new and diverse aromas in beer. Using Headspace solid-phase microextraction followed by gas chromatography-mass spectrometry (HS-SPME-GC-MS), we characterized for the first time the production of volatile compounds in 10 wild strains under fermentative brewing conditions and compared them to a commercial lager yeast. S. eubayanus produces a higher number of volatile compounds compared to lager yeast, including acetate and ethyl esters, together with higher alcohols and phenols. Many of the compounds identified in S. eubayanus are related to fruit and floral flavors, which were absent in the commercial lager yeast ferment. Interestingly, we found a significant strain x temperature interaction, in terms of the profiles of volatile compounds, where some strains produced significantly greater levels of esters and higher alcohols. In contrast, other isolates preferentially yielded phenols, depending on the fermentation temperature. This work demonstrates the profound fermentation product differences between different S. eubayanus strains, highlighting the enormous potential of this yeast to produce new styles of lager beers.</t>
  </si>
  <si>
    <t>Salazar, Ricardo/L-7870-2013; Villarreal, Pablo/N-8921-2019; Nespolo, Roberto/D-5601-2015; Cubillos, Francisco/MIT-2389-2025; Santander, Rocio/K-7645-2013; Cubillos, Francisco/G-5195-2019</t>
  </si>
  <si>
    <t>Villarreal, Pablo/0000-0002-2254-0417; Urbina, Kamila/0000-0002-9306-0592; Salazar-Gonzalez, Ricardo/0000-0003-2180-6022; Cubillos, Francisco/0000-0003-3022-469X</t>
  </si>
  <si>
    <t>2076-2607</t>
  </si>
  <si>
    <t>10.3390/microorganisms8050755</t>
  </si>
  <si>
    <t>WOS:000540222300136</t>
  </si>
  <si>
    <t>Gramsch, E; Morales, L; Baeza, M; Ayala, C; Soto, C; Neira, J; Pérez, P; Moreno, F</t>
  </si>
  <si>
    <t>Gramsch, Ernesto; Morales, Luis; Baeza, Marcelo; Ayala, Cristian; Soto, Cristian; Neira, Jose; Perez, Patricio; Moreno, Francisco</t>
  </si>
  <si>
    <t>Citizens' Surveillance Micro-network for the Mapping of PM2.5 in the City of Concon, Chile</t>
  </si>
  <si>
    <t>AEROSOL AND AIR QUALITY RESEARCH</t>
  </si>
  <si>
    <t>A micro-network of low-cost sensors has been built and deployed in the city of Concon with the purpose of informing the community about the air quality in their neighborhood. Currently, 10 active stations, which are installed in resident-owned houses and public spaces, measure PM10 and PM2.5, rain, temperature, humidity, and wind speed and direction and display this information via a mobile application. The particulate matter is measured with a Dylos monitor, and the collected data has been calibrated using a Beta Attenuation Mass monitor for PM2.5 located in the same city as where the low-cost monitors are deployed. The PM2.5 concentration is obtained through a linear equation that uses small and large particle counts from the Dylos monitor. Additional calibration has been performed using neural networks, resulting in a noticeable improvement. The data also show that calibrations performed in other cities cannot be applied to measurements taken in Concon. As noted in many other studies, the relative humidity strongly influences the particle count. For the months of June, July, and August, the hourly profiles reveal a prominent evening peak in downtown Concon but a less obvious increase at the other sites, indicating that wood burning (or a similar source) mainly occurs in downtown. The nearby oil refinery, Enap, does not seem to increase the concentration of particulate matter on average, but short-term PM2.5 events generated by the refinery have not yet been analyzed.</t>
  </si>
  <si>
    <t>Morales-Salinas, Luis/B-5545-2014; Perez, Patricio/AAS-7390-2020; Neira-Román, José/AFV-2689-2022; baeza, Marcelo/GYI-9150-2022; Soto, Cristian/I-1141-2013; Gramsch, Ernesto/M-5507-2017</t>
  </si>
  <si>
    <t>Moreno, Francisco/0000-0001-9637-0919; Neira, Jose/0000-0001-6925-1367; Gramsch, Ernesto/0000-0002-6787-7355; Baeza-Sequeira, Marcelo/0000-0003-2802-7849</t>
  </si>
  <si>
    <t>1680-8584</t>
  </si>
  <si>
    <t>2071-1409</t>
  </si>
  <si>
    <t>10.4209/aaqr.2019.04.0179</t>
  </si>
  <si>
    <t>WOS:000518390700012</t>
  </si>
  <si>
    <t>Bauducco, S; Caputo, R</t>
  </si>
  <si>
    <t>Bauducco, Sofia; Caputo, Rodrigo</t>
  </si>
  <si>
    <t>Wicksellian Rules and the Taylor Principle: Some Practical Implications*</t>
  </si>
  <si>
    <t>SCANDINAVIAN JOURNAL OF ECONOMICS</t>
  </si>
  <si>
    <t>In this paper, we derive and compare the determinacy regions of price-level targeting rules (Wicksellian rules) and Taylor rules in a standard New Keynesian model. We conclude that Wicksellian rules do not require the Taylor principle to hold in order to induce determinacy. Our results have two implications. First, in a univariate setting, the estimation of simple Taylor rules when the true rule is Wicksellian can lead to the erroneous conclusion that the equilibrium is indeterminate. Second, indeterminacy is ruled out when using system-based methods, but it can be concluded that the central bank is less averse to inflation movements than it actually is.</t>
  </si>
  <si>
    <t>Caputo Galarce, Rodrigo Ernesto/0000-0003-1658-2802</t>
  </si>
  <si>
    <t>0347-0520</t>
  </si>
  <si>
    <t>1467-9442</t>
  </si>
  <si>
    <t>10.1111/sjoe.12331</t>
  </si>
  <si>
    <t>WOS:000611939200012</t>
  </si>
  <si>
    <t>Ojeda, AH; Maliqueo, SAG; Pizarro, JIP; Kloss, RF</t>
  </si>
  <si>
    <t>Ojeda, Alvaro Huerta; Galdames Maliqueo, Sergio Andres; Pena Pizarro, Juan Ignacio; Fuentes Kloss, Rodrigo</t>
  </si>
  <si>
    <t>Validation of the 6-minute race test as a predictor of maximal aerobic speed in university endurance athletes</t>
  </si>
  <si>
    <t>ISOKINETICS AND EXERCISE SCIENCE</t>
  </si>
  <si>
    <t>BACKGROUND: The maintenance of maximal aerobic speed (MAS) until exhaustion is an important parameter for the evaluation of sports performance and prescription and planning of training. OBJECTIVE: To validate a 6-minute race test (6MRT) as a predictor of MAS in university endurance athletes. METHODS: Twenty two university endurance athletes (12 males and 10 females) were part of the study. The design was pre-experimental. The primary variables were the time of maintenance of the MAS on the field through a Time Limit Test (Tlim test), and the VO2 max (laboratory and field). The statistical analysis of the time and ventilatory variables was carried out using descriptive statistics; the comparison between males and females for all variables was carried out through a t-Student test for independent samples (p &lt; 0.05). RESULTS: The performance in the Tlim test was 356.4 +/- 52.9 and 327.0 +/- 120.2 s in males and females, respectively. CONCLUSION: Based on the time of maintenance of the MAS (Tlim test), the 6MRT is a valid test to determine the MAS in university endurance male athletes. However, the MAS in university endurance female athletes must be evaluated with a shorter test (between 5 and 5.30 minutes long).</t>
  </si>
  <si>
    <t>Huerta Ojeda, Alvaro/AAE-7104-2021; Yeomans-Cabera, Maria-Mercedes/AAT-2280-2021</t>
  </si>
  <si>
    <t>Huerta Ojeda, Alvaro/0000-0001-6871-098X; Yeomans-Cabera, Maria-Mercedes/0000-0003-2138-3007</t>
  </si>
  <si>
    <t>0959-3020</t>
  </si>
  <si>
    <t>1878-5913</t>
  </si>
  <si>
    <t>10.3233/IES-192229</t>
  </si>
  <si>
    <t>WOS:000582717600007</t>
  </si>
  <si>
    <t>Souza, PCT; Thallmair, S; Marrink, SJ; Mera-Adasme, R</t>
  </si>
  <si>
    <t>Souza, Paulo C. T.; Thallmair, Sebastian; Marrink, Siewert J.; Mera-Adasme, Raul</t>
  </si>
  <si>
    <t>An Allosteric Pathway in Copper, Zinc Superoxide Dismutase Unravels the Molecular Mechanism of the G93A Amyotrophic Lateral Sclerosis-Linked Mutation</t>
  </si>
  <si>
    <t>JOURNAL OF PHYSICAL CHEMISTRY LETTERS</t>
  </si>
  <si>
    <t>Several different mutations of the protein copper, zinc superoxide dismutase (SOD1) produce the neurodegenerative disorder amyotrophic lateral sclerosis (ALS). The molecular mechanism by which the diverse mutations converge to a similar pathology is currently unknown. The electrostatic loop (EL) of SOD1 is known to be affected in all of the studied ALS-linked mutations of SOD1. In this work, we employ a multiscale simulation approach to show that this perturbation corresponds to an increased probability of the EL detaching from its native position, exposing the metal site of the protein to water. From extensive atomistic and coarse-grained molecular dynamics (MD) simulations, we identify an allosteric pathway that explains the action of the distant G93A mutation on the EL. Finally, we employ quantum mechanics/molecular mechanics MD simulations to show that the opening of the EL decreases the Zn(II) affinity of the protein. As the loss of Zn(II) is at the center of several proposed pathogenic mechanisms in SOD1-linked ALS, the structural effect identified here not only is in agreement with the experimental data but also places the opening of the electrostatic loop as the possible main pathogenic effect for a significant number of ALS-linked SOD1 mutations.</t>
  </si>
  <si>
    <t>Marrink, Siewert/G-3706-2014; Thallmair, Sebastian/GOP-3608-2022; Telles de Souza, Paulo Cesar/E-5072-2013</t>
  </si>
  <si>
    <t>Marrink, Siewert/0000-0001-8423-5277; Thallmair, Sebastian/0000-0002-3396-5840; Telles de Souza, Paulo Cesar/0000-0003-0660-1301</t>
  </si>
  <si>
    <t>1948-7185</t>
  </si>
  <si>
    <t>DEC 19</t>
  </si>
  <si>
    <t>10.1021/acs.jpclett.9b02868</t>
  </si>
  <si>
    <t>WOS:000503919300029</t>
  </si>
  <si>
    <t>Canales, D; Montoille, L; Rivas, LM; Ortiz, JA; Yañez-S, M; Rabagliati, FM; Ulloa, MT; Alvarez, E; Zapata, PA</t>
  </si>
  <si>
    <t>Canales, Daniel; Montoille, Lissette; Rivas, Lina M.; Ortiz, J. Andres; Yanez-S, Mauricio; Rabagliati, Franco M.; Ulloa, Maria Teresa; Alvarez, Eduardo; Zapata, Paula A.</t>
  </si>
  <si>
    <t>Fungicides Films of Low-Density Polyethylene (LDPE)/Inclusion Complexes (Carvacrol and Cinnamaldehyde) Against Botrytis Cinerea</t>
  </si>
  <si>
    <t>COATINGS</t>
  </si>
  <si>
    <t>Low density polyethylene (LDPE) films were prepared with the incorporation of natural agents (carvacrol and trans-cinnamaldehyde) by the melting process. The co-precipitation method was used successfully to complex the carvacrol or trans-cinnamaldehyde with beta-cyclodextrin (beta-CD). The active compounds encapsulated in beta-CD achieved ca. 90% encapsulation efficiency (E.E.). The inclusion complex studied by scanning electron microscopy (SEM) found particles of different sizes, ca. 4 mu m. The active compounds were added directly (1 and 5 wt %) into the polymer matrix, yielding LDPE + carvacrol and LDPE + cinnamaldehyde films. The active compounds encapsulated in beta-cyclodextrin (beta-CD) were added to LDPE, yielding LDPE + beta-CD-carvacrol and LDPE + beta-CD-cinnamaldehyde films. The incorporation of carvacrol and trans-cinnamaldehyde, and their corresponding inclusion complexes with beta-cyclodextrin, did not affect the thermal properties of LDPE. The microcapsules distributed in all polymer matrices had sizes of 5-20 mu m as shown by scanning electron microscopy (SEM). In terms of mechanical properties, the polymers showed a slight decrease of Young's modulus (12%) and yield stress compared (14%) to neat LDPE. This could be due to the essential oil acting as a plasticizer in the polymer matrix. The LDPE + carvacrol and LDPE + cinnamaldehyde films had the capacity to inhibit fungi by 99% compared to neat LDPE. The effectiveness against fungi of LDPE+beta-CD + active agent was slower than by the direct incorporation of the essential oil in the LDPE in the same amount of active agent. The biocidal properties were related to the gradual release of active compound from the polymer. The results confirm the applicability of carvacrol, trans-cinnamaldehyde, and their corresponding inclusion complexes in active packaging, as well as their use in the food delivery industry.</t>
  </si>
  <si>
    <t>Duarte, Eduardo/Q-7341-2019; Canales Arévalo, Daniel/HSG-6748-2023; Ortiz, J. Andrés/R-4060-2019; Alvarez Duarte, Eduardo/F-3174-2013</t>
  </si>
  <si>
    <t>Ortiz, J. Andres/0000-0002-3142-9470; Alvarez Duarte, Eduardo/0000-0001-6117-7916; Canales, Daniel A./0000-0002-2691-6864; Zapata, Paula Andrea/0000-0003-3361-6226</t>
  </si>
  <si>
    <t>2079-6412</t>
  </si>
  <si>
    <t>10.3390/coatings9120795</t>
  </si>
  <si>
    <t>WOS:000506682800024</t>
  </si>
  <si>
    <t>Baiges, J; Codina, R; Castañar, I; Castillo, E</t>
  </si>
  <si>
    <t>Baiges, Joan; Codina, Ramon; Castanar, Inocencio; Castillo, Ernesto</t>
  </si>
  <si>
    <t>A finite element reduced-order model based on adaptive mesh refinement and artificial neural networks</t>
  </si>
  <si>
    <t>INTERNATIONAL JOURNAL FOR NUMERICAL METHODS IN ENGINEERING</t>
  </si>
  <si>
    <t>In this work, a reduced-order model based on adaptive finite element meshes and a correction term obtained by using an artificial neural network (FAN-ROM) is presented. The idea is to run a high-fidelity simulation by using an adaptively refined finite element mesh and compare the results obtained with those of a coarse mesh finite element model. From this comparison, a correction forcing term can be computed for each training configuration. A model for the correction term is built by using an artificial neural network, and the final reduced-order model is obtained by putting together the coarse mesh finite element model, plus the artificial neural network model for the correction forcing term. The methodology is applied to nonlinear solid mechanics problems, transient quasi-incompressible flows, and a fluid-structure interaction problem. The results of the numerical examples show that the FAN-ROM is capable of improving the simulation results obtained in coarse finite element meshes at a reduced computational cost.</t>
  </si>
  <si>
    <t>Codina, Ramon/I-2311-2014; Castillo, Ernesto/D-1612-2015; Baiges, Joan/D-3433-2014</t>
  </si>
  <si>
    <t>Codina, Ramon/0000-0002-7412-778X; Castillo, Ernesto/0000-0001-7013-6008; Baiges, Joan/0000-0002-3940-5887; Castanar Perez, Inocencio/0000-0003-4139-9380</t>
  </si>
  <si>
    <t>0029-5981</t>
  </si>
  <si>
    <t>1097-0207</t>
  </si>
  <si>
    <t>FEB 28</t>
  </si>
  <si>
    <t>10.1002/nme.6235</t>
  </si>
  <si>
    <t>OCT 2019</t>
  </si>
  <si>
    <t>WOS:000491939200001</t>
  </si>
  <si>
    <t>Villalobos-Cid, M; Dorn, M; Ligabue-Braun, R; Inostroza-Ponta, M</t>
  </si>
  <si>
    <t>Villalobos-Cid, Manuel; Dorn, Marcio; Ligabue-Braun, Rodrigo; Inostroza-Ponta, Mario</t>
  </si>
  <si>
    <t>A Memetic Algorithm Based on an NSGA-II Scheme for Phylogenetic Tree Inference</t>
  </si>
  <si>
    <t>IEEE TRANSACTIONS ON EVOLUTIONARY COMPUTATION</t>
  </si>
  <si>
    <t>Phylogenetic inference allows building a hypothesis about the evolutionary relationships between a group of species, which is usually represented as a tree. The phylogenetic inference problem can be seen as an optimization problem, searching for the most qualified tree among all the possible topologies according to a selected criterion. These criteria can be based on different principles. Due to the combinatorial number of possible topologies, diverse heuristics and meta-heuristics have been proposed to find approximated solutions according to one criterion. However, these methods may result in several phylogeny trees which could be in conflict with one another. In order to deal with this problem, models based on multiobjective optimization with different configurations have been used. In this paper, we propose an ad-hoc multiobjective memetic algorithm (MO-MA) to infer phylogeny using two objectives: 1) maximum parsimony and 2) likelihood. Several population operators and local search strategies are proposed and evaluated in order to measure their contribution to the algorithm. Additionally, we perform a comparison among different configurations and tree rearrangement strategies. The results show that the proposed MO-MA is able to identify a Pareto set of solutions that include new trees which were nondominated by solutions from the current state of the art single-objective optimization tools. Furthermore, the MO-MA improves the results presented in the literature for multiobjective approaches in all of the studied data sets. These results make our proposal a good alternative for phylogenetic inference.</t>
  </si>
  <si>
    <t>Ligabue-Braun, Rodrigo/U-3832-2019; Villalobos-Cid, Manuel/AFK-0866-2022; Inostroza-Ponta, Mario/G-7548-2012; Dorn, Marcio/D-3696-2009</t>
  </si>
  <si>
    <t>Ligabue-Braun, Rodrigo/0000-0002-2555-9754; Villalobos-Cid, Manuel/0000-0002-1145-2016; Inostroza-Ponta, Mario/0000-0003-1295-8972; Dorn, Marcio/0000-0001-8534-3480</t>
  </si>
  <si>
    <t>1089-778X</t>
  </si>
  <si>
    <t>1941-0026</t>
  </si>
  <si>
    <t>10.1109/TEVC.2018.2883888</t>
  </si>
  <si>
    <t>WOS:000489784100004</t>
  </si>
  <si>
    <t>Canales, J; Riquelme, D; Leiva-Salcedo, E; Cerda, O</t>
  </si>
  <si>
    <t>Canales, J.; Riquelme, D.; Leiva-Salcedo, E.; Cerda, O.</t>
  </si>
  <si>
    <t>KCTD5 regulates focal adhesions dynamics through a mechanism involving calcium signaling</t>
  </si>
  <si>
    <t>FEBS OPEN BIO</t>
  </si>
  <si>
    <t>Cerda, Oscar/N-3895-2018</t>
  </si>
  <si>
    <t>2211-5463</t>
  </si>
  <si>
    <t>P-17-011</t>
  </si>
  <si>
    <t>WOS:000486972402207</t>
  </si>
  <si>
    <t>Castillo, E; Codina, R</t>
  </si>
  <si>
    <t>Castillo, E.; Codina, R.</t>
  </si>
  <si>
    <t>Dynamic term-by-term stabilized finite element formulation using orthogonal subgrid-scales for the incompressible Navier-Stokes problem</t>
  </si>
  <si>
    <t>COMPUTER METHODS IN APPLIED MECHANICS AND ENGINEERING</t>
  </si>
  <si>
    <t>In this paper, we propose and analyze the stability and the dissipative structure of a new dynamic term-by-term stabilized finite element formulation for the Navier-Stokes problem that can be viewed as a variational multiscale (VMS) method under some assumptions. The essential point of the formulation is the time dependent nature of the subscales and, contrary to residual-based formulations, the introduction of two velocity subscale components. They represent the components of the convective and the pressure gradient terms, respectively, of the momentum equation that cannot be captured by the finite element mesh. A key idea of the proposed method is that the convective subscale is close to a solenoidal field and the pressure gradient subscale is close to a potential field. The method ensures stability in anisotropic space-time discretizations, which is proved using numerical analysis for a linearized problem and demonstrated in classical numerical tests. The work includes a detailed description of the proposed formulation and several numerical examples that serve to justify our claims. (C) 2019 Elsevier B.V. All rights reserved.</t>
  </si>
  <si>
    <t>Castillo, Ernesto/D-1612-2015; Codina, Ramon/I-2311-2014</t>
  </si>
  <si>
    <t>Castillo, Ernesto/0000-0001-7013-6008; Codina, Ramon/0000-0002-7412-778X</t>
  </si>
  <si>
    <t>0045-7825</t>
  </si>
  <si>
    <t>1879-2138</t>
  </si>
  <si>
    <t>JUN 1</t>
  </si>
  <si>
    <t>10.1016/j.cma.2019.02.041</t>
  </si>
  <si>
    <t>WOS:000464951400028</t>
  </si>
  <si>
    <t>Huiliñir, C; Montalvo, S; Borja, R</t>
  </si>
  <si>
    <t>Huilinir, Cesar; Montalvo, Silvio; Borja, Rafael</t>
  </si>
  <si>
    <t>A new and simple kinetic model for assessing the dynamic behavior and simulating the biochemical methane potential (BMP) of sewage sludge in the presence of fly ash</t>
  </si>
  <si>
    <t>JOURNAL OF CHEMICAL TECHNOLOGY AND BIOTECHNOLOGY</t>
  </si>
  <si>
    <t>BACKGROUNDThe modeling of anaerobic digestion of sewage sludge including the effect of fly ash has been studied only scarcely and has focused mainly on the accumulated methane (CH4). The present work was aimed at assessing the complete dynamic behavior of the biochemical methane potential (BMP) of sewage sludge in the presence of fly ash, including both the liquid and gas phases. The model was calibrated and validated for BMPs using eight fly ash concentrations (10, 40, 25, 50 150, 250, 350 and 500 mg L-1). RESULTSThe calibration showed that the model fits well with the experimental data, with the values of the parameters falling in the range reported in the literature. The calibrated model was able to describe properly the behavior of soluble chemical oxygen demand (COD) and volatile solids in the liquid phase, with normalized root mean square error (NRMSE) and correlation coefficients (CC) ranging from 0.4052 to 0.2729 and 0.6246 to 0.8172, respectively. For the gas phase, the model was able to represent accurately the daily CH4 production and accumulated CH4, with NRMSE and CC ranging from 0.8915 to 0.07194 and 0.5051 to 0.9736, respectively. CONCLUSIONSThe proposed model is robust and valid for all the tested conditions. (c) 2018 Society of Chemical Industry</t>
  </si>
  <si>
    <t>Huilinir, Cesar/IYS-6899-2023; Borja, Rafael/P-5314-2016</t>
  </si>
  <si>
    <t>Borja, Rafael/0000-0002-3699-7223; Huilinir, Cesar/0000-0002-3487-684X</t>
  </si>
  <si>
    <t>0268-2575</t>
  </si>
  <si>
    <t>1097-4660</t>
  </si>
  <si>
    <t>10.1002/jctb.5910</t>
  </si>
  <si>
    <t>WOS:000467986900018</t>
  </si>
  <si>
    <t>Muñoz-Osses, M; Godoy, F; Fierro, A; Gómez, A; Metzler-Nolte, N</t>
  </si>
  <si>
    <t>Munoz-Osses, Michelle; Godoy, Fernando; Fierro, Angelica; Gomez, Alejandra; Metzler-Nolte, Nils</t>
  </si>
  <si>
    <t>New organometallic imines of rhenium(I) as potential ligands of GSK-3β: synthesis, characterization and biological studies</t>
  </si>
  <si>
    <t>Substituted amino-piperazine derivatives were synthesized and used as precursors for the preparation of a series of new organometallic Re(I) imine complexes with the general formula [(eta(5)-C(5)H(4)CHvN-(CH2) 5Pz-R) Re(CO)(3)] (Pz-R: -alkyl or aryl piperazine). The piperazine-based ligands were designed to be potential inhibitors of GSK-3 beta kinase. All the ligands and complexes were fully characterized and evaluated against the HT-29 and PT-45 cancer cell lines, in which GSK-3 beta plays a crucial role. In this context, we carried out biological evaluation using the MTT colorimetric assay. In terms of structure activity relationship, our findings indicated improved biological activity when aromaticity increased in the organic ligands (3d). In addition, the presence of the rhenium fragment in the imines (5a-d) leads to better activity with IC50 values in the range of 25-100 mu M. In addition, our experimental studies were complemented by computational studies, where the volume and electrostatic surface of the organic ligands and organometallic compounds as well as their binding to the kinase protein are calculated.</t>
  </si>
  <si>
    <t>Fierro, Angelica/AAJ-2533-2020; Metzler-Nolte, Nils/H-7626-2014</t>
  </si>
  <si>
    <t>Metzler-Nolte, Nils/0000-0001-8111-9959; Munoz-Osses, Michelle/0000-0001-7124-8773; Godoy, Fernando/0000-0002-3916-4753; Gomez San Martin, Alejandra/0000-0001-6483-1565; Fierro Huerta, Angelica/0000-0002-6507-4188</t>
  </si>
  <si>
    <t>JAN 28</t>
  </si>
  <si>
    <t>10.1039/c7dt04344a</t>
  </si>
  <si>
    <t>WOS:000423465200028</t>
  </si>
  <si>
    <t>Duarte-Mermoud, MA; Travieso-Torres, JC; Crespo-Herrera, TA</t>
  </si>
  <si>
    <t>Mastorakis, N; Mladenov, V; Bulucea, A</t>
  </si>
  <si>
    <t>Duarte-Mermoud, Manuel A.; Travieso-Torres, Juan-Carlos; Crespo-Herrera, Tedy A.</t>
  </si>
  <si>
    <t>Fractional order proportional-integral controller applied to a back-to-back converters</t>
  </si>
  <si>
    <t>22ND INTERNATIONAL CONFERENCE ON CIRCUITS, SYSTEMS, COMMUNICATIONS AND COMPUTERS (CSCC 2018)</t>
  </si>
  <si>
    <t>MATEC Web of Conferences</t>
  </si>
  <si>
    <t>22nd International Conference on Circuits, Systems, Communications and Computers (CSCC)</t>
  </si>
  <si>
    <t>JUL 14-17, 2018</t>
  </si>
  <si>
    <t>Majorca, SPAIN</t>
  </si>
  <si>
    <t>The use of fractional order proportional-integral (FOPI) controllers, applied to back-to-back (BTB) power converters is proposed and studied in this paper. A comparative study with the integer order proportional-integral (PI) controllers, traditionally used for this purposes, is performed and the result are discussed. The BTB power converter is connected between a permanent magnet synchronous generator (PMSG) -which is moved by a turbine placed in line with a mineral pipeline for energy recovery purposes and the electrical network, to inject the recovered energy through a voltage control into the electrical network. Simulations under normal conditions (constant torque) as well as under variable torque variations are studied, representing different possible operating scenarios for the generator.</t>
  </si>
  <si>
    <t>Duarte-Mermoud, Manuel/I-2693-2013; Travieso Torres, Juan carlos/N-6437-2019</t>
  </si>
  <si>
    <t>Travieso Torres, Juan carlos/0000-0002-9246-4827</t>
  </si>
  <si>
    <t>2261-236X</t>
  </si>
  <si>
    <t>10.1051/matecconf/201821002013</t>
  </si>
  <si>
    <t>WOS:000567668400019</t>
  </si>
  <si>
    <t>Agurto, N; Maldonado, T; Godoy, F; Gómez, A; Silva, CP; Pavez, J; Ferraudi, G; Oliver, A; Lappin, AG</t>
  </si>
  <si>
    <t>Agurto, Nicolas; Maldonado, Tamara; Godoy, Fernando; Gomez, Alejandra; Silva, Carlos P.; Pavez, Jorge; Ferraudi, Guillermo; Oliver, Allen; Lappin, A. Graham</t>
  </si>
  <si>
    <t>Synthesis and characterization of organometallic chalcones functionalized with a crown ether fragment. Spectroscopic and electrochemical behavior</t>
  </si>
  <si>
    <t>JOURNAL OF ORGANOMETALLIC CHEMISTRY</t>
  </si>
  <si>
    <t>Organometallic chalcone complexes functionalized with a macrocyclic fragment [(eta(5)-C5H4C(O)CH=CH-4-benzo-15-crown-5)MLn] (ferrocenyl, cyrhetrenyl, and cymantrenyl) have been synthesized. The complexes are characterized by IR spectroscopy, H-1 and C-13 NMR spectroscopies, elemental analyses, and HR-MS. The stereochemistry for the chalcone compounds was determined using the H-1 and C-13 NMR spectroscopy data, which indicated that they are isolated as a single isomer (E). In addition, the syntheses of the chalcone-imine derivatives are described, and they adopt an anti-(E,E) conformation in solution, confirmed by the X-ray crystal structures in the solid state. The UV-Visible and electrochemical behavior of the organometallic complexes are reported. (C) 2016 Elsevier B.V. All rights reserved.</t>
  </si>
  <si>
    <t>Silva, Carlos/IQS-5583-2023; PAVEZ, JORGE/K-6904-2014</t>
  </si>
  <si>
    <t>Godoy, Fernando/0000-0002-3916-4753; Oliver, Allen/0000-0002-0511-1127; Maldonado Hernandez, Tamara/0000-0002-3863-3001; Gomez San Martin, Alejandra/0000-0001-6483-1565; Silva, Carlos P./0000-0001-5344-042X; PAVEZ, JORGE/0000-0002-5100-6707</t>
  </si>
  <si>
    <t>0022-328X</t>
  </si>
  <si>
    <t>1872-8561</t>
  </si>
  <si>
    <t>JAN 1</t>
  </si>
  <si>
    <t>10.1016/j.jorganchem.2016.11.002</t>
  </si>
  <si>
    <t>WOS:000389610700004</t>
  </si>
  <si>
    <t>Garza-Caballero, A; Idárraga-Ospina, G; García-Gomez, NA; Pérez-González, FA; De-La-Garza-Garza, M; Artigas, A; Monsalve, A; Colás, R; Garza-Montes-de-Oca, NF</t>
  </si>
  <si>
    <t>Garza-Caballero, Alejandro; Idarraga-Ospina, Gina; Garcia-Gomez, Nora A.; Aurelio Perez-Gonzalez, Francisco; De-la-Garza-Garza, Maribel; Artigas, Alfredo; Monsalve, Alberto; Colas, Rafael; Federico Garza-Montes-de-Oca, Nelson</t>
  </si>
  <si>
    <t>Oxidation behaviour of amorphous steel: impact on electromagnetic properties</t>
  </si>
  <si>
    <t>ANTI-CORROSION METHODS AND MATERIALS</t>
  </si>
  <si>
    <t>Purpose - High silicon amorphous steels are gaining preference as the material of choice for the fabrication of the core of low and medium power electrical transformers because they present a better electromagnetic behaviour compared to that offered by common grain-oriented and non-oriented high silicon steels. This study aims to investigate the effects that the environmental conditions present during the high temperature annealing of cores exert on the surface oxidation and electromagnetic changes experienced by a commercial amorphous steel alloy. Design/methodology/approach - The effect of environmental impact on the correct development of annealing practices during the manufacture process of amorphous steel cores used in distribution transformers was studied by the development of an oxidation reactor. With this installation, it was possible to simulate environmental conditions that could affect the surface of magnetic cores made from amorphous steel. Findings - It was found that: the surface oxidation of amorphous steels affects their electromagnetic behaviour, environmentally induced surface degradation can be modelled at laboratory scale and oxide formation does not affect the amorphous condition of the alloy. Originality/value - The effect of surface oxidation induced by the existence of water vapour in the annealing process of cores made from amorphous steels and its impact on the electromagnetic behavior of these alloys has been barely studied.</t>
  </si>
  <si>
    <t>Artigas, Alfredo/Y-1185-2019; Garcia-Gomez, Nora/AAR-6083-2021</t>
  </si>
  <si>
    <t>Monsalve, Alberto/0000-0002-5772-8815; Colas, Rafael/0000-0001-6017-7244; Garcia-Gomez, N.A./0000-0002-0279-4436</t>
  </si>
  <si>
    <t>0003-5599</t>
  </si>
  <si>
    <t>1758-4221</t>
  </si>
  <si>
    <t>10.1108/ACMM-09-2015-1577</t>
  </si>
  <si>
    <t>WOS:000402872800010</t>
  </si>
  <si>
    <t>Romero, G; Solano, E; Lamata, L</t>
  </si>
  <si>
    <t>Angelakis, DG</t>
  </si>
  <si>
    <t>Romero, Guillermo; Solano, Enrique; Lamata, Lucas</t>
  </si>
  <si>
    <t>Quantum Simulations with Circuit Quantum Electrodynamics</t>
  </si>
  <si>
    <t>QUANTUM SIMULATIONS WITH PHOTONS AND POLARITONS: MERGING QUANTUM OPTICS WITH CONDENSED MATTER PHYSICS</t>
  </si>
  <si>
    <t>Quantum Science and Technology-Series</t>
  </si>
  <si>
    <t>Superconducting circuits have become a leading quantum platform for the implementation of quantum information tasks. Here, we revise the basic concepts of circuit network theory and circuit quantum electrodynamics for the sake of analog and digital quantum simulations with microwave photons in superconducting circuit lattices. We prove that superconducting circuits are a promising quantum technology for building scalable quantum simulators, enjoying unique and distinctive properties when compared to more advanced platforms as trapped ions and optical lattices.</t>
  </si>
  <si>
    <t>Lamata, Lucas/B-2439-2009; Solano, Enrique/C-2895-2017; Lamata, Lucas/CAG-6488-2022</t>
  </si>
  <si>
    <t>Lamata, Lucas/0000-0002-9504-8685</t>
  </si>
  <si>
    <t>978-3-319-52025-4; 978-3-319-52023-0</t>
  </si>
  <si>
    <t>10.1007/978-3-319-52025-4_7</t>
  </si>
  <si>
    <t>10.1007/978-3-319-52025-4</t>
  </si>
  <si>
    <t>WOS:000429053300009</t>
  </si>
  <si>
    <t>Silva, I; Rivas, J; Canales, J; Alvarez, A; Blanco, C; Calderón, H; Díaz, N; Ibarra, D; Flores, G; Maureira, D; Morales, D; Riquelme, D; Leiva, E; Varela, D; Cáceres, M; Cerda, O</t>
  </si>
  <si>
    <t>Silva, I.; Rivas, J.; Canales, J.; Alvarez, A.; Blanco, C.; Calderon, H.; Diaz, N.; Ibarra, D.; Flores, G.; Maureira, D.; Morales, D.; Riquelme, D.; Leiva, E.; Varela, D.; Caceres, M.; Cerda, O.</t>
  </si>
  <si>
    <t>K+ Channel Tetramerization Domain 5 (KCTD5) protein is a novel TRPM4-associated protein that regulates channel activity and cell migration.</t>
  </si>
  <si>
    <t>MOLECULAR BIOLOGY OF THE CELL</t>
  </si>
  <si>
    <t>Annual Joint Meeting of the American-Society-for-Cell-Biology and the European-Molecular-Biology-Organization (ASCB/EMBO)</t>
  </si>
  <si>
    <t>DEC 02-06, 2017</t>
  </si>
  <si>
    <t>Philadelphia, PA</t>
  </si>
  <si>
    <t>Amer Soc Cell Biol,European Mol Biol Org</t>
  </si>
  <si>
    <t>Cerda, Oscar/N-3895-2018; Díaz Valdivia, Natalia/Z-1893-2019</t>
  </si>
  <si>
    <t>1059-1524</t>
  </si>
  <si>
    <t>1939-4586</t>
  </si>
  <si>
    <t>P3286</t>
  </si>
  <si>
    <t>WOS:000426664303358</t>
  </si>
  <si>
    <t>Amirpour, M; Das, R; Flores, EIS</t>
  </si>
  <si>
    <t>Amirpour, M.; Das, R.; Saavedra Flores, E. I.</t>
  </si>
  <si>
    <t>Analytical solutions for elastic deformation of functionally graded thick plates with in-plane stiffness variation using higher order shear deformation theory</t>
  </si>
  <si>
    <t>COMPOSITES PART B-ENGINEERING</t>
  </si>
  <si>
    <t>This paper presents the deformation solution of functionally graded (FG) plates with variation of material stiffness through their length using higher order shear deformation theory (HSDT) including stretching effects. The present theory accounts for both the shear deformation and thickness stretching effect by a sinusoidal variation of the displacement field across the thickness. Equations of motion are derived from Hamilton's principle, and the relevant governing equations of elasticity are solved with a power law distribution of material property (material stiffness) to derive the analytical solution of the deflection of the FG plate. The problem is then modelled using the finite element method (FEM). The resultant analytical solutions are verified against the finite element (FE) solutions. The FE solutions are obtained using linear hexahedral solid elements with spatially graded property distribution (at different Gauss points), which is implemented by a user material subroutine (UMAT) in the ABAQUS FE software. It can be concluded that the present exact formulation is not only accurate, but also simple in predicting the bending of FG plates. Also, this study can be applied to find the optimum material distribution to produce controlled stiffness distribution in FG plates corresponding to prescribed characteristics. Moreover, the good agreement found between the exact solution and the numerical simulation demonstrates the effectiveness of graded solid elements in the modelling of FG plate deflection under bending. Crown Copyright (C) 2016 Published by Elsevier Ltd. All rights reserved.</t>
  </si>
  <si>
    <t>Flores, Erick/I-7646-2012</t>
  </si>
  <si>
    <t>Das, Raj/0000-0001-9977-6201; Amirpour, Maedeh/0000-0003-0390-2846</t>
  </si>
  <si>
    <t>1359-8368</t>
  </si>
  <si>
    <t>1879-1069</t>
  </si>
  <si>
    <t>10.1016/j.compositesb.2016.03.040</t>
  </si>
  <si>
    <t>WOS:000376052600012</t>
  </si>
  <si>
    <t>Kessi-Pérez, EI; Araos, S; García, V; Salinas, F; Abarca, V; Larrondo, LF; Martínez, C; Cubillos, FA</t>
  </si>
  <si>
    <t>Kessi-Perez, Eduardo I.; Araos, Sebastian; Garcia, Veronica; Salinas, Francisco; Abarca, Valentina; Larrondo, Luis F.; Martinez, Claudio; Cubillos, Francisco A.</t>
  </si>
  <si>
    <t>RIM15 antagonistic pleiotropy is responsible for differences in fermentation and stress response kinetics in budding yeast</t>
  </si>
  <si>
    <t>FEMS YEAST RESEARCH</t>
  </si>
  <si>
    <t>Different natural yeast populations have faced dissimilar selective pressures due to the heterogeneous fermentation substrates available around the world; this increases the genetic and phenotypic diversity in Saccharomyces cerevisiae. In this context, we expect prominent differences between isolates when exposed to a particular condition, such as wine or sake musts. To better comprehend the mechanisms underlying niche adaptation between two S. cerevisiae isolates obtained from wine and sake fermentation processes, we evaluated fermentative and fungicide resistance phenotypes and identify the molecular origin of such adaptive variation. Multiple regions were associated with fermentation rate under different nitrogen conditions and fungicide resistance, with a single QTL co-localizing in all traits. Analysis around this region identified RIM15 as the causative locus driving fungicide sensitivity, together with efficient nitrogen utilization and glycerol production in the wine strain. A null RIM15 variant confers a greater fermentation rate through the utilization of available glucose instead of its storage. However, this variant has a detrimental effect on fungicide resistance since complex sugars are not synthesized and transported into the membrane. Together, our results reveal the antagonist pleiotropic nature of a RIM15 null variant, positively affecting a series of fermentation related phenotypes, but apparently detrimental in the wild.</t>
  </si>
  <si>
    <t>García, Verónica/AAM-1175-2021; Kessi, Eduardo/AAI-2566-2019; Cubillos, Francisco/MIT-2389-2025; Martinez, Claudio/MGS-9961-2025; Larrondo, Luis/J-1086-2016; Cubillos, Francisco/G-5195-2019; Salinas, Francisco/W-3269-2017</t>
  </si>
  <si>
    <t>Kessi, Eduardo/0000-0003-4225-9486; Cubillos, Francisco/0000-0003-3022-469X; Salinas, Francisco/0000-0002-8391-8145; garcia, veronica/0000-0002-5312-925X</t>
  </si>
  <si>
    <t>1567-1356</t>
  </si>
  <si>
    <t>1567-1364</t>
  </si>
  <si>
    <t>fow021</t>
  </si>
  <si>
    <t>10.1093/femsyr/fow021</t>
  </si>
  <si>
    <t>WOS:000377481000010</t>
  </si>
  <si>
    <t>Górka, P; Reyes, EG</t>
  </si>
  <si>
    <t>Gorka, Przemyslaw; Reyes, Enrique G.</t>
  </si>
  <si>
    <t>SOBOLEV SPACES ON LOCALLY COMPACT ABELIAN GROUPS AND THE BOSONIC STRING EQUATION</t>
  </si>
  <si>
    <t>JOURNAL OF THE AUSTRALIAN MATHEMATICAL SOCIETY</t>
  </si>
  <si>
    <t>Motivated by a class of nonlinear nonlocal equations of interest for string theory, we introduce Sobolev spaces on arbitrary locally compact abelian groups and we examine some of their properties. Specifically, we focus on analogs of the Sobolev embedding and Rellich-Kondrachov compactness theorems. As an application, we prove the existence of continuous solutions to a generalized bosonic string equation posed on an arbitrary compact abelian group, and we also remark that our approach allows us to solve very general linear equations in a p-adic context.</t>
  </si>
  <si>
    <t>Reyes, Enrique/AAD-1308-2019</t>
  </si>
  <si>
    <t>Gorka, Przemyslaw/0000-0002-1943-383X; Reyes, Enrique G./0000-0001-8460-444X</t>
  </si>
  <si>
    <t>1446-7887</t>
  </si>
  <si>
    <t>1446-8107</t>
  </si>
  <si>
    <t>10.1017/S1446788714000433</t>
  </si>
  <si>
    <t>WOS:000349696200002</t>
  </si>
  <si>
    <t>Rodriguez, A; Cavieres, E; Rivera, L; Ramirez, L; Chahuan, J</t>
  </si>
  <si>
    <t>GomezChova, L; LopezMartinez, A; CandelTorres, I</t>
  </si>
  <si>
    <t>Rodriguez, A.; Cavieres, E.; Rivera, L.; Ramirez, L.; Chahuan, J.</t>
  </si>
  <si>
    <t>METHODOLOGICAL INTERVENTION IN CLASS: LEARNING FROM COMPREHENSION</t>
  </si>
  <si>
    <t>EDULEARN15: 7TH INTERNATIONAL CONFERENCE ON EDUCATION AND NEW LEARNING TECHNOLOGIES</t>
  </si>
  <si>
    <t>EDULEARN Proceedings</t>
  </si>
  <si>
    <t>7th International Conference on Education and New Learning Technologies (EDULEARN)</t>
  </si>
  <si>
    <t>JUL 06-08, 2015</t>
  </si>
  <si>
    <t>Barcelona, SPAIN</t>
  </si>
  <si>
    <t>Innovative interventions in class have been the orientation of current university education. The Universidad Santiago de Chile, through the Teaching Innovation Projects Contest, stimulates intervention in the classes, and the research team of the Technologist in Telecommunications degree was awarded the project Search for Comprehending within Doing, which carried out the intervention in four consecutive classes in the 2013-2014 period, on a sample of 120 students in the  Introduction to Telecommunications course. The variables that were measured were dispersion in the classroom (attention level) and comprehension levels depending on attendance and academic performance. Measurements were made with and without practical intervention, and they showed the power of the participative methodology based on projects involving the students. The students' current demand poses challenges that flood them with information and is in contrast with the methodologies based on 2-D ( using only the writing board plane), and they request teaching methodologies and skills in ndimensional systems (using the board, TIC elements, participation, TV, videos, audio files, etc.). The comparative results with respect to the interventions shows that they were successful, achieving a high degree of comprehension and a substantial decrease of dispersion in the classroom. Because of the extent of its execution, this article presents the information of the first year, hoping to present the second part of the process in the near future.</t>
  </si>
  <si>
    <t>Rodriguez, Arturo/I-7205-2016; Ramirez Lopez, Leonardo Juan/E-8930-2017</t>
  </si>
  <si>
    <t>Ramirez Lopez, Leonardo Juan/0000-0002-6473-5685</t>
  </si>
  <si>
    <t>2340-1117</t>
  </si>
  <si>
    <t>978-84-606-8243-1</t>
  </si>
  <si>
    <t>WOS:000376685701013</t>
  </si>
  <si>
    <t>Lacoste, P; Jiménez, D; Aguilera, P; Rendón, B; Castro, A; Soto, N</t>
  </si>
  <si>
    <t>Lacoste, Pablo; Jimenez, Diego; Aguilera, Paulette; Rendon, Bibiana; Castro, Amalia; Soto, Natalia</t>
  </si>
  <si>
    <t>The awakening of pisco in Chile</t>
  </si>
  <si>
    <t>CIENCIA E INVESTIGACION AGRARIA</t>
  </si>
  <si>
    <t>This paper analyzes the historical antecedents of pisco (grape brandy) in Chile from unpublished original documents of the Archivo Nacional (National Archives) from the end of the 17th century to the beginning of the 18th century. This work also shows that during Spanish domination in the 17th century, the tradition of making brandy from grape wine using stills was consolidated in the northern Kingdom of Chile. In addition, a flow of brandy exports from the very early 18th century is demonstrated.</t>
  </si>
  <si>
    <t>Castro, Amalia/LXV-4156-2024; Cabrera, Diego/U-2906-2018</t>
  </si>
  <si>
    <t>Castro San Carlos, Amalia/0000-0003-2868-2739; Lacoste, Pablo/0000-0003-1876-8141</t>
  </si>
  <si>
    <t>0718-1620</t>
  </si>
  <si>
    <t>WOS:000336641900010</t>
  </si>
  <si>
    <t>Vecchi, D; Hernández, I</t>
  </si>
  <si>
    <t>Minelli, A; Pradeu, T</t>
  </si>
  <si>
    <t>Vecchi, Davide; Hernandez, Isaac</t>
  </si>
  <si>
    <t>The epistemological resilience of the concept of morphogenetic field</t>
  </si>
  <si>
    <t>TOWARDS A THEORY OF DEVELOPMENT</t>
  </si>
  <si>
    <t>Vecchi, Davide/M-2973-2015</t>
  </si>
  <si>
    <t>Vecchi, Davide/0000-0002-6339-7370</t>
  </si>
  <si>
    <t>978-0-19-967143-4; 978-0-19-178111-7; 978-0-19-967142-7</t>
  </si>
  <si>
    <t>10.1093/acprof:oso/9780199671427.001.0001</t>
  </si>
  <si>
    <t>WOS:000355187200007</t>
  </si>
  <si>
    <t>Khezzar, L; Siginer, D; Vinogradov, I</t>
  </si>
  <si>
    <t>Khezzar, Lyes; Siginer, Dennis; Vinogradov, Igor</t>
  </si>
  <si>
    <t>Natural convection in inclined two dimensional rectangular cavities</t>
  </si>
  <si>
    <t>HEAT AND MASS TRANSFER</t>
  </si>
  <si>
    <t>Steady two-dimensional natural convection in fluid filled cavities is numerically investigated. The channel is heated from below and cooled from the top with insulated side walls and the inclination angle is varied. The field equations for a Newtonian Boussinesq fluid are solved numerically for three cavity height based Rayleigh numbers, Ra = 10(4), 10(5) and 10(6), and several aspect ratios. The calculations are in excellent agreement with previously published benchmark results. The effect of the inclination of the cavity to the horizontal with the angle varying from 0A degrees to 180A degrees and the effect of the startup conditions on the flow pattern, temperature distribution and the heat transfer rates have been investigated. Flow admits different configurations at different angles as the angle of inclination is increased depending on the initial conditions. Regardless of the initial conditions Nusselt number Nu exhibits discontinuities triggered by gradual transition from multiple cell to a single cell configuration. The critical angle of inclination at which the discontinuity occurs is strongly influenced by the assumed startup field. The hysteresis effect previously reported is not always present when the calculations are reversed from 90A degrees to 0A degrees. A comprehensive study of the flow structure, the Nu variation with varying angle of inclination, the effect of the initial conditions and the hysteresis effect are presented.</t>
  </si>
  <si>
    <t>KHEZZAR, Lyes/LDF-3636-2024</t>
  </si>
  <si>
    <t>0947-7411</t>
  </si>
  <si>
    <t>10.1007/s00231-011-0876-7</t>
  </si>
  <si>
    <t>WOS:000300083200003</t>
  </si>
  <si>
    <t>Curio, CH; Geissen, SU; Knodel, J; von Bennewitz, MR; Lillo, EA</t>
  </si>
  <si>
    <t>Huilinir Curio, Cesar; Geissen, Sven-Uwe; Knodel, Jan; Roeckel von Bennewitz, Marlene; Aspe Lillo, Estrella</t>
  </si>
  <si>
    <t>Modelling of integrated anoxic-anaerobic-aerobic treatment for salmon fishery wastewater in an upflow fixed-bed biofilm reactor</t>
  </si>
  <si>
    <t>ENVIRONMENTAL TECHNOLOGY</t>
  </si>
  <si>
    <t>Literature has paid scarce attention to the modelling of the integrated anoxic-anaerobic-aerobic process in upflow fixed-bed biofilm reactors used to treat wastewater. The present study developed a model for industrial salmon fishery wastewater treatment in an integrated anoxic-anaerobic-aerobic upflow fixed-bed biofilm reactor. The model successfully predicted the removal efficiency of both Chemical Oxygen Demand (COD) and nitrogen for two recycle ratios at steady state. The simulation study shows that the COD removal efficiency is not affected by any parameter under the studied conditions, while the nitrogen removal efficiency is affected by the hydraulic retention time (HRT) and the inlet COD concentration, where Total Ammonia Nitrogen (TAN) is the most sensitive variable of the anoxic-anaerobic-aerobic system. The conditions that best obtained removal efficiencies above 70% are: recycle rate between 1 and 2; HRT between 1.4 and 2.2 days and inlet COD concentrations lower than 2500 mg CODL-1. Analysis of the model's sensitivity indicated that the parameters that exert most influence on the model for the system were mu(max,M), k(h), mu(max,H), eta(-)(NO3), mu(NOB), K-DO(NOB) and D-DO.</t>
  </si>
  <si>
    <t>Huilinir, Cesar/IYS-6899-2023; Roeckel, Marlene/AGL-0396-2022</t>
  </si>
  <si>
    <t>Roeckel, Marlene/0000-0001-7346-2829; Huilinir, Cesar/0000-0002-3487-684X</t>
  </si>
  <si>
    <t>0959-3330</t>
  </si>
  <si>
    <t>1479-487X</t>
  </si>
  <si>
    <t>10.1080/09593330.2011.586729</t>
  </si>
  <si>
    <t>WOS:000303580800001</t>
  </si>
  <si>
    <t>Kuznetsov, AV; Bubnovich, V</t>
  </si>
  <si>
    <t>Kuznetsov, A. V.; Bubnovich, V.</t>
  </si>
  <si>
    <t>INVESTIGATION OF SIMULTANEOUS EFFECTS OF GYROTACTIC AND OXYTACTIC MICROORGANISMS ON NANOFLUID BIO-THERMAL CONVECTION IN POROUS MEDIA</t>
  </si>
  <si>
    <t>JOURNAL OF POROUS MEDIA</t>
  </si>
  <si>
    <t>This paper develops a theory of nanofluid bio-thermal convection in a fluid-saturated porous layer when the suspension contains two different species of motile microorganisms. The goal is to investigate the combined effect of these two species of microorganisms, nano particles, and a vertical temperature variation on the hydrodynamic stability of the layer. Since microorganisms are heavier than the base fluid (water) and swim in the upward direction, they act as a destabilizing agency. It is interesting that if one species of microorganisms is present, the system becomes less sensitive to the concentration of the second species, as long as the concentration of the second species of microorganisms remains small. The effect of the nanoparticles depends on whether their distribution is top heavy or bottom heavy. The effect of the temperature variation is destabilizing when heating from the bottom and stabilizing when cooling from the bottom. The utilization of the linear instability theory makes it possible to decouple the effects of these various agencies and obtain an eigenvalue equation that involves four Rayleigh numbers, each characterizing one of the effects described above.</t>
  </si>
  <si>
    <t>1091-028X</t>
  </si>
  <si>
    <t>1934-0508</t>
  </si>
  <si>
    <t>WOS:000307195500002</t>
  </si>
  <si>
    <t>Medeiros, D; Silva, AR; Rizzo, JA; Sarinho, E; Mallol, J; Solé, D</t>
  </si>
  <si>
    <t>Medeiros, Decio; Silva, Almerinda Rego; Rizzo, Jose Angelo; Sarinho, Emanuel; Mallol, Javier; Sole, Dirceu</t>
  </si>
  <si>
    <t>Prevalence of wheezing and associated risk factors among infants in Recife, Pernambuco State, Brazil</t>
  </si>
  <si>
    <t>CADERNOS DE SAUDE PUBLICA</t>
  </si>
  <si>
    <t>The aim of this study was to verify the prevalence of wheezing in infants (&lt; 1 year of age) in Recife, Pernambuco State, Brazil, and to identify associated risk factors. Sample and methods: the study was performed according to the protocol of the International Study of Wheezing in Infants (EISL) in children ranging from 12 to 15 months of age. The sample was analyzed for presence or absence of wheezing. A total of 1,071 parents of children ranging from 12 to 15 months of age were interviewed. Prevalence of wheezing in the first year of life was 43%, with no difference between the sexes. Wheezing in the first year of life was associated with pneumonia, family history of asthma, more than nine episodes of upper airway infection, and the first cold before six months of age (p &lt; 0.001). Prevalence of wheezing in the first year of life was high in Recife. Early onset (and high number) of colds, family history of asthma, and pneumonia were associated with wheezing in these children.</t>
  </si>
  <si>
    <t>Solé, Dirceu/JAO-0340-2023; Rizzo, Jose/M-4322-2014</t>
  </si>
  <si>
    <t>Rizzo, Jose/0000-0002-6876-3122; Mallol, Javier/0000-0003-2528-8672</t>
  </si>
  <si>
    <t>0102-311X</t>
  </si>
  <si>
    <t>1678-4464</t>
  </si>
  <si>
    <t>10.1590/S0102-311X2011000800010</t>
  </si>
  <si>
    <t>WOS:000294439000010</t>
  </si>
  <si>
    <t>Junqueira-Goncalves, MP; Cardoso, LP; Pinto, MS; Pereira, RM; Soares, NF; Miltz, J</t>
  </si>
  <si>
    <t>Paula Junqueira-Goncalves, Maria; Cardoso, Lediana Pereira; Pinto, Michele Silva; Pereira, Rodrigo Magela; Soares, Nilda Ferreira; Miltz, Joseph</t>
  </si>
  <si>
    <t>Irradiated beetroot extract as a colorant for cream cheese</t>
  </si>
  <si>
    <t>RADIATION PHYSICS AND CHEMISTRY</t>
  </si>
  <si>
    <t>A Brazilian ham-flavored cream cheese was developed using gamma-irradiated beetroot extract as the colorant. An irradiation dose of 5.0 kGy was used based on previous studies that indicated no growth of moulds, yeasts and aerobic psychotropic microorganisms during 12 days at 5 degrees C, and with no changes in the structure of the pigment. One part of the cheese was colored with the irradiated beetroot extract and the other part with carmine cochineal, which is a natural stable colorant but expensive and difficult to extract. Both portions were submitted to sensory evaluation with 67 panelists. No significant differences were found in flavor and overall appearance. The cream cheese containing carmine cochineal was slightly preferred in regards to color. However, being a new product, these results were encouraging and point towards the potential use of irradiated beetroot extract as a natural food colorant. (C) 2010 Elsevier Ltd. All rights reserved.</t>
  </si>
  <si>
    <t>SOARES, NILDA/0000-0001-9506-6130</t>
  </si>
  <si>
    <t>0969-806X</t>
  </si>
  <si>
    <t>10.1016/j.radphyschem.2010.08.002</t>
  </si>
  <si>
    <t>WOS:000283972000018</t>
  </si>
  <si>
    <t>Pérez, H; Soto-Moyano, R; Ruiz, S; Hernández, A; Sierralta, W; Olivares, R; Núñez, H; Flores, O; Morgan, C; Valladares, L; Gatica, A; Flores, FJ</t>
  </si>
  <si>
    <t>Perez, Hernan; Soto-Moyano, Ruben; Ruiz, Samuel; Hernandez, Alejandro; Sierralta, Walter; Olivares, Ricardo; Nunez, Hector; Flores, Osvaldo; Morgan, Carlos; Valladares, Luis; Gatica, Arnaldo; Flores, Francisco J.</t>
  </si>
  <si>
    <t>A putative role for hypothalamic glucocorticoid receptors in hypertension induced by prenatal undernutrition in the rat</t>
  </si>
  <si>
    <t>NEUROSCIENCE LETTERS</t>
  </si>
  <si>
    <t>Prenatal undernutrition induces hypertension later in life, possibly by disturbing the hypothalamo-pituitary-adrenal axis through programming decreased expression of hypothalamic glucocorticoid receptors. We examined the systolic blood pressure, heart rate and plasma corticosterone response to intra-paraventricular dexamethasone, mifepristone and corticosterone in eutrophic and prenatally undernourished young rats. Undernutrition was induced during fetal life by restricting the diet of pregnant mothers to 10 g daily (40% of diet consumed by well-nourished controls). At day 40 of postnatal life (i) intra-paraventricular administration of dexamethasone significantly reduced at least for 24 h both the systolic pressure (-11.6%), the heart rate (-20.8%) and the plasma corticosterone (-40.0%) in normal animals, while producing lower effects (-5.5, -8.7, and -22.3%, respectively) on undernourished rats; (ii) intra-paraventricular administration of the antiglucocorticoid receptor ligand mifepristone to normal rats produced opposite effects (8.2, 20.3, and 48.0% increase, respectively) to those induced by dexamethasone, being these not significant in undernourished animals; (iii) intra-paraventricular corticosterone did not exert any significant effect. Results suggest that the low sensitivity of paraventricular neurons to glucocorticoid receptor ligands observed in prenatally undernourished rats could be due to the already reported glucocorticoid receptor expression, found in the hypothalamus of undernourished animals. (C) 2010 Elsevier Ireland Ltd. All rights reserved.</t>
  </si>
  <si>
    <t>Núñez, Héctor/AEL-0196-2022; Hernandez, Alejandro/M-4796-2019; Flores, Francisco/L-6850-2013</t>
  </si>
  <si>
    <t>Flores, Francisco/0000-0002-8974-9717; Hernandez, Alejandro/0000-0001-9222-6522; Nunez Alarcon, Hector/0009-0006-9234-9446</t>
  </si>
  <si>
    <t>0304-3940</t>
  </si>
  <si>
    <t>1872-7972</t>
  </si>
  <si>
    <t>OCT 8</t>
  </si>
  <si>
    <t>10.1016/j.neulet.2010.07.057</t>
  </si>
  <si>
    <t>WOS:000281940500010</t>
  </si>
  <si>
    <t>Campos-Vallette, MM; Chandía, NP; Clavijo, E; Leal, D; Matsuhiro, B; Osorio-Román, IO; Torres, S</t>
  </si>
  <si>
    <t>Campos-Vallette, Marcelo M.; Chandia, Nancy P.; Clavijo, Ernesto; Leal, David; Matsuhiro, Betty; Osorio-Roman, Igor O.; Torres, Simonet</t>
  </si>
  <si>
    <t>Characterization of sodium alginate and its block fractions by surface-enhanced Raman spectroscopy</t>
  </si>
  <si>
    <t>JOURNAL OF RAMAN SPECTROSCOPY</t>
  </si>
  <si>
    <t>The surface-enhanced Raman scattering (SERS) of sodium alginates and their hetero- and homopolymeric fractions obtained from four seaweeds of the Chilean coast was studied. Alginic acid is a copolymer of beta-n-mannuronic acid (M) and a-L guluronic acid (G), linked 1 -&gt; 4, forming two homopolymeric fractions (MM and GG) and a heteropolymeric fraction (MG). The SERS spectra were registered on silver colloid with the 632.8 nm line of a He-Ne laser. The SERS spectra of sodium alginate and the polyguluronate fraction present various carboxylate bands which are probably due to the coexistence of different molecular conformations. SERS allows to differentiate the hetero- and homopolymeric fractions of alginic acid by characteristic bands. In the fingerprint region, all the poly-D-mannuronate samples present a band around 946 cm(-1) assigned to C-O stretching, and C-C-H and C-O-H deformation vibrations, a band at 863 cm-1 assigned to deformation vibration of beta-C-1 -H group, and one at 799-788 cm(-1) due to the contributions of various vibration modes. Poly-L-guluronate spectra show three characteristic bands, at 928-913 cm(-1) assigned to symmetric stretching vibration of C-O-C group, at 890-889 cm(-1) due to C-C-H, skeletal C-C, and C-O vibrations, and at 797 cm(-1) assigned to a C-1 -H deformation vibration. The heteropolymeric fractions present two characteristic bands in the region with the more important one being an intense band at 730 cm(-1) due to ring breathing vibration mode. Copyright 2009 John Wiley &amp; Sons, Ltd.</t>
  </si>
  <si>
    <t>Vallette, Marcelo/I-2860-2013; Osorio, Igor/AEX-9230-2022</t>
  </si>
  <si>
    <t>Osorio-Roman, Igor/0000-0001-7502-8698</t>
  </si>
  <si>
    <t>0377-0486</t>
  </si>
  <si>
    <t>1097-4555</t>
  </si>
  <si>
    <t>10.1002/jrs.2517</t>
  </si>
  <si>
    <t>WOS:000280621500007</t>
  </si>
  <si>
    <t>Cruz, N; Lepe, S; Peña, F; Saavedra, J</t>
  </si>
  <si>
    <t>Cruz, Norman; Lepe, Samuel; Pena, Francisco; Saavedra, Joel</t>
  </si>
  <si>
    <t>Holographic dark energy interacting with dark matter in a closed Universe</t>
  </si>
  <si>
    <t>A cosmological model of an holographic dark energy interacting with dark matter throughout a decaying term of the form Q = 3(lambda(1)rho(DE) + lambda(2)rho(m))H is investigated. General constraint on the parameters of the model are found when accelerated expansion is imposed and we found a phantom scenario, without any reference to a specific equation of state for the dark energy. The behavior of equation of state for dark energy is also discussed. (C) 2008 Elsevier B.V. All rights reserved.</t>
  </si>
  <si>
    <t>saavedra, joel/0000-0002-1430-3008</t>
  </si>
  <si>
    <t>NOV 27</t>
  </si>
  <si>
    <t>10.1016/j.physletb.2008.10.008</t>
  </si>
  <si>
    <t>WOS:000261631800004</t>
  </si>
  <si>
    <t>Berríos, C; Marco, JF; Gutiérrez, C; Ureta-Zañartu, MS</t>
  </si>
  <si>
    <t>Berrios, Cristhian; Marco, Jose F.; Gutierrez, Claudio; Ureta-Zanartu, Maria Soledad</t>
  </si>
  <si>
    <t>Study by XPS and UV-visible and DRIFT spectroscopies of electropolymerized films of substituted Ni(II)-p-phenylporphyrins and -phthalocyanines</t>
  </si>
  <si>
    <t>JOURNAL OF PHYSICAL CHEMISTRY B</t>
  </si>
  <si>
    <t>Films of nickel tetrasulfophthalocyanine and -p-phenylporphyrin (NiTSPc and NiTSPP, respectively) were obtained by repetitive cyclic voltammetry (RCV) of the 1 mM complex in aqueous solution, while films of the water-insoluble nickel tetraaminophthalocyanine and -p-phenylporphyrin (NiTAPc and NiTAPP, respectively) had to be obtained by RCV of the I mM complex in organic solvents. Glassy carbon (GC), ITO, or platinum electrodes were used as substrates. The modified electrodes were characterized by cyclic voltammetry (CV) and UV-visible, infrared, and X-ray photoelectron spectroscopies. The CVs of the sulfo films showed the characteristic peaks of the Ni(II)/Ni(III) process, whereas the CVs of the amino films did not, very small Ni(II)/Ni(III) peaks appearing only after activation by RCV. Upon oxidation to Ni(III) both sulfo films changed from transparent to dark violet. The IR spectra of the polyNiTSPP and the polyNiTSPc films showed bands at 3628 cm(-1) and 3500 cm(-1), respectively, which could be due to interstitial water molecules occluded during the polymerization. The Ni 2p XP spectra indicate that the magnetic character of the Ni(II) ions in NiTSPP is dramatically changed by the polymerization, from diamagnetic in the monomer to paramagnetic in the polymeric film, indicating the formation of Ni-O-Ni bridges or of clusters of Ni(OH)(2). On the contrary, the Ni 2p XP spectra of the unactivated NiTAPP film, in which the Ni(II)/Ni(III) process was absent, showed only diamagnetic Ni(II). Therefore, it is concluded that only paramagnetic Ni(II) ions can be electrooxidized to Ni(III).</t>
  </si>
  <si>
    <t>Ureta-Zañartu, Maria/G-5239-2019; Marco, JF/N-3176-2014</t>
  </si>
  <si>
    <t>Marco, JF/0000-0002-5147-1449</t>
  </si>
  <si>
    <t>1520-6106</t>
  </si>
  <si>
    <t>OCT 9</t>
  </si>
  <si>
    <t>10.1021/jp8046455</t>
  </si>
  <si>
    <t>WOS:000259780200012</t>
  </si>
  <si>
    <t>Henríquez, H; Hernández M, E; dos Santos, JC</t>
  </si>
  <si>
    <t>Henriquez, Hernan; Hernandez M, Eduardo; dos Santos, Jose C.</t>
  </si>
  <si>
    <t>Asymptotically almost periodic and almost periodic solutions for partial neutral integrodifferential equations</t>
  </si>
  <si>
    <t>ZEITSCHRIFT FUR ANALYSIS UND IHRE ANWENDUNGEN</t>
  </si>
  <si>
    <t>In this paper we study the existence of almost periodic and asymptotically almost periodic solutions for a class of partial neutral functional integro-differential equation with unbounded delay.</t>
  </si>
  <si>
    <t>Santos, José/F-9905-2012; Hernández, Eduardo/N-4531-2013</t>
  </si>
  <si>
    <t>0232-2064</t>
  </si>
  <si>
    <t>1661-4534</t>
  </si>
  <si>
    <t>WOS:000249791300007</t>
  </si>
  <si>
    <t>Sepulveda, W; Corral, E; Ayala, C; Bes, C; Gutierrez, J; Vasquez, P</t>
  </si>
  <si>
    <t>Chromosomal abnormalities in fetuses with open neural tube defects: prenatal identification with ultrasound</t>
  </si>
  <si>
    <t>ULTRASOUND IN OBSTETRICS &amp; GYNECOLOGY</t>
  </si>
  <si>
    <t>Objectives To determine the prevalence of chromosomal abnormalities in fetuses with open neural tube defects (NTD) undergoing prenatal chromosome analysis. The role of prenatal ultrasound in detecting those with an underlying chromosomal abnormality, was also investigated. Methods Over a 6-year period, 144 fetuses with open NTD underwent prenatal chromosome analysis between 12 and 37 weeks of gestation, as part of a prospective, multicenter prenatal diagnosis and counseling program in Chile. This population included 66 fetuses with spina bifida, 46 with acrania/anencephaly, 21 with cephalocele and 11 with iniencephaly. A confident prenatal diagnosis was made in 143 fetuses (99%) and confirmed postnatally in all cases. Results An underlying chromosomal abnormality was diagnosed in 10 fetuses (7%), six with spina bifida, three with cephalocele and one with craniorachischisis. The prevalence of chromosomal abnormality varied according to the defect present in the fetus, with a 14% (3121) prevalence among those with cephalocele, 9% (6166) among those with spina bifida and 2% (1157) among those with lethal defects such as acrania, anencephaly or iniencephaly. Karyotype results revealed trisomy 18 in seven cases, trisomy 13 in two and mosaicism for a marker chromosome in one. Prenatal ultrasound before the procedure showed that all chromosomally abnormal fetuses bad additional findings. The prevalence of chromosomal abnormality in fetuses with spina bifida and cephalocele was higher when chromosome analysis was performed at or before 24 weeks of gestation in comparison to those performed after 24 weeks (5/31 (16%) vs. 4156 (7%), respectively). However, this difference did not reach statistical significance, probably due to the small number of cases. Conclusions A significant number of fetuses with open NTD are chromosomally abnormal. Although prenatal chromosome analysis should be considered in all cases, prenatal ultrasound seems effective in identifying those fetuses with an underlying chromosomal abnormality. Copyright (C) 2004 ISUOG. Published by John Wiley Sons, Ltd.</t>
  </si>
  <si>
    <t>0960-7692</t>
  </si>
  <si>
    <t>1469-0705</t>
  </si>
  <si>
    <t>10.1002/uog.964</t>
  </si>
  <si>
    <t>WOS:000221150400007</t>
  </si>
  <si>
    <t>Muñoz, E; Barticevic, Z; Pacheco, M</t>
  </si>
  <si>
    <t>Electronic spectrum of two coupled semiconductor quantum disks under external fields</t>
  </si>
  <si>
    <t>MICROELECTRONICS JOURNAL</t>
  </si>
  <si>
    <t>Conference on Low Dimensional Structures and Devices (LDSD)</t>
  </si>
  <si>
    <t>DEC 08-13, 2002</t>
  </si>
  <si>
    <t>FORTALEZA, BRAZIL</t>
  </si>
  <si>
    <t>We calculate the electronic spectrum and eigenstates of a molecule formed by two quantum dots laterally coupled under a constant external magnetic field, oriented normal to the plane. We present results of the spectrum as a function of the distance between the dots and the magnetic field intensity. The results are obtained from a one-particle model, on the effective-mass theory approximation. (C) 2003 Elsevier Science Ltd. All rights reserved.</t>
  </si>
  <si>
    <t>Pacheco, Monica/AAG-8440-2019; Pacheco, Monica/L-9669-2014; Munoz, Enrique/D-7237-2013</t>
  </si>
  <si>
    <t>Pacheco, Monica/0000-0002-4293-5213; Munoz, Enrique/0000-0003-4457-0817</t>
  </si>
  <si>
    <t>0026-2692</t>
  </si>
  <si>
    <t>1879-2391</t>
  </si>
  <si>
    <t>MAY-AUG</t>
  </si>
  <si>
    <t>5-8</t>
  </si>
  <si>
    <t>10.1016/S0026-2692(03)00114-9</t>
  </si>
  <si>
    <t>WOS:000183607400098</t>
  </si>
  <si>
    <t>Do, JM; Ubilla, P</t>
  </si>
  <si>
    <t>Multiple solutions for a class of quasilinear elliptic problems</t>
  </si>
  <si>
    <t>PROCEEDINGS OF THE EDINBURGH MATHEMATICAL SOCIETY</t>
  </si>
  <si>
    <t>We deal with a class of p-Laplacian Dirichlet boundary-value problems where the combined effects of 'sublinear' and 'superlinear' growths allow us to establish the existence of at least two positive solutions.</t>
  </si>
  <si>
    <t>do O, Joao Marcos/0000-0001-7039-4365</t>
  </si>
  <si>
    <t>0013-0915</t>
  </si>
  <si>
    <t>1464-3839</t>
  </si>
  <si>
    <t>WOS:000183535600011</t>
  </si>
  <si>
    <t>Maisey, K; Nardocci, G; Imarai, M; Cardenas, H; Rios, M; Croxatto, HB; Heckels, JE; Christodoulides, M; Velasquez, LA</t>
  </si>
  <si>
    <t>Expression of proinflammatory cytokines and receptors by human fallopian tubes in organ culture following challenge with Neisseria gonorrhoeae</t>
  </si>
  <si>
    <t>INFECTION AND IMMUNITY</t>
  </si>
  <si>
    <t>Infection of the Fallopian tubes (FT) by Neisseria gonorrhoeae can lead to acute salpingitis, an inflammatory condition, which is a major cause of infertility. Challenge of explants of human IT with gonococci induced mRNA expression and protein secretion for the proinflammatory cytokines interleukin (IL)-1alpha, IL-1beta, and tumor necrosis factor alpha (TNF-alpha) but not for granulocyte-macrophage colony-stimulating factor. In contrast, FT expression of IL-6 and of the cytokine receptors IL-6R, TNF receptor I (TNF-RI), and TNF-RII was constitutive and was not increased by gonococcal challenge. These studies suggest that several proinflammatory cytokines are likely to contribute to the cell and tissue damage observed in gonococcal salpingitis.</t>
  </si>
  <si>
    <t>Maisey, Kevin/AAP-2886-2021; Nardocci, Gino/AAE-7793-2019; Christodoulides, Myron/C-6699-2011</t>
  </si>
  <si>
    <t>Maisey, Kevin/0000-0002-7423-6329; Imarai, Monica/0000-0001-8767-9180; Christodoulides, Myron/0000-0002-9663-4731; Nardocci, Gino/0000-0002-2342-6480; Velasquez, Luis/0000-0002-9479-1792</t>
  </si>
  <si>
    <t>0019-9567</t>
  </si>
  <si>
    <t>10.1128/IAI.71.1.527-532.2003</t>
  </si>
  <si>
    <t>WOS:000180212000063</t>
  </si>
  <si>
    <t>Escriche, I; Serra, JA; Gómez, M; Galotto, MJ</t>
  </si>
  <si>
    <t>Effect of ozone treatment and storage temperature on physicochemical properties of mushrooms (Agaris bisporus)</t>
  </si>
  <si>
    <t>The aim of this paper was to determine the effect of ozone, storage time and temperature on postharvest quality of mushroom (Agaris bisporus var. Gurelan 55). Mushrooms, treated with ozone (100 mg/h) during 0, 15 or 25 minutes, were packed in polystyrene packs, overwrapped with PVC plastic film, and stored at 5, 15 or 25 degreesC for seven days. Internal and external lightness (L*) texture properties, maturity index and weight loss were analyzed during storage. Ozone treatment on mushrooms prior to packaging caused an increase in external browning rate and a reduction of the internal browning rate. The ozone treatment exhibited no significant differences in terms of texture, maturity index and weight loss of mushrooms. Increased storage time and temperatures meant an increase in browning, senescence and weight loss, as well as a decrease in firmness, following, in all cases, a zero-order reaction kinetics. Temperature dependence of the reaction rates coule be described by Arrhenius equation. Among all the quality parameters assessed in this research, weight loss was the most affected by temperature increase (Ea = 17,60 kcal/mol). The lowest storage temperature (5 degreesC) favored the best quality.</t>
  </si>
  <si>
    <t>Escriche, Isabel/F-6816-2016; Gomez, Manuel/K-2545-2013</t>
  </si>
  <si>
    <t>Escriche, Isabel/0000-0003-0180-0360; Gomez, Manuel/0000-0003-2650-4082</t>
  </si>
  <si>
    <t>10.1106/6A9R-DKEV-ADV7-Y30X</t>
  </si>
  <si>
    <t>WOS:000175957100008</t>
  </si>
  <si>
    <t>Herde, O; Cortés, HP; Wasternack, C; Willmitzer, L; Fisahn, J</t>
  </si>
  <si>
    <t>Electric signaling and Pin2 gene expression on different abiotic stimuli depend on a distinct threshold level of endogenous abscisic acid in several abscisic acid-deficient tomato mutants</t>
  </si>
  <si>
    <t>PLANT PHYSIOLOGY</t>
  </si>
  <si>
    <t>Experiments were performed on three abscisic acid (ABA)deficient tomato (Lycopersicon esculentum Mill.) mutants, notabilis, flacca, and sitiens, to investigate the role of ABA and jasmonic acid (JA) in the generation of electrical signals and Pin2 ((p) under bar roteinase &lt;(in)under bar&gt;inhibitor &lt;(II)under bar&gt;) gene expression. We selected these mutants because they contain different levels of endogenous ABA. ABA levels in the mutant sitiens were reduced to 8% of the wild type, in notabilis they were reduced to 47%, and in flacca they were reduced to 21%. In wild-type and notabilis tomato plants the induction of Pin2 gene expression could be elicited by heat treatment, current application, or mechanical wounding. In flacca and sitiens only heat stimulation induced Pin2 gene expression. JA levels in flacca and sitiens plants also accumulated strongly upon heat stimulation but not upon mechanical wounding or current application. Characteristic electrical signals evolved in the wild type and in the notabilis and flacca mutants consisting of a fast action potential and a slow variation potential. However, in sitiens only heat evoked electrical signals; mechanical wounding and current application did not change the membrane potential. In addition, exogenous application of ABA to wild-type tomato plants induced transient changes in membrane potentials, indicating the involvement of ABA in the generation of electrical signals. Our data strongly suggest the presence of a minimum threshold value of ABA within the plant that is essential for the early events in electrical signaling and mediation of Pin2 gene expression upon wounding. In contrast, heat-induced Pin2 gene expression and membrane potential changes were not dependent on the ABA level but, rather, on the accumulation of JA.</t>
  </si>
  <si>
    <t>Willmitzer, Lothar/F-7377-2011</t>
  </si>
  <si>
    <t>0032-0889</t>
  </si>
  <si>
    <t>10.1104/pp.119.1.213</t>
  </si>
  <si>
    <t>WOS:000078048300025</t>
  </si>
  <si>
    <t>Antonova, EE; Stepanova, MV; Teltzov, MV; Tverskoy, BA</t>
  </si>
  <si>
    <t>Multiple inverted-V structures and hot plasma pressure gradient mechanism of plasma stratification</t>
  </si>
  <si>
    <t>JOURNAL OF GEOPHYSICAL RESEARCH-SPACE PHYSICS</t>
  </si>
  <si>
    <t>A mechanism of plasma stratification within the inner plasma sheet is discussed. It is suggested that plasma pressure is isoptropic and particle motion is unmagnetized for the spatial scales in which the structures are formed. The solution of the magnetosphere-ionosphere interaction problem shows that upward field-aligned current may split into separate structures. The number of structures formed is determined by a parameter which depends on upward field-aligned current density, field-aligned current band width, hot magnetospheric ion temperature, and height-integrated Pedersen ionospheric conductivity. The Intercosmos-Bulgaria-1300 satellite base data has been used to identify events of multiple inverted-V structures. It is shown that the hot stratification plasma mechanism offers a good description of the number of observed structures.</t>
  </si>
  <si>
    <t>Antonova, Elizaveta/A-2716-2012; Stepanova, Marina/D-6329-2011</t>
  </si>
  <si>
    <t>Antonova, Elizaveta/0000-0001-6980-3993; Stepanova, Marina/0000-0002-1053-3375</t>
  </si>
  <si>
    <t>A5</t>
  </si>
  <si>
    <t>10.1029/97JA03090</t>
  </si>
  <si>
    <t>WOS:000073430300022</t>
  </si>
  <si>
    <t>Kumar, S; Hegade, NN; de Oliveira, MH; Solano, E; Cadavid, AG; Albarrán-Arriagada, F</t>
  </si>
  <si>
    <t>Kumar, Shubham; Hegade, Narendra N.; de Oliveira, Murilo Henrique; Solano, Enrique; Cadavid, Alejandro Gomez; Albarran-Arriagada, F.</t>
  </si>
  <si>
    <t>Digital-analog counterdiabatic quantum optimization with trapped ions</t>
  </si>
  <si>
    <t>QUANTUM SCIENCE AND TECHNOLOGY</t>
  </si>
  <si>
    <t>We introduce a hardware-specific, problem-dependent digital-analog quantum algorithm of a counterdiabatic quantum dynamics tailored for optimization problems. Specifically, we focus on trapped-ion architectures, taking advantage from global M &amp; oslash;lmer-S &amp; oslash;rensen gates as the analog interactions complemented by digital gates, both of which are available in the state-of-the-art technologies. We show an optimal configuration of analog blocks and digital steps leading to a substantial reduction in circuit depth compared to the purely digital approach. This implies that, using the proposed encoding, we can address larger optimization problem instances, requiring more qubits, while preserving the coherence time of current devices. Furthermore, we study the minimum gate fidelity required by the analog blocks to outperform the purely digital simulation, finding that it is below the best fidelity reported in the literature. To validate the performance of the digital-analog encoding, we tackle the maximum independent set problem, showing that it requires fewer resources compared to the digital case. This hybrid co-design approach paves the way towards quantum advantage for efficient solutions of quantum optimization problems.</t>
  </si>
  <si>
    <t>Solano, Enrique/C-2895-2017; Hegade, Narendra N./O-9229-2018</t>
  </si>
  <si>
    <t>Kumar, Shubham/0000-0003-2891-1669; SOLANO VILLANUEVA, ENRIQUE LEONIDAS/0000-0002-8602-1181; Albarran-Arriagada, Francisco/0000-0001-8899-3673; Hegade, Narendra N./0000-0002-9673-2833; de Oliveira, Murilo Henrique/0000-0001-9777-8342</t>
  </si>
  <si>
    <t>2058-9565</t>
  </si>
  <si>
    <t>10.1088/2058-9565/ad8b64</t>
  </si>
  <si>
    <t>WOS:001352037100001</t>
  </si>
  <si>
    <t>Cordero, RR; Feron, S; Damiani, A</t>
  </si>
  <si>
    <t>Cordero, Raul R.; Feron, Sarah; Damiani, Alessandro</t>
  </si>
  <si>
    <t>Global South researchers need to focus on losses and damages</t>
  </si>
  <si>
    <t>NATURE SUSTAINABILITY</t>
  </si>
  <si>
    <t>Cordero, Raul/M-7979-2017</t>
  </si>
  <si>
    <t>Feron, Sarah/0000-0002-0572-5639</t>
  </si>
  <si>
    <t>2398-9629</t>
  </si>
  <si>
    <t>10.1038/s41893-024-01499-0</t>
  </si>
  <si>
    <t>WOS:001381176300001</t>
  </si>
  <si>
    <t>Carbajal-Rubio, LA; García-Salirrosas, EE; Villar-Guevara, M; Escobar-Farfán, M; Millones-Liza, DY</t>
  </si>
  <si>
    <t>Carbajal-Rubio, Luis Alex; Garcia-Salirrosas, Elizabeth Emperatriz; Villar-Guevara, Miluska; Escobar-Farfan, Manuel; Millones-Liza, Dany Yudet</t>
  </si>
  <si>
    <t>Influence of Corporate Environmental Responsibility on Dimensions of Brand Equity in the Sustainable Food Industry</t>
  </si>
  <si>
    <t>SAGE OPEN</t>
  </si>
  <si>
    <t>The objective of this study is to propose a theoretical model where corporate environmental responsibility (CER) influences brand loyalty (BL), perception of brand quality (PQ), brand awareness (BA), and the comparison brand (BC). A survey was carried out using an online questionnaire, and information was collected from 267. The research focuses on people who stated they were consumers of the sustainable food brand in Lima. To test the hypotheses of the proposed research model, the data were analyzed using the partial least squares path modeling method with SmartPLS software. The results showed a significant positive effect of CER on BL, PQ, BA, and BC. In conclusion, it can be stated that organizations that adopt sustainable practices and promote corporate environmental responsibility (CER) not only contribute to caring for the environment but can also improve essential aspects such as the equity of their corporate brand. Therefore, organizations must recognize the importance of taking transparent actions to strengthen the perception of their brand equity related to corporate environmental responsibility. This can translate into stronger customer loyalty and a more prominent position for sustainable food products. This study encourages prioritizing environmental responsibility, understanding that beyond contributing to the care of the environment, it also strengthens relevant aspects within the brand identity.</t>
  </si>
  <si>
    <t>Escobar Farfán, Manuel/HJH-8388-2023; Villar-Guevara, Miluska/IQT-0016-2023; García-salirrosas, Elizabeth/JBJ-6862-2023</t>
  </si>
  <si>
    <t>Garcia-Salirrosas, Elizabeth Emperatriz/0000-0003-4197-8438; Escobar-Farfan, Manuel/0000-0002-2975-7010; Villar Guevara, Miluska/0000-0002-9632-5293; Millones-Liza, Dany Yudet/0000-0003-3672-461X</t>
  </si>
  <si>
    <t>2158-2440</t>
  </si>
  <si>
    <t>10.1177/21582440241292136</t>
  </si>
  <si>
    <t>WOS:001343244400001</t>
  </si>
  <si>
    <t>Uribe-Redlich, PA; Amenabar, MJ; Dennett, GV; Blamey, JM</t>
  </si>
  <si>
    <t>Uribe-Redlich, Patricio A.; Amenabar, Maximiliano J.; Dennett, Geraldine V.; Blamey, Jenny M.</t>
  </si>
  <si>
    <t>Astrobiological implications of the organic and inorganic cyanide utilization by a novel Antarctic hyperthermophilic Pyrococcus strain</t>
  </si>
  <si>
    <t>EXTREMOPHILES</t>
  </si>
  <si>
    <t>Organic and inorganic cyanides are widely distributed in nature, yet not much is known about the ability of microorganisms to use these compounds as a source of nitrogen and/or carbon at high temperatures (&gt;80 C-degrees). Here we studied the capacity of organic and inorganic cyanides to support growth of an hyperthermophilic Pyrococcus strain isolated from Deception Island, Antarctica. This microorganism was capable of growing with aromatic nitriles, aliphatic nitriles, heterocyclic nitriles, amino aromatic nitriles and inorganic cyanides as nitrogen and/or carbon source. This is the first report of an hyperthermophilic microorganism able to incorporate these compounds in its nitrogen and carbon metabolism. Based on enzymatic activity and genomic information, it is possibly that cells of this Pyrococcus strain growing with nitriles or cyanide, might use the carboxylic acid and/or the ammonia generated through the nitrilase enzymatic activity, as a carbon and/or nitrogen source respectively. This work expands the temperature range at which microorganisms can use organic and inorganic cyanides to growth, having important implications to understand microbial metabolisms that can support life on Earth and the possibility to support life elsewhere.</t>
  </si>
  <si>
    <t>Blamey, Jenny/M-2637-2014; Amenabar, Maximiliano/AAD-5354-2020</t>
  </si>
  <si>
    <t>Amenabar, Maximiliano/0000-0003-1890-5353</t>
  </si>
  <si>
    <t>1431-0651</t>
  </si>
  <si>
    <t>1433-4909</t>
  </si>
  <si>
    <t>10.1007/s00792-024-01335-5</t>
  </si>
  <si>
    <t>WOS:001174882400001</t>
  </si>
  <si>
    <t>Barbieri, S; Labbé, S</t>
  </si>
  <si>
    <t>Barbieri, Sebastian; Labbe, Sebastien</t>
  </si>
  <si>
    <t>Indistinguishable asymptotic pairs and multidimensional Sturmian configurations</t>
  </si>
  <si>
    <t>Two asymptotic configurations on a full $\mathbb {Z}&lt;^&gt;d$ -shift are indistinguishable if, for every finite pattern, the associated sets of occurrences in each configuration coincide up to a finitely supported permutation of $\mathbb {Z}&lt;^&gt;d$ . We prove that indistinguishable asymptotic pairs satisfying a 'flip condition' are characterized by their pattern complexity on finite connected supports. Furthermore, we prove that uniformly recurrent indistinguishable asymptotic pairs satisfying the flip condition are described by codimension-one (dimension of the internal space) cut and project schemes, which symbolically correspond to multidimensional Sturmian configurations. Together, the two results provide a generalization to $\mathbb {Z}&lt;^&gt;d$ of the characterization of Sturmian sequences by their factor complexity $n+1$ . Many open questions are raised by the current work and are listed in the introduction.</t>
  </si>
  <si>
    <t>Barbieri, Sebastian/0000-0001-9567-2085</t>
  </si>
  <si>
    <t>10.1017/etds.2024.39</t>
  </si>
  <si>
    <t>WOS:001236036900001</t>
  </si>
  <si>
    <t>Gomez, CO; Maldonado, M</t>
  </si>
  <si>
    <t>Gomez, Cesar O.; Maldonado, Miguel</t>
  </si>
  <si>
    <t>Bubble shape in the prediction of terminal velocities in flotation</t>
  </si>
  <si>
    <t>Minerals flotation is a process that involves the formation of a population of bubbles to produce a concentrate by selective capture and separation of particles of valuable hydrophobic minerals on the surface of bubbles. The bubble rising velocity is a crucial piece of information for developing operating and control strategies, and for estimating metallurgical performance of flotation circuits. Bubble rising velocities depend on their size and on the physicochemical characteristics of the surrounding liquid medium. Velocities in pure liquids are the largest possible because gas-liquid interfaces remain clean and fully mobile allowing circulation of the gas phase, but when surfactants and ions from soluble mineral species are present (contaminated liquid), which is the case in minerals flotation, a molecular arrangement of adsorbed molecules develops on the surface of the bubbles. This structure reduces bubble surface mobility as internal gas circulation is restricted, velocity is reduced, and shape evolves from oblate spheroidal to spherical. Models proposed to predict the terminal velocity of bubbles have been devised, in general, for working at two extreme sets of conditions: bubbles rising either with fully mobile surfaces in pure liquids, or with rigid surfaces in highly contaminated liquids. The purpose of this work was the assessment of bubble velocity predictions of models that have been used in flotation applications; a data set of simultaneous measurement of velocity and shape of rising single bubbles under a broad set of conditions relevant for minerals flotation was used. The results demonstrated that bubble velocity and aspect ratio were intrinsically linked, and for bubbles of the same size, consistent trends between terminal velocity and aspect ratio that included measurements in frother and polymer solutions. Measurements in solutions of four frothers showed, as expected, significantly different terminal-velocity reduction trends as the frother concentrations were increased. This was considered as a demonstration that the frother molecular structure and the extent of equilibrium coverage were frother dependent. Model assessment demonstrated that prediction of terminal velocities was not possible for contaminated solutions with frother concentrations below the levels that get bubble surfaces fully covered. The measurements collected in this work were used to develop an empirical model for predicting bubble velocities as a function of aspect ratio; the comparison of measured and predicted velocities had a correlation coefficient of 0.9987.</t>
  </si>
  <si>
    <t>JUL 15</t>
  </si>
  <si>
    <t>10.1016/j.mineng.2024.108709</t>
  </si>
  <si>
    <t>WOS:001240399200001</t>
  </si>
  <si>
    <t>Agudelo-Hernández, F; Alvarez, AG; Rojas-Andrade, R</t>
  </si>
  <si>
    <t>Agudelo-Hernandez, Felipe; Alvarez, Ana Giraldo; Rojas-Andrade, Rodrigo</t>
  </si>
  <si>
    <t>Support Groups Versus Primary Mental Healthcare on Disability and Continuity of Care: Community Trial [Support Groups for Recovery]</t>
  </si>
  <si>
    <t>PSYCHOLOGICAL REPORTS</t>
  </si>
  <si>
    <t>Based on the need to implement strategies to reduce recovery gaps in mental health with the community as axes of recovery, the objective of the present study was to assess the impact on psychosocial disability and care continuity in individuals with suicidal behavior, of the clinical and community components of the Mental Health Gap Action Program (mhGAP), versus exclusive psychiatric care. For this, a controlled community trial carried out in 2023 was conducted, comprising intervention groups: Support Group (SG), mhGAP Group (mhGAPG) and a Control Group (CG). Self-report measurements were collected pretest and posttest, utilizing the Psychosocial Disability Scale and the Alberta Continuity of Care Scale. The study involved the participation of 94 individuals with a history of suicidal behavior, with 30 individuals in the SG, 34 in the mhGAP group, and 30 in the CG. Categorical variables were summarized using frequency distribution tables. Descriptive statistics were used to examine participants' characteristics at the study outcome and estimate treatment compliance. The Mann-Whitney U Test examined differences in sociodemographic variable frequencies. The Jarque-Bera test confirmed a normal distribution for psychological variables, warranting the use of parametric tests. Differences in mean values across groups, each with two measurements per individual, were assessed using a type II repeated measures ANOVA. There were significant differences based on the intervention, with the effect being greater in the SG across all domains. Significant improvement was observed in all domains of the disability and continuity of care scale within the intervention groups. Both groups showed improvement, with better results for the SG. In conclusion, a methodology is proposed for implementing support groups based on core components, which effectively enhances psychosocial disability and the continuity of mental health care, especially in suicidal behavior.</t>
  </si>
  <si>
    <t>Hernandez, Andres/KVA-7010-2024</t>
  </si>
  <si>
    <t>0033-2941</t>
  </si>
  <si>
    <t>1558-691X</t>
  </si>
  <si>
    <t>2024 APR 22</t>
  </si>
  <si>
    <t>10.1177/00332941241248595</t>
  </si>
  <si>
    <t>WOS:001206515100001</t>
  </si>
  <si>
    <t>Damiani, A; Ishizaki, NN; Sasaki, H; Feron, S; Cordero, RR</t>
  </si>
  <si>
    <t>Damiani, Alessandro; Ishizaki, Noriko N.; Sasaki, Hidetaka; Feron, Sarah; Cordero, Raul R.</t>
  </si>
  <si>
    <t>Exploring super-resolution spatial downscaling of several meteorological variables and potential applications for photovoltaic power</t>
  </si>
  <si>
    <t>We applied a perfect prognosis approach to downscale four meteorological variables that affect photovoltaic (PV) power output using four machine learning (ML) algorithms. In addition to commonly investigated variables, such as air temperature and precipitation, we also focused on wind speed and surface solar radiation, which are not frequently examined. The downscaling performance of the four variables followed the order of: temperature &gt; surface solar radiation &gt; wind speed &gt; precipitation. Having assessed the dependence of the downscaling accuracy on the scaling factor, we focused on a super-resolution downscaling. We found that the convolutional neural network (CNN) generally outperformed the other linear and non-linear algorithms. The CNN was further able to reproduce extremes. With the rapid transition from coal to renewables, the need to evaluate low solar output conditions at a regional scale is expected to benefit from CNNs. Because weather affects PV power output in multiple ways, and future climate change will modify meteorological conditions, we focused on obtaining exemplary super-resolution application by evaluating future changes in PV power outputs using climate simulations. Our results confirmed the reliability of the CNN method for producing super-resolution climate scenarios and will enable energy planners to anticipate the effects of future weather variability.</t>
  </si>
  <si>
    <t>Cordero, Raul/M-7979-2017; Ishizaki, Noriko/G-8850-2019; Damiani, Alessandro/X-4677-2019</t>
  </si>
  <si>
    <t>Damiani, Alessandro/0000-0003-3014-6193; Cordero, Raul R./0000-0001-7607-7993; Feron, Sarah/0000-0002-0572-5639</t>
  </si>
  <si>
    <t>MAR 27</t>
  </si>
  <si>
    <t>10.1038/s41598-024-57759-8</t>
  </si>
  <si>
    <t>WOS:001196356400065</t>
  </si>
  <si>
    <t>Löbel, K; Garfield, S; Echeverría, J; Heinrich, M</t>
  </si>
  <si>
    <t>Lobel, Katja; Garfield, Sara; Echeverria, Javier; Heinrich, Michael</t>
  </si>
  <si>
    <t>Herbal medicines used by Chilean adults an online survey</t>
  </si>
  <si>
    <t>PLANTA MEDICA</t>
  </si>
  <si>
    <t>71st International Congress and Annual Meeting of the Society-for-Medicinal-Plant-and-Natural-Product-Research</t>
  </si>
  <si>
    <t>JUL 02-05, 2023</t>
  </si>
  <si>
    <t>Dublin, IRELAND</t>
  </si>
  <si>
    <t>Soc Med Plant &amp; Nat Prod Res</t>
  </si>
  <si>
    <t>Echeverría, Javier/E-9989-2011</t>
  </si>
  <si>
    <t>0032-0943</t>
  </si>
  <si>
    <t>1439-0221</t>
  </si>
  <si>
    <t>P-242</t>
  </si>
  <si>
    <t>10.1055/s-0043-1774115</t>
  </si>
  <si>
    <t>WOS:001115356700309</t>
  </si>
  <si>
    <t>Fathi, M; Molina, M; Villanueva, JR</t>
  </si>
  <si>
    <t>Fathi, Mohsen; Molina, Martin; Villanueva, J. R.</t>
  </si>
  <si>
    <t>Caratheodory's thermodynamics of the Schwarzschild black hole surrounded by quintessence</t>
  </si>
  <si>
    <t>PHYSICA SCRIPTA</t>
  </si>
  <si>
    <t>In this paper, we apply the Caratheodory's method of geometrothermodynamics to investigate the behavior of the main thermodynamic parameters associated with a Schwarzschild black hole surrounded by quintessence. The corresponding Pfaffian form is constructed by means of the Schwarzschild radius r ( s ), and the quintessential radius r ( gamma ), as independent variables. This form is then used to characterize the thermodynamic manifold. The homogeneity of the system allows for the recognition of the empirical temperature and entropy, and thus, connects with the usual laws of thermodynamics. In particular, we show that the Helmholtz and Gibbs free energies lead to the same value for the Schwarzschild black hole, in the case of the vanishing cosmological term.</t>
  </si>
  <si>
    <t>Villanueva, Jairo/AAB-4646-2019; Fathi, Mohsen/T-7031-2017</t>
  </si>
  <si>
    <t>Fathi, Mohsen/0000-0002-1602-0722</t>
  </si>
  <si>
    <t>0031-8949</t>
  </si>
  <si>
    <t>1402-4896</t>
  </si>
  <si>
    <t>10.1088/1402-4896/acd886</t>
  </si>
  <si>
    <t>WOS:000999964600001</t>
  </si>
  <si>
    <t>Acuña-Castillo, C; Maisey, K; Vidal, M; Barrera-Avalos, C; Inostroza-Molina, A; Luraschi, R; Vallejos-Vidal, E; Valdés, D; Imarai, M; Reyes-López, FE; Sandino, AM</t>
  </si>
  <si>
    <t>Acuna-Castillo, Claudio; Maisey, Kevin; Vidal, Mabel; Barrera-Avalos, Carlos; Inostroza-Molina, Ailen; Luraschi, Roberto; Vallejos-Vidal, Eva; Valdes, Daniel; Imarai, Monica; Reyes-Lopez, Felipe E.; Maria Sandino, Ana</t>
  </si>
  <si>
    <t>Genomic Evidence Suggests Viral Persistence of SARS-CoV-2 for 386 Days in Health Worker: A Case Report from Santiago of Chile</t>
  </si>
  <si>
    <t>INFECTIOUS DISEASE REPORTS</t>
  </si>
  <si>
    <t>The COVID-19 pandemic continues to affect several countries. One of the best ways to control its spread is the timely identification of infected patients for isolation and quarantine. While an episode of infection lasts an average of 8-10 days from the onset of symptoms, there is literature describing long-lasting viral persistence events. Here, we report a case of persistence of SARS-CoV-2 for 386 days in a health worker from Santiago de Chile. Our study could be one of the longest reported viral persistence events. RNA sequencing analyses indicated that the first positive diagnosis (8 June 2020) corresponded to a SARS-CoV-2 variant belonging to Clade Nextstrain 20A. Three hundred eighty-six days later (23 September 2021), the second positive result reached the same viral variant (Clade 20A) but without presence or circulation in Chile since May 2021. Both sequencing coverages showed an identity of 99.21%, with some mutations related to the severity of the disease (ORF1b:P314L) and more infectivity (S:D614G). This work reinforces the idea of implementing an RT-qPCR or rapid antigen test once the quarantine is fulfilled to ensure viral absence, identify potential persistence, and, consequently, minimize the risk of local outbreaks of SARS-CoV-2 infection.</t>
  </si>
  <si>
    <t>Maisey, Kevin/AAP-2886-2021; Reyes-López, Felipe/S-1760-2018; Luraschi, Roberto/AAI-7965-2021; Acuña-Castillo, Claudio/AAI-7090-2021; Vallejos-Vidal, Eva/R-9606-2019; Vidal, Mabel/F-9968-2016</t>
  </si>
  <si>
    <t>Imarai, Monica/0000-0001-8767-9180; Barrera-Avalos, Carlos/0000-0001-6160-9563; Maisey, Kevin/0000-0002-7423-6329; Vallejos-Vidal, Eva/0000-0002-3091-2700; Luraschi, Roberto/0000-0001-5611-4320; Acuna-Castillo, Claudio/0000-0003-3607-6077; Vidal, Mabel/0000-0002-0800-1353; Reyes-Lopez, Felipe E./0000-0002-5001-457X</t>
  </si>
  <si>
    <t>2036-7449</t>
  </si>
  <si>
    <t>10.3390/idr14060096</t>
  </si>
  <si>
    <t>WOS:000902587700001</t>
  </si>
  <si>
    <t>Aguilera, M; Martínez, S; Tello, M; Gallardo, MJ; García, V</t>
  </si>
  <si>
    <t>Aguilera, Matias; Martinez, Sofia; Tello, Mario; Jose Gallardo, Maria; Garcia, Veronica</t>
  </si>
  <si>
    <t>Use of Cocktail of Bacteriophage for Salmonella Typhimurium Control in Chicken Meat</t>
  </si>
  <si>
    <t>FOODS</t>
  </si>
  <si>
    <t>Foodborne diseases are extremely relevant and constitute an area of alert for public health authorities due to the high impact and number of people affected each year. The food industry has implemented microbiological control plans that ensure the quality and safety of its products; however, due to the high prevalence of foodborne diseases, the industry requires new microbiological control systems. One of the main causative agents of diseases transmitted by poultry meat is the bacterium Salmonella enterica. Disinfectants, antibiotics, and vaccines are used to control this pathogen. However, they have not been efficient in the total elimination of these bacteria, with numerous outbreaks caused by this bacterium observed today, in addition to the increase in antibiotic-resistant bacteria. The search for new technologies to reduce microbial contamination in the poultry industry continues to be a necessity and the use of lytic bacteriophages is one of the new solutions. In this study, 20 bacteriophages were isolated for Salmonella spp. obtained from natural environments and cocktails composed of five of them were designed, where three belonged to the Siphoviridae family and two to the Microviridae family. This cocktail was tested on chicken meat infected with Salmonella Typhimurium at 10 degrees C, where it was found that this cocktail was capable of decreasing 1.4 logarithmic units at 48 h compared to the control.</t>
  </si>
  <si>
    <t>García, Verónica/AAM-1175-2021; Gallardo, María José/MZQ-4437-2025; Tello, Mario/N-4198-2019; Martinez, Sofia/HSH-2459-2023</t>
  </si>
  <si>
    <t>garcia, veronica/0000-0002-5312-925X; Gallardo-Nelson, Maria Jose/0000-0003-2963-8692; Tello, Mario/0000-0003-4573-6460</t>
  </si>
  <si>
    <t>2304-8158</t>
  </si>
  <si>
    <t>10.3390/foods11081164</t>
  </si>
  <si>
    <t>WOS:000786759400001</t>
  </si>
  <si>
    <t>Silva, J; Cerda, C; Fernández-Sánchez, MR; León, M</t>
  </si>
  <si>
    <t>Silva, Juan; Cerda, Cristian; Fernandez-Sanchez, Maria Rosa; Leon, Miriam</t>
  </si>
  <si>
    <t>Teacher digital competence of teachers in initial training of chilean public universities</t>
  </si>
  <si>
    <t>REVISTA INTERUNIVERSITARIA DE FORMACION DEL PROFESORADO-RIFOP</t>
  </si>
  <si>
    <t>Teacher digital competencies (TDC) of teachers in training, are key to the use of digital technologies to design and moderate learning environments. The purpose of this research was to describe the levels of digital teaching competence in chilean pedagogic students, through an instrument of evaluation of theoretical knowledge of the TDC and analyzing differences in the variables sex, type of Initial Teaching Training (ITT) programme and participation in professional teaching practice. This differs from the application of self-improvement instruments. In this study, 239 teachers in training at seven Chilean universities took a theoretical test of TDC. The results showed significant differences in the dimension of Didactic, curricular and methodological aspects, tilted in favour of women. Likewise, the indicator for Design teaching-learning activities that include the use of digital technology revealed significant differences across the variables: gender (principally women) programme type (higher for primary school student teachers) and participation in a teaching practicum, with higher scores for those who had completed one. Finally, the indicator Uses digital technologies to communicate and share knowledge displayed significant differences when it came to the programme type variable (higher for secondary school student teachers). This study offers novel insight into the TDC measurement process, enabling identification of critical areas in ITT.</t>
  </si>
  <si>
    <t>Fernández-Sánchez, Mª/K-5511-2014; Leon, Miriam/AAN-1630-2021; Cerda, Cristian/G-5371-2015</t>
  </si>
  <si>
    <t>Cerda, Cristian/0000-0003-0818-218X</t>
  </si>
  <si>
    <t>0213-8646</t>
  </si>
  <si>
    <t>2530-3791</t>
  </si>
  <si>
    <t>10.47553/rifop.v97i36.1.90221</t>
  </si>
  <si>
    <t>WOS:000792974800015</t>
  </si>
  <si>
    <t>Orchard, X; González-Bustamante, B</t>
  </si>
  <si>
    <t>Orchard, Ximena; Gonzalez-Bustamante, Bastian</t>
  </si>
  <si>
    <t>Power Hierarchies and Visibility in the News: Exploring Determinants of Politicians' Presence and Prominence in the Chilean Press (1991-2019)</t>
  </si>
  <si>
    <t>INTERNATIONAL JOURNAL OF PRESS-POLITICS</t>
  </si>
  <si>
    <t>This article studies determinants of political actors' visibility in the news, and their stability over time, observing the press coverage received by Chilean politicians in the elite press since the beginning of the democratic transition in 1991 and until 2019. In dialogue with theories of news values, we test how political positions in a markedly presidential system, the belonging to a government coalition, gender, and the association to conflict frames behave as determinants of the presence and prominence of politicians in the news in the three decades following the recovery of democracy in Chile. We have three key findings. Firstly, the visibility of political actors in the news follows a clear institutional hierarchy led by the president and cabinet members. Secondly, female politicians are less likely to be mentioned or have speaking space in newspapers than male politicians. Lastly, although an association with conflict-framed news boosts politicians' visibility, such association is unable to disturb structural power hierarchies, and the value of conflict does not increase over time.</t>
  </si>
  <si>
    <t>González-Bustamante, Bastián/HLQ-1514-2023; Orchard, Ximena/JWP-2934-2024</t>
  </si>
  <si>
    <t>Orchard, Ximena/0000-0002-8687-1098</t>
  </si>
  <si>
    <t>1940-1612</t>
  </si>
  <si>
    <t>1940-1620</t>
  </si>
  <si>
    <t>10.1177/19401612221089482</t>
  </si>
  <si>
    <t>MAR 2022</t>
  </si>
  <si>
    <t>WOS:000776632400001</t>
  </si>
  <si>
    <t>Karla, MR; Alejandra, VAC; Lenys, F; Patricio, EM</t>
  </si>
  <si>
    <t>Karla, Montenegro-Rosero; Cristina Alejandra, Villamar-Ayala; Lenys, Fernandez; Patricio, Espinoza-Montero</t>
  </si>
  <si>
    <t>Operational performance of corncobs/sawdust biofilters coupled to microbial fuel cells treating domestic wastewater</t>
  </si>
  <si>
    <t>Biofilters coupled to microbial fuel cells (MFCs) are the most integral treatment technology that generate water-energy nexus for rural zones sanitation. Moreover, biofilters coupled to MFCs, using organic residues as bed filter have not been studied. Therefore, the aim of this study was comparatively to evaluate biofilters based on corncobs/sawdust coupled to MFCs treating domestic wastewater. Biofilters based on corncobs/sawdust (50%, v/v) as bed filter incorporating microorganisms (BM), earthworms/microorganisms (BEM, Eisenia foetida Savigny), plants/microorganisms (BPM, Canna indica L.), and all organisms (HB) were evaluated. These biofilters were coupled to 2 electrochemical systems based on graphite cathodes with graphite (G)/stainless-steel mesh (M) anodes. Three nominal hydraulic loading rates (0.3, 0.5, and 1 m(3) m(-2) d(-1)) evaluating removal of organic matter, nutrients and pathogens were monitored. Voltage within electrochemical systems also were registered. Results demonstrated that biofilters based on corncob/wood chips coupled to MFCs reach mean organic matter removal efficiencies over 80% (COD: 86%, BOD5: 91%). Nevertheless, HBG was the most efficient (up to 6%) biofiltration technology monitored. The biofiltration typologies studied reported removal efficiencies of nutrients (NH3-N, PO43-) and pathogens (fecal coliforms) up to 99%. Specifically, BMG and HBG were the biofiltration typologies that registered the highest energy recovery (up to 104 mV, 29 mW m(-2)). Within all the biofiltration typologies studied, the hybrid biofiltration coupled to MFCs using graphite (HBG) is the one that offers the best water-energy nexus conditions, thanks to its biological complexity. (C) 2021 Elsevier B.V. All rights reserved.</t>
  </si>
  <si>
    <t>Espinoza-Montero, Patricio/J-2435-2018</t>
  </si>
  <si>
    <t>Montenegro-Rosero, Karla Lucia/0000-0002-0279-3484; Espinoza-Montero, Patricio Javier/0000-0003-0592-8652</t>
  </si>
  <si>
    <t>FEB 25</t>
  </si>
  <si>
    <t>10.1016/j.scitotenv.2021.151115</t>
  </si>
  <si>
    <t>WOS:000743246100017</t>
  </si>
  <si>
    <t>Pérez-Contreras, J; Bahamonde-Pérez, C; Pardo-Tamayo, C; Merino-Muñoz, P; Aedo-Muñoz, E</t>
  </si>
  <si>
    <t>Perez-Contreras, Jorge; Bahamonde-Perez, Cecilia; Pardo-Tamayo, Carolina; Merino-Munoz, Pablo; Aedo-Munoz, Esteban</t>
  </si>
  <si>
    <t>Validation and reliability of the instrument perception scale of physical education teacher's competencies in the assistance of disabled persons</t>
  </si>
  <si>
    <t>RETOS-NUEVAS TENDENCIAS EN EDUCACION FISICA DEPORTE Y RECREACION</t>
  </si>
  <si>
    <t>The purpose of this study was to determine the degree of validity and reliability of the questionnaire Scale of Perception of Teaching Competence in Physical Education in the Attention of People with Disabilities (ECoDEFyD). The sample was of intentional type, in 37 teachers who teach Physical Education classes at the basic and high school level. The original instrument was modified based on the judgment of experts, and they approved its final use, reaching an acceptable content validity. The modified instrument achieved high internal consistency (alpha &gt; 0.92) and excellent relative reliability (intra-lass correlation coefficient = 0.962), demonstrating that the ECoDEFyD instrument is a valid and reliable instrument to measure the perception of competence and the most urgent needs in the face of the inclusion of students with permanent special educational needs, of Physical Education teachers, proving to be adequate to make decisions based on their results.</t>
  </si>
  <si>
    <t>Aedo-Muñoz, Esteban/R-5623-2019; Merino Muñoz, Pablo/JGL-6690-2023</t>
  </si>
  <si>
    <t>1579-1726</t>
  </si>
  <si>
    <t>1988-2041</t>
  </si>
  <si>
    <t>WOS:000707151400001</t>
  </si>
  <si>
    <t>Dávila, S; Alfaro, M; Fuertes, G; Vargas, M; Camargo, M</t>
  </si>
  <si>
    <t>Davila, Sebastian; Alfaro, Miguel; Fuertes, Guillermo; Vargas, Manuel; Camargo, Mauricio</t>
  </si>
  <si>
    <t>Vehicle Routing Problem with Deadline and Stochastic Service Times: Case of the Ice Cream Industry in Santiago City of Chile</t>
  </si>
  <si>
    <t>The research evaluates the vehicular routing problem for distributing refrigerated products. The mathematical model corresponds to the vehicle routing problem with hard time windows and a stochastic service time (VRPTW-ST) model applied in Santiago de Chile. For model optimization, we used tabu search, chaotic search and general algebraic modeling. The model's objective function is to minimize the total distance traveled and the number of vehicles using stochastic waiting restrictions at the customers' facilities. The experiments were implemented in ten scenarios by modifying the number of customers. Experiments were established with several customers that can be solved using the general algebraic modeling technique in order to validate the tabu search and the chaotic search methods. The study considered two algorithms modified with Monte Carlo (tabu search and chaotic search). Additionally, two modified algorithms, TSv2 and CSv2, were proposed to reduce execution time. These algorithms were modified by delaying the Monte Carlo procedure until the first set of sub-optimal routes were found. The results validate the metaheuristic chaotic search to solve the VRPTW-ST. The chaotic search method obtained a superior performance than the tabu search method when solving a real problem in a large city. Finally, the experiments demonstrated a direct relationship between the percentage of customers with stochastic waiting time and the model resolution time.</t>
  </si>
  <si>
    <t>davila, sebastian/HSG-4377-2023; CAMARGO, Mauricio/HJP-7111-2023; vargas, manuel/AAG-4780-2020; Fuertes, Guillermo/Q-2341-2016</t>
  </si>
  <si>
    <t>Camargo, Mauricio/0000-0003-3867-2438; Fuertes, Guillermo/0000-0003-3044-5919; Davila-Galvez, Sebastian/0000-0002-8981-9754; Vargas Guzman, Manuel Eduardo/0000-0003-4161-6621; Alfaro, Miguel/0000-0002-1633-8853</t>
  </si>
  <si>
    <t>10.3390/math9212750</t>
  </si>
  <si>
    <t>WOS:000720039800001</t>
  </si>
  <si>
    <t>Vial, F; Delgado, I; Idiaquez, JF; Canals, F; Chana-Cuevas, P</t>
  </si>
  <si>
    <t>Vial, Felipe; Delgado, Iris; Idiaquez, Juan Francisco; Canals, Francisca; Chana-Cuevas, Pedro</t>
  </si>
  <si>
    <t>Epidemiology of Parkinson's Disease in Chile</t>
  </si>
  <si>
    <t>NEUROEPIDEMIOLOGY</t>
  </si>
  <si>
    <t>Introduction: Parkinson's disease (PD) is one of the most common neurodegenerative disorders. There is no epidemiological description of PD in Chile and not many descriptions in Latin America. This study aims to describe the incidence and prevalence of PD in Chile. Methods: The study group was the population on the public health system in Chile between 2010 and 2018 that were registered in the GES system as having PD. Crude and standardized prevalence and incidence were calculated with a 95% confidence interval. Results: 33,345 patients were found in the register as confirmed cases with PD. The crude incidence in 2018 was 23.7/100,000; the crude prevalence in 2018 was 160.7/100,000. The male-to-female ratio was 1.03. Conclusion: The prevalence and incidence observed in the Chilean population are consistent with studies from other countries.</t>
  </si>
  <si>
    <t>Chana-Cuevas, Pedro/AAM-8215-2020</t>
  </si>
  <si>
    <t>Delgado, Iris/0000-0002-7021-3357; Idiaquez Rios, Juan Francisco/0000-0001-9943-8835</t>
  </si>
  <si>
    <t>0251-5350</t>
  </si>
  <si>
    <t>1423-0208</t>
  </si>
  <si>
    <t>10.1159/000517750</t>
  </si>
  <si>
    <t>AUG 2021</t>
  </si>
  <si>
    <t>WOS:000686257400001</t>
  </si>
  <si>
    <t>Rojas, RV; Magro, R; Cerda, RC</t>
  </si>
  <si>
    <t>Rojas, Rodrigo Vidal; Magro, Rosario; Cerda, Rene Carmona</t>
  </si>
  <si>
    <t>CRITICAL PRE-DESIGN FACTORS FOR CONSTRUCTIVE DURABILITY: ANGLICAN CHAPEL OF CHANARAL, IN CHILE</t>
  </si>
  <si>
    <t>ARQUITETURA REVISTA</t>
  </si>
  <si>
    <t>Knowing the causes of the durability of a 143-year-old wooden building, in the face of adverse atmospheric agents, allows us to understand the role that these causes play in architectural design. This is the case of the Anglican chapel of Chanaral, in Chile. The hypothesis is proposed that the critical pre-design conditions and decisions determined the design decisions and allowed the construction of a stable, durable and sustainable building, given the conditions of the place, before the design itself and in the absence of a conservation program.. An inductive logic method was applied which, after observing the building, its context and the inductive derivation, allowed via experimentation to conclude that the pre-design conditions were: accurate and adequate reading of the structure of the place of intervention; the selection of a coherent set of mitigation actions to reduce the adverse factors of the site and three key pre-design decisions: siting and orientation; material and construction system; resistance to weathering.</t>
  </si>
  <si>
    <t>Valcarcel-Rojas, Roberto/S-5563-2016</t>
  </si>
  <si>
    <t>1808-5741</t>
  </si>
  <si>
    <t>JUL-DEC</t>
  </si>
  <si>
    <t>10.4013/arq.2021.172.04</t>
  </si>
  <si>
    <t>WOS:000698674900004</t>
  </si>
  <si>
    <t>Hernández, C; Echiburu, M; Humire, F; Mosso, E</t>
  </si>
  <si>
    <t>Hernandez, Carla; Echiburu, Mauricio; Humire, Fernando; Mosso, Edward</t>
  </si>
  <si>
    <t>Motion analysis of kinetic impact projectiles for physics education in real context</t>
  </si>
  <si>
    <t>EUROPEAN JOURNAL OF PHYSICS</t>
  </si>
  <si>
    <t>The article presents a proposal to contextualize the study of movement in introductory courses of university physics, as a contribution to decision making in social situations. For this, the use of kinetic impact projectiles and the actual data provided by official sources are considered. This information is used in an object motion model describing the kinematic characteristics of a spherical projectile (a rubber bullet). For these purposes, a Reynolds number Re &gt;&gt; 1 was used, which allows one to apply a nonlinear motion equation to find the velocity and impact energy per unit area of a projectile. The results and analysis of this model can generate an interesting discussion in the classroom about the need to build protocols for the use of kinetic impact projectiles, and the importance of using scientific knowledge in social conflicts.</t>
  </si>
  <si>
    <t>; Hernandez-Silva, Carla/O-5942-2019</t>
  </si>
  <si>
    <t>Humire, Fernando/0000-0002-8054-3149; Echiburu, Mauricio/0000-0002-4275-544X; Hernandez-Silva, Carla/0000-0003-2974-4989</t>
  </si>
  <si>
    <t>0143-0807</t>
  </si>
  <si>
    <t>1361-6404</t>
  </si>
  <si>
    <t>10.1088/1361-6404/abadd6</t>
  </si>
  <si>
    <t>WOS:000590709600001</t>
  </si>
  <si>
    <t>Wimmer, CH; Tamayo-Contreras, V; Aedo-Muñoz, E; Rojas-Reyes, C</t>
  </si>
  <si>
    <t>Hernandez Wimmer, Cristian; Tamayo-Contreras, Valentin; Aedo-Munoz, Esteban; Rojas-Reyes, Cristian</t>
  </si>
  <si>
    <t>Evaluation system of the technical-tactical performance in volleyball, a simple proposal</t>
  </si>
  <si>
    <t>The purpose of this study was to build an instrument for evaluating the technical-tactical performance of the volleyball players, which enables a decision making by the coach. The study variables were the evaluation of the technical performance of the volleyball players and the evaluation of the tactical performance of a volleyball team. A computer tool for evaluating the technical-tactical performance of volleyball players was developed. Through a computer program established in Microsoft Office Excel, which allowed registering and immediately accessing the necessary information during the development of a game. The variable of technical performance evaluation covers the following technical foundations, with their respective categorization of values. The tactical performance evaluation variable of the team was composed by the distribution of the raised, the technical efficiency percentage of the attack in k1 and k2, and the analysis of raised distribution and efficiency of attack by rotation. The program consists of 6 Excel books that work in an interrelated manner. The first five correspond to the sets played and the sixth corresponds to the summary of all the information entered. The match data were entered in the story sheet, to codify the technical-tactical situations of the game full. The sheets are divided into: Active (Final sheet, general sheet, difference sheet, atqefi sheet, atqk2 analysis sheet and summary sheet per player), Intermediate (Data and ATAQRSM), and Passive (Tables). The instrument of statistical evaluation of the technical-tactical performance of volleyball players serves as a contribution to the entire national volleyball environment, for its development in the field of objective evaluation of technical performances. This instrument its low cost and easy operation are strengths that will benefit all those coaches that use it.</t>
  </si>
  <si>
    <t>Aedo-Muñoz, Esteban/R-5623-2019</t>
  </si>
  <si>
    <t>WOS:000577177400001</t>
  </si>
  <si>
    <t>Gabriel Palma, Jose</t>
  </si>
  <si>
    <t>Because the rich always stay rich (whatever happens, whatever it takes)</t>
  </si>
  <si>
    <t>CEPAL REVIEW</t>
  </si>
  <si>
    <t>0251-2920</t>
  </si>
  <si>
    <t>1684-0348</t>
  </si>
  <si>
    <t>WOS:000646042300007</t>
  </si>
  <si>
    <t>Hofmann, M; Retamal-Morales, G; Tischler, D</t>
  </si>
  <si>
    <t>Hofmann, Marika; Retamal-Morales, Gerardo; Tischler, Dirk</t>
  </si>
  <si>
    <t>Metal binding ability of microbial natural metal chelators and potential applications</t>
  </si>
  <si>
    <t>NATURAL PRODUCT REPORTS</t>
  </si>
  <si>
    <t>Covering: up to 2019 Siderophores are natural products which have attracted interest due to their ability to bind metal ions with high affinities. This review considers the complex formation of these natural chelators with all kinds of different metal and metalloid ions and links their chelating properties to potential biotechnological applications and towards environmental context.</t>
  </si>
  <si>
    <t>; Tischler, Dirk/H-9431-2013</t>
  </si>
  <si>
    <t>Hofmann, Marika/0000-0002-9701-2387; Tischler, Dirk/0000-0002-6288-2403</t>
  </si>
  <si>
    <t>0265-0568</t>
  </si>
  <si>
    <t>1460-4752</t>
  </si>
  <si>
    <t>10.1039/c9np00058e</t>
  </si>
  <si>
    <t>WOS:000571972300006</t>
  </si>
  <si>
    <t>Alda, E; Dammert, L</t>
  </si>
  <si>
    <t>Alda, Erik; Dammert, Lucia</t>
  </si>
  <si>
    <t>Weathering the Storm! The effects of the external environment on police efficiency in Peru</t>
  </si>
  <si>
    <t>POLICING-AN INTERNATIONAL JOURNAL OF POLICE STRATEGIES &amp; MANAGEMENT</t>
  </si>
  <si>
    <t>Purpose The purpose of this paper is to examine the effect of external factors on police efficiency in a sample of Peru's municipalities. Drawing on the postulates of the contingency theory of organizations, this study argues that because of the public nature of police organizations' activities, they are heavily influenced by the environment in which they operate, which invariably affects their efficiency. Design/methodology/approach The study examines police efficiency using a four-stage Data Envelopment Analysis model in a sample of 619 Peruvian municipalities (distritos). After adjusting the inputs to the external environment, the remaining inefficiencies are presumed to result from managerial issues and other internal organizational factors. Findings The results indicate that police efficiency improves after adjusting police inputs to the effect of external factors. The mean efficiency scores improved by 39 percent from 0.57 to 0.79. Because the effects of the external environment can be stronger in larger municipalities, these experience larger improvements in efficiency than smaller municipalities. Originality/value This study introduces a new and innovative methodological approach to measure police performance. This multi-stage approach has not been used in the context of democratic policing in Latin America and the Caribbean. The current research fills an important gap on how to measure police performance in developing countries.</t>
  </si>
  <si>
    <t>Dammert, Lucia/U-2327-2019</t>
  </si>
  <si>
    <t>Dammert, Lucia/0000-0003-1239-4425; Alda, Erik/0000-0001-7284-522X</t>
  </si>
  <si>
    <t>1363-951X</t>
  </si>
  <si>
    <t>1758-695X</t>
  </si>
  <si>
    <t>NOV 21</t>
  </si>
  <si>
    <t>10.1108/PIJPSM-03-2019-0033</t>
  </si>
  <si>
    <t>WOS:000497200400011</t>
  </si>
  <si>
    <t>Vukasovic, T; Vivanco, JF; Celentano, D; García-Herrera, C</t>
  </si>
  <si>
    <t>Vukasovic, Tomas; Vivanco, Juan F.; Celentano, Diego; Garcia-Herrera, Claudio</t>
  </si>
  <si>
    <t>Characterization of the mechanical response of thermoplastic parts fabricated with 3D printing</t>
  </si>
  <si>
    <t>INTERNATIONAL JOURNAL OF ADVANCED MANUFACTURING TECHNOLOGY</t>
  </si>
  <si>
    <t>3D printing has gained great popularity due to its main feature of manufacturing complex geometries. The building process by adding successive layers generates mechanical properties that depend on the printing parameters, where build orientation is one of the most relevant factors. Due to this, the characterization of the mechanical response of these pieces is a challenging task of practical importance to estimate their lifespan. The aim of this study is to characterize the mechanical behavior and define a 3D constitutive model of polymer materials commonly used in 3D printing manufacturing. Hence, ABS and PLA were used with a low-cost desktop printer with which specimens were manufactured in two orthogonal orientations: flat and upright. Tensile and compression tests were performed to this end, where the Young's modulus, yield, and maximum stresses were determined. In the tensile tests, the samples with vertical (upright) orientation showed lower values in the evaluated mechanical properties than the corresponding to the horizontal (flat) orientation. However, no significant difference caused by the printing orientations was observed in the compression tests. Different values of Young's modulus and maximum strength were found between tensile and compression tests for the same material and orientation. Moreover, in order to describe the observed material response, a linear isotropic bimodular model is proposed. This constitutive model, which is fed with the previously obtained tensile and compression data, is used in the simulation of a four-point bending test where it is found to adequately represent the experimentally measured elastic behavior in the load-deflection curve. Thus, the combination of experiments and a bimodular constitutive model contributes to making better predictions of the mechanical response of structures made with 3D printing.</t>
  </si>
  <si>
    <t>García-Herrera, Claudio/ABE-8991-2020; Celentano, Diego/JQW-5027-2023</t>
  </si>
  <si>
    <t>Garcia-Herrera, Claudio/0000-0002-1283-8551; Vivanco, Juan F./0000-0002-2659-368X</t>
  </si>
  <si>
    <t>0268-3768</t>
  </si>
  <si>
    <t>1433-3015</t>
  </si>
  <si>
    <t>9-12</t>
  </si>
  <si>
    <t>10.1007/s00170-019-04194-z</t>
  </si>
  <si>
    <t>WOS:000500220700065</t>
  </si>
  <si>
    <t>Pizarro, J; Segura, R; Tapia, D; Bollo, S; Sierra-Rosales, P</t>
  </si>
  <si>
    <t>Pizarro, Jaime; Segura, Rodrigo; Tapia, Diego; Bollo, Soledad; Sierra-Rosales, Paulina</t>
  </si>
  <si>
    <t>Electroanalytical Determination of Cd(II) and Pb(II) in Bivalve Mollusks using Electrochemically Reduced Graphene Oxide-Based Electrode</t>
  </si>
  <si>
    <t>An electrochemical sensor for the simultaneous determination of Cd(II) and Pb(II) by square wave anodic stripping voltammetry (SWASV) in bivalve mollusks using a glassy carbon electrode modified with electrochemically reduced graphene oxide has been developed. The modified surface was characterized by cyclic voltammetry, high resolution scanning electron microscopy (HR-SEM), and Raman spectroscopy. The optimum conditions were optimized and a linear range was observed from 15-105 mu g L-1 with a limits of detection of 15 mu g L-1 for Cd(II) and Pb(II). The methodology was validated and applied in different samples of commercial bivalve mollusks with satisfactory results. The high conductivity and greater surface area of the modifying agent improves the preconcentration capacity of the electrochemical sensor, allowing to develop a simple, rapid and sensitive analysis in the detection of lead and cadmium in marine resources.</t>
  </si>
  <si>
    <t>Sierra-Rosales, Paulina/K-4733-2019; Bollo, Soledad/B-5257-2011; Segura, Rodrigo/J-6696-2016; Tapia, Diego/KIG-4786-2024</t>
  </si>
  <si>
    <t>Bollo, Soledad/0000-0003-0868-4294; Segura, Rodrigo/0000-0001-5747-2357; Sierra-Rosales, Paulina/0000-0001-7077-785X</t>
  </si>
  <si>
    <t>10.1002/elan.201900061</t>
  </si>
  <si>
    <t>JUL 2019</t>
  </si>
  <si>
    <t>WOS:000474968900001</t>
  </si>
  <si>
    <t>García-Hermoso, A; Ramírez-Vélez, R; Saavedra, JM</t>
  </si>
  <si>
    <t>Garcia-Hermoso, Antonio; Ramirez-Velez, Robinson; Saavedra, Jose M.</t>
  </si>
  <si>
    <t>Exercise, health outcomes, and paediatric obesity: A systematic review heck for of meta-analyses</t>
  </si>
  <si>
    <t>JOURNAL OF SCIENCE AND MEDICINE IN SPORT</t>
  </si>
  <si>
    <t>Objectives: This study is a systematic review of meta-analyses that have addressed the effects of exercise based interventions alone and the health outcomes (anthropometric, body composition, cardiometabolic, hepatic, vascular, and cardiorespiratory fitness parameters) in overweight and obese children and adolescents. Design: Systematic review of meta-analysis. Methods: Six electronic sources were searched. The inclusion criteria were: children and/or adolescents classified as overweight or obese, and previous systematic reviews and meta-analyses that included exercise interventions compared to a control group. Standardized mean differences, risk of bias, heterogeneity, and small-study effects were calculated. Subgroup analyses (intervention characteristics) were done. Results: Eighteen meta-analyses met the inclusion criteria. The results showed improvements in some anthropometric and body composition (body mass, BMI, BMI z-score, central obesity, fat mass) and cardiometabolic (TG, fasting glucose, fasting insulin) parameters, and in cardiorespiratory fitness. For the cardiometabolic and vascular parameters, aerobic programs and interventions showed themselves to be effective if they were of four to 12 weeks, or involved a total exercise time of at least 1500 min, or involved sessions of at least 60 min. Conclusions: The study provides indications of the appropriate dose of exercise with which to reduce health problems in the obese young population. (C) 2018 Sports Medicine Australia. Published by Elsevier Ltd. All rights reserved.</t>
  </si>
  <si>
    <t>García-Hermoso, Antonio/ADU-2591-2022; Saavedra, Jose/C-2490-2011; Garcia-Hermoso, Antonio/P-1857-2017; Ramirez-Velez, Robinson/D-5311-2016</t>
  </si>
  <si>
    <t>Garcia-Hermoso, Antonio/0000-0002-1397-7182; Ramirez-Velez, Robinson/0000-0003-3075-6960</t>
  </si>
  <si>
    <t>1440-2440</t>
  </si>
  <si>
    <t>1878-1861</t>
  </si>
  <si>
    <t>10.1016/j.jsams.2018.07.006</t>
  </si>
  <si>
    <t>WOS:000457817700014</t>
  </si>
  <si>
    <t>Thiam, A; Sirés, I; Salazar, R; Brillas, E</t>
  </si>
  <si>
    <t>Thiam, Abdoulaye; Sires, Ignasi; Salazar, Ricardo; Brillas, Enric</t>
  </si>
  <si>
    <t>On the performance of electrocatalytic anodes for photoelectro-Fenton treatment of synthetic solutions and real water spiked with the herbicide chloramben</t>
  </si>
  <si>
    <t>JOURNAL OF ENVIRONMENTAL MANAGEMENT</t>
  </si>
  <si>
    <t>The destruction of the herbicide chloramben in 0.050 M Na2SO4 solutions at natural pH has been studied by photoelectro-Fenton with UVA light (PEF). The trials were carried out in a cell equipped with an air-diffusion cathode for H2O2 generation and different electrocatalytic anodes, namely active IrO2-based and RuO2-based electrodes and non-active boron-doped diamond (BDD) and PbO2 ones. Similar removal rates were found regardless of the anode nature because the herbicide was mainly oxidized by center dot OH formed from Fenton's reaction, which was enhanced by UVA-induced photo-Fenton reaction. The use of an IrO2-based anode led to almost total mineralization at high current density, as also occurred with the powerful BDD anode, since photoactive intermediates originated from center dot OH-mediated oxidation were degraded under irradiation with UVA light. The good performance of the IrO2-based anode in PEF was confirmed at different current densities and herbicide concentrations. The presence of Cl- in the medium caused a slight deceleration of herbicide removal as well as mineralization inhibition, owing to the production of active chlorine with consequent formation of persistent chloroderivatives. Seven aromatic products along with oxalic and oxamic acids were identified in sulfate medium. Five aromatic derivatives were detected in Cl- containing matrix, corroborating the generation of organochlorine compounds. In secondary effluent, larger mineralization was achieved by PEF with a BDD anode due to its high oxidation ability to destroy the chloroderivatives, although an acceptable performance was also obtained using an IrO2-based anode.</t>
  </si>
  <si>
    <t>Salazar, Ricardo/L-7870-2013; Sires Sadornil, Ignacio/C-7054-2013; Thiam, Abdoulaye/X-4067-2018</t>
  </si>
  <si>
    <t>Salazar-Gonzalez, Ricardo/0000-0003-2180-6022; Sires Sadornil, Ignacio/0000-0001-5508-1774; Thiam, Abdoulaye/0000-0001-5024-1855</t>
  </si>
  <si>
    <t>0301-4797</t>
  </si>
  <si>
    <t>1095-8630</t>
  </si>
  <si>
    <t>OCT 15</t>
  </si>
  <si>
    <t>10.1016/j.jenvman.2018.07.065</t>
  </si>
  <si>
    <t>WOS:000442058700036</t>
  </si>
  <si>
    <t>Beltran, J; Farinati, M; Reyes, EG</t>
  </si>
  <si>
    <t>Beltran, Jarnishs; Farinati, Marco; Reyes, Enrique G.</t>
  </si>
  <si>
    <t>Central extensions of the algebra of formal pseudo-differential symbols via Hochschild (co)homology and quadratic symplectic Lie algebras</t>
  </si>
  <si>
    <t>JOURNAL OF PURE AND APPLIED ALGEBRA</t>
  </si>
  <si>
    <t>We describe the space of central extensions of the associative algebra psi(n) of formal pseudo-differential symbols in n &gt;= 1 independent variables using Hochschild (co)homology groups: we prove that the first Hochschild (co)homology group H H-1(psi(n)) is 2n-dimensional and we use this fact to calculate the first Lis (co)homology group H-Lie(1)(psi(n)) of psi(n) equipped with the Lie bracket induced by it's associative algebra structure. As an application, we use our calculations to provide examples of infinite-dimensional quadratic symplectic Lie algebras. (C) 2017 Elsevier B.V. All rights reserved.</t>
  </si>
  <si>
    <t>Farinati, Marco/GZK-5357-2022; Reyes, Enrique/AAD-1308-2019</t>
  </si>
  <si>
    <t>0022-4049</t>
  </si>
  <si>
    <t>1873-1376</t>
  </si>
  <si>
    <t>10.1016/j.jpaa.2017.08.017</t>
  </si>
  <si>
    <t>WOS:000428827400003</t>
  </si>
  <si>
    <t>Feron, S; Cordero, RR; Labbe, F</t>
  </si>
  <si>
    <t>Feron, Sarah; Cordero, Raul R.; Labbe, Fernando</t>
  </si>
  <si>
    <t>Rural Electrification Efforts Based on Off-Grid Photovoltaic Systems in the Andean Region: Comparative Assessment of Their Sustainability</t>
  </si>
  <si>
    <t>In this paper, we comparatively assess the sustainability of rural electrification efforts based on off-grid solutions in Chile, Ecuador, and Peru. Our assessment considers four dimensions of sustainability (institutional, economic, environmental, and socio-cultural). We found that Ecuador and Chile have consistently failed to ensure mechanisms for the operation and maintenance of the deployed off-grid systems, which has made these solutions in poor Chilean and Ecuadorian communities inevitably unsustainable. Although Peru has adopted a cross-tariff scheme, the Peruvian case shows that ensuring the funding of off-grid PV solutions is not enough. Peruvian officials appear to be unaware of the importance of local participation (local values and lifestyles are constantly disregarded) and most of the projects have been designed without the participation and engagement of the communities, which has often led to project failures and payment defaults. However, although each country has its particular challenges, we found that the three Andean countries have consistently neglected the importance of strong formal institutions with a flexible and decentralized structure, which in turn significantly compromised the rural electrification effort in these countries.</t>
  </si>
  <si>
    <t>Cordero, Raul R./0000-0001-7607-7993; Feron, Sarah/0000-0002-0572-5639</t>
  </si>
  <si>
    <t>10.3390/su9101825</t>
  </si>
  <si>
    <t>WOS:000414896200155</t>
  </si>
  <si>
    <t>Lagos, C; Carrasco, R; Fuertes, G; Gutiérrez, S; Soto, I; Vargas, M</t>
  </si>
  <si>
    <t>Lagos, Carolina; Carrasco, Raul; Fuertes, Guillermo; Gutierrez, Sabastian; Soto, Ismael; Vargas, Manuel</t>
  </si>
  <si>
    <t>Big Data on Decision Making in Energetic Management of Copper Mining</t>
  </si>
  <si>
    <t>INTERNATIONAL JOURNAL OF COMPUTERS COMMUNICATIONS &amp; CONTROL</t>
  </si>
  <si>
    <t>It is proposed an analysis of the related variables with the energetic consumption in the process of concentrate of copper; specifically ball mills and SAG. The methodology considers the analysis of great volumes of data, which allows to identify the variables of interest (tonnage, temperature and power) to reach to an improvement plan in the energetic efficiency. The correct processing of the great volumen of data, previous imputation to the null data, not informed and out of range, coming from the milling process of copper, a decision support systems integrated, it allows to obtain clear and on line information for the decision making. As results it is establish that exist correlation between the energetic consumption of the Ball and SAG Mills, regarding the East, West temperature and winding. Nevertheless, it is not observed correlation between the energetic consumption of the Ball Mills and the SAG Mills, regarding to the tonnages of feed of SAG Mill. In consequence, From the experimental design, a similarity of behavior between two groups of different mills was determined in lines process. In addition, it was determined that there is a difference in energy consumption between the mills of the same group. This approach modifies the method presented in [1].(a)</t>
  </si>
  <si>
    <t>Fuertes, Guillermo/Q-2341-2016; vargas, manuel/AAG-4780-2020; Carrasco, Raul/G-5440-2015</t>
  </si>
  <si>
    <t>Vargas Guzman, Manuel Eduardo/0000-0003-4161-6621; Gutierrez Lillo, Sebastian/0000-0003-3714-0632; Carrasco, Raul/0000-0002-5023-9349</t>
  </si>
  <si>
    <t>1841-9836</t>
  </si>
  <si>
    <t>1841-9844</t>
  </si>
  <si>
    <t>WOS:000390587600005</t>
  </si>
  <si>
    <t>Pizarro, GD; Marambio, OG; Jeria-Orell, M; Oyarzún, DP; Martin-Trasanco, R; Sánchez, J</t>
  </si>
  <si>
    <t>Pizarro, Guadalupe del C.; Marambio, Oscar G.; Jeria-Orell, Manuel; Oyarzun, Diego P.; Martin-Trasanco, Rudy; Sanchez, Julio</t>
  </si>
  <si>
    <t>Monitoring morphological and optical properties on hybrid porous polymer films</t>
  </si>
  <si>
    <t>INTERNATIONAL JOURNAL OF POLYMER ANALYSIS AND CHARACTERIZATION</t>
  </si>
  <si>
    <t>This work focuses on an optical and morphological comparative study of hybrid functional polymer porous films on glass substrates using the spin coating technique. The covering of these membranes, by a predeposited Zn2+ seed layer, was done applying the dip casting technique, which allows the synthesis of a large area and the control of the orientation of ZnO nanoparticles. It was possible to observe changes on the optical properties and surface morphology, which were attributed to both the spatial structure of the macromolecule and their interaction with the inorganic nanoparticles. It was also clear that hybrid porous matrices exhibit a blueshift with decreasing particle size.</t>
  </si>
  <si>
    <t>PIZARRO, GUADALUPE/V-3353-2017; Sanchez, Julio/AEO-4360-2022; Martin-Trasancos, Rudy/L-2791-2017; Oyarzun, Diego/MTF-4062-2025</t>
  </si>
  <si>
    <t>1023-666X</t>
  </si>
  <si>
    <t>1563-5341</t>
  </si>
  <si>
    <t>10.1080/1023666X.2017.1370804</t>
  </si>
  <si>
    <t>WOS:000415907100010</t>
  </si>
  <si>
    <t>Pellegrini-Belinchón, J; Lorente-Toledano, F; Galindo-Villardón, P; González-Carvajal, I; Martín-Martín, J; Mallol, J; García-Marcos, L</t>
  </si>
  <si>
    <t>Pellegrini-Belinchon, J.; Lorente-Toledano, F.; Galindo-Villardon, P.; Gonzalez-Carvajal, I.; Martin-Martin, J.; Mallol, J.; Garcia-Marcos, L.</t>
  </si>
  <si>
    <t>Factors associated to recurrent wheezing in infants under one year of age in the province of Salamanca, Spain: Is intervention possible? A predictive model</t>
  </si>
  <si>
    <t>Objectives: Wheezing is a very common problem in infants in the first months of life. The objective of this study is to identify risk factors that may be acted upon in order to modify the evolution of recurrent wheezing in the first months of life, and to develop a model based on certain factors associated to recurrent wheezing in nursing infants capable of predicting the probability of developing recurrent wheezing in the first year of life. Methods: The sample was drawn from a cross-sectional, multicentre, descriptive epidemiological study based on the general population. A total of 1164 children were studied, corresponding to a questionnaire response rate of 71%. The questionnaire of the Estudio Internacional de Sibilancias en Lactantes (EISL) was used. Multiple logistic regression analysis was used to estimate the probability of developing recurrent wheezing and to quantify the contribution of each individual variable in the presence of the rest. Results: Infants presenting eczema and attending nursery school, with a mother who has asthma, smoked during the third trimester of pregnancy, and did not consume a Mediterranean diet during pregnancy were found to have a probability of 79.7% of developing recurrent wheezing in the first year of life. In contrast, infants with none of these factors were seen to have a probability of only 4.1% of developing recurrent wheezing in the first year of life. These results in turn varied according to modifications in the risk or protective factors. Conclusions: The mathematical model estimated the probability of developing recurrent wheezing in infants under one year of age in the province of Salamanca (Spain), according to the risk or protective factors associated to recurrent wheezing to which the infants are or have been exposed. (C) 2015 SEICAP. Published by Elsevier Espana, S.L.U. All rights reserved.</t>
  </si>
  <si>
    <t>Galindo-Villardon, Purificacion/E-3594-2013</t>
  </si>
  <si>
    <t>Galindo-Villardon, Purificacion/0000-0001-6977-7545; Garcia-Marcos, Luis/0000-0002-0925-3851; Mallol, Javier/0000-0003-2528-8672</t>
  </si>
  <si>
    <t>SEP-OCT</t>
  </si>
  <si>
    <t>10.1016/j.aller.2015.09.001</t>
  </si>
  <si>
    <t>WOS:000383933300002</t>
  </si>
  <si>
    <t>Rosales, W; Cofré, C; Cicchitti, A; Bertona, C; Vizcaya, A; González, J; Bajuk, J; Rodríguez, M</t>
  </si>
  <si>
    <t>Rosales, Walter; Cofre, Cristian; Cicchitti, Alejandra; Bertona, Celina; Vizcaya, Alejandro; Gonzalez, Joaquin; Bajuk, Jorge; Rodriguez, Martin</t>
  </si>
  <si>
    <t>Validation of the Borg scale in participants with type 2 diabetes mellitus</t>
  </si>
  <si>
    <t>Background: Borg Rating of Perceived Exertion Scale (RPE) is a psychophysiological measurements that translates physical stimuli to a psychological construct, which is perceived exertion. Its use is simple and it represents the effort perception. Each number of the scale is associated with a heart rate or percentage of maximal oxygen consumption (VO(2)max), which estimates the intensity of exercise. Aim: To validate RPE scale in patients with type 2 diabetes mellitus (DM2). Material and Methods: Thirty five DM2 participants with a median age of 59 years underwent an incremental exercise test in a treadmill with breath-by-breath analysis of oxygen consumption. After every three minute stage, the RPE scale was applied and correlated with oxygen consumption variables. Results: There was correlation coefficient of 0.91 between RPE score and VO(2)max. A RPE score of 11 corresponded to 52% of VO(2)max, a RPE score of 13 corresponded to 76% of VO(2)max, a RPE of 15 corresponded to 88% of VO(2)max and a RPE of 17 correspondent to a 100% of VO(2)max. Conclusions: RPE Scale is valid in patients with type 2 diabetes as an estimate of the intensity of physical activity.</t>
  </si>
  <si>
    <t>10.4067/S0034-98872016000900009</t>
  </si>
  <si>
    <t>WOS:000387092200009</t>
  </si>
  <si>
    <t>Salazar, C; Sirés, I; Salazar, R; Mansilla, HD; Zaror, CA</t>
  </si>
  <si>
    <t>Salazar, Claudio; Sires, Ignasi; Salazar, Ricardo; Mansilla, Hector D.; Zaror, Claudio A.</t>
  </si>
  <si>
    <t>Treatment of cellulose bleaching effluents and their filtration permeates by anodic oxidation with H2O2 production</t>
  </si>
  <si>
    <t>BACKGROUND: Electrochemical advanced oxidation processes (EAOPs), particularly those based on either cathodic electrogeneration of H2O2 or anodic oxidation (AO) via (OH)-O-center dot, have become attractive technological options for the complete detoxification of wastewaters. Their integration with separation pre-treatment such as ultrafiltration (UF), nanofiltration (NF) or reverse osmosis (RO) may be a plausible way to reduce processing time and costs. RESULTS: Raw effluents from the acid and alkaline elemental chlorine free bleaching stages of a hardwood-based kraft pulp mill, as well as their UF, NF and RO permeates, have been characterized and then treated by AO-H2O2 in a tank reactor with an air-diffusion cathode, which allowed efficient reduction of O-2,O- and a DSA-RuO2 or BDD anode at constant cell voltage (2-12V). Due to the complexity of the matrix, a larger H2O2 accumulation in the acid effluents was observed. DSA favoured the accumulation of ClO2- ions, whereas BDD allowed their further transformation into ClO3- owing to the larger oxidizing power of its physisorbed (OH)-O-center dot. The contribution of this species, along with H2O2 and active chlorine, accounted for the significant TOC abatement reached in the different individual and coupled treatments. CONCLUSIONS: AO-H2O2 and UF/AO-H2O2 yielded similar mineralization levels (65-68%) for acid effluents, but lower energy consumption (EC) resulted in the latter process due to the lower conductivity of the permeates. NF/AO-H2O2 coupling yielded the largest mineralization of alkaline effluents (96% instead of 75% obtained by AO-H2O2) with low EC. (c) 2014 Society of Chemical Industry</t>
  </si>
  <si>
    <t>Salazar, Ricardo/L-7870-2013; zaror, claudio/O-2799-2013; Sires Sadornil, Ignacio/C-7054-2013</t>
  </si>
  <si>
    <t>Mansilla, Hector/0000-0003-3589-908X; zaror, claudio/0000-0001-9548-763X; Salazar-Gonzalez, Ricardo/0000-0003-2180-6022; Sires Sadornil, Ignacio/0000-0001-5508-1774; Salazar, Claudio/0000-0003-0976-1546</t>
  </si>
  <si>
    <t>10.1002/jctb.4501</t>
  </si>
  <si>
    <t>WOS:000362366700008</t>
  </si>
  <si>
    <t>Poyatos-León, R; García-Hermoso, A; Sanabria-Martínez, G; Alvarez-Bueno, C; Sánchez-López, M; Martínez-Vizcaíno, V</t>
  </si>
  <si>
    <t>Poyatos-Leon, Raquel; Garcia-Hermoso, Antonio; Sanabria-Martinez, Gema; Alvarez-Bueno, Celia; Sanchez-Lopez, Mairena; Martinez-Vizcaino, Vicente</t>
  </si>
  <si>
    <t>Effects of exercise during pregnancy on mode of delivery: a meta-analysis</t>
  </si>
  <si>
    <t>ACTA OBSTETRICIA ET GYNECOLOGICA SCANDINAVICA</t>
  </si>
  <si>
    <t>Introduction. We conducted a systematic review and meta-analysis to examine the influence of physical exercise interventions on the mode of delivery of healthy pregnant women with low to moderate levels of physical activity. Material and Methods. Key words were used to conduct a computerized search for articles on the topic in six databases: Cochrane Library Plus, Science Direct, EMBASE, PubMed, Web of Science and ClinicalTrials.gov. Ten randomized controlled trials were identified and included in the meta-analysis. Main outcome measures were mode of delivery (normal, instrumental vaginal, or cesarean delivery) and physical activity. Results. Relative risk reductions and their 95% confidence interval were calculated for each study, and the heterogeneity of the studies was estimated using Cochran's Q statistic. The evidence suggests that physical exercise during pregnancy may increase the likelihood of normal delivery (relative risk = 1.12, 95% confidence interval 1.01-1.24; p = 0.041), in particular when exercise takes place during the second and third trimesters (relative risk = 1.14, 95% confidence interval 1.01-1.32; p = 0.048), even reducing the risk of cesarean delivery (relative risk = 0.66, 95% confidence interval 0.46-0.96; p = 0.028). Conclusions. Regular exercise during pregnancy appears to modestly increase the chance for normal delivery among healthy pregnant women. This applies to women with low to moderate levels of physical activity, but studies are needed to understand better the effect of physical exercise of moderate to vigorous intensity in the different trimesters.</t>
  </si>
  <si>
    <t>García-Hermoso, Antonio/ADU-2591-2022; Sanabria, Gema/R-4782-2019; SANCHEZ-LOPEZ, MAIRENA/J-7933-2016; Alvarez-Bueno, Celia/R-4075-2019; MARTINEZ VIZCAINO, VICENTE/R-4336-2017; Garcia-Hermoso, Antonio/P-1857-2017</t>
  </si>
  <si>
    <t>Sanabria Martinez, Gema/0000-0001-7593-6864; Sanchez Lopez, Mairena/0000-0002-0217-0623; Alvarez-Bueno, Celia/0000-0002-6176-1618; MARTINEZ VIZCAINO, VICENTE/0000-0001-6121-7893; Garcia-Hermoso, Antonio/0000-0002-1397-7182</t>
  </si>
  <si>
    <t>0001-6349</t>
  </si>
  <si>
    <t>1600-0412</t>
  </si>
  <si>
    <t>10.1111/aogs.12675</t>
  </si>
  <si>
    <t>WOS:000362511300003</t>
  </si>
  <si>
    <t>Rubilar, JF; Zúñiga, RN; Osorio, F; Pedreschi, F</t>
  </si>
  <si>
    <t>Rubilar, Javiera F.; Zuniga, Rommy N.; Osorio, Fernando; Pedreschi, Franco</t>
  </si>
  <si>
    <t>Physical properties of emulsion-based hydroxypropyl methylcellulose/whey protein isolate (HPMC/WPI) edible films</t>
  </si>
  <si>
    <t>CARBOHYDRATE POLYMERS</t>
  </si>
  <si>
    <t>The objective of this research was to study the effect of the film microstructure of oil-in-water emulsions stabilized by hydroxypropyl methyl cellulose/whey protein isolate (HPMC/WPI) with or without sodium dodecyl sulfate (SDS) over physical properties of HPMC/WPI emulsion-based films. The films were prepared with different HPMC/WPI-oil-SDS combinations (%w/w for 100g of dispersion): HPMC; WPI; HPMC/1WPI-0.5-SDS; HPMC/1WPI-1; HPMC/2WPI-0.5; HPMC/2WPI-1-SDS. Physical properties of films were evaluated. The results showed no statistical differences (p &gt; 0.05) between the thicknesses of EFs (0.156 +/- 0.004 mm). The effect of oil content and incorporation of SDS showed the inverse trend for WI and Delta E, the increasing order of change, for WI and Delta E, among the formulation evaluated was: HPMC/1WPI-1 &gt; HPMC/2WPI-0.5 &gt; HPMC/2WPI-1.0-SDS approximate to HPMC/1WPI-0.5-SDS approximate to WPI &gt; HPMC for WI and HPMC/1WPI-0.5-SDS &gt; HPMC/2WPI-1.0-SDS &gt; HPMC/2WP1-0.5 &gt; HPMC/1WPI-1 for Delta E, respectively. The addition of oil and SDS decreased the TS and EB, because oil addition into EF induces the development of structural discontinuities, producing an EF with less chain mobility, and consequently, with less flexibility and resistance to fracture. (C) 2015 Elsevier Ltd. All rights reserved.</t>
  </si>
  <si>
    <t>Rubilar, Javiera/AAB-1707-2019; pedreschi, franco/F-8844-2013; osorio, fernando/AAY-7304-2021</t>
  </si>
  <si>
    <t>Rubilar, Javiera F/0000-0001-7390-7277; Zuniga, Rommy/0000-0002-4195-8085; osorio, fernando/0000-0001-7206-0924</t>
  </si>
  <si>
    <t>0144-8617</t>
  </si>
  <si>
    <t>1879-1344</t>
  </si>
  <si>
    <t>JUN 5</t>
  </si>
  <si>
    <t>10.1016/j.carbpol.2015.01.010</t>
  </si>
  <si>
    <t>WOS:000353754000004</t>
  </si>
  <si>
    <t>Valdes, N; Espinoza, C; Sanhueza, L; Gonzalez, A; Corsini, G; Tello, M</t>
  </si>
  <si>
    <t>Valdes, Natalia; Espinoza, Carolina; Sanhueza, Loreto; Gonzalez, Alex; Corsini, Gino; Tello, Mario</t>
  </si>
  <si>
    <t>Draft genome sequence of the Chilean isolate Aeromonas salmonicida strain CBA100</t>
  </si>
  <si>
    <t>FEMS MICROBIOLOGY LETTERS</t>
  </si>
  <si>
    <t>We report the draft genome sequence from Aeromonas salmonicida sp. strain CBA100, which was characterized as an antibiotic-resistant bacterium isolated from infected rainbow trout. The total size of the genome is 4 788 109 bp, with a G + C content of 60.55%. Comparison of its open reading frames shows that the closest homologue to one third of the genes of strain CBA100 are found in A. hydrophila. The strain contains several efflux pumps and putative genes that confer resistance to multiclass antibiotics, including macrolide, beta-lactamics, florfenicol and quinolones. The antibiogram profile suggests that efflux pumps are the main mechanism of resistance to non-beta-lactamic antibiotics. This is the first genome of a Chilean isolate of A. salmonicida, which should shed light on the design of strain-specific vaccines against this pathogen and reduce the use of antibiotics for preventive treatment in Chilean aquaculture.</t>
  </si>
  <si>
    <t>González, Alex/GYU-3220-2022; Espinoza, Carolina/CAJ-5323-2022; Valdes, Natalia/AAI-8151-2021; Tello, Mario/N-4198-2019</t>
  </si>
  <si>
    <t>Tello, Mario/0000-0003-4573-6460; valdes parra, Natalia/0000-0002-6884-7799; Corsini, Gino/0000-0002-0418-8616</t>
  </si>
  <si>
    <t>0378-1097</t>
  </si>
  <si>
    <t>1574-6968</t>
  </si>
  <si>
    <t>fnu062</t>
  </si>
  <si>
    <t>10.1093/femsle/fnu062</t>
  </si>
  <si>
    <t>WOS:000356885500008</t>
  </si>
  <si>
    <t>Diaz, A; Firoozabadi, AD; Soto, I; Rojo, P</t>
  </si>
  <si>
    <t>Fernandez, MF; Lefranc, GH; Perez, R</t>
  </si>
  <si>
    <t>Diaz, Alejandro; Firoozabadi, Ali Dehghan; Soto, Ismael; Rojo, Patricio</t>
  </si>
  <si>
    <t>Adaptive Filter Based on NARX Model for Atmospheric Noise Removal on Exo-planet Observations</t>
  </si>
  <si>
    <t>2015 CHILEAN CONFERENCE ON ELECTRICAL, ELECTRONICS ENGINEERING, INFORMATION AND COMMUNICATION TECHNOLOGIES (CHILECON)</t>
  </si>
  <si>
    <t>CHILEAN Conference on Electrical, Electronics Engineering, Information and Communication Technologies (CHILECON)</t>
  </si>
  <si>
    <t>OCT 28-30, 2015</t>
  </si>
  <si>
    <t>Santiago De Chile, CHILE</t>
  </si>
  <si>
    <t>Univ Cent Chile UCEN,IEEE Consejo Cono Sur,Assoc Chilena Control Automat ACCA</t>
  </si>
  <si>
    <t>In Digital Signal Processing, adaptive filtering is capable of dealing with random signal noise or time-varying signal. This paper presents an approach to create a NARX-based adaptive noise filter to remove atmospheric noise from astronomical signals. We use data obtained from the transit spectroscopy exo-planet observation, data was prepare using k-means clustering method of vector quantization, using the signal light coming from the star 1214 GJ Exo-planet GJ 1214b and a reference signal light curve based on Mandel and Angol model.</t>
  </si>
  <si>
    <t>Rojo, Patricio/AAD-5227-2020; Dehghan Firoozabadi, Ali/AAD-4858-2019</t>
  </si>
  <si>
    <t>Soto, Ismael/0000-0002-5501-5651</t>
  </si>
  <si>
    <t>978-1-4673-8756-9</t>
  </si>
  <si>
    <t>WOS:000380551100003</t>
  </si>
  <si>
    <t>Madrid, A; Espinoza, L; Mellado, M; Montenegro, I; González, C; Santander, R; Villena, J; Jara, C</t>
  </si>
  <si>
    <t>Madrid, Alejandro; Espinoza, Luis; Mellado, Marco; Montenegro, Ivan; Gonzalez, Cesar; Santander, Rocio; Villena, Joan; Jara, Carlos</t>
  </si>
  <si>
    <t>Study of the Chemical Composition of the Resinous Exudate Isolated from Psoralea glandulosa and Evaluation of the Antioxidant Properties of the Terpenoids and the Resin</t>
  </si>
  <si>
    <t>BOLETIN LATINOAMERICANO Y DEL CARIBE DE PLANTAS MEDICINALES Y AROMATICAS</t>
  </si>
  <si>
    <t>Otholobium glandulosum (L.) J.W. Grimes (=Psoralea glandulosa L.) (Fabaceae) is a resinous bush that grows in Chile. The chemical composition of its resinous exudate was determined for the first time. Three meroterpenic: bakuchiol (8), 3-hydroxybakuchiol (11), 12-hydroxyisobakuchiol (12) and a new compound kuchiol (13) were isolated and their structures were determined. The antioxidant activity of the terpenic compounds and resin was evaluated using the bleaching of DPPH radical, Ferric Reducing Antioxidant Power (FRAP) and Total Reactive Antioxidant Properties (TRAP) assays.</t>
  </si>
  <si>
    <t>Mellado, Marco/N-2235-2019; Santander, Rocio/K-7645-2013</t>
  </si>
  <si>
    <t>madrid, alejandro/0000-0001-8977-7032</t>
  </si>
  <si>
    <t>0717-7917</t>
  </si>
  <si>
    <t>WOS:000321522300001</t>
  </si>
  <si>
    <t>The modified Hunter-Saxton equation</t>
  </si>
  <si>
    <t>JOURNAL OF GEOMETRY AND PHYSICS</t>
  </si>
  <si>
    <t>We introduce a quadratic pseudo-potential for the Hunter-Saxton equation (HS), as an application of the fact that HS describes pseudo-spherical surfaces. We use it to compute conservation laws and to obtain a full Lie algebra of nonlocal symmetries for HS which contains a semidirect sum of the loop algebra over sl(2, R) and the centerless Virasoro algebra. We also explain how to find families of solutions to HS obtained using our symmetries, and we apply them to the construction of a recursion operator. We then reason by analogy with the theory of the Korteweg-de Vries and Camassa-Holm equations and we define a modified Hunter-Saxton (mHS) equation connected with HS via a Miura transform. We observe that this new equation describes pseudo-spherical surfaces (and that therefore it is the integrability condition of an sl(2, R)-valued over-determined linear problem), we present two conservation laws, and we solve an initial value problem with Dirichlet boundary conditions. We also point out that our mHS equation plus its corresponding Miura transform are a formal Backlund transformation for HS. Thus, our result on existence and uniqueness of solutions really is a rigorous analytic statement on Backlund transformations. (C) 2012 Elsevier B.V. All rights reserved.</t>
  </si>
  <si>
    <t>0393-0440</t>
  </si>
  <si>
    <t>10.1016/j.geomphys.2012.03.011</t>
  </si>
  <si>
    <t>WOS:000305591100004</t>
  </si>
  <si>
    <t>Vivas, LG; Escrig, J; Trabada, DG; Badini-Confalonieri, GA; Vázquez, M</t>
  </si>
  <si>
    <t>Vivas, L. G.; Escrig, J.; Trabada, D. G.; Badini-Confalonieri, G. A.; Vazquez, M.</t>
  </si>
  <si>
    <t>Magnetic anisotropy in ordered textured Co nanowires</t>
  </si>
  <si>
    <t>The magnetization reversal in ordered arrays of Co nanowires with tailored hcp-phase texture, controlled by pH synthesis and nanowires length, has been investigated. The angular dependence of coercivity has been experimentally determined for different crystal textures, and the corresponding magnetization reversal mode is interpreted by analytical modelling. The results show that reversal takes place by propagation of a transverse-like domain wall mode. The fitting of experimental and calculated data allows us the quantitative evaluation of the magnetocrystalline anisotropy constant strength whose magnetization easy direction evolves from parallel to the wires toward in-plane orientation with the change of hcp-phase texture. (C) 2012 American Institute of Physics. [http://dx.doi.org/10.1063/1.4729782]</t>
  </si>
  <si>
    <t>Gonzalez Vivas, Laura/ABA-1422-2020; Vázquez, Manuel/A-6370-2011; Escrig, Juan/N-4304-2015; Gonzalez Vivas, Laura/H-7054-2013</t>
  </si>
  <si>
    <t>Escrig, Juan/0000-0002-3958-8185; Vazquez Villalabeitia, Manuel/0000-0001-5591-0157; Gonzalez Vivas, Laura/0000-0002-0536-030X</t>
  </si>
  <si>
    <t>1077-3118</t>
  </si>
  <si>
    <t>JUN 18</t>
  </si>
  <si>
    <t>10.1063/1.4729782</t>
  </si>
  <si>
    <t>WOS:000305676400050</t>
  </si>
  <si>
    <t>Torres-Avilés, FJ; Icaza, G; Arellano-Valle, RB</t>
  </si>
  <si>
    <t>Torres-Aviles, Francisco J.; Icaza, Gloria; Arellano-Valle, Reinaldo B.</t>
  </si>
  <si>
    <t>An Extension to the Scale Mixture of Normals for Bayesian Small-Area Estimation</t>
  </si>
  <si>
    <t>REVISTA COLOMBIANA DE ESTADISTICA</t>
  </si>
  <si>
    <t>This work considers distributions obtained as scale mixture of normal densities for correlated random variables, in the context of the Markov random field theory, which is applied in Bayesian spatial intrinsically autoregressive random effect models. Conditions are established in order to guarantee the posterior distribution existence when the random field is assumed as scale mixture of normal densities. Lung, trachea and bronchi cancer relative risks and childhood diabetes incidence in Chilean municipal districts are estimated to illustrate the proposed methods. Results are presented using appropriate thematic maps. Inference over unknown parameters is discussed and some extensions are proposed.</t>
  </si>
  <si>
    <t>Arellano-Valle, Reinaldo/S-5537-2019; Torres-Aviles, Francisco/J-8269-2013</t>
  </si>
  <si>
    <t>Icaza, Gloria/0000-0002-3192-3428; Torres-Aviles, Francisco/0000-0001-7973-4709</t>
  </si>
  <si>
    <t>0120-1751</t>
  </si>
  <si>
    <t>WOS:000309079700002</t>
  </si>
  <si>
    <t>Pertusa, M; Madrid, R; Morenilla-Palao, C; Belmonte, C; Viana, F</t>
  </si>
  <si>
    <t>Pertusa, Maria; Madrid, Rodolfo; Morenilla-Palao, Cruz; Belmonte, Carlos; Viana, Felix</t>
  </si>
  <si>
    <t>N-Glycosylation of TRPM8 Ion Channels Modulates Temperature Sensitivity of Cold Thermoreceptor Neurons</t>
  </si>
  <si>
    <t>TRPM8 is a member of the transient receptor potential ion channel superfamily, which is expressed in sensory neurons and is activated by cold and cooling compounds, such as menthol. Activation of TRPM8 by agonists takes place through shifts in its voltage activation curve, allowing channel opening at physiological membrane potentials. Here, we studied the role of the N-glycosylation occurring at the pore loop of TRPM8 on the function of the channel. Using heterologous expression of recombinant channels in HEK293 cells we found that the unglycosylated TRPM8 mutant (N934Q) displays marked functional differences compared with the wild type channel. These differences include a shift in the threshold of temperature activation and a reduced response to menthol and cold stimuli. Biophysical analysis indicated that these modifications are due to a shift in the voltage dependence of TRPM8 activation toward more positive potentials. By using tunicamycin, a drug that prevents N-glycosylation of proteins, we also evaluated the effect of the N-glycosylation on the responses of trigeminal sensory neurons expressing TRPM8. These experiments showed that the lack of N-glycosylation affects the function of native TRPM8 ion channels in a similar way to heterologously expressed ones, causing an important shift of the temperature threshold of cold-sensitive thermoreceptor neurons. Altogether, these results indicate that post-translational modification of TRPM8 is an important mechanism modulating cold thermoreceptor function, explaining the marked differences in temperature sensitivity observed between recombinant and native TRPM8 ion channels.</t>
  </si>
  <si>
    <t>Madrid, Rodolfo/MCJ-4974-2025; Viana, Felix/U-8533-2017</t>
  </si>
  <si>
    <t>Viana, Felix/0000-0003-1439-949X; Morenilla-Palao, Cruz/0000-0002-8159-1206; Madrid, Rodolfo/0000-0002-8623-5761; Pertusa, Maria/0000-0003-3856-9019</t>
  </si>
  <si>
    <t>MAY 25</t>
  </si>
  <si>
    <t>10.1074/jbc.M111.312645</t>
  </si>
  <si>
    <t>WOS:000306411600030</t>
  </si>
  <si>
    <t>Chabert, S; Villalobos, M; Ulloa, P; Salas, R; Tejos, C; San Martin, S; Pereda, J</t>
  </si>
  <si>
    <t>Chabert, Steren; Villalobos, Manuel; Ulloa, Patricia; Salas, Rodrigo; Tejos, Cristian; San Martin, Sebastian; Pereda, Jaime</t>
  </si>
  <si>
    <t>Quantitative description of the morphology and ossification center in the axial skeleton of 20-week gestation formalin-fixed human fetuses using magnetic resonance images</t>
  </si>
  <si>
    <t>PRENATAL DIAGNOSIS</t>
  </si>
  <si>
    <t>Objectives Human tissues are usually studied using a series of two-dimensional visualizations of in vivo or cutout specimens. However, there is no precise anatomical description of some of the processes of human fetal development. The purpose of our study is to develop a quantitative description of the normal axial skeleton by means of high-resolution three-dimensional magnetic resonance (MR) images, collected from six normal 20-week-old human fetuses fixed in formaldehyde. Methods Fetuses were collected after spontaneous abortion and subsequently fixed with formalin. They were imaged using a 1.5 T MR scanner with an isotropic spatial resolution of 200 m. The correct tissue discrimination between ossified and cartilaginous bones was confirmed by comparing the images achieved by MR scans and computerized axial tomographies. The vertebral column was segmented out from each image using a specially developed semiautomatic algorithm. Results Vertebral body dimensions and inter-vertebral distances were larger in the lumbar region, in agreement with the beginning of the ossification process from the thoracolumbar region toward the sacral and cephalic ends. Conclusion In this article, we demonstrate the feasibility of using MR images to study the ossification process in formalin-fixed fetal tissues. A quantitative description of the ossification centers of vertebral bodies and arches is presented. (C) 2012 John Wiley &amp; Sons, Ltd.</t>
  </si>
  <si>
    <t>Villalobos-Cid, Manuel/AFK-0866-2022; Tejos, Cristian/F-8270-2013; San Martin, Sebastian/S-5268-2019; Chabert, Steren/U-5691-2018; Salas Fuentes, Rodrigo/O-5204-2018</t>
  </si>
  <si>
    <t>San Martin, Sebastian/0000-0002-2569-1114; Villalobos-Cid, Manuel/0000-0002-1145-2016; Ulloa, Patricia/0000-0001-5945-4793; Chabert, Steren/0000-0002-2890-5077; Tejos, Cristian/0000-0002-8367-155X; Salas Fuentes, Rodrigo/0000-0002-0350-6811</t>
  </si>
  <si>
    <t>0197-3851</t>
  </si>
  <si>
    <t>1097-0223</t>
  </si>
  <si>
    <t>10.1002/pd.2942</t>
  </si>
  <si>
    <t>WOS:000301639300008</t>
  </si>
  <si>
    <t>Henríquez, HR; Pierri, M; Prokopczyk, A</t>
  </si>
  <si>
    <t>Henriquez, Hernan R.; Pierri, Michelle; Prokopczyk, Andrea</t>
  </si>
  <si>
    <t>Periodic solutions of abstract neutral functional differential equations</t>
  </si>
  <si>
    <t>We characterize the existence of periodic solutions of some abstract neutral functional differential equations with finite and infinite delay when the underlying space is a UMD space. (C) 2011 Elsevier Inc. All rights reserved.</t>
  </si>
  <si>
    <t>Arita, Andréa/U-9223-2017; Pierri, Michelle/I-6440-2012</t>
  </si>
  <si>
    <t>Pierri, Michelle/0000-0002-8221-3637</t>
  </si>
  <si>
    <t>10.1016/j.jmaa.2011.06.078</t>
  </si>
  <si>
    <t>WOS:000295062600002</t>
  </si>
  <si>
    <t>Mattos, IL; Padilla, F; Zagal, JH; Falcao, EHL; Segura, R</t>
  </si>
  <si>
    <t>Mattos, I. L.; Padilla, F.; Zagal, J. H.; Falcao, E. H. L.; Segura, R.</t>
  </si>
  <si>
    <t>SCREEN-PRINTED ELECTRODE MODIFIED WITH SILVER HEXACYANOFERRATE-NAFION® FOR ASCORBIC ACID DETERMINATION</t>
  </si>
  <si>
    <t>A flow injection system using a new and/or re-used graphite screen-printed electrode modified with silver hexacyanoferrate and a Nafion (R) polymer layer (AgHCF/GSPE) was employed for the determination of ascorbic acid in orange juice and drugs samples. Both modified electrodes showed an initial sensitivity of 0.015 A.cm(-2).M-1, with a linear response over the range from 50 to 300 mu L-1, relative standard deviations smaller than 2%, detection and quantification limits of e.a. 5.0 and 25.0 mg.L-1. The response of the electrodes was stable, with no variation of base line after 6-8 hours of continuous operation. With this system it is possible to measure 65-70 samples (20 mu L) per hour. By using 1.06 mg of AgNO3, 4.12 mg of K3Fe(CN)(6), 50.5 meal KNO3, and 800 mu L of HNO3, it is possible to obtain between 25 and 30 modified electrodes. The proposed system showed to be inexpensive, versatile, robust and suitable. for industrial application. The surface morphology of the bare and/or modified graphite screen-printed electrode was characterized by scanning electron microscopy.</t>
  </si>
  <si>
    <t>Segura, Rodrigo/J-6696-2016; zagal, jose/L-9648-2014; Falcao, Eduardo/J-4358-2014</t>
  </si>
  <si>
    <t>Falcao, Eduardo/0000-0002-7408-6287</t>
  </si>
  <si>
    <t>10.4067/S0717-97072011000300018</t>
  </si>
  <si>
    <t>WOS:000296753600018</t>
  </si>
  <si>
    <t>Amat, S; Busquier, S; Navarro, E; Plaza, S</t>
  </si>
  <si>
    <t>Amat, Sergio; Busquier, Sonia; Navarro, Emilie; Plaza, Sergio</t>
  </si>
  <si>
    <t>Superattracting cycles for some Newton type iterative methods</t>
  </si>
  <si>
    <t>SCIENCE CHINA-MATHEMATICS</t>
  </si>
  <si>
    <t>The paper is devoted to the analysis of certain dynamical properties of a family of iterative Newton type methods used to find roots of non-linear equations. We present a procedure for constructing polynomials in such a way that superattracting cycles of any prescribed length occur when these iterative methods are applied. This paper completes the study begun in Amat, BermA(0)clez, Busquier, et al., (2009).</t>
  </si>
  <si>
    <t>Sáez, Sonia/AAA-6148-2019; Plata, Sergio/AAA-6144-2019</t>
  </si>
  <si>
    <t>1674-7283</t>
  </si>
  <si>
    <t>1869-1862</t>
  </si>
  <si>
    <t>10.1007/s11425-010-4141-1</t>
  </si>
  <si>
    <t>WOS:000288121400011</t>
  </si>
  <si>
    <t>Rozas-Fernández, A; Brizuela, D; Cruz, N</t>
  </si>
  <si>
    <t>Lazkoz, R; Vera, R</t>
  </si>
  <si>
    <t>Rozas-Fernandez, Alberto; Brizuela, David; Cruz, Norman</t>
  </si>
  <si>
    <t>Holographic interacting tachyon model</t>
  </si>
  <si>
    <t>SPANISH RELATIVITY MEETING (ERE 2009)</t>
  </si>
  <si>
    <t>Journal of Physics Conference Series</t>
  </si>
  <si>
    <t>Spanish Relativity Meeting</t>
  </si>
  <si>
    <t>SEP 07-11, 2009</t>
  </si>
  <si>
    <t>Bilbao, SPAIN</t>
  </si>
  <si>
    <t>Gobrano Espana,Eusko Jaurlaritza, Gobierno Vasco,Univ Pais Vasco,SEGRE,Bilbao Udala Ayuntamiento,Dept Fis Teor Hist Ciencia,Int Soc Gen Relat Gravitat</t>
  </si>
  <si>
    <t>We propose an interacting holographic tachyon model of dark energy. A correspondence between the tachyon energy density and the interacting holographic dark energy is established. As a result, we reconstruct the potential of the interacting holographic tachyon field and the dynamics of the tachyon field, in a flat Friedmann-Robertson-Walker background. We show that the evolution of the universe for -1 &lt; w &lt; 0 can be completely described by the resulting interacting tachyon model.</t>
  </si>
  <si>
    <t>Rozas-Fernandez, Alberto/0000-0002-6131-2804; Brizuela, David/0000-0002-8009-5518</t>
  </si>
  <si>
    <t>1742-6588</t>
  </si>
  <si>
    <t>1742-6596</t>
  </si>
  <si>
    <t>10.1088/1742-6596/229/1/012065</t>
  </si>
  <si>
    <t>WOS:000287182000065</t>
  </si>
  <si>
    <t>Sepulveda, W; Wong, AE; Martinez-Ten, P; Perez-Pedregosa, J</t>
  </si>
  <si>
    <t>Sepulveda, W.; Wong, A. E.; Martinez-Ten, P.; Perez-Pedregosa, J.</t>
  </si>
  <si>
    <t>Retronasal triangle: a sonographic landmark for the screening of cleft palate in the first trimester</t>
  </si>
  <si>
    <t>Objectives To describe a new first-trimester sonographic landmark, the retronasal triangle, which may be useful in the early screening for cleft palate. Methods The retronasal triangle, i.e. the three echogenic lines formed by the two frontal processes of the maxilla and the palate visualized in the coronal view of the fetal face posterior to the nose, was evaluated prospectively in 100 consecutive normal fetuses at the time of routine first-trimester sonographic screening at 11 + 0 to 13 + 6 weeks' gestation. In a separate study of five fetuses confirmed postnatally as having a cleft palate, ultrasound images, including multiplanar three-dimensional views, were analyzed retrospectively to review the retronasal triangle. Results None of the fetuses evaluated prospectively was affected by cleft lip and palate. During their first-trimester scan, the retronasal triangle could not be identified in only two fetuses. Reasons for suboptimal visualization of this area included earl), gestational age at scanning (11 weeks) and persistent posterior position of the fetal face. Of the five cases with postnatal diagnosis of cleft palate, an abnormal configuration of the retronasal triangle was documented in all cases on analysis of digitally stored three-dimensional volumes. Conclusions This study demonstrates the feasibility of incorporating evaluation of the retronasal triangle into the routine evaluation of the fetal anatomy at 11 + 0 to 13 + 6 weeks' gestation. Because fetuses with cleft palate have an abnormal configuration of the retronasal triangle, focused examination of the midface, looking for this area at the time of the nuchal translucency scan, may facilitate the early detection of cleft palate in the first trimester. Copyright (c) 2009 ISUOG. Published by John Wiley &amp; Sons, Ltd.</t>
  </si>
  <si>
    <t>10.1002/uog.7484</t>
  </si>
  <si>
    <t>WOS:000273679800003</t>
  </si>
  <si>
    <t>Aguirre, MJ; Isaacs, M; Matsuhiro, B; Mendoza, L; Zúñiga, EA</t>
  </si>
  <si>
    <t>Aguirre, M. J.; Isaacs, M.; Matsuhiro, B.; Mendoza, L.; Zuniga, E. A.</t>
  </si>
  <si>
    <t>Characterization of a neutral polysaccharide with antioxidant capacity from red wine</t>
  </si>
  <si>
    <t>A neutral fraction (PS-SI) (0.3 g/L) with MW of 74 kDa, which contained galactose, arabinose, mannose, and glucose in the molar ratio of 1.0:0.6:0.4:0.2 was obtained by treatment of the whole polysaccharide extracted from red wine with cetrimide, followed by gel permeation chromatography. Spectroscopic and methylation analyses indicated that PS-Sl is a mixture of neutral polysaccharides, consisting mainly of beta (1 -&gt; 3)-linked galactopyranosyl residues, with side chains of galactopyranosyl residues at positions O-6. Arabinofuranosyl residues linked alpha (1 -&gt; 5), alpha-mannopyranosyl and glucosyl residues appear to be components of different polysaccharides. The in vitro antioxidant capacity of fractions of wine polysaccharide was studied by hydroxyl radical scavenging and ORAC assays. Fraction PS-SI presented the strongest effect on hydroxyl radicals (IC50 = 0.21). (C) 2009 Elsevier Ltd. All rights reserved.</t>
  </si>
  <si>
    <t>Isaacs Casanova, Mauricio/0000-0003-0503-0949; Aguirre, Maria/0000-0003-1134-4469; Zuniga, Elisa/0000-0002-9232-6651</t>
  </si>
  <si>
    <t>JUN 12</t>
  </si>
  <si>
    <t>10.1016/j.carres.2009.03.024</t>
  </si>
  <si>
    <t>WOS:000267314600005</t>
  </si>
  <si>
    <t>Rojas, PA; Alvarez, MP; Peñaloza, A; Zúñiga, A; Ordoñez, S</t>
  </si>
  <si>
    <t>Rojas, P. A.; Alvarez, M. P.; Penaloza, A.; Zuniga, A.; Ordonez, S.</t>
  </si>
  <si>
    <t>Influence of the control atmosphere and milling time on the morphology and microstructure of pure copper and copper-2.5 % lithium powders produced by mechanical alloying</t>
  </si>
  <si>
    <t>REVISTA DE METALURGIA</t>
  </si>
  <si>
    <t>In the present work was investigated the effect of two milling parameters, atmosphere and milling time, on the morphology and microstructure of pure copper powder and a mixture of copper-2,5 wt. % lithium. The mechanical alloying was performed in a SPEX 8000D Mill, using steel containers and balls. The two control atmospheres were argon and nitrogen and the milling time was varied from 3 up to 30 hours. The microstructural changes and the phases after milling were analyzed using scanning microscopy and X ray diffraction, whereas the amount of iron was measured by atomic absorption spectroscopy and the amount of oxygen by infrared spectroscopy. The results show the effect of the milling parameters studied on the microstructure as well as on the chemical composition of the samples.</t>
  </si>
  <si>
    <t>Rojas, Paula/AFS-1987-2022</t>
  </si>
  <si>
    <t>Rojas, Paula/0000-0002-2529-993X</t>
  </si>
  <si>
    <t>0034-8570</t>
  </si>
  <si>
    <t>10.3989/revmetalm.0762</t>
  </si>
  <si>
    <t>WOS:000267721000001</t>
  </si>
  <si>
    <t>Wang, Q; Ferrarotti, FA</t>
  </si>
  <si>
    <t>Heuser, CA; Pernul, G</t>
  </si>
  <si>
    <t>Wang, Qing; Ferrarotti, Flavio A.</t>
  </si>
  <si>
    <t>XML Machines</t>
  </si>
  <si>
    <t>ADVANCES IN CONCEPTUAL MODELING - CHALLENGES PERSPECTIVES</t>
  </si>
  <si>
    <t>28th International Conference on Conceptual Modeling/ER 2009 Workshops</t>
  </si>
  <si>
    <t>NOV 09-12, 2009</t>
  </si>
  <si>
    <t>Gramado, BRAZIL</t>
  </si>
  <si>
    <t>In order to capture the dynamics of XML databases a general model of tree-based database transformations is required. In this paper such an abstract computational model is presented, which brings together ideas from Abstract State Machines and monadic second-order logic. The model captures all XML database transformations.</t>
  </si>
  <si>
    <t>Wang, Qing/0000-0001-9504-4273; Ferrarotti, Flavio/0000-0003-2278-8233</t>
  </si>
  <si>
    <t>978-3-642-04946-0</t>
  </si>
  <si>
    <t>WOS:000278582000011</t>
  </si>
  <si>
    <t>Cuadros-Melgar, B; Papantonopoulos, E; Tsoukalas, M; Zamarias, V</t>
  </si>
  <si>
    <t>Cuadros-Melgar, Bertha; Papantonopoulos, Eleftherios; Tsoukalas, Minas; Zamarias, Vassilios</t>
  </si>
  <si>
    <t>Banados-Teitelboim-Zanelli-like string on codimension-2 braneworlds in the thin brane limit</t>
  </si>
  <si>
    <t>We consider five-dimensional gravity with a Gauss-Bonnet term in the bulk and an induced gravity term on a 2-brane of codimension 2. We show that this system admits Banados-Teitelboim-Zanelli black holes on the 2-brane which are extended into the bulk with regular horizons.</t>
  </si>
  <si>
    <t>Cuadros-Melgar, Bertha/M-8760-2014</t>
  </si>
  <si>
    <t>Cuadros-Melgar, Bertha/0000-0001-8111-2431</t>
  </si>
  <si>
    <t>1079-7114</t>
  </si>
  <si>
    <t>JUN 6</t>
  </si>
  <si>
    <t>10.1103/PhysRevLett.100.221601</t>
  </si>
  <si>
    <t>WOS:000256528400008</t>
  </si>
  <si>
    <t>Aspee, A; Allaga, C; Scaiano, JC</t>
  </si>
  <si>
    <t>Aspee, Alexis; Allaga, Carolina; Scaiano, J. C.</t>
  </si>
  <si>
    <t>Transient enol isomers of dibenzoylmethane and avobenzone as efficient hydrogen donors toward a nitroxide pre-fluorescent probe</t>
  </si>
  <si>
    <t>PHOTOCHEMISTRY AND PHOTOBIOLOGY</t>
  </si>
  <si>
    <t>Dibenzoylmethane and avobenzone photochemistry involves the formation of transient enol isomers (Z and E). Conjugation of the OH group with the carbonyl group in these transient isomers reduces the OH bond energy. A fast reduction of the prefluorescent probe (C343T) was observed after addition to photolysed DBM samples in nonpolar solvents. This can be attributed to a hydrogen transfer reaction from the transient E accumulated. While no quenching for Z by TEMPO was detected in the laser flash photolysis timescale. Theoretical calculations of spin densities distribution of the radical formed from Z and E showed a more delocalized distribution that would indicate a low reactivity towards oxygen. Our results suggest that DBM and avobenzone can effectively behave as photoantioxidants or photoactivated antioxidants under conditions where its enol isomers can be accumulated.</t>
  </si>
  <si>
    <t>0031-8655</t>
  </si>
  <si>
    <t>1751-1097</t>
  </si>
  <si>
    <t>10.1562/2006-08-01-RA-992</t>
  </si>
  <si>
    <t>WOS:000247327400003</t>
  </si>
  <si>
    <t>Carrasco, MA; Hidalgo, C</t>
  </si>
  <si>
    <t>Carrasco, M. Angelica; Hidalgo, Cecilia</t>
  </si>
  <si>
    <t>Calcium microdomains and gene expression in neurons and skeletal muscle cells</t>
  </si>
  <si>
    <t>CELL CALCIUM</t>
  </si>
  <si>
    <t>Neurons generate particular calcium microdomains in response to different stimuli. Calcium microdomains have a central role in a variety of neuronal functions. In particular, calcium microdomains participate in long-lasting synaptic plasticity-a neuronal response presumably correlated with cognitive brain functions that requires expression of new gene products. Stimulation of skeletal muscle generates - with few milliseconds delay - calcium microdomains that have a central role in the ensuing muscle contraction. In addition, recent evidence indicates that sustained stimulation of skeletal muscle cells in culture generates calcium microdomains, which stimulate gene expression but not muscle contraction. The mechanisms whereby calcium microdomains activate signaling cascades that lead to the transcription of genes known to participate in specific cellular responses are the central topic of this review. Thus, we will discuss here the signaling pathways and molecular mechanisms, which via activation of particular calcium-dependent transcription factors regulate the expression of specific genes or set of genes in neurons or skeletal muscle cells. (c) 2006 Elsevier Ltd. All rights reserved.</t>
  </si>
  <si>
    <t>HIDALGO, Cecilia/H-7107-2013</t>
  </si>
  <si>
    <t>0143-4160</t>
  </si>
  <si>
    <t>1532-1991</t>
  </si>
  <si>
    <t>10.1016/j.ceca.2006.08.021</t>
  </si>
  <si>
    <t>WOS:000242558800015</t>
  </si>
  <si>
    <t>Chaná-Cuevas, P; Juri-Claverías, C; Alburquerque, D; Soto-Olmedo, MJ; Benavides-Canales, O</t>
  </si>
  <si>
    <t>Chana-Cuevas, P.; Juri-Claverias, C.; Alburquerque, D.; Soto-Olmedo, M. J.; Benavides-Canales, O.</t>
  </si>
  <si>
    <t>Risk factors associated to the presentation of episodes of major depression in a population of outpatients with Parkinson's disease</t>
  </si>
  <si>
    <t>REVISTA DE NEUROLOGIA</t>
  </si>
  <si>
    <t>Introduction. Depression is a frequently occurring problem in Parkinson's disease (PD). The purpose of this study is to describe the characteristics of episodes of major depression (EMD) in a population of outpatients with PD and the risk factors linked to their appearance. Patients and methods. We conducted an open study involving 85 patients with PD; their mean age was 65.8 +/- 12.3 years and the mean length of time since disease onset was 7.2 +/- 5 years. Data that was collected included information from the patient record, evaluation with the Motor Examination section of the Unified PD Rating Scale (UPDRS-III), the Parkinson Mini-Mental test, the Neuropsychiatric Inventory (NPI) and the short version of Beck's Depression Inventory (BDI). EMD were diagnosed clinically by means of a semi-structured interview that allowed us to examine the symptoms that are included in the DSM-IV criteria for diagnosis of EMD. Results. In 21 cases (24.7%) DSM-IV criteria for EMD were satisfied, with a BDI score (mean standard deviation) of 17.5 +/- 6.2. In 64 cases (75.3%) who did not fulfil the criteria for EMD, the BDI score was 6.4 +/- 4.7 (p &lt; 0.001). The items on the UPDRS-III related to the dopaminergic response in patients with EMD were 24.9 +/- 11.9 and in patients without EMD the values were 21.2 +/- 10.9 (NS). Those not related to the dopaminergic response in patients with EMD were 9.9 +/- 5.3 and in those without EMD the values were 62 +/- 4.6 (p &lt; 0.001). Conclusion. In our sample, the presence of motor symptoms that do not respond to levodopa in patients with PD is a risk factor for the appearance of EMD.</t>
  </si>
  <si>
    <t>Chana-Cuevas, Pedro/AAM-8215-2020; Juri, Carlos/B-6213-2008</t>
  </si>
  <si>
    <t>Juri, Carlos/0000-0002-1939-5976</t>
  </si>
  <si>
    <t>0210-0010</t>
  </si>
  <si>
    <t>1576-6578</t>
  </si>
  <si>
    <t>10.33588/rn.4209.2005598</t>
  </si>
  <si>
    <t>WOS:000237798500002</t>
  </si>
  <si>
    <t>Cifuentes, G; Cifuentes, L; Kammel, R; Torrealba, J; Campi, A</t>
  </si>
  <si>
    <t>New methods to produce electrocatalytic lead (IV) dioxide coatings on titanium and stainless steel</t>
  </si>
  <si>
    <t>Catalytic lead (IV) dioxide coatings have been produced on titanium and stainless steel 316 and 316L anodes. Good adherence of the lead (IV) dioxide coatings was obtained by depositing thin intermediate tin and nickel layers on titanium and steel respectively; this was achieved by procedures which have not been previously reported. On both the pretreated titanium and stainless steel substrates, the formation of alpha-lead (IV) dioxide (orthorhombic) and beta-lead (IV) dioxide (tetragonal) takes place, the beta form being the most abundant. Catalytic surfaces were produced at different current densities on both substrates. The lead (IV) dioxide surface stability was good in all cases. Anode performance was tested by means of the cyanide to cyanate oxidation reaction. The oxidation efficiency for the steel substrate anodes was better than the efficiency exhibited by titanium substrate anodes.</t>
  </si>
  <si>
    <t>WOS:000073848200008</t>
  </si>
  <si>
    <t>LOPEZ, F; CALCAGNO, MP; CONTRERAS, JM; TORRELLAS, Z; FELISOLA, K; RABAGLIATI, FM; KATIME, IA</t>
  </si>
  <si>
    <t>POLYMERIZATION OF SOME OXIRANES USING THE DIPHENYLZINC BUTANONE SYSTEM IN BENZENE AT 60-DEGREES-C</t>
  </si>
  <si>
    <t>POLYMER INTERNATIONAL</t>
  </si>
  <si>
    <t>The diphenylzinc-butanone system was used as polymerization catalyst for some oxiranes in benzene solution at 60-degrees-C. This system is greatly influenced by the molar ratio of butanone to diphenylzinc, and the maximum catalytic activity for propylene oxide and ethylene oxide was found for a ratio of unity. GPC results strongly suggest the presence of more than one active species for the system. C-13 NMR analysis indicates that the resulting poly(propylene oxide) has a head-to-tail arrangement. For the polymerization of propylene oxide with butanone/diphenylzinc = 1, after an initial induction period, the reaction was first-order with respect to monomer with k = 2.51 x 10(-5) s-1. Ethylene oxide polymerizations using butanone/diphenylzinc = 1 and 5 were also first-order with respect to monomer after an initial induction period with k = 7.80 x 10(-6) s-1 and k = 5.71 x 10(-6) s-1, respectively. The diphenlyzinc-butanone system was no an effective catalyst for styrene oxide polymerization.</t>
  </si>
  <si>
    <t>0959-8103</t>
  </si>
  <si>
    <t>10.1002/pi.4990240208</t>
  </si>
  <si>
    <t>WOS:A1991EV28700007</t>
  </si>
  <si>
    <t>LEON, A; LOPEZ, M; GARGALLO, L; RADIC, D; HORTA, A</t>
  </si>
  <si>
    <t>SYNTHESIS, SOLUTION PROPERTIES, AND CHAIN FLEXIBILITY OF POLY (METHYL DODECYL ITACONATE)</t>
  </si>
  <si>
    <t>JOURNAL OF MACROMOLECULAR SCIENCE-PHYSICS</t>
  </si>
  <si>
    <t>The dilute solution behavior of poly(methyl dodecyl itaconate) (PMeDoI) has been studied in THF and n-butanol at 298 K, by intrinsic viscosity, light scattering, and size-exclusion chromatography (SEC) measurements. The Kuhn-Mark-Houwink-Sakurada relationships were established. The flexibility factors sigma and C infinity and the thermodynamic parameters B were calculated using the Stockmayer-Fixman equation. The A2 and the B values are indicative of the presence of the excluded volume effect. The results obtained are compared with those previously found for poly(mono dodecyl itaconate) (PMDoI) and discussed in terms of specific influence of the free carboxylic group in the poly(monoester).</t>
  </si>
  <si>
    <t>0022-2348</t>
  </si>
  <si>
    <t>B29</t>
  </si>
  <si>
    <t>10.1080/00222349008230375</t>
  </si>
  <si>
    <t>WOS:A1990EU97800004</t>
  </si>
  <si>
    <t>Marinao-Artigas, E; Barjas-Portas, K; Valenzuela-Fernandez, L</t>
  </si>
  <si>
    <t>Marinao-Artigas, Enrique; Barjas-Portas, Karla; Valenzuela-Fernandez, Leslier</t>
  </si>
  <si>
    <t>Antecedents of business tourist loyalty: the moderating role of familiarity and emotional and cognitive experiences</t>
  </si>
  <si>
    <t>REVIEW OF MANAGERIAL SCIENCE</t>
  </si>
  <si>
    <t>This study verifies whether some environmental components of business destinations and inherent to the behavior of business tourists and act in a dyadic way as drivers of business tourist loyalty. Furthermore, it aims to test whether business tourists' familiarity and emotional and cognitive experiences played a moderating role. This objective is to be achieved using quantitative and experimental methodological designs. A structural equation model is used to validate the hypotheses in this study. A questionnaire consisting of 76 questions is administered to a non-probabilistic sample of foreign business executives who visited Mexico City in Mexico and Santiago de Chile. The results of this study prove that the dyadic path formed by perceived quality, reputation, trust, and satisfaction becomes the best synergistic support for business tourist loyalty. Moreover, familiarity with a business destination and the emotional and cognitive experiences of the business tourist strengthen perceived quality, reputation, trust, and satisfaction paths. The originality of this study lies in confirming, in an unprecedented way, a sequence of environmental components and inherent to business tourists' behavior as drivers of their loyalty to the business destination.</t>
  </si>
  <si>
    <t>Marinao-Artigas, Enrique/CAF-2031-2022; Valenzuela-Fernández, Leslier/B-5486-2014</t>
  </si>
  <si>
    <t>Marinao-Artigas, Enrique/0000-0002-1588-5011; Valenzuela Fernandez, Leslier Maureen/0000-0002-5817-1879</t>
  </si>
  <si>
    <t>1863-6683</t>
  </si>
  <si>
    <t>1863-6691</t>
  </si>
  <si>
    <t>2025 FEB 17</t>
  </si>
  <si>
    <t>10.1007/s11846-025-00852-7</t>
  </si>
  <si>
    <t>FEB 2025</t>
  </si>
  <si>
    <t>WOS:001422945300001</t>
  </si>
  <si>
    <t>Da Costa, LOF; Soto, DAS; Brito, CJ; Aedo-Muñoz, E; Miarka, B</t>
  </si>
  <si>
    <t>Da Costa, Lucas Oliveira Fernandes; Soto, Dany Alexis Sobarzo; Brito, Ciro Jose; Aedo-Munoz, Esteban; Miarka, Bianca</t>
  </si>
  <si>
    <t>Dynamic strength and muscle power in elite and non-elite Brazilian jiu-jitsu (BJJ) athletes: a systematic review with meta-analysis</t>
  </si>
  <si>
    <t>A systematic review with meta-analysis on the dynamic strength and muscle power in elite and non-elite Brazilian jiu-jitsu (BJJ) athletes is essential to provide a comprehensive and quantitative evaluation of the physical attributes critical for performance, allowing for a better understanding of the training needs and physical characteristics that distinguish different levels of athletes in this sport. Therefore, this study endeavors to comprehensively synthesize existing literature on muscle strength and power in the context of BJJ, making a comparative analysis between elite and non-elite athletes. The research was conducted up to April 20, 2022, employing the PRISMA (Preferred Reporting Items for Systematic Reviews and Meta-Analyses) protocol to systematically search electronic data-bases using the keywords: Brazilian Jiu-jitsu or BJJ or Jiu-jitsu and power or muscle power or physical fitness or muscle strength or strength. Following a rigorous selection process, 26 articles were included in the systematic review. Subsequently, the GRADE (Grading of Recommendations, Assessment, Development, and Evaluations) tool was employed for evidence assessment. The primary assessments of dynamic strength encompassed protocols involving the Bench press, squat, and pull-up -gi. In the context of muscle power, the meta-analysis considered parameters such as the countermovement jump (CMJ), standing long jump, and variables derived from jump power assessed on the force platform, including Peak velocity, peak power, mean power, and maximum force. The data showed a substantial effect size for strength [1.012 (p &lt;= 0.0001)] and a moderate effect size for power [0.619 (p &lt;= 0.0001)], indicating superior performance among elite athletes compared to their non-elite counterparts. Although power is predominant in most BJJ actions, strength emerges as a crucial element distinguishing elite from non-elite athletes in this sport. This realization carries significant implications for training and injury prevention, as both strength and power necessitate specialized training to enhance performance in the sport.</t>
  </si>
  <si>
    <t>Brito, Ciro/AAC-9104-2019; Miarka, Bianca/V-7395-2017; Aedo-Muñoz, Esteban/R-5623-2019</t>
  </si>
  <si>
    <t>WOS:001147411000001</t>
  </si>
  <si>
    <t>Ponce, S; Chabert, S; Mayeta, L; Franco, P; Plaza-Vega, F; Querales, M; Salas, R</t>
  </si>
  <si>
    <t>Ponce, Sebastian; Chabert, Steren; Mayeta, Leondry; Franco, Pamela; Plaza-Vega, Francisco; Querales, Marvin; Salas, Rodrigo</t>
  </si>
  <si>
    <t>Explainable Machine-Learning for identifying the genetic biomarker MGMT in brain tumors using magnetic resonance imaging radiomics</t>
  </si>
  <si>
    <t>2024 14TH INTERNATIONAL CONFERENCE ON PATTERN RECOGNITION SYSTEMS, ICPRS</t>
  </si>
  <si>
    <t>14th International Conference on Pattern Recognition Systems (ICPRS)</t>
  </si>
  <si>
    <t>JUL 15-18, 2024</t>
  </si>
  <si>
    <t>London, ENGLAND</t>
  </si>
  <si>
    <t>Brain tumors often feature the genetic biomarker O6-Methylguanine-DNA-Methyltransferase (MGMT) associated with a favorable response to chemotherapy and an improved prognosis. Currently, detecting MGMT presence relies on invasive brain biopsy procedures. Thus, this study aims to develop a data mining-based radiomics methodology for non-invasive identifying and evaluating brain tumor genetic biomarkers using radiomics in magnetic resonance images (MRIs). MRIs with segmentation masks were used to extract variables and employ feature selection techniques. Several machine learning models were trained, where Logistic Regression, employing LASSO selection, emerged as the best-performing model, achieving 61% accuracy. Additionally, an explainability module utilizing Shap values identified three significant variables: a T1CE sequence variable related to texture, a FLAIR sequence variable of first-order statistics, and a T1 sequence variable of first-order statistics. This radiomic methodology, with its performance and explainable nature, could offer diagnostic support to clinicians in tumor management.</t>
  </si>
  <si>
    <t>Salas, Rodrigo/O-5204-2018; Plaza-Vega, Francisco/KHW-1658-2024; Franco Leiva, Pamela Alejandra/JPW-8562-2023</t>
  </si>
  <si>
    <t>Franco Leiva, Pamela Alejandra/0000-0001-7629-3653; Plaza-Vega, Francisco/0000-0001-7577-2775</t>
  </si>
  <si>
    <t>979-8-3503-7565-7</t>
  </si>
  <si>
    <t>10.1109/ICPRS62101.2024.10677829</t>
  </si>
  <si>
    <t>WOS:001327737700028</t>
  </si>
  <si>
    <t>González, A; Osorio, H; Romero, S; Méndez, P; Sepúlveda, M; Laporte, D; Gutierrez-Cutiño, M; Santander, R; Castro-Nallar, E; Moenne, A</t>
  </si>
  <si>
    <t>Gonzalez, Alberto; Osorio, Hector; Romero, Stephanie; Mendez, Patricia; Sepulveda, Muriel; Laporte, Daniel; Gutierrez-Cutino, Marlen; Santander, Rocio; Castro-Nallar, Eduardo; Moenne, Alejandra</t>
  </si>
  <si>
    <t>Transcriptomic analyses reveal increased expression of dioxygenases, monooxygenases, and other metabolizing enzymes involved in anthracene degradation in the marine alga Ulva lactuca</t>
  </si>
  <si>
    <t>FRONTIERS IN PLANT SCIENCE</t>
  </si>
  <si>
    <t>To analyze the mechanisms involved in anthracene (ANT) degradation in the marine alga Ulva lactuca, total RNA was obtained from the alga cultivated without ANT and with 5 mu M of ANT for 24 h, and transcriptomic analyses were performed. A de novo transcriptome was assembled, transcripts differentially expressed were selected, and those overexpressed were identified. Overexpressed transcripts potentially involved in ANT degradation were: one aromatic ring dioxygenase, three 2-oxoglutarate Fe (II) dioxygenases (2-OGDOs), and three dienelactone hydrolases that may account for anthraquinone, phthalic anhydride, salicylic acid, and phthalic acid production (pathway 1). In addition, two flavin adenine dinucleotide (FAD)-dependent monooxygenases, four cytP450 monooxygenases, two epoxide hydrolase, one hydroxyphenylpyruvic acid dioxygenase (HPPDO), and two homogentisic acid dioxygenases (HGDOs) were identified that may also participate in ANT degradation (pathway 2). Moreover, an alkane monooxygenase (alkB), two alcohol dehydrogenases, and three aldehyde dehydrogenases were identified, which may participate in linear hydrocarbon degradation (pathway 3). Furthermore, the level of transcripts encoding some of mentioned enzymes were quantified by qRT-PCR are in the alga cultivated with 5 mu M of ANT for 0-48 h, and those more increased were 2-OGDO, HGDO, and alkB monooxygenase. Thus, at least three pathways for ANT and linear hydrocarbons degradation may be existed in U. lactuca. In addition, ANT metabolites were analyzed by gas chromatography and mass spectrometry (GC-MS), allowing the identification of anthraquinone, phthalic anhydride, salicylic acid, and phthalic acid, thus validating the pathway 1.</t>
  </si>
  <si>
    <t>Santander, Rocio/K-7645-2013; Figueroa, Alberto/AAA-7911-2020; Castro-Nallar, Eduardo/I-5925-2019</t>
  </si>
  <si>
    <t>Castro-Nallar, Eduardo/0000-0003-4384-8661</t>
  </si>
  <si>
    <t>1664-462X</t>
  </si>
  <si>
    <t>SEP 20</t>
  </si>
  <si>
    <t>10.3389/fpls.2022.955601</t>
  </si>
  <si>
    <t>WOS:000868590400001</t>
  </si>
  <si>
    <t>Cerda, P; Clemente, R; Ferraz, D; Ubilla, P</t>
  </si>
  <si>
    <t>Cerda, Patricio; Clemente, Rodrigo; Ferraz, Diego; Ubilla, Pedro</t>
  </si>
  <si>
    <t>Elliptic systems involving sublinear and superlinear nonlinearities</t>
  </si>
  <si>
    <t>Combining topological methods and a priori estimates of solutions of some auxiliary problem, we establish the existence and multiplicity of solutions of some class of elliptic systems. We give here some relevant applications to elliptic systems in dimension N &gt;= 2, whose are not possible to study from the variational point of view or by using the blow-up technique coupled with Liouville-type results. For instance, we establish new results for some Hamiltonian systems without the Ambrosetti-Rabinowitz condition, that is usually required in this type of problems, even more, the nonlinearities could have arbitrary growth in some parts of the domain. We also give a relevant application for some biharmonic equation with very weak assumptions. (C) 2022 Published by Elsevier Inc.</t>
  </si>
  <si>
    <t>Clemente, Rodrigo/Z-4345-2019</t>
  </si>
  <si>
    <t>Clemente, Rodrigo/0000-0001-9941-8199; Cerda, Patricio/0000-0002-0823-8174</t>
  </si>
  <si>
    <t>10.1016/j.jmaa.2022.126419</t>
  </si>
  <si>
    <t>JUN 2022</t>
  </si>
  <si>
    <t>WOS:000833524000002</t>
  </si>
  <si>
    <t>Sabin, N</t>
  </si>
  <si>
    <t>Sabin, Nicholas</t>
  </si>
  <si>
    <t>Choosing partners: selection priorities of joint liability group leaders</t>
  </si>
  <si>
    <t>EMPIRICAL ECONOMICS</t>
  </si>
  <si>
    <t>Joint liability credit groups are often formed through a self-selection process. Partner choice presents complex tradeoffs between behavioral expectations, risk diversification, monitoring, and enforcement. Most prior studies have found partner selection to be non-optimal financially. In this study, we explore social, spatial, economic, and demographic factors that may be driving the selection process. A unique analytical approach is used based on the selection order of partners in joint liability groups. We decompose a group leader's sequence of partner invitations into a series of ranked choices. The results indicate that socially and spatially proximate members are likely to be prioritized in the selection process, even though other potential members may possess stronger financial traits, such as higher monthly sales or business equity. There is also evidence of early selection based on gender, marital status, children, and matching business type. The analysis suggests that partner selection may be driven by social incentives and the avoidance of strategic default. More broadly, this study suggests which factors are prioritized when actors have choice over whom to partner with in a social dilemma.</t>
  </si>
  <si>
    <t>Sabin, Nicholas/KCK-3707-2024</t>
  </si>
  <si>
    <t>Sabin, Nicholas/0000-0002-6702-976X</t>
  </si>
  <si>
    <t>0377-7332</t>
  </si>
  <si>
    <t>1435-8921</t>
  </si>
  <si>
    <t>10.1007/s00181-022-02249-x</t>
  </si>
  <si>
    <t>WOS:000795029100001</t>
  </si>
  <si>
    <t>Villarroel, E; Olea, F; Araya-López, C; Merlet, G; Cabezas, R; Romero, J; Quijada-Maldonado, E</t>
  </si>
  <si>
    <t>Villarroel, E.; Olea, F.; Araya-Lopez, C.; Merlet, G.; Cabezas, R.; Romero, J.; Quijada-Maldonado, E.</t>
  </si>
  <si>
    <t>COSMO-RS evaluation as a tool for prediction of solvents in dispersive liquid-phase microextraction: Evaluation of conventional solvents and ionic liquids as extractants</t>
  </si>
  <si>
    <t>This work assesses the prediction capability of COSMO-RS for solvent selection in dispersive liquid phase microextraction systems. The assessment is performed by comparing experimental partition ratios from previous works and calculated ones for different systems, including pesticides, herbicides, polyaromatic aromatic hydrocarbons, and halogen-containing pollutants from water samples. Results indicate that COSMO-RS mainly overestimates the partition ratios. Despite this, a priori analysis was carried out for conventional solvents used as extractants. Results showed that for pesticides and herbicides, COSMORS predictions agree just for a few extractants. For polyaromatic hydrocarbons (PAHs), the ring structure is a crucial parameter in extractants' selection, and for Halogenated pollutants, the halogen content and kind of substitution are crucial to correct trend prediction. Besides this, ILs also were studied, finding that COSMO-RS overestimates the use of ILs, and higher deviations are found for longer alkyl chain cations. However, the Dichlorodiphenyltrichloroethane (DDT) metabolite extraction with ILs is well predicted. Dispersants were also evaluated, but depending on the kind of pollutant, different deviations were found. (c) 2022 Elsevier B.V. All rights reserved.</t>
  </si>
  <si>
    <t>Araya Lopez, Claudio/KXR-0295-2024; Cabezas, Rene/HAR-6189-2022; Romero, Julio/I-6705-2013; olea, felipe/IAN-5687-2023; Villarroel Utreras, Eduardo/LCD-3437-2024; Merlet Venturelli, Gaston/B-4109-2019</t>
  </si>
  <si>
    <t>Villarroel, Eduardo/0000-0001-5208-3512; Cabezas, Rene/0000-0002-4162-3429; Merlet Venturelli, Gaston/0000-0003-2602-6471; Olea Chandia, Felipe/0000-0002-6349-6184; Romero, Julio/0000-0002-1229-1592; Quijada-Maldonado, Esteban/0000-0003-1411-4327</t>
  </si>
  <si>
    <t>10.1016/j.molliq.2022.118861</t>
  </si>
  <si>
    <t>WOS:000790735100016</t>
  </si>
  <si>
    <t>Díaz, HA; Gárate, E; Maureira, F; Flores, E</t>
  </si>
  <si>
    <t>Liu, Y; Shi, Y; Wang, Y; Ergu, D; Berg, D; Tien, J; Li, J; Tian, Y</t>
  </si>
  <si>
    <t>Diaz M, Hernan A.; Garate, Elias; Maureira, Fernando; Flores, Elizabeth</t>
  </si>
  <si>
    <t>Hurst entropy profiles for Beta Low and Beta High EEG subbands Part I: Intragroup comparison</t>
  </si>
  <si>
    <t>8TH INTERNATIONAL CONFERENCE ON INFORMATION TECHNOLOGY AND QUANTITATIVE MANAGEMENT (ITQM 2020 &amp; 2021): DEVELOPING GLOBAL DIGITAL ECONOMY AFTER COVID-19</t>
  </si>
  <si>
    <t>8th International Conference on Information Technology and Quantitative Management (ITQM) - Developing Global Digital Economy after COVID-19</t>
  </si>
  <si>
    <t>JUL 09-11, 2021</t>
  </si>
  <si>
    <t>Chengdu, PEOPLES R CHINA</t>
  </si>
  <si>
    <t>The non-linear exploration of the entropic structure of the information contained in an EEG allows access to a new source of data that characterizes, in a more global way, the functioning of the brain as a whole. On the understanding that the brain is a hyper-complex system, describing it only through a linear statistical approach, mainly based on the comparison of differences in the magnitude of the power of the electroencephalographic signal between comparable conditions, leaves incomplete the part of the brain phenomenon that obeys non-linear laws. The present work explores the possibility of characterizing the entropic structure of a human brain, through the construction of order/chaos balance profiles. We proceeded to study the entropic content of the EEG signal, by estimating the Hurst exponent in segments of different sizes, for a set of data from 14 EEG electrodes (Emotiv Epoc Research Edition), taken in basal resting conditions, during 3-5 minutes with eyes closed. The EEG recordings of thirteen subjects (N=13) were studied for the low beta (13-21Hz) and high beta (22-30Hz) sub-bands, in four time-processing windows: 125ms, 250ms, 500ms, and ls. In addition to obtaining the traditional Hurst estimator, the behavior of two derivatives of the Hurst exponent: the moving-Hurst (muHurst), and the mHurst, an estimator interpreted as a global entropic trend of the time series, were also evaluated. The results showed a clear differentiation between the entropic profiles obtained for low beta and high beta, for all individuals, as well as a different entropic structure of both sub-bands, when comparing Hurst exponents and their derivatives with different time processing windows. At the ls scale (128 EEG frames), the average entropic content of the time series (muHurst) is relatively higher than the entropic load contained in the mid-term estimation of the whole signal (H(trad)). At the same time, estimates of mHurst, a derivative that assesses the overall entropic trend of the signal, indicated mostly lower entropic (more organized) content than estimates at shorter timescales. Our nonlinear exploration of the entropic structure of the brain revealed a wealth of details that can be used to complement the traditional characterization of the brain that linear approaches have provided so far. Our procedure allowed us to discern substantive differences between the entropic characteristics of the low beta and high beta EEG sub-bands. As well as individual differences within the group, potential substrates for the search of neural markers of psychological, pharmacological, or clinical utility. (C) 2021 The Authors. Published by Elsevier B.V.</t>
  </si>
  <si>
    <t>Arciniegas, Hugo Armando/GSN-3657-2022; Flores, Elizabeth/JLM-7033-2023</t>
  </si>
  <si>
    <t>10.1016/j.procs.2022.01.179</t>
  </si>
  <si>
    <t>WOS:000765802100182</t>
  </si>
  <si>
    <t>Pacheco, M; García-Herrera, C; Celentano, D; Ponthot, JP</t>
  </si>
  <si>
    <t>Pacheco, Matias; Garcia-Herrera, Claudio; Celentano, Diego; Ponthot, Jean-Philippe</t>
  </si>
  <si>
    <t>Mechanical Characterization of the Elastoplastic Response of a C11000-H2 Copper Sheet</t>
  </si>
  <si>
    <t>MATERIALS</t>
  </si>
  <si>
    <t>This work presents an elastoplastic characterization of a rolled C11000-H2 99.90% pure copper sheet considering the orthotropic non-associated Hill-48 criterion together with a modified Voce hardening law. One of the main features of this material is the necking formation at small strains levels causing the early development of non-homogeneous stress and strain patterns in the tested samples. Due to this fact, a robust inverse calibration approach, based on an experimental-analytical-numerical iterative predictor-corrector methodology, is proposed to obtain the constitutive material parameters. This fitting procedure, which uses tensile test measurements where the strains are obtained via digital image correlation (DIC), consists of three steps aimed at, respectively, determining (a) the parameters of the hardening model, (b) a first prediction of the Hill-48 parameters based on the Lankford coefficients and, (c) corrected parameters of the yield and flow potential functions that minimize the experimental-numerical error of the material response. Finally, this study shows that the mechanical characterization carried out in this context is capable of adequately predicting the behavior of the material in the bulge test.</t>
  </si>
  <si>
    <t>Pacheco-Alarcon, Matias/0000-0003-3366-1596; Garcia-Herrera, Claudio/0000-0002-1283-8551; Celentano, Diego/0000-0002-7600-0619</t>
  </si>
  <si>
    <t>1996-1944</t>
  </si>
  <si>
    <t>10.3390/ma13225193</t>
  </si>
  <si>
    <t>WOS:000594874000001</t>
  </si>
  <si>
    <t>Tejo, F; Velozo, F; Elías, RG; Escrig, J</t>
  </si>
  <si>
    <t>Tejo, Felipe; Velozo, Felipe; Gabriel Elias, Ricardo; Escrig, Juan</t>
  </si>
  <si>
    <t>Oscillations of skyrmion clusters in Co/Pt multilayer nanodots</t>
  </si>
  <si>
    <t>In this work we study the oscillations of the skyrmion cores in a multilayer nanodot as a function of the number of skyrmions hosted in the system. When all the skyrmions in the nanodot have the same core radius, and after applying a perpendicular spin-polarized current, a relaxation process takes place towards an equilibrium configuration that is accompanied by coherent damped oscillations of the skyrmion cores, whose frequency depends on the number of skyrmions present in the nanodot. Additionally, we found that the oscillation frequency is directly related to the total energy of the system.</t>
  </si>
  <si>
    <t>Tejo, Felipe/IUQ-0578-2023; Elias, Ricardo/F-2608-2012; Escrig, Juan/N-4304-2015</t>
  </si>
  <si>
    <t>Escrig, Juan/0000-0002-3958-8185; Tejo Lazo, Felipe Tejo/0000-0001-7457-7281</t>
  </si>
  <si>
    <t>OCT 5</t>
  </si>
  <si>
    <t>10.1038/s41598-020-73458-6</t>
  </si>
  <si>
    <t>WOS:000577291800028</t>
  </si>
  <si>
    <t>Thiam, A; Salazar, R; Brillas, E; Sirés, I</t>
  </si>
  <si>
    <t>Thiam, Abdoulaye; Salazar, Ricardo; Brillas, Enric; Sires, Ignasi</t>
  </si>
  <si>
    <t>In-situ dosage of Fe2+ catalyst using natural pyrite for thiamphenicol mineralization by photoelectro-Fenton process</t>
  </si>
  <si>
    <t>The degradation of the antibiotic thiamphenicol has been studied by photoelectm-Fenton (PEF) process with UVA light using pyrite particles as catalyst source. Pyrite is a sulfide mineral that naturally acidifies the reaction medium and releases Fe2+, thus promoting the effective generation of center dot OH from Fenton's reaction. The assays were made in an IrO2/air-diffusion cell, which yielded similar results to a boron-doped diamond (BDD)/air-diffusion one at a lower cost. In dark conditions, electm-Fenton (EF) process showed an analogous ability for drug removal, but mineralization was much poorer because of the large persistence of highly stable by-products. Their photolysis explained the higher performance of PEF. Conventional homogeneous PEF directly using dissolved Fe2+ exhibited a lower mineralization power. This suggests the occurrence of heterogeneous Fenton's reaction over the pyrite surface. The effect of current density and drug content on pyrite-catalyzed PEF performance was examined. The drug heteroatoms were gradually converted into SO42-, Cl- and NO3- ions. Nine aromatic derivatives and two dichloroaliphatic amines were identified by GC -MS, and five short-chain carboxylic acids were detected by ion-exclusion HPLC. A reaction route for thiamphenicol mineralization by PEF process with continuous H2O2 and Fe2+ supply on site is proposed.</t>
  </si>
  <si>
    <t>Sires Sadornil, Ignacio/0000-0001-5508-1774; Thiam, Abdoulaye/0000-0001-5024-1855; Salazar-Gonzalez, Ricardo/0000-0003-2180-6022</t>
  </si>
  <si>
    <t>10.1016/j.jenvman.2020.110835</t>
  </si>
  <si>
    <t>WOS:000554920300038</t>
  </si>
  <si>
    <t>Campos, S; Salazar, R; Arancibia-Miranda, N; Rubio, MA; Aranda, M; García, A; Sepúlveda, P; Espinoza, LC</t>
  </si>
  <si>
    <t>Campos, Sebastian; Salazar, Ricardo; Arancibia-Miranda, Nicolas; Rubio, M. A.; Aranda, Mario; Garcia, Alejandra; Sepulveda, Pamela; Carolina Espinoza, L.</t>
  </si>
  <si>
    <t>Nafcillin degradation by heterogeneous electro-Fenton process using Fe, Cu and Fe/Cu nanoparticles</t>
  </si>
  <si>
    <t>Heterogeneous electro-Fenton (HEF) is as an alternative to the conventional electro-Fenton ( EF) process. HEF uses a solid phase catalyst, whereas EF employs a solubilized one. This implies that in HEF, material can be recovered through a simple separation process such as filtration or magnetic separation in HEF. HEF also has the advantage of not requires a previous pH adjustment, which facilitates working in a higher pH range. In this work, Fe, Cu and Fe/Cu bimetallic nanoparticles (Fe/Cu NPs) were synthesized, characterized and used for the degradation of Nafcillin (NAF). The effect of the adsorption and the anodic oxidation (AO-H2O2) process was tested to assess their influence on HEF. NAF adsorption did not exceed 24% of antibiotic removal and the AO-H2O2 process eliminated the total NAF after 240 min of electrolysis. Through the HEF process, the antibiotic was completely removed using Fe/Cu NPs after 7.0 min of electrolysis, while these NPs, mineralization reached 41% after 240 min. In this case, NAF degradation occurs mainly due to the generation of hydroxyl radicals in the BDD electrode, and the Fenton reaction with Fe and Cu NPs. The main organic intermediates produced during the degradation of NAF by HEF were identified allowing the proposal of degradation pathway. Finally, the antibiotic was also completely eliminated from a wastewater from slaughterhouse after 15 min of treatment by HEF and using Fe/Cu bimetallic NPs. (C) 2020 Elsevier Ltd. All rights reserved.</t>
  </si>
  <si>
    <t>Sepulvedaor, Pamela/GRO-3516-2022; Garcia, Alejandra/IQT-2699-2023; Espinoza, Carolina/HSH-9507-2023; Arancibia-Miranda, Nicolás/I-6743-2013; Bajo, Maria/ABF-6991-2020; Salazar, Ricardo/L-7870-2013; Garcia-Garcia, A./B-1478-2012; Aranda, Mario/A-6599-2013</t>
  </si>
  <si>
    <t>Garcia-Garcia, A./0000-0001-7794-135X; Campos milla, Sebastian/0000-0003-4023-1017; Arancibia-Miranda, Nicolas/0000-0002-0142-6922; Salazar-Gonzalez, Ricardo/0000-0003-2180-6022; Espinoza, L. Carolina/0000-0002-6021-0742; Aranda, Mario/0000-0001-7846-9149</t>
  </si>
  <si>
    <t>10.1016/j.chemosphere.2020.125813</t>
  </si>
  <si>
    <t>WOS:000527924400022</t>
  </si>
  <si>
    <t>Olaya, V; Pérez-Ríos, J; Herrera, F</t>
  </si>
  <si>
    <t>Olaya, Vanessa; Perez-Rios, Jesus; Herrera, Felipe</t>
  </si>
  <si>
    <t>C6 coefficients for interacting Rydberg atoms and alkali-metal dimers</t>
  </si>
  <si>
    <t>We study the van der Waals interaction between Rydberg alkali-metal atoms with fine structure (n(2)L(j); L &lt;= 2) and heteronuclear alkali-metal dimers in the ground rovibrational state (X (1)Sigma(+); v = 0, J = 0). We compute the associated C-6 dispersion coefficients of atom-molecule pairs involving Cs-133 and Rb-85 atoms interacting with KRb, LiCs, LiRb, and RbCs molecules. The obtained dispersion coefficients can be accurately fitted to a state-dependent polynomial O(n(7)) over the range of principal quantum numbers 40 &lt;= n &lt;= 150. For all atom-molecule pairs considered, Rydberg states n(2)Sj and n(2)P(j) result in attractive 1/R-6 potentials. In contrast, n(2)D(j) states can give rise to repulsive potentials for specific atom-molecule pairs. The interaction energy at the LeRoy distance approximately scales as n(-5) for n &gt; 40. For intermediate values of n less than or similar to 40, both repulsive and attractive interaction energies of the order of 10-1000 mu K can be achieved with specific atomic and molecular species. The accuracy of the reported C-6 coefficients is limited by the quality of the atomic quantum defects, with relative errors Delta C-6/C-6 estimated to be no greater than 1% on average.</t>
  </si>
  <si>
    <t>Herrera, Felipe/KHD-8453-2024; Rios, Jesus/I-5327-2019; PEREZ RIOS, JESUS/M-8563-2016</t>
  </si>
  <si>
    <t>Olaya, Vanessa/0000-0001-5141-0614; PEREZ RIOS, JESUS/0000-0001-9491-9859</t>
  </si>
  <si>
    <t>2469-9926</t>
  </si>
  <si>
    <t>2469-9934</t>
  </si>
  <si>
    <t>MAR 23</t>
  </si>
  <si>
    <t>10.1103/PhysRevA.101.032705</t>
  </si>
  <si>
    <t>WOS:000521001500010</t>
  </si>
  <si>
    <t>Ullrich, SR; Poehlein, A; Levicán, G; Mühling, M; Schlömann, M</t>
  </si>
  <si>
    <t>Ullrich, Sophie R.; Poehlein, Anja; Levican, Gloria; Muehling, Martin; Schloemann, Michael</t>
  </si>
  <si>
    <t>Iron targeted transcriptome study draws attention to novel redox protein candidates involved in ferrous iron oxidation in Ferrovum sp JA12</t>
  </si>
  <si>
    <t>RESEARCH IN MICROBIOLOGY</t>
  </si>
  <si>
    <t>The response of the acidophilic iron oxidizer Ferrovum sp. JA12 to elevated concentrations of ferrous iron was targeted at transcriptome level in order to assess models on oxidative stress management and ferrous iron oxidation. Overall transcriptome profiles indicate a high cellular activity of Ferrovum sp. JA12 up to 50 mM of ferrous iron with genes predicted to be involved in iron oxidation, carbon fixation and ribosome formation showing the highest transcript levels. The data support the iron oxidation pathway inferred from genome analysis and draws attention to further redox proteins potentially associated with iron oxidation. The restriction of homologous proteins to iron oxidizing beta- and zetaproteobacteria underlines the previous notion of a common origin of iron oxidation in these phyla. Detoxification of reactive oxygen species and primary products of oxidative damage of membrane lipids appears to be of permanent relevance under conditions mimicking those of the original habitat of Ferrovum sp. JA12. Also the maintenance of a reverse membrane potential appears to be its most important strategy to withstand the acidic external pH. (C) 2018 Institut Pasteur. Published by Elsevier Masson SAS. All rights reserved.</t>
  </si>
  <si>
    <t>Levican, Gloria/R-5191-2019</t>
  </si>
  <si>
    <t>Levican, Gloria/0000-0002-1275-7399</t>
  </si>
  <si>
    <t>0923-2508</t>
  </si>
  <si>
    <t>1769-7123</t>
  </si>
  <si>
    <t>10.1016/j.resmic.2018.05.009</t>
  </si>
  <si>
    <t>WOS:000452002300010</t>
  </si>
  <si>
    <t>Palma, JL; Pereira, A; Alvaro, R; García-Martín, JM; Escrig, J</t>
  </si>
  <si>
    <t>Palma, Juan L.; Pereira, Alejandro; Alvaro, Raquel; Miguel Garcia-Martin, Jose; Escrig, Juan</t>
  </si>
  <si>
    <t>Magnetic properties of Fe3O4 antidot arrays synthesized by AFIR: atomic layer deposition, focused ion beam and thermal reduction</t>
  </si>
  <si>
    <t>BEILSTEIN JOURNAL OF NANOTECHNOLOGY</t>
  </si>
  <si>
    <t>Magnetic films of magnetite (Fe3O4) with controlled defects, so-called antidot arrays, were synthesized by a new technique called AFIR. AFIR consists of the deposition of a thin film by atomic layer deposition, the generation of square and hexagonal arrays of holes using focused ion beam milling, and the subsequent thermal reduction of the antidot arrays. Magnetic characterizations were carried out by magneto-optic Kerr effect measurements, showing the enhancement of the coercivity for the antidot arrays. AFIR opens a new route to manufacture ordered antidot arrays of magnetic oxides with variable lattice parameters.</t>
  </si>
  <si>
    <t>Pereira, Alejandro/X-7172-2018; Palma, Juan/IAP-4554-2023; Escrig, Juan/N-4304-2015; Garcia-Martin, Jose Miguel/H-4434-2011</t>
  </si>
  <si>
    <t>Escrig, Juan/0000-0002-3958-8185; Pereira Abarca, Alejandro/0000-0002-4473-0852; Garcia-Martin, Jose Miguel/0000-0002-5908-8428; Palma, JuanLuis/0000-0003-2068-174X</t>
  </si>
  <si>
    <t>2190-4286</t>
  </si>
  <si>
    <t>JUN 11</t>
  </si>
  <si>
    <t>10.3762/bjnano.9.164</t>
  </si>
  <si>
    <t>WOS:000435479600001</t>
  </si>
  <si>
    <t>Ulloa, PA; Guarda, A; Valenzuela, X; Rubilar, JF; Galotto, MJ</t>
  </si>
  <si>
    <t>Ulloa, Pablo A.; Guarda, Abel; Valenzuela, Ximena; Rubilar, Javiera F.; Galotto, Maria J.</t>
  </si>
  <si>
    <t>Modeling the release of antimicrobial agents (thymol and carvacrol) from two different encapsulation materials</t>
  </si>
  <si>
    <t>FOOD SCIENCE AND BIOTECHNOLOGY</t>
  </si>
  <si>
    <t>The release of microencapsulated natural antimicrobial (AM) agents (thymol and carvacrol) from two encapsulating matrixes [maltodextrin (MD) and soy protein (SP)] were evaluated for possible use in food packaging coatings. Microcapsules were prepared by oil-in-water (O/W) emulsions at different concentrations (10, 20% for MD and 2, 5% for SP). High encapsulation efficiency ranged from 96 to 99.95% for MD and 93.1 to 100% for SP, with average microcapsule diameters that ranged from 17 to 27.5 and 18.8 to 38 A mu m, respectively. The release rate with 20% MD-thymol [20MD-T] was faster than with 10% MD-thymol [10MD-T]. Similar results were obtained for carvacrol with the same concentration of MD. Korsmeyer-Peppas and Weibull mathematical models were successfully fitted to the release of the AM agents, describing the Fickian diffusion release of the components. Different release rates were obtained as a function of the chemical nature of the encapsulation material and its concentration.</t>
  </si>
  <si>
    <t>Rubilar, Javiera/AAB-1707-2019</t>
  </si>
  <si>
    <t>Ulloa, Pablo A/0000-0002-7267-9505; Rubilar, Javiera F/0000-0001-7390-7277</t>
  </si>
  <si>
    <t>1226-7708</t>
  </si>
  <si>
    <t>2092-6456</t>
  </si>
  <si>
    <t>10.1007/s10068-017-0226-8</t>
  </si>
  <si>
    <t>WOS:000419153900034</t>
  </si>
  <si>
    <t>Palma, RE; Gutiérrez-Tapia, P; González, JF; Boric-Bargetto, D; Torres-Pérez, F</t>
  </si>
  <si>
    <t>Eduardo Palma, R.; Gutierrez-Tapia, Pablo; Gonzalez, Juan F.; Boric-Bargetto, Dusan; Torres-Perez, Fernando</t>
  </si>
  <si>
    <t>Mountaintops phylogeography: A case study using small mammals from the Andes and the coast of central Chile</t>
  </si>
  <si>
    <t>We evaluated if two sigmodontine rodent taxa (Abrothrix olivacea and Phyllotis darwini) from the Andes and Coastal mountaintops of central Chile, experienced distributional shifts due to altitudinal movements of habitat and climate change during and after the Last Glacial Maximum (LGM). We tested the hypothesis that during LGM populations of both species experienced altitudinal shifts from the Andes to the lowlands and the coastal Cordillera, and then range retractions during interglacial towards higher elevations in the Andes. These distributional shifts may have left remnants populations on the mountaintops. We evaluated the occurrence of intraspecific lineages for each species, to construct distribution models at LGM and at present, as extreme climatic conditions for each lineage. Differences in distribution between extreme climatic conditions were interpreted as post-glacial distributional shifts. Abrothrix olivacea displayed a lineage with shared sequences between both mountain systems, whereas a second lineage was restricted to the Andes. A similar scenario of panmictic unit in the past was recovered for A. olivacea in the Andes, along with an additional unit that included localities from the rest of its distribution. For P. darwini, both lineages recovered were distributed in coastal and Andean mountain ranges at present as well, and structuring analyses for this species recovered coastal and Andean localities as panmictic units in the past. Niche modeling depicted differential postglacial expansions in the recovered lineages. Results suggest that historical events such as LGM triggered the descending of populations to Andean refuge areas (one of the A. olivacea's lineages), to the lowlands, and to the coastal Cordillera. Backward movements of populations after glacial retreats may have left isolates on mountaintops of the coastal Cordillera, suggesting that current species distribution would be the outcome of climate change and habitat reconfiguration after LGM.</t>
  </si>
  <si>
    <t>Palma, Eduardo/N-1416-2014; González, Juan/H-9839-2015; Torres-Perez, Fernando/B-5002-2008</t>
  </si>
  <si>
    <t>Palma, Eduardo/0000-0002-0806-1268; Boric-Bargetto, Dusan/0000-0002-4568-8828; Torres-Perez, Fernando/0000-0001-8655-7288</t>
  </si>
  <si>
    <t>JUL 3</t>
  </si>
  <si>
    <t>e0180231</t>
  </si>
  <si>
    <t>10.1371/journal.pone.0180231</t>
  </si>
  <si>
    <t>WOS:000405268500030</t>
  </si>
  <si>
    <t>Bohle, SAL; Alonso, ARM</t>
  </si>
  <si>
    <t>Lopez Bohle, Sergio Andres; Mladinic Alonso, Antonio Ramon</t>
  </si>
  <si>
    <t>The effect of procedural fairness and supervisor support in the relationship between job insecurity and organizational citizenship behavior</t>
  </si>
  <si>
    <t>RBGN-REVISTA BRASILEIRA DE GESTAO DE NEGOCIOS</t>
  </si>
  <si>
    <t>Purpose - The aim of this paper is to examine whether the perception of job insecurity negatively affects procedural fairness, which may relate to the Organizational Citizenship Behavior (OCB). Finally, we have tested whether perceived supervisor support has a moderating effect in the relationship between procedural fairness and OCB. Design/methodology/approach - Data were collected from a sample of 707 employees in a metal-mechanic company in Chile. Regression analysis was used to analyze the mediating and moderating effects. Findings - It was found that procedural fairness fully mediates the relationship between Job Insecurity and OCB, such that Job Insecurity is negatively related to procedural fairness, which in turn is positively related to OCB. Also, perceived supervisor support moderates the relationship between procedural fairness and OCB. Originality/value - The paper provides new theoretical insights on the effects that perceived job insecurity has on OCB, giving an empirical insight of the mediator and moderator effects that aid in the comprehension of this relationship.</t>
  </si>
  <si>
    <t>Bohle, Sergio/P-7698-2014</t>
  </si>
  <si>
    <t>Lopez Bohle, Sergio/0000-0002-6202-4089</t>
  </si>
  <si>
    <t>1806-4892</t>
  </si>
  <si>
    <t>1983-0807</t>
  </si>
  <si>
    <t>JUL-SEP</t>
  </si>
  <si>
    <t>10.7819/rbgn.v0i0.3023</t>
  </si>
  <si>
    <t>WOS:000408684100001</t>
  </si>
  <si>
    <t>González, A; Silva, A; Gajardo, G; Martínez, C</t>
  </si>
  <si>
    <t>Gonzalez, Adens; Silva, Alfonso; Gajardo, Gonzalo; Martinez, Claudio</t>
  </si>
  <si>
    <t>Survival and Growth Improvement of Palm Ruff, Seriolella violacea, Larvae Fed Artemia Nauplii Enriched with an Experimental Emulsion</t>
  </si>
  <si>
    <t>JOURNAL OF THE WORLD AQUACULTURE SOCIETY</t>
  </si>
  <si>
    <t>The palm ruff, Seriolella violacea (Cojinoba), is a potential new species for Chilean aquaculture. To approach Cojinoba larviculture, an experimental Artemia enrichment emulsion, containing docosahexaenoic acid (DHA)/eicosapentaenoic acid (EPA)=2.5, supplemented with vitamin E, astaxanthin, and -glucan, was evaluated in both Artemia and Cojinoba larvae, 30-50d.a.h. This study tested an experimental enrichment emulsion versus a commercial emulsion, with an integral approach of multicompound emulsions. After 23h enrichment, experimental emulsion (EE)-enriched nauplii reached DHA and EPA concentrations of 23.8 and 18.7mg/g dry weight (dwt), respectively, while in Cojinoba larvae they were 18.4 and 19.7mg/g dwt. Control emulsion (CE)-enriched nauplii exhibited lower DHA and EPA (6.1 and 7.7mg/g dwt), while only DHA decreased in the control larvae (12.6mg/g dwt). Vitamin E was higher in EE-enriched nauplii (29.2mg/100g dwt) than in the control (8.4mg/100g dwt). Larvae fed EE-enriched Artemia exhibited 8% increase in survival and 19% in growth compared with the control. Astaxanthin was detected only in larvae fed EE-enriched nauplii. The tumor necrosis factor- concentration was not significantly different between larvae fed EE- and CE-enriched nauplii. EE looks promising as an Artemia enrichment and experimental diet to assess palm ruff larval requirements, and has a positive impact on fish larvae performance.</t>
  </si>
  <si>
    <t>Martinez, Claudio/MGS-9961-2025; Gajardo, Gonzalo/AAN-3507-2020</t>
  </si>
  <si>
    <t>Gajardo, Gonzalo/0000-0001-8634-141X; Martinez, Claudio/0000-0001-8564-9287</t>
  </si>
  <si>
    <t>0893-8849</t>
  </si>
  <si>
    <t>1749-7345</t>
  </si>
  <si>
    <t>10.1111/jwas.12375</t>
  </si>
  <si>
    <t>WOS:000398564700008</t>
  </si>
  <si>
    <t>Junqueira-Gonçalves, MP; Salinas, GE; Bruna, JE; Niranjan, K</t>
  </si>
  <si>
    <t>Junqueira-Goncalves, Maria Paula; Salinas, Gonzalo E.; Bruna, Julio E.; Niranjan, Keshavan</t>
  </si>
  <si>
    <t>An assessment of lactobiopolymer-montmorillonite composites for dip coating applications on fresh strawberries</t>
  </si>
  <si>
    <t>BACKGROUNDThe use of biopolymer coatings appears as a good alternative to preserve highly perishable fruits, as well as the environment. Proteins generally produce films with good mechanical properties, although their highly hydrophilic nature limits the use in many applications. Nanoparticles, such as nanoclays, can play a critical role in improving barrier properties. The present study evaluated the effect of the addition of montmorillonite (MMT)-nanoparticles to a lacto-biopolymer coating, focusing on: (i) the morphological, thermal and barrier properties of the material and (ii) the shelf life of coated fresh strawberries. RESULTSThe addition of MMT improved the water vapor barrier property. Morphological and thermal analysis indicated a good interaction between the milk protein and the nanoclay, which was intercalated within the milk protein base (MPB) matrix, offering a more tortuous path to diffusing migrants. The MMT-MPB coating helped to significantly (P 0.05) reduce the weight loss, as well as oxygen uptake and the release of carbon dioxide, and improved the fruit firmness and reduced mould and yeast load compared to the uncoated fruits. The addition of MMT gave statistical difference (P 0.05) in terms of weight loss, subjective global appearance and purchase intention of coated fresh strawberries. CONCLUSIONThe addition of nanofillers, such as MMT, into protein-based coating could improve its water vapour barrier and could affect, positively, some parameters of the shelf life of coated strawberries. (c) 2016 Society of Chemical Industry</t>
  </si>
  <si>
    <t>bruna, julio/AAM-6867-2021</t>
  </si>
  <si>
    <t>Bruna, Julio E./0000-0001-9656-6022</t>
  </si>
  <si>
    <t>10.1002/jsfa.7985</t>
  </si>
  <si>
    <t>WOS:000397575200022</t>
  </si>
  <si>
    <t>Górka, P; Prado, H; Trujillo, J</t>
  </si>
  <si>
    <t>Gorka, Przemyslaw; Prado, Humberto; Trujillo, Juan</t>
  </si>
  <si>
    <t>The Time Fractional Schrodinger Equation on Hilbert Space</t>
  </si>
  <si>
    <t>INTEGRAL EQUATIONS AND OPERATOR THEORY</t>
  </si>
  <si>
    <t>We study the linear fractional Schrodinger equation on a Hilbert space, with a fractional time derivative of order and a self-adjoint generator A. Using the spectral theorem we prove existence and uniqueness of strong solutions, and we show that the solutions are governed by an operator solution family . Moreover, we prove that the solution family converges strongly to the family of unitary operators e(-itA), as approaches to 1.</t>
  </si>
  <si>
    <t>Trujillo, Juan/A-9030-2012</t>
  </si>
  <si>
    <t>Gorka, Przemyslaw/0000-0002-1943-383X</t>
  </si>
  <si>
    <t>0378-620X</t>
  </si>
  <si>
    <t>1420-8989</t>
  </si>
  <si>
    <t>10.1007/s00020-017-2341-6</t>
  </si>
  <si>
    <t>WOS:000394432300001</t>
  </si>
  <si>
    <t>Organometallic Chalcones Functioning as Radical Traps: Observations on the Solvated Electron Reduction and the C•H2OH and C•H2Cl Addition Processes. A Time-Resolved, Mechanistic Study</t>
  </si>
  <si>
    <t>4th International Conference on Chemical Bonding (ICCB)</t>
  </si>
  <si>
    <t>JUL 14-26, 2016</t>
  </si>
  <si>
    <t>HI</t>
  </si>
  <si>
    <t>Softwarfe Chem &amp; Mater,Journal Chemical Theory &amp; Computat,Utah State Univ, Chem &amp; Biochemistry Dept,Univ Calif</t>
  </si>
  <si>
    <t>The pulse radiolysis method was used to investigate reactions between organometallic chalcones derived from ferrocene, cyrhetrene, and cymantrene substituted with a phenyl (R-1) or a 4'-benzo-15-crown-5 (B-1) moiety and the solvated electron e(sol)(-) and two radicals. The principal spectroscopic transformations resolved with the e(sol)(-) reactions reveal that the chalcone compounds react under a diffusion controlled condition. The chromophore in the reaction product is the radical anion chalcone, -C(=O)CH=CH-. The kinetics of the redox processes are consistent with the formation of the radical anion in a first step, followed by an E/Z isomerization reaction in the second step. The rate of the E/Z isomerization reaction is dependent on the chalcone substituent. Reactions with C center dot H2OH and C center dot H2Cl radicals are strongly affected by the nature of the organometallic fragment. The transient spectra for the reactions between C-H2OH and C center dot H2Cl radicals with the phenyl-substituted chalcone show weak, broad absorption bands at lambda(ob) &lt; 400 nm. Only the ferrocenyl derivatives showed an intense absorption band with lambda(max) = 350 nm. The C-centered radicals react with organometallic chalcones with lifetimes less than or equal to a few microseconds, and the products are assigned as adducts of the C-centered radicals to the chalcone.</t>
  </si>
  <si>
    <t>Maldonado Hernandez, Tamara/0000-0002-3863-3001; Godoy, Fernando/0000-0002-3916-4753</t>
  </si>
  <si>
    <t>10.1021/acs.jpca.6b10190</t>
  </si>
  <si>
    <t>WOS:000389160900003</t>
  </si>
  <si>
    <t>Lezana, N; Matus-Pérez, M; Galdámez, A; Lühr, S; Vilches-Herrer, M</t>
  </si>
  <si>
    <t>Lezana, Nicolas; Matus-Perez, Massiel; Galdamez, Antonio; Luehr, Susan; Vilches-Herrer, Marcelo</t>
  </si>
  <si>
    <t>Highly stereoselective and catalyst-free synthesis of annulated tetrahydropyridines by intramolecular imino-Diels-Alder reaction under microwave irradiation in water</t>
  </si>
  <si>
    <t>GREEN CHEMISTRY</t>
  </si>
  <si>
    <t>A microwave-assisted method for the synthesis of tetracyclic tetra-hydropyridines via an intramolecular imino-Diels-Alder reaction in water is reported. The reaction proceeds under catalyst-free conditions and shows excellent stereoselectivity.</t>
  </si>
  <si>
    <t>Herrera, Luis/M-2750-2015; Galdamez, Antonio/H-7404-2013</t>
  </si>
  <si>
    <t>Luhr, Susan/0000-0003-0449-0601; Galdamez, Antonio/0000-0001-9665-7696; Vilches Herrera, Marcelo/0000-0001-8282-8650</t>
  </si>
  <si>
    <t>1463-9262</t>
  </si>
  <si>
    <t>1463-9270</t>
  </si>
  <si>
    <t>10.1039/c6gc00912c</t>
  </si>
  <si>
    <t>WOS:000378715700005</t>
  </si>
  <si>
    <t>Manosalva, L; Mutis, A; Urzúa, A; Fajardo, V; Quiroz, A</t>
  </si>
  <si>
    <t>Manosalva, Loreto; Mutis, Ana; Urzua, Alejandro; Fajardo, Victor; Quiroz, Andres</t>
  </si>
  <si>
    <t>Antibacterial Activity of Alkaloid Fractions from Berberis microphylla G. Forst and Study of Synergism with Ampicillin and Cephalothin</t>
  </si>
  <si>
    <t>MOLECULES</t>
  </si>
  <si>
    <t>Berberis microphylla is a native plant that grows in Patagonia and is commonly used by aboriginal ethnic groups in traditional medicine as an antiseptic for different diseases. The present study evaluated the antibacterial and synergistic activity of alkaloid extracts of B. microphylla leaves, stems and roots used either individually or in combination with antibiotics against Gram-positive and Gram-negative bacteria. The in vitro antibacterial activities of leaf, stem and root alkaloid extracts had significant activity only against Gram-positive bacteria. Disc diffusion tests demonstrated that the root extract showed similar activity against B. cereus and S. epidermidis compared to commercial antibiotics, namely ampicillin and cephalothin, and pure berberine, the principal component of the alkaloid extracts, was found to be active only against S. aureus and S. epidermidis with similar activity to that of the root extract. The minimum inhibitory concentrations (MICs) of the alkaloid extracts ranged from 333 to 83 g/mL, whereas minimum bactericidal concentrations (MBCs) varied from 717 to 167 g/mL. In addition, synergistic or indifferent effects between the alkaloid extracts and antibiotics against bacterial strains were confirmed.</t>
  </si>
  <si>
    <t>Quiroz, Andres/I-2748-2018</t>
  </si>
  <si>
    <t>Urzua, Alejandro/0000-0003-2638-0921</t>
  </si>
  <si>
    <t>1420-3049</t>
  </si>
  <si>
    <t>10.3390/molecules21010076</t>
  </si>
  <si>
    <t>WOS:000369486800048</t>
  </si>
  <si>
    <t>Stock, RI; de Melo, CEA; Schramm, ADS; Nicoleti, CR; Bortoluzzi, AJ; Heying, RD; Machado, VG; Rezende, MC</t>
  </si>
  <si>
    <t>Stock, Rafaela I.; de Melo, Carlos E. A.; Schramm, Adriana D. S.; Nicoleti, Celso R.; Bortoluzzi, Adailton J.; Heying, Renata da S.; Machado, Vanderlei G.; Rezende, Marcos C.</t>
  </si>
  <si>
    <t>Structure-behavior study of a family of hybrid cyanine dyes which exhibit inverted solvatochromism</t>
  </si>
  <si>
    <t>The inverted solvatochromism of twenty dyes containing an electron-donor phenolate conjugated with an electron-withdrawing nitro-substituted phenyl ring was analyzed in terms of the dye structure and substituents. Structural factors that increased the difference between the electrophilicities of the donor and acceptor moieties, or the donor-acceptor strength of the phenolate dyes, also increased the sensitivity of the dyes to solvent-polarity changes and red-shifted their solvatochromic absorption bands.</t>
  </si>
  <si>
    <t>Caroli, Marcos/H-3570-2019; Machado, Vanderlei/C-7045-2018; Bortoluzzi, Adailton/G-2287-2012</t>
  </si>
  <si>
    <t>10.1039/c6cp06708e</t>
  </si>
  <si>
    <t>WOS:000390436800029</t>
  </si>
  <si>
    <t>Tapia, Y; Diaz, O; Pizarro, C; Segura, R; Vines, M; Zúñiga, G; Moreno-Jiménez, E</t>
  </si>
  <si>
    <t>Tapia, Y.; Diaz, O.; Pizarro, C.; Segura, R.; Vines, M.; Zuniga, G.; Moreno-Jimenez, E.</t>
  </si>
  <si>
    <t>Atriplex atacamensis and Atriplex halimus resist As contamination in Pre-Andean soils (northern Chile)</t>
  </si>
  <si>
    <t>The Pre-Andean area of Chile exhibits saline soils of volcanic origin naturally contaminated with arsenic (As), and we hypothesise that revegetation with resistant species may be a valid alternative for soil management in this area. Thus, the xerophytic and halophytic shrubs Atriplex halimus and Atriplex atacamensis were cultivated in containers for 90 days in Pre-Andean soil, As-soil, (111 +/- 19 mg As kg(-1), pH 8.4 +/- 0.1) or control soil (12.7 +/- 1.1 mg As kg(-1), pH 7.8 +/- 0.1) to evaluate As accumulation and resistance using stress bioindicators (chlorophylls, malondialdehyde (MDA) and total thiols). Sequential extraction of As-soil indicated that 52.3% of As was found in the most available fraction. The As distribution was significantly different between the species: A. halimus translocated the As to leaves, whilst A. atacamensis retained the As in roots. At 30 and 90 days, A. halimus showed similar As concentrations in the leaves (approximately 5.5 mg As kg(-1)), and As increased in stems and roots (up to 4.73 and 163 mg As kg(-1), respectively). In A. atacamensis, As concentration was lower (2.6 in leaves; 3.2 in stems and 6.9 in roots in mg As kg(-1)). Both species exhibited a high concentration of B in leaves (362-389 mg kg(-1)). If the plants are used for animal feed, it should be considered that A. halimus accumulates higher concentration of As and B in the leaves than A. atacamensis. Neither plant growth nor stress bioindicators were negatively affected by the high levels of available As, with the exception of MDA in the leaves of A. halimus. The results indicate that these plants resist contamination by arsenic, accumulating mainly the metalloid in the roots and can be recommended to generate plant cover in As-contaminated soils in the Pre-Andean region, under saline conditions controlled, preventing the dispersion of this metalloid via wind and leaching. (C) 2013 Elsevier B.V. All rights reserved.</t>
  </si>
  <si>
    <t>Zuñiga, Gustavo/P-8306-2015; Segura, Rodrigo/J-6696-2016; Tapia Fernandez, Yasna/K-4650-2017; Moreno-Jimenez, Eduardo/F-8022-2010</t>
  </si>
  <si>
    <t>Tapia Fernandez, Yasna/0000-0003-4197-4410; Zuniga, Gustavo/0000-0002-8286-9468; Moreno-Jimenez, Eduardo/0000-0002-2125-1197; Segura, Rodrigo/0000-0001-5747-2357; Pizarro, Carmen/0000-0003-4927-5681</t>
  </si>
  <si>
    <t>10.1016/j.scitotenv.2013.02.021</t>
  </si>
  <si>
    <t>WOS:000317879100021</t>
  </si>
  <si>
    <t>Carrillo, J; Vargas, C; Argandoña, M; Bastias, I; Betancur, C</t>
  </si>
  <si>
    <t>Carrillo, J.; Vargas, C.; Argandona, M.; Bastias, I.; Betancur, C.</t>
  </si>
  <si>
    <t>Sleep-disordered breathing and its association with metabolic syndrome</t>
  </si>
  <si>
    <t>JOURNAL OF SLEEP RESEARCH</t>
  </si>
  <si>
    <t>21st Congress of the European-Sleep-Research-Society</t>
  </si>
  <si>
    <t>SEP 04-08, 2012</t>
  </si>
  <si>
    <t>Paris, FRANCE</t>
  </si>
  <si>
    <t>European Sleep Res Soc</t>
  </si>
  <si>
    <t>Vargas, Claudio/AAX-6076-2020</t>
  </si>
  <si>
    <t>0962-1105</t>
  </si>
  <si>
    <t>WOS:000307963201221</t>
  </si>
  <si>
    <t>von Bernhardi, R; Eugenín, J</t>
  </si>
  <si>
    <t>von Bernhardi, Rommy; Eugenin, Jaime</t>
  </si>
  <si>
    <t>Alzheimer's Disease: Redox Dysregulation As a Common Denominator for Diverse Pathogenic Mechanisms</t>
  </si>
  <si>
    <t>ANTIOXIDANTS &amp; REDOX SIGNALING</t>
  </si>
  <si>
    <t>Alzheimer's disease (AD) is the most common cause of dementia and a progressive neurodegeneration that appears to result from multiple pathogenic mechanisms (including protein misfolding/aggregation, involved in both amyloid beta-dependent senile plaques and tau-dependent neurofibrillary tangles), metabolic and mitochondrial dysfunction, excitoxicity, calcium handling impairment, glial cell dysfunction, neuroinflammation, and oxidative stress. Oxidative stress, which could be secondary to several of the other pathophysiological mechanisms, appears to be a major determinant of the pathogenesis and progression of AD. The identification of oxidized proteins common for mild cognitive impairment and AD suggests that key oxidation pathways are triggered early and are involved in the initial progression of the neurodegenerative process. Abundant data support that oxidative stress, also considered as a main factor for aging, the major risk factor for AD, can be a common key element capable of articulating the divergent nature of the proposed pathogenic factors. Pathogenic mechanisms influence each other at different levels. Evidence suggests that it will be difficult to define a single-target therapy resulting in the arrest of progression or the improvement of AD deterioration. Since oxidative stress is present from early stages of disease, it appears as one of the main targets to be included in a clinical trial. Exploring the articulation of AD pathogenic mechanisms by oxidative stress will provide clues for better understanding the pathogenesis and progression of this dementing disorder and for the development of effective therapies to treat this disease. Antioxid. Redox Signal. 16, 974-1031.</t>
  </si>
  <si>
    <t>von Bernhardi, Rommy/F-7232-2013</t>
  </si>
  <si>
    <t>von Bernhardi, Rommy/0000-0002-9022-7676</t>
  </si>
  <si>
    <t>1523-0864</t>
  </si>
  <si>
    <t>1557-7716</t>
  </si>
  <si>
    <t>10.1089/ars.2011.4082</t>
  </si>
  <si>
    <t>WOS:000301225200009</t>
  </si>
  <si>
    <t>Sandoval, TE; Espinoza, LJ; Guerra, IA; Olea, AF; Gárate, MP</t>
  </si>
  <si>
    <t>Sandoval, Tania E.; Espinoza, Luis J.; Guerra, Ignacio A.; Olea, Andres F.; Garate, Maria P.</t>
  </si>
  <si>
    <t>Study of the size and morphology of aggregates formed by pentaethylene glycol monooctyl ether (C8EO5) in n-heptane</t>
  </si>
  <si>
    <t>COLLOIDS AND SURFACES A-PHYSICOCHEMICAL AND ENGINEERING ASPECTS</t>
  </si>
  <si>
    <t>The size and morphology adopted by aggregates formed by a non-ionic surfactant, pentaethylene glycol monooctyl ether (C8EO5) in deuterated heptane were studied in detail. Self-diffusion coefficients were estimated by means of H-1-NMR DOSY measurements. Considerable differences in the diffusion coefficients were found for samples with concentrations below and above the critical aggregate concentration - CAC - of the surfactant. The difference is attributed to the presence of aggregates. No significant change in the diffusion coefficient was observed by increasing surfactant concentration; therefore the aggregates exhibit a homogeneous size distribution. Through the diffusion coefficient, a study of the possible size and shape of these aggregates was made. Four different structures were considered: prolate and oblate ellipse, sphere and cylinder, for which structural parameters were calculated using the general Stokes-Einstein equation. The results allow delimiting the size for the possible configurations that C8EO5 aggregates exhibit in heptane. (C) 2012 Elsevier B.V. All rights reserved.</t>
  </si>
  <si>
    <t>Olea, Andres/AAF-6955-2019; Sandoval, Tania/AAO-4357-2020</t>
  </si>
  <si>
    <t>Sandoval, Tania/0000-0001-9418-5031; Olea, Andres/0000-0001-8007-6264</t>
  </si>
  <si>
    <t>0927-7757</t>
  </si>
  <si>
    <t>1873-4359</t>
  </si>
  <si>
    <t>MAR 20</t>
  </si>
  <si>
    <t>10.1016/j.colsurfa.2012.02.002</t>
  </si>
  <si>
    <t>WOS:000302763000003</t>
  </si>
  <si>
    <t>Quevedo, R; Ronceros, B; Garcia, K; Lopéz, P; Pedreschi, F</t>
  </si>
  <si>
    <t>Quevedo, R.; Ronceros, B.; Garcia, K.; Lopez, P.; Pedreschi, F.</t>
  </si>
  <si>
    <t>Enzymatic browning in sliced and pureed avocado: A fractal kinetic study</t>
  </si>
  <si>
    <t>JOURNAL OF FOOD ENGINEERING</t>
  </si>
  <si>
    <t>Modelling of browning is essential to evaluate the effectiveness of the processes applied to obtain fresh-appearance foods and also to determine their shelf life. Computer vision and the fractal kinetic method were used to quantify browning in three avocado cultivars. Samples (avocado slices and pur e) were stored at 4 degrees C and surface images were captured in the tiff format. Browning kinetic was derived from images using the L* mean method and the fractal method. In another experiment, inhibitor kinetic was also quantified, using the polyphenol oxidase activity method (in puree samples) with 0.1%, 0.5% and 1% of sodium bisulfite. In the results for avocado slices, kinetic rate derived by the fractal kinetic method was higher than that obtained with the L* mean method, but the opposite was observed when the avocado was pulping (avocado puree). Kinetic quantified by the fractal method was similarly inhibited by bisulfite, when compared with the L* mean value or PPO activity value methods. In general, the fractal method can be used to record browning kinetic and to discriminate between avocado cultivars, initial structural state of the sample (slice or puree), or in experiments using browning inhibitors. (C) 2011 Elsevier Ltd. All rights reserved.</t>
  </si>
  <si>
    <t>Quevedo, Roberto/AGA-5606-2022; pedreschi, franco/F-8844-2013</t>
  </si>
  <si>
    <t>Quevedo, Roberto/0000-0001-8132-838X</t>
  </si>
  <si>
    <t>0260-8774</t>
  </si>
  <si>
    <t>1873-5770</t>
  </si>
  <si>
    <t>10.1016/j.jfoodeng.2011.02.012</t>
  </si>
  <si>
    <t>WOS:000290500800002</t>
  </si>
  <si>
    <t>Henríquez-Román, JH; Padilla-Campos, L; Páez, MA; Zagal, JH; Rubio, MA; Rangel, CM; Costamagna, J; Cárdenas-Jirón, G</t>
  </si>
  <si>
    <t>The influence of aniline and its derivatives on the corrosion behaviour of copper in acid solution:: a theoretical approach</t>
  </si>
  <si>
    <t>JOURNAL OF MOLECULAR STRUCTURE-THEOCHEM</t>
  </si>
  <si>
    <t>A theoretical study of some aniline derivatives toward corrosion of copper in hydrochloric acid was carried out using cluster models for aniline-copper surface systems and ab initio Hartree Fock calculations. This study showed that the interaction of aniline molecules is highly favored in surface defects like the corner. The adsorption energy increases in several orders of magnitude rising from 30 to 67 kcal/mol. The interaction occurs between the surface defect and the amino group of the aniline molecule. The adsorption energy increases with anilines possesing electron donor substituents and decreases with anilines possessing electron acceptor substituents. These results showed that the corrosion inhibition by aniline molecules can be associated mainly to local properties acting on highly active sites, like defects, present in the copper surface. In addition, the possibility of ion pair formation between protonated aniline and chloride ion, and its influence on the general adsorption of aniline on copper is also analyzed. (c) 2005 Elsevier B.V. All rights reserved.</t>
  </si>
  <si>
    <t>zagal, jose/L-9648-2014; Paez, Maritza/M-2010-2014; Cardenas-Jiron, Gloria/H-9508-2012; Rangel, Carmen M./D-5477-2011</t>
  </si>
  <si>
    <t>Cardenas-Jiron, Gloria/0000-0003-4305-8088; paez, maritza/0000-0001-5881-884X; Rangel, Carmen M./0000-0001-7996-8142</t>
  </si>
  <si>
    <t>0166-1280</t>
  </si>
  <si>
    <t>DEC 30</t>
  </si>
  <si>
    <t>1-3</t>
  </si>
  <si>
    <t>10.1016/j.theochem.2005.05.018</t>
  </si>
  <si>
    <t>WOS:000234302100001</t>
  </si>
  <si>
    <t>Shi, P; Geraldo, D; Fromondi, I; Zagal, JH; Scherson, DA</t>
  </si>
  <si>
    <t>Optical determination of differential coverage-potential relations of redox-active species immobilized on electrode surfaces</t>
  </si>
  <si>
    <t>ANALYTICAL CHEMISTRY</t>
  </si>
  <si>
    <t>Single-wavelength (HeNe laser, lambda = 633 nm), normal incidence UV-visible reflectance spectroscopy was used to monitor the optical properties of the glassy carbon (GC) vertical bar 0.2 M NaOH(aq) interface as a function of the applied potential, E. Whereas the electroreflectance coefficient for bare GC was found to be small and potential independent, surface functionalization by an irreversibly adsorbed layer of tetrasulfonated cobalt phthalocyanine (CoTSPc) yielded a clearly defined sigmoidally shaped normalized reflectance change (Delta R/R) vs E curve over the potential region in which the adsorbate displayed redox peaks. Assuming Delta R/R is proportional to the extent of redox conversion, as has been reported for macrocycles adsorbed on other types of carbon (e.g., Kim, S.; Xu, X.; Bae,I. T.; Wang, Z.; Scherson, D. A. Anal. Chem. 1990, 62, 2647-2650), differential coverage-potential relations were determined based purely on the optical data collected. A similar optical behavior was found for irreversible adsorbed CoPc and tetraamino CoPc (CoTAPc) adsorbed on GC, for which the voltammetric peaks were ill-defined, too small for coulometric analyses to be reliably performed, or both. No detectable changes in the Delta R/R vs E profiles of either bare or macrocyclic-functionalized surfaces were observed upon addition of hydrazine to the neat 0.2 M NaOH solution at potentials at which these surfaces display electrocatalytic properties for its oxidation. Possible factors responsible for this behavior are discussed.</t>
  </si>
  <si>
    <t>Geraldo, Daniela/0000-0001-6029-5697</t>
  </si>
  <si>
    <t>0003-2700</t>
  </si>
  <si>
    <t>1520-6882</t>
  </si>
  <si>
    <t>10.1021/ac051066l</t>
  </si>
  <si>
    <t>WOS:000233125400034</t>
  </si>
  <si>
    <t>Vallejos, G; Cassels, BK; Rezende, MC; Sepúlveda, S</t>
  </si>
  <si>
    <t>Total synthesis of annofolin</t>
  </si>
  <si>
    <t>SYNTHETIC COMMUNICATIONS</t>
  </si>
  <si>
    <t>The synthesis of annofolin (1), an alkaloid isolated from Annona hayesii in small amounts, by a phase-transfer catalytic reduction-methylation of cleistopholin (2) is reported, together with the preparation of its derivatives (3) and (4) by the same method.</t>
  </si>
  <si>
    <t>0039-7911</t>
  </si>
  <si>
    <t>1532-2432</t>
  </si>
  <si>
    <t>10.1080/00397919908086037</t>
  </si>
  <si>
    <t>WOS:000078912500011</t>
  </si>
  <si>
    <t>MATSUHIRO, B; ZANLUNGO, AB; DUTTON, GGS</t>
  </si>
  <si>
    <t>PROTON AND C-13 NUCLEAR MAGNETIC-RESONANCE STUDIES ON METHYL (METHYL D-GALACTOSID)URONATES AND THEIR PER-0-ACETYL DERIVATIVES</t>
  </si>
  <si>
    <t>The 1H- and 13C-NMR spectra of the anomeric methyl (methyl D-galactosid)-uronates [Klebsiella capoular components] and the 1H-NMR spectra of their acetyl derivatives were analyzed. The spectra of the unacetylated D-galactopyranosiduronates showed good correlation with those of the corresponding anomeric D-galactopyranuronic acids and their methyl esters, and with those of the anomeric methyl D-galactopyranosides. From the values of the chemical shifts and coupling constants, it was concluded that the anomeric methyl (methyl D-galatopyranosid)uronates and their corresponding peracetates are in the 4C1(D) conformation. The chemical shifts in the 13C-NMR spectra show good correlation with those of the methyl D-galactosides. The signals of the furanose derivatives appear at fields lower than those of the corresponding pyranose compounds.</t>
  </si>
  <si>
    <t>10.1016/S0008-6215(00)80521-2</t>
  </si>
  <si>
    <t>WOS:A1981MS39100002</t>
  </si>
  <si>
    <t>Marambio, OG; Martin-Trasancos, R; Sánchez, J; Ramos, FA; Pizarro, GD</t>
  </si>
  <si>
    <t>Marambio, Oscar G.; Martin-Trasancos, Rudy; Sanchez, Julio; Ramos, Felipe A.; Pizarro, Guadalupe del C.</t>
  </si>
  <si>
    <t>Fabrication of Functional Polymers with Gradual Release of a Bioactive Precursor for Agricultural Applications</t>
  </si>
  <si>
    <t>GELS</t>
  </si>
  <si>
    <t>Biodegradable and biocompatible polymeric materials and stimulus-responsive hydrogels are widely used in the pharmaceutical, agricultural, biomedical, and consumer sectors. The effectiveness of these formulations depends significantly on the appropriate selection of polymer support. Through chemical or enzymatic hydrolysis, these materials can gradually release bioactive agents, enabling controlled drug release. The objective of this work is to synthesize, characterize, and apply two controlled-release polymeric systems, focusing on the release of a phyto-pharmaceutical agent (herbicide) at varying pH levels. The copolymers were synthesized via free radical polymerization in solution, utilizing tetrahydrofuran (THF) as the organic solvent and benzoyl peroxide (BPO) as the initiator, without the use of a cross-linking agent. Initially, the herbicide was grafted onto the polymeric chains, and its release was subsequently tested across different pH environments in a heterogeneous phase using an ultrafiltration (UF) system. The development of these two controlled-release polymer systems aimed to measure the herbicide's release across different pH levels. The goal is to adapt these materials for agricultural use, enhancing soil quality and promoting efficient water usage in farming practices. The results indicate that the release of the herbicide from the conjugate systems exceeded 90% of the bioactive compound after 8 days at pH 10 for both systems. Furthermore, the two polymeric systems demonstrated first-order kinetics for herbicide release in aqueous solutions at different pH levels. The kinetic constant was found to be higher at pH 7 and 10 compared to pH 3. These synthetic hydrogels are recognized as functional polymers suitable for the sustained release of herbicides in agricultural applications.</t>
  </si>
  <si>
    <t>Martin Trasancos, Rudy/ITV-2921-2023; PIZARRO, GUADALUPE/V-3353-2017</t>
  </si>
  <si>
    <t>PIZARRO, GUADALUPE/0000-0003-2063-1072</t>
  </si>
  <si>
    <t>2310-2861</t>
  </si>
  <si>
    <t>10.3390/gels11020090</t>
  </si>
  <si>
    <t>WOS:001431978100001</t>
  </si>
  <si>
    <t>Aracena, A; Rezende, MC; Pizarro, S</t>
  </si>
  <si>
    <t>Aracena, Andres; Rezende, Marcos Caroli; Pizarro, Sebastian</t>
  </si>
  <si>
    <t>Reproducing the Solvatochromism of Merocyanines by PCM Calculations</t>
  </si>
  <si>
    <t>Polarizable continuum methods (PCM) have been widely employed for simulating solvent effects, in spite of the fact that they either ignore specific interactions in solution or only partially reproduce non-specific contributions. Examples of three solvatochromic dyes with a negative, a positive and a reverse behavior illustrate the achievements and shortcomings of PCM calculations and the causes for their variable success. Even when qualitatively mimicking non-specific solvent effects, departures of calculated values from experimental data may be significant (20-30%). In addition, they can utterly fail to reproduce an inverted behavior that is caused by significant specific contributions by the solvent. As shown through a theoretical model that rationalizes and predicts the solvatochromism of phenolate merocyanines based on DFT (Density Functional Theory) descriptors in the gas phase, PCM shortcomings are to be held responsible for its eventual failure to reproduce experimental data in solution.</t>
  </si>
  <si>
    <t>Caroli, Marcos/H-3570-2019; Aracena, Andres/MCK-0713-2025</t>
  </si>
  <si>
    <t>Aracena, Andres/0000-0002-8367-3520</t>
  </si>
  <si>
    <t>10.3390/molecules29174103</t>
  </si>
  <si>
    <t>WOS:001310995400001</t>
  </si>
  <si>
    <t>Gárate-Pérez, MF; Cáceres-Vergara, D; Tobar, F; Bahamondes, C; Bahamonde, T; Sanhueza, C; Guzmán, F; Sotomayor-Zárate, R; Renard, GM</t>
  </si>
  <si>
    <t>Garate-Perez, Macarena Francisca; Caceres-Vergara, Daniela; Tobar, Francisca; Bahamondes, Carolina; Bahamonde, Tamara; Sanhueza, Claudia; Guzman, Fanny; Sotomayor-Zarate, Ramon; Renard, Georgina M.</t>
  </si>
  <si>
    <t>Effect of lateral septum vasopressin administration on reward system neurochemistry and amphetamine-induced addictive-like behaviors in female rats</t>
  </si>
  <si>
    <t>FRONTIERS IN PHARMACOLOGY</t>
  </si>
  <si>
    <t>Introduction: The chronic use of psychostimulants increases the risk of addiction and, there is no specific pharmacologic treatment for psychostimulant addiction. The vasopressin (AVP) system is a possible pharmacological target in drug addiction. Previous results obtained in our laboratory showed that amphetamine (AMPH) treatment decreases lateral septum (LS) AVP levels in male rats, and AVP microinjection in LS decreases addictive-like behavior. The aim of the present work was to investigate the effect of AMPH treatment on LS AVP levels and the effect of LS AVP administration on the expression of AMPH-conditioned place preference (CPP) in female rats. The secondary objectives were to study the effect of LS AVP administration on LS GABA and glutamate release in male and female rats and on nucleus accumbens (NAc) dopamine (DA) release in female rats.Methods: Female rats were conditioned with AMPH (1.5 mg/kg i.p.) or saline for 4 days.Results: Conditioning with AMPH did not change LS AVP content in females. However, AVP microinjection into the LS decreased the expression of conditioned place preference (CPP) to AMPH. Glutamate and GABA extracellular levels in the LS induced by AVP were studied in males and females. NAc GABA and DA extracellular levels induced by LS AVP microinjection in female rats were measured by microdialysis. In males, AVP perfusion produced a significant increase in LS GABA extracellular levels; however, a decrease in GABA extracellular levels was observed in females. Both in males and females, LS AVP perfusion did not produce changes in LS glutamate extracellular levels. Microinjection of AVP into the LS did not change GABA or DA extracellular levels in the NAc of females.Discussion: Therefore, AVP administration into the LS produces different LS-NAc neurochemical responses in females than males but decreases CPP to AMPH in both sexes. The behavioral response in males is due to a decrease in NAc DA levels, but in females, it could be due to a preventive increase in NAc DA levels. It is reasonable to postulate that, in females, the decrease in conditioning produced by AVP microinjection is influenced by other factors inherent to sex, and an effect on anxiety cannot be discarded.</t>
  </si>
  <si>
    <t>Sanhueza, Claudia/JCN-9254-2023</t>
  </si>
  <si>
    <t>1663-9812</t>
  </si>
  <si>
    <t>JUL 29</t>
  </si>
  <si>
    <t>10.3389/fphar.2024.1411927</t>
  </si>
  <si>
    <t>WOS:001288862000001</t>
  </si>
  <si>
    <t>Agudelo-Hernández, F; Duque, BDP; Rojas-Andrade, R</t>
  </si>
  <si>
    <t>Agudelo-Hernandez, Felipe; Peralta Duque, Beatriz del Carmen; Rojas-Andrade, Rodrigo</t>
  </si>
  <si>
    <t>The pluralistic ontology in youth groups for mental health</t>
  </si>
  <si>
    <t>JOURNAL OF PSYCHOSOCIAL STUDIES</t>
  </si>
  <si>
    <t>Mental problems in young people are increasing and recovery proposals from classic biomedical models are not always effective. One of the responses to this has been the Mutual Help Groups, groups made up of people who meet periodically to help each other based on principles such as trust, transversality, the creation of support networks and new possibilities for psychosocial recovery. These possibilities arise from the same people, with the help of others, to have new ways of understanding reality and approaching it, which is called the agency of possibilities. This research aims to understand the contribution that Mutual Aid Groups make to young people's mental health through group agency. For this, an analysis is carried out through the 'Event', an element of the pluralistic ontology of neo-monadism, which is defined as the unification of individualities based on incalculable networks that overlap with each other to generate new questions and new answers. Using thematic analysis as an analysis tool, in-depth interviews were conducted with six young people with mental problems belonging to a Mutual Help Group. There it was found that intentional states broadly explain world-to-mind, mind-to-world and mind-to-mind functional relationships and interactions, which contributes to ontological pluralism as a new paradigm for addressing social problems. Mental health care has long sought to control people. In this sense, negative adaptation guarantees recover y in vain. On the other hand, positive adaptation, from desires, from heterogeneous forces and beliefs, could be a more effective recovery path.</t>
  </si>
  <si>
    <t>1478-6737</t>
  </si>
  <si>
    <t>10.1332/14786737Y2024D000000023</t>
  </si>
  <si>
    <t>JUL 2024</t>
  </si>
  <si>
    <t>WOS:001265664300001</t>
  </si>
  <si>
    <t>Nicolas, C; Urrutia, A; González, G</t>
  </si>
  <si>
    <t>Nicolas, Carolina; Urrutia, Angelica; Gonzalez, Gonzalo</t>
  </si>
  <si>
    <t>Exploring the use of gender-fair language by influencers</t>
  </si>
  <si>
    <t>EUROPEAN JOURNAL OF MANAGEMENT AND BUSINESS ECONOMICS</t>
  </si>
  <si>
    <t>Purpose - Explore the use of Gender-Fair Language (GFL) by influencers on Instagram.Design/methodology/approach - The clustering methodology. A digital Bag-of-Words (BoW) Method called GFL Clustering BoW Methodology to identify whether an inclusive marketing (IM) strategy can be used. Thus, this research has a methodological and practical contribution to increasing the number of marketing technology tools.Findings - This study is original as it proposes an inclusive digital marketing strategy and contributes with methods associated with digital transfers in order to improve marketing strategies, tactics and operations for inclusive content with a data integrity approach.Research limitations/implications - Due to the limitations of the application programming interface (API) of the social network Instagram, a limited number of text data were used, which allowed for retrieving the last 12 publications of each studied profile. In addition, it should be considered that this study only includes the Spanish language and is applied to a sample of influencers from Chile.Practical implications - The practical contribution of this study will lead to a key finding for the definition of communication strategies in both public and private organizations.Originality/value - The originality of this work lies in its attractive implications for nonprofit and for-profit organizations, government bodies and private enterprises in the measurement of the success of campaigns with an IM communicational strategy and to incorporate inclusive and non-sexist content for their consumers so as to contribute to society.</t>
  </si>
  <si>
    <t>Nicolas, Carolina/AAQ-8797-2021</t>
  </si>
  <si>
    <t>NICOLAS, CAROLINA/0000-0002-1911-2972</t>
  </si>
  <si>
    <t>2444-8451</t>
  </si>
  <si>
    <t>2444-8494</t>
  </si>
  <si>
    <t>DEC 12</t>
  </si>
  <si>
    <t>10.1108/EJMBE-10-2022-0320</t>
  </si>
  <si>
    <t>WOS:001118702500005</t>
  </si>
  <si>
    <t>Boisseaux, P; Hopkinson, P; Santillo, D; Smith, C; Garmulewicz, A; Powell, Z; Galloway, T</t>
  </si>
  <si>
    <t>Boisseaux, Paul; Hopkinson, Peter; Santillo, David; Smith, Charlene; Garmulewicz, Alysia; Powell, Zoe; Galloway, Tamara</t>
  </si>
  <si>
    <t>Environmental safety of second and third generation bioplastics in the context of the circular economy</t>
  </si>
  <si>
    <t>ECOTOXICOLOGY AND ENVIRONMENTAL SAFETY</t>
  </si>
  <si>
    <t>Bioplastics derived from organic materials other than crude oil are often suggested as sustainable solutions for tackling end-of-life plastic waste, but little is known of their ecotoxicity to aquatic species. Here, we investigated the ecotoxicity of second and third generation bioplastics toward the freshwater zooplankton Daphnia magna. In acute toxicity tests (48 h), survival was impacted at high concentrations (g.L-1 range), within the range of salinity-induced toxicity. Macroalgae-derived bioplastic induced hormetic responses under chronic exposure (21 d). Most biological traits were enhanced from 0.06 to 0.25 g.L-1 (reproduction rate, body length, width, apical spine, protein concentration), while most of these traits returned to controls level at 0.5 g.L-1. Phenol-oxidase activity, indicative of immune function, was enhanced only at the lowest concentration (0.06 g.L-1). We hypothesise these suggested health benefits were due to assimilation of carbon derived from the macroalgaebased bioplastic as food. Polymer identity was confirmed by infra-red spectroscopy. Chemical analysis of each bioplastic revealed low metal abundance whilst non target exploration of organic compounds revealed trace amounts of phthalates and flame retardants. The macroalgae-bioplastic disintegrated completely in compost and biodegraded up to 86 % in aqueous medium. All bioplastics acidified the test medium. In conclusion, the tested bioplastics were classified as environmentally safe. Nonetheless, a reasonable end-of-life management of these safer-by-design materials is advised to ensure the absence of harmful effects at high concentrations, depending on the receiving environment.</t>
  </si>
  <si>
    <t>Garmulewicz, Alysia/HTS-8792-2023</t>
  </si>
  <si>
    <t>Garmulewicz, Alysia/0000-0001-8468-5809</t>
  </si>
  <si>
    <t>0147-6513</t>
  </si>
  <si>
    <t>1090-2414</t>
  </si>
  <si>
    <t>10.1016/j.ecoenv.2023.114835</t>
  </si>
  <si>
    <t>WOS:000968806600001</t>
  </si>
  <si>
    <t>Ochoa-Arias, A; Jerardino-Wiesenborn, B; Paucar-Caceres, A</t>
  </si>
  <si>
    <t>Ochoa-Arias, Alejandro; Jerardino-Wiesenborn, Bruno; Paucar-Caceres, Alberto</t>
  </si>
  <si>
    <t>Maturana's Ontology of the Observer and Cultural Biology: Understanding the Organization of Living</t>
  </si>
  <si>
    <t>CONSTRUCTIVIST FOUNDATIONS</t>
  </si>
  <si>
    <t>We focus on: (a) the implications of the ontology of the observer and the role of language as a type of structural coupling that opens up the idea of cultural biology as the final statement upon which Maturana relies to account for the dynamic of the human being as a living (cognitive) system; (b) the identification of some insights through the concept of structural coupling; and (c) the possibility of extending Maturana's ideas to other fields of knowledge, as suggested by Capra.</t>
  </si>
  <si>
    <t>Ochoa Arias, Alejandro/AFP-3251-2022; Paucar-Cáceres, Alberto/AAA-9550-2019; Jerardino-Wiesenborn, Bruno/AAW-6653-2020</t>
  </si>
  <si>
    <t>1782-348X</t>
  </si>
  <si>
    <t>WOS:001001149700007</t>
  </si>
  <si>
    <t>Urzúa, E; Gonzalez-Torres, F; Beltrán, V; Barrias, P; Bonardd, S; Ramírez, AMR; Ahumada, M</t>
  </si>
  <si>
    <t>Urzua, Esteban; Gonzalez-Torres, Fernando; Beltran, Valentina; Barrias, Pablo; Bonardd, Sebastian; Ramirez, A. M. R.; Ahumada, Manuel</t>
  </si>
  <si>
    <t>Ag@Au bimetallic nanoparticles: an easy and highly reproducible synthetic approach for photocatalysis</t>
  </si>
  <si>
    <t>NANOSCALE ADVANCES</t>
  </si>
  <si>
    <t>An Ag@Au bimetallic nanoparticle (BNP) formulation was developed in this work. The proposed formulation was developed using photochemical and chemical methods and non-toxic reagents, showing high reproducibility and homogeneity. The synthesized BNPs have an average size of 7 nm, a core-shell-like structure (silver core and gold shell), high colloidal and long-term stability, and superior catalytic activity under darkness and white light irradiation conditions when evaluating the reduction of 4-nitrophenol to 4-aminophenolate, with respect to the monometallic Ag and Au counterparts. Furthermore, BNP concentrations as low as 2 nM were required to reach 100% conversions in less than 30 minutes. Therefore, considering future applications, the high surface-to-volume ratio of the prepared BNPs coupled with their well-defined optical properties makes them a great candidate for developing heterogeneous catalyzer materials to be applicable under sunlight as an environmentally friendly catalytic system.</t>
  </si>
  <si>
    <t>Bonardd, Sebastian/AAH-9448-2019; Ramírez, Andres/JPL-2918-2023; Ahumada, Manuel/L-2401-2018; Barrias, Pablo/V-7218-2018</t>
  </si>
  <si>
    <t>Beltran, Valentina/0000-0002-3258-7294; Bonardd, Sebastian/0000-0002-3764-9968; Ramirez Ramirez, Andres/0000-0001-8786-7149; Ahumada, Manuel/0000-0002-0589-3296; Barrias, Pablo/0000-0003-4072-4436</t>
  </si>
  <si>
    <t>2516-0230</t>
  </si>
  <si>
    <t>NOV 8</t>
  </si>
  <si>
    <t>10.1039/d2na00539e</t>
  </si>
  <si>
    <t>SEP 2022</t>
  </si>
  <si>
    <t>WOS:000870197700001</t>
  </si>
  <si>
    <t>Borrescio-Higa, F; Droller, F; Valenzuela, P</t>
  </si>
  <si>
    <t>Borrescio-Higa, Florencia; Droller, Federico; Valenzuela, Patricio</t>
  </si>
  <si>
    <t>Financial Distress and Psychological Well-Being During the COVID-19 Pandemic</t>
  </si>
  <si>
    <t>INTERNATIONAL JOURNAL OF PUBLIC HEALTH</t>
  </si>
  <si>
    <t>Objective: We examine the impact of financial distress caused by the COVID-19 pandemic on mental health and psychological well-being. Methods: We analyze cross-sectional survey data (n = 2,545) from the Life during Pandemic study in Chile. We estimate linear probability models to analyze the relationship between economic fragility, financial distress, and psychological well-being. Results: Our findings show unemployment and income loss are highly predictive of experiencing a range of financial problems, such as a lack of savings, as well as difficulties paying bills, consumer debt, and mortgage loans. In turn, financial distress leads to a higher prevalence of poor well-being and mental health deterioration, and sleep problems. Conclusion: Expansion of mental health assistance services are needed, as new diagnosis of mental health conditions has increased, but treatment has not, pointing to a barrier in the access to some mental health care services during the pandemic. Policies designed with the objective of improving financial education are necessary to increase precautionary savings and financial resilience, and alleviate the psychological burden of debt in the future.</t>
  </si>
  <si>
    <t>Droller, Federico/S-7630-2019; Valenzuela, Patricio/F-8264-2016</t>
  </si>
  <si>
    <t>Valenzuela, Patricio/0000-0001-8171-9751</t>
  </si>
  <si>
    <t>1661-8556</t>
  </si>
  <si>
    <t>1661-8564</t>
  </si>
  <si>
    <t>AUG 25</t>
  </si>
  <si>
    <t>10.3389/ijph.2022.1604591</t>
  </si>
  <si>
    <t>WOS:001027453600001</t>
  </si>
  <si>
    <t>González, JL; Diaz-Robles, LA; Cereceda-Balic, F; Pino-Cortés, E; Campos, V</t>
  </si>
  <si>
    <t>Leiva Gonzalez, Jorge; Diaz-Robles, Luis A.; Cereceda-Balic, Francisco; Pino-Cortes, Ernesto; Campos, Valeria</t>
  </si>
  <si>
    <t>Atmospheric Modelling of Mercury in the Southern Hemisphere and Future Research Needs: A Review</t>
  </si>
  <si>
    <t>ATMOSPHERE</t>
  </si>
  <si>
    <t>Mercury is a toxic pollutant that can negatively impact the population's health and the environment. The research on atmospheric mercury is of critical concern because of the diverse process that this pollutant suffers in the atmosphere as well as its deposition capacity, which can provoke diverse health issues. The Minamata Convention encourages the protection of the adverse effects of mercury, where research is a part of the strategies and atmospheric modelling plays a critical role in achieving the proposed aim. This paper reviews the study of modelling atmospheric mercury based on the southern hemisphere (SH). The article discusses diverse aspects focused on the SH such as the spatial distribution of mercury, its emissions projections, interhemispheric transport, and deposition. There has been a discrepancy between the observed and the simulated values, especially concerning the seasonality of gaseous elemental mercury and total gaseous mercury. Further, there is a lack of research about the emissions projections in the SH and mercury deposition, which generates uncertainty regarding future global scenarios. More studies on atmospheric mercury behaviour are imperative to better understand the SH's mercury cycle.</t>
  </si>
  <si>
    <t>Diaz-Robles, Luis/D-3450-2013; Cortés, Ernesto/Z-2777-2019; González, Jorge/AAK-3624-2021; Cereceda-Balic, Francisco/N-4479-2017</t>
  </si>
  <si>
    <t>Leiva, Jorge/0000-0003-2001-9027; Cereceda-Balic, Francisco/0000-0001-7761-1051; Pino-Cortes, Ernesto/0000-0001-5133-2812</t>
  </si>
  <si>
    <t>2073-4433</t>
  </si>
  <si>
    <t>10.3390/atmos13081226</t>
  </si>
  <si>
    <t>WOS:000846155900001</t>
  </si>
  <si>
    <t>McSherry, JP</t>
  </si>
  <si>
    <t>McSherry, J. Patrice</t>
  </si>
  <si>
    <t>The Insubordination of Photography: Documentary Practices under Chile's Dictatorship</t>
  </si>
  <si>
    <t>BULLETIN OF LATIN AMERICAN RESEARCH</t>
  </si>
  <si>
    <t>0261-3050</t>
  </si>
  <si>
    <t>1470-9856</t>
  </si>
  <si>
    <t>10.1111/blar.13382</t>
  </si>
  <si>
    <t>WOS:000830381700012</t>
  </si>
  <si>
    <t>Muñoz-Diaz, P; Jiménez, K; Luraschi, R; Cornejo, F; Figueroa, M; Vera, C; Rivas-Pardo, A; Sandoval, JM; Vásquez, C; Arenas, F</t>
  </si>
  <si>
    <t>Munoz-Diaz, P.; Jimenez, K.; Luraschi, R.; Cornejo, F.; Figueroa, M.; Vera, C.; Rivas-Pardo, A.; Sandoval, J. M.; Vasquez, C.; Arenas, F.</t>
  </si>
  <si>
    <t>Anaerobic RSH-dependent tellurite reduction contributes to Escherichia coli tolerance against tellurite</t>
  </si>
  <si>
    <t>Background Tellurium is a rare metalloid that exerts high toxicity on cells, especially on bacteria, partly due to reactive oxygen species (ROS) generation. Moreover, it has also been observed that tellurite can target free cell thiols groups (RSH) (i.e. reduced glutathione (GSH)), enhancing the cellular redox imbalance. Additionally, in vitro experiments have suggested that several enzymes can reduce tellurite (IV) to its elemental form (0); where RSH present on their active sites may be responsible for the process. Nevertheless, the mechanisms implemented by bacteria for tellurite reduction and its role in resistance have not been evaluated in vivo. Results This work shows that tellurite reduction to elemental tellurium is increased under anaerobic conditions in E. coli cells. The in vivo tellurite reduction is related to the intracellular concentration of total RSH, in the presence and absence of oxygen. This metabolization of tellurite directly contributes to the resistance of the bacteria to the oxyanion. Conclusions We demonstrated that in vivo tellurite reduction is related to the intracellular thiol concentration, i.e. large availability of cellular RSH groups, results in a more significant reduction of tellurite. Furthermore, we observed that, when the bacterium exhibits less resistance to the oxyanion, a decreased tellurite reduction was seen, affecting the growth fitness. Together, these results let us propose that tellurite reduction and the intracellular RSH content are related to the oxyanion bacterial resistance, this tripartite mechanism in an oxygen-independent anaerobic process.</t>
  </si>
  <si>
    <t>vera, Carlos/G-5240-2019; Luraschi, Roberto/AAI-7965-2021</t>
  </si>
  <si>
    <t>Luraschi, Roberto/0000-0001-5611-4320; Arenas, Felipe/0000-0001-5604-5919; Cornejo, Fabian/0000-0002-6633-392X; Vera Vera, Carlos Felipe/0000-0003-2179-9467</t>
  </si>
  <si>
    <t>MAR 21</t>
  </si>
  <si>
    <t>10.1186/s40659-022-00383-5</t>
  </si>
  <si>
    <t>WOS:000771449100001</t>
  </si>
  <si>
    <t>Pérez, LE; Pérez, AE; Pino-Cortés, E; Vallejo, F; Díaz-Robles, LA</t>
  </si>
  <si>
    <t>Espinoza Perez, Lorena; Espinoza Perez, Andrea; Pino-Cortes, Ernesto; Vallejo, Fidel; Diaz-Robles, Luis A.</t>
  </si>
  <si>
    <t>An environmental assessment for municipal organic waste and sludge treated by hydrothermal carbonization</t>
  </si>
  <si>
    <t>Climate change is the world's greatest challenge today, the reason why it is urgent to optimize industrial processes and find new renewable energy sources. Hydrothermal carbonization (HTC) is one of the Waste-to-Energy technologies with greater projections due to its operative advantages. However, for its large-scale implementation, there are challenges related to the variability of the composition of the waste biomass and the seasonal and geographical availability. This research applied the Life Cycle Analysis methodology to evaluate the environmental impacts caused by three biomasses blends as raw material in the HTC process at laboratory scale. The blends analyzed considered different organic fractions of municipal solid waste (food and pruning) and sewage sludge. The results showed that blend 1 had a lower environmental impact for the case of production in the experimental laboratory level, compared with blends 2 and 3. This is mainly due to its greater calorific value and mass yield, which allows obtaining more hydrochar compared with the other blends, increasing the energy efficiency of the process. Also, between 87.94% and 98.00% of the energy reduction is required to obtain neutral impacts regarding the energy requirements in the experimental laboratory level scenario and the Chilean energy matrix. The processing of blends in HTC has excellent potential in a context where municipal solid wastes have been disposed in sanitary landfills or dumps, as in most emerging countries. Since this study incorporated data from the literature, future studies should perform an elemental analysis to provide experimental and differentiated data.</t>
  </si>
  <si>
    <t>Espinoza, Lorena/GVU-7778-2022; Vallejo, Fidel/AAM-6353-2020; Cortés, Ernesto/Z-2777-2019; Espinoza Perez, Andrea Teresa/M-4426-2014</t>
  </si>
  <si>
    <t>Espinoza Perez, Lorena/0000-0001-6737-8479; Vallejo, Fidel Ernesto/0000-0001-5835-298X; Espinoza Perez, Andrea Teresa/0000-0002-6362-9100; Pino-Cortes, Ernesto/0000-0001-5133-2812</t>
  </si>
  <si>
    <t>10.1016/j.scitotenv.2022.154474</t>
  </si>
  <si>
    <t>WOS:000797292700010</t>
  </si>
  <si>
    <t>Cid-Jofre, V; Moreno, M; Reyes-Parada, M; Renard, GM</t>
  </si>
  <si>
    <t>Cid-Jofre, Valeska; Moreno, Macarena; Reyes-Parada, Miguel; Renard, Georgina M.</t>
  </si>
  <si>
    <t>Role of Oxytocin and Vasopressin in Neuropsychiatric Disorders: Therapeutic Potential of Agonists and Antagonists</t>
  </si>
  <si>
    <t>Oxytocin (OT) and vasopressin (AVP) are hypothalamic neuropeptides classically associated with their regulatory role in reproduction, water homeostasis, and social behaviors. Interestingly, this role has expanded in recent years and has positioned these neuropeptides as therapeutic targets for various neuropsychiatric diseases such as autism, addiction, schizophrenia, depression, and anxiety disorders. Due to the chemical-physical characteristics of these neuropeptides including short half-life, poor blood-brain barrier penetration, promiscuity for AVP and OT receptors (AVP-R, OT-R), novel ligands have been developed in recent decades. This review summarizes the role of OT and AVP in neuropsychiatric conditions, as well as the findings of different OT-R and AVP-R agonists and antagonists, used both at the preclinical and clinical level. Furthermore, we discuss their possible therapeutic potential for central nervous system (CNS) disorders.</t>
  </si>
  <si>
    <t>Cid-Jofré, Valeska/ABE-3761-2021</t>
  </si>
  <si>
    <t>Cid-Jofre, Valeska/0000-0003-2227-1023; Moreno Fernandez, Macarena/0000-0001-5954-0675; Renard, Georgina Maria/0000-0002-5439-7547</t>
  </si>
  <si>
    <t>10.3390/ijms222112077</t>
  </si>
  <si>
    <t>WOS:000718708700001</t>
  </si>
  <si>
    <t>Báez-Grez, R; Arrué, L; Pino-Rios, R</t>
  </si>
  <si>
    <t>Baez-Grez, Rodrigo; Arrue, Lily; Pino-Rios, Ricardo</t>
  </si>
  <si>
    <t>Quantitative analysis of aromaticity in azines by means of dissected descriptors based on the magnetic criteria</t>
  </si>
  <si>
    <t>CHEMICAL PHYSICS LETTERS</t>
  </si>
  <si>
    <t>The effect of the systematic replacement of a CH group by an N atom in the aromaticity and stability of a benzene is a question in chemistry that has several answers. In this article we will re-examine the aromaticity using the magnetic criteria through ring current strength (RCS) and NICSzz descriptors dissected in their sigma and pi contributions at DFT level and the relative stability and Delta E-gap of azines at the CCSD(T) level. The results are pragmatic and show that, in effect, the replacement of a CH unit by N atom produces a reduction in aromaticity of azines being less aromatic those with more C-N units. This reduction is small so that systems still present large aromatic behaviour. Additionally, it is shown that there is an influence of the local diatropic currents located in the nitrogen atoms therefore the dissected indicators such as RCS pi and NICS pi,zz(1) are those that best describe the aromaticity in azines. Finally, it is observed a trend between RCS values and Delta E-gap at the CCSD (T) level which could be explained using the maximum hardness principle. The systemic replacement causes a reduction in the relative stability of azines, and however, there is no direct relationship with aromaticity since it is necessary to take into account the sigma effects.</t>
  </si>
  <si>
    <t>Báez-Grez, Rodrigo/AAM-4876-2021; Arrue, Lily/AAJ-8465-2021</t>
  </si>
  <si>
    <t>Arrue, Lily/0000-0003-0916-6077; Baez-Grez, Rodrigo/0000-0001-9303-1559</t>
  </si>
  <si>
    <t>0009-2614</t>
  </si>
  <si>
    <t>1873-4448</t>
  </si>
  <si>
    <t>10.1016/j.cplett.2021.138973</t>
  </si>
  <si>
    <t>WOS:000702874800013</t>
  </si>
  <si>
    <t>Drenowatz, C; Ferrari, G; Greier, K</t>
  </si>
  <si>
    <t>Drenowatz, Clemens; Ferrari, Gerson; Greier, Klaus</t>
  </si>
  <si>
    <t>Changes in Physical Fitness during Summer Months and the School Year in Austrian Elementary School Children-A 4-Year Longitudinal Study</t>
  </si>
  <si>
    <t>INTERNATIONAL JOURNAL OF ENVIRONMENTAL RESEARCH AND PUBLIC HEALTH</t>
  </si>
  <si>
    <t>Even though physical fitness is an important component in children's health and well-being, there has been a decline in physical fitness over the last several decades. The present study examined potential differences in the development of physical fitness during the academic year and summer vacation in Austrian elementary-school children. A total of 214 children (52.3% boys) completed the German motor test in the fall (after summer vacation) and spring (prior to summer vacation) of every grade throughout their elementary school years. This resulted in eight assessments of cardio-respiratory endurance, muscular fitness, flexibility, speed, agility, and balance over a 4-year period. As expected, physical fitness increased with age but the improvement in cardio-respiratory endurance and muscular fitness was more pronounced during summer vacation (p &lt; 0.01), while the improvement in speed was more pronounced during the academic year (p &lt; 0.01). These results indicate an influence of weather conditions on health-enhancing physical activity in addition to structural and social support. Particularly in geographical regions with cold winters and shorter days, health-enhancing physical activity may be limited. Accordingly, schools need to provide additional opportunities to ensure an adequate amount of physical activity that stimulates the development of physical fitness.</t>
  </si>
  <si>
    <t>Ferrari, Gerson/ABG-6635-2021; Drenowatz, Clemens/A-1928-2013; Ferrari, Gerson/P-1152-2014</t>
  </si>
  <si>
    <t>Ferrari, Gerson/0000-0003-3177-6576; Drenowatz, Clemens/0000-0002-3861-5364; Greier, Klaus/0000-0002-7150-1203</t>
  </si>
  <si>
    <t>1660-4601</t>
  </si>
  <si>
    <t>10.3390/ijerph18136920</t>
  </si>
  <si>
    <t>WOS:000671259800001</t>
  </si>
  <si>
    <t>Santibañez, A; Paine, D; Parra, M; Muñoz, C; Valdes, N; Zapata, C; Vargas, R; Gonzalez, A; Tello, M</t>
  </si>
  <si>
    <t>Santibanez, Alvaro; Paine, Diego; Parra, Mick; Munoz, Carlos; Valdes, Natalia; Zapata, Claudia; Vargas, Rodrigo; Gonzalez, Alex; Tello, Mario</t>
  </si>
  <si>
    <t>Oral Administration of Lactococcus lactis Producing Interferon Type II, Enhances the Immune Response Against Bacterial Pathogens in Rainbow Trout</t>
  </si>
  <si>
    <t>FRONTIERS IN IMMUNOLOGY</t>
  </si>
  <si>
    <t>Lactic acid bacteria are a powerful vehicle for releasing of cytokines and immunostimulant peptides at the gastrointestinal level after oral administration. However, its therapeutic application against pathogens that affect rainbow trout and Atlantic salmon has been little explored. Type II interferon in Atlantic salmon activates the antiviral response, protecting against viral infection, but its role against bacterial infection has not been tested in vivo. In this work, through the design of a recombinant lactic acid bacterium capable of producing Interferon gamma from Atlantic salmon, we explore its role against bacterial infection and the ability to stimulate systemic immune response after oral administration of the recombinant probiotic. Recombinant interferon was active in vitro, mainly stimulating IL-6 expression in SHK-1 cells. In vivo, oral administration of the recombinant probiotic produced an increase in IL-6, IFN gamma and IL-12 in the spleen and kidney, in addition to stimulating the activity of lysozyme in serum. The challenge trials indicated that the administration of the IFN gamma-producing probiotic doubled the survival in fish infected with F. psychrophilum. In conclusion, our results showed that the oral administration of lactic acid bacteria producing IFN gamma managed to stimulate the immune response at a systemic level, conferring protection against pathogens, showing a biotechnological potential for its application in aquaculture.</t>
  </si>
  <si>
    <t>Vargas, Rodrigo/C-4720-2008; González, Alex/GYU-3220-2022; Tello, Mario/N-4198-2019; Valdes, Natalia/AAI-8151-2021; muñoz, carlos/AAN-9317-2020</t>
  </si>
  <si>
    <t>Paine-Cabrera, Diego/0000-0001-9047-9497; Tello, Mario/0000-0003-4573-6460; Gonzalez, Alex/0000-0001-9968-8623; valdes parra, Natalia/0000-0002-6884-7799</t>
  </si>
  <si>
    <t>1664-3224</t>
  </si>
  <si>
    <t>JUN 25</t>
  </si>
  <si>
    <t>10.3389/fimmu.2021.696803</t>
  </si>
  <si>
    <t>WOS:000671320200001</t>
  </si>
  <si>
    <t>Averaging generalized scalar field cosmologies I: locally rotationally symmetric Bianchi III and open Friedmann-Lemaitre-Robertson-Walker models</t>
  </si>
  <si>
    <t>Scalar field cosmologies with a generalized harmonic potential and a matter fluid with a barotropic Equation of State (EoS) with barotropic index gamma for locally rotationally symmetric (LRS) Bianchi III metric and open Friedmann-Lemaitre-Robertson-Walker (FLRW) metric are investigated. Methods from the theory of averaging of nonlinear dynamical systems are used to prove that time-dependent systems and their corresponding time-averaged versions have the same late-time dynamics. Therefore, simple time-averaged systems determine the future asymptotic behavior. Depending on values of barotropic index gamma late-time attractors of physical interests for LRS Bianchi III metric are Bianchi III flat spacetime, matter dominated FLRW universe (mimicking de Sitter, quintessence or zero acceleration solutions) and matter-curvature scaling solution. For open FLRW metric late-time attractors are a matter dominated FLRW universe and Milne solution. With this approach, oscillations entering nonlinear system through Klein-Gordon (KG) equation can be controlled and smoothed out as the Hubble factor H - acting as a time-dependent perturbation parameter - tends monotonically to zero. Numerical simulations are presented as evidence of such behaviour.</t>
  </si>
  <si>
    <t>Millano, Alfredo/JLL-5668-2023; González, Esteban/AGF-1575-2022; Leon, Genly/E-9436-2015</t>
  </si>
  <si>
    <t>Michea, Claudio/0000-0002-4528-134X; Millano, Alfredo/0000-0002-1625-0624; Leon, Genly/0000-0002-1152-6548; Gonzalez Banda, Esteban/0000-0001-6769-5722</t>
  </si>
  <si>
    <t>10.1140/epjc/s10052-021-09185-7</t>
  </si>
  <si>
    <t>WOS:000667202300001</t>
  </si>
  <si>
    <t>Birindelli, I; Galise, G; Rodríguez-Paredes, A</t>
  </si>
  <si>
    <t>Birindelli, Isabeau; Galise, Giulio; Rodriguez-Paredes, Andrei</t>
  </si>
  <si>
    <t>Existence Issues for a Large Class of Degenerate Elliptic Equations with Nonlinear Hamiltonians</t>
  </si>
  <si>
    <t>JOURNAL OF CONVEX ANALYSIS</t>
  </si>
  <si>
    <t>For degenerate elliptic equations with a nonlinear gradient term H, in bounded uniformly convex domains Omega, we give sufficient conditions for the existence and uniqueness of solutions in terms of the size of Omega, of the forcing term f and of H. The results apply to a wide class of equations, having as principal part significant examples, e.g. linear degenerate operators, weighted partial trace operators and the homogeneous Monge-Ampere operator.</t>
  </si>
  <si>
    <t>galise, giulio/0000-0002-9708-5113</t>
  </si>
  <si>
    <t>0944-6532</t>
  </si>
  <si>
    <t>WOS:000661128900003</t>
  </si>
  <si>
    <t>Díaz, D; Toledo-Mercado, E; Soto, I; Zabala-Blanco, D; Gutierrez, S</t>
  </si>
  <si>
    <t>Diaz, Diego; Toledo-Mercado, Esteban; Soto, Ismael; Zabala-Blanco, David; Gutierrez, Sebastian</t>
  </si>
  <si>
    <t>Comparison of different Machine Learning techniques for PCE estimation of MMWave Energy Harvesting Rectifier devices</t>
  </si>
  <si>
    <t>Power conversion efficiency (PCE) is one of, if not, the most important metric in energy conversion systems, it predicts the energy output of a device, given its input. In radio frequency (RF) energy harvesting (EH) devices, the energy in electromagnetic (EM) waves is captured and turned into a stable low power energy source for various uses, a key component in this process is the harvester's rectifier, of which, its non linear behavior greatly increases the complexity of PCE estimation, making approximate models inaccurate, and precise models extremely complex. This is why, in this work, a set of simpler solutions, for rectifier's device PCE estimation are proposed. Through the use of data science and Machine Learning, Support Vector Regressor (SVR), Random Forest Regressor (RFR), and Neural Network (NN) models are trained and compared, using mean square error and absolute mean error as metrics for validity, obtaining a viable model and defined steps for improvement.</t>
  </si>
  <si>
    <t>Gutierrez Lillo, Sebastian/0000-0003-3714-0632</t>
  </si>
  <si>
    <t>10.1109/SACVLC53127.2021.9652358</t>
  </si>
  <si>
    <t>WOS:000760247000015</t>
  </si>
  <si>
    <t>Navarrete, A; Izquierdo, JM; López, M; Celentano, D; Walczak, M; García-Hererra, C; Pinto, HC</t>
  </si>
  <si>
    <t>Navarrete, Alvaro; Izquierdo, Jose Miguel; Lopez, Miguel; Celentano, Diego; Walczak, Magdalena; Garcia-Hererra, Claudio; Pinto, Haroldo Cavalcanti</t>
  </si>
  <si>
    <t>Simulation-assisted approach for determining wear-limited tool life in the coining process</t>
  </si>
  <si>
    <t>Efficiency of coin manufacturing is often limited by the service life of the stamping dies, whose degradation by wear results in decreasing the quality of the produced coin engraving. The aim of this work is to explore the ability of the combined application of experimental characterization and numerical simulation of the material elastoplastic forming response, friction effects, and die material wear rate as a tool to contribute to the coin design in order to ultimately increase the number of coins that can be die forged before the use of a worn die compromises the desired quality of the final product. The following aspects have been particularly addressed in this study. First, the influence of two design parameters related with the quality of the coins, i.e., die displacement and depth of engraving, is quantified determining that the die displacement is the most preponderant since the stamping force needed in this process is higher compared with that obtained by varying the depth of engraving. In addition, it is found that the curvature of the coin relief determines the local stress distribution, in some cases even at the opposite die, resulting in a heterogeneous wear evolution. A complementary wear test reveals that, for the involved range of curvatures, the wear mechanism may shift from dominated by plowing/cutting to dominated by fatigue. It is concluded that the numerical simulation allows considering efficiency of the coining process already at the stage of the aesthetic design of a coin.</t>
  </si>
  <si>
    <t>Walczak, Magdalena/F-9259-2013; Celentano, Diego/JQW-5027-2023; Pinto, Haroldo/A-4174-2016</t>
  </si>
  <si>
    <t>Pinto, Haroldo/0000-0002-8007-5832</t>
  </si>
  <si>
    <t>10.1007/s00170-020-06228-3</t>
  </si>
  <si>
    <t>OCT 2020</t>
  </si>
  <si>
    <t>WOS:000582423300001</t>
  </si>
  <si>
    <t>Canales, D; Saavedra, M; Flores, MT; Bejarano, J; Ortiz, JA; Orihuela, P; Alfaro, A; Pabón, E; Palza, H; Zapata, PA</t>
  </si>
  <si>
    <t>Canales, Daniel; Saavedra, Marcela; Flores, Maria T.; Bejarano, Julian; Andres Ortiz, J.; Orihuela, Pedro; Alfaro, Aline; Pabon, Elizabeth; Palza, Humberto; Zapata, Paula A.</t>
  </si>
  <si>
    <t>Effect of bioglass nanoparticles on the properties and bioactivity of poly(lactic acid) films</t>
  </si>
  <si>
    <t>JOURNAL OF BIOMEDICAL MATERIALS RESEARCH PART A</t>
  </si>
  <si>
    <t>Bioglass nanoparticles (n-BGs, 54SiO(2):40CaO:6P(2)O(5)mol %) with about 27 nm diameter were synthesized by the sol-gel method and incorporated into a poly(lactic acid) (PLA) matrix by the melting process in order to obtain nanocomposites with filler contents of 5, 10, and 25 wt %. Our results showed that during the cooling scan, the crystallization temperature (T-c) of the PLA/n-BG nanocomposites decreased 13 degrees C as compared to neat PLA. The presence of nanoparticles also decreased the thermal stability of the PLA matrix, as nanocomposites presented up to about 20 degrees C lower degradation temperatures in a nitrogen atmosphere. The presence of n-BG increased the stiffness of the polymer matrix, and for instance the composite with 25 wt % of filler presented about 52.6% higher Young's modulus than neat PLA. n-BG incorporation into PLA increased also the hydrolytic degradation of the polymer over time. When the PLA composites were immersed in simulated body fluid, an apatite layer was formed on their surface, as verified by Fourier transform infrared, X-Ray Diffraction (XRD), and scanning electron microscopy-EDS, showing that the presence of n-BG induced bioactivity on the PLA matrix. Moreover, the viability of cervical uterine adenocarcinoma cells was higher on PLA/n-BG nanocomposite with 25 wt % of filler. The presence of n-BG barely gave an antibacterial effect on the polymer matrix, despite the well-known biocidal properties of these nanoparticles. Our results show that the presence of n-BGs is a proper route for improving the bioactivity of PLA with potential application in tissue engineering.</t>
  </si>
  <si>
    <t>Canales Arévalo, Daniel/HSG-6748-2023; Bejarano, Julian/Q-7870-2017; Ortiz, J. Andrés/R-4060-2019; Palza, Humberto/H-2782-2014</t>
  </si>
  <si>
    <t>Canales, Daniel A./0000-0002-2691-6864; Zapata, Paula Andrea/0000-0003-3361-6226; Saavedra Gonzalez, Marcela Andrea/0000-0001-6849-0796; Ortiz, J. Andres/0000-0002-3142-9470; Palza, Humberto/0000-0001-5246-6791</t>
  </si>
  <si>
    <t>1549-3296</t>
  </si>
  <si>
    <t>1552-4965</t>
  </si>
  <si>
    <t>10.1002/jbm.a.36963</t>
  </si>
  <si>
    <t>JUN 2020</t>
  </si>
  <si>
    <t>WOS:000541261000001</t>
  </si>
  <si>
    <t>Sánchez-Ramírez, C; Alegre, LM</t>
  </si>
  <si>
    <t>Sanchez-Ramirez, Celso; Alegre, Luis M.</t>
  </si>
  <si>
    <t>Plantar support adaptations in healthy subjects after eight weeks of barefoot running training</t>
  </si>
  <si>
    <t>PEERJ</t>
  </si>
  <si>
    <t>Background: Although the studies of barefoot running have intensified, it is still missing longitudinal work analyzing the effects of barefoot running on the phases of plantar support. The objective of this research was to analyze the modifications undergone by the Total Foot Contact (TFC) phase and its Flat Foot Phase (FFP) in subjects beginning the practice of barefoot running, in its acute and chronic effects. Methods: A total of 28 subjects were divided into the Barefoot Group (BFGr) (n = 16) and the Shod Group (SHGr) (n = 12), evaluated before (Baseline) and after running for 20 min at 3.05 m.s(-1) (Post 20 min Running), and at the end of a running training protocol with an 8-week long progressive volume (Post-8-week Training). The dynamic plantar support was measured with a baropodoscope. The duration of TFC (ms), the moment at which the FFP occurred, the maximum surface of TFC (MSTFC) (cm(2)), the FFP surface (SFFP) (cm(2)), the peak pressure of TFC (PP degrees TFC) (kg.cm(-2)), and the peak pressure of FFP (PP degrees FFP) (kg.cm(-2)) were recorded. The 3 x 2 ANOVA analysis was made to determine the effects and interactions that the condition produced (Shod/Barefoot), and the time factor Baseline/ Post 20 min Running/Post-8-week Training). The condition factor caused more significant effects than the time factor in all the variables. Duration of TFC in BFGr showed significant differences between the Baseline and Post-8-week Training (p = 0.000) and between Post-20-min Running and Post-8-week Training (p = 0.000), with an increasing trend. In the moment at which the FFP occurred a significant increase (p = 0.029) increase was found in Post-20 min Running (48.5%) compared to the Baseline (42.9%). In MSTFC, BFGr showed in Post-8-week Training values significantly higher than the Baseline (p = 0.000) and than Post-20-min Running (p = 0.000). SHGr presented a significant difference between the Baseline and Post-8-week Training (p = 0.040). SFFP in BFGr modified its values with an increasing trend (p = 0.000). PP degrees TFC in BFGr showed a significant decrease (p = 0.003) in Post-8-week Training (1.9 kg.cm(2)) compared to the Baseline (2.4 kg.cm(-2)). In PP degrees FFP significant decreases were recorded in BFGr and between Post-8-week Training and Baseline (p = 0.000), and Post-8-week Training and Post 20 min Running (p = 0.035). Conclusions: The adaptation took place after the 8-week training. The adaptations to running barefoot were characterized by causing an increase of the foot's plantar support in TFC and in FFP, as well as a decrease of the plantar pressure peak in both phases. Also, there is an increased duration of the TFC and FFP, which may be related to an acquired strategy to attenuate the impacts of the ground's reaction forces.</t>
  </si>
  <si>
    <t>Alegre, Luis M./K-5777-2012</t>
  </si>
  <si>
    <t>Alegre, Luis M./0000-0002-4502-9275; SANCHEZ-RAMIREZ, CELSO/0000-0001-6696-5751</t>
  </si>
  <si>
    <t>2167-8359</t>
  </si>
  <si>
    <t>MAR 31</t>
  </si>
  <si>
    <t>e8862</t>
  </si>
  <si>
    <t>10.7717/peerj.8862</t>
  </si>
  <si>
    <t>WOS:000522526500008</t>
  </si>
  <si>
    <t>Fierro, A; Vergara, PM; Grez, AA; Alaniz, AJ; Carvajal, MA; Lizama, M; Ramírez-Hernández, A</t>
  </si>
  <si>
    <t>Fierro, Andres; Vergara, Pablo M.; Grez, Audrey A.; Alaniz, Alberto J.; Carvajal, Mario A.; Lizama, M.; Ramirez-Hernandez, Alfredo</t>
  </si>
  <si>
    <t>Landscape-scale management of exotic forest plantations: synergy between deadwood and clear-cutting synchrony modulates saproxylic beetle diversity</t>
  </si>
  <si>
    <t>LANDSCAPE ECOLOGY</t>
  </si>
  <si>
    <t>Context Although saproxylic beetles use deadwood in industrial exotic forest plantations, deadwood and historical land use patterns may interact among each other making difficult the implementation sustainable management intended to conserve saproxylic beetle diversity. Objectives We assessed the additive and interactive effects of deadwood and landscape-scale variables on alpha (alpha) and gamma (gamma) diversity of saproxylic beetles. Methods We installed 1034 traps in 80 stands of pine/eucalyptus plantations, clear-cuts and native forest distributed in 29 1-km radius landscape units. Deadwood amount/diversity and composition (native vs. exotic) were estimated for each habitat. A 14-year image time series was used to estimate the cover of native forest and the temporal coefficient of variation of clear-cut cover, CV(CC), an indicator of how extensive clear-cut areas have been in each landscape. Results The amount/diversity of deadwood affected positively the alpha-diversity of all species, but its effect turned negative in clear cut stands. Exotic deadwood had an overall negative effect on alpha diversity of fungivores and was more marked as the cover of native forest increased within landscapes. The gamma diversity of all species and predators responded negatively to CV(CC), while fungivores responded negatively to the current native forest cover. Deadwood and landscape-scale management had nonlinear effects on gamma diversity, with the deadwood composition effect being dependent on clear-cut cover. All species and predators were less diverse as the proportion of exotic deadwood increased, but this effect turned positive within landscapes with high CV(CC). Conclusions Landscape-scale forest management has long- and short-term effects on saproxylic beetles that are modulated by deadwood and propagate through species functional dimensions.</t>
  </si>
  <si>
    <t>Grez, Audrey/G-8677-2013; Vergara, Pablo/F-2519-2010; Alaniz, Alberto/J-3104-2019; Carvajal, Mario/GYU-2659-2022; Ramirez-Hernandez, Alfredo/P-1866-2014</t>
  </si>
  <si>
    <t>Alaniz, Alberto J./0000-0003-4878-8848; Vergara, Pablo/0000-0002-0024-1678; Ramirez-Hernandez, Alfredo/0000-0002-7261-7443</t>
  </si>
  <si>
    <t>0921-2973</t>
  </si>
  <si>
    <t>1572-9761</t>
  </si>
  <si>
    <t>10.1007/s10980-019-00966-w</t>
  </si>
  <si>
    <t>WOS:000519543400006</t>
  </si>
  <si>
    <t>Lasarte-Aragonés, G; Alvarez-Lueje, A; Salazar, R; Toledo-Neira, C</t>
  </si>
  <si>
    <t>Lasarte-Aragones, Guillermo; Alvarez-Lueje, Alejandro; Salazar, Ricardo; Toledo-Neira, Carla</t>
  </si>
  <si>
    <t>Application of Switchable Hydrophobicity Solvents for Extraction of Emerging Contaminants in Wastewater Samples</t>
  </si>
  <si>
    <t>In the present work, the effectiveness of switchable hydrophobicity solvents (SHSs) as extraction solvent (N,N-Dimethylcyclohexylamine (DMCA), N,N-Diethylethanamine (TEA), and N,N-Benzyldimethylamine (DMBA)) for a variety of emerging pollutants was evaluated. Different pharmaceutical products (nonsteroidal anti-inflammatory drugs (NSAIDs), hormones, and triclosan) were selected as target analytes, covering a range of hydrophobicity (LogP) of 3.1 to 5.2. The optimized procedure was used for the determination of the target pharmaceutical analytes in wastewater samples as model analytical problem. Absolute extraction recoveries were in the range of 51% to 103%. The presented method permits the determination of the target analytes at the low ng mL(-1) level, ranging from 0.8 to 5.9 (except for Triclosan, 106 ng mL(-1)) with good precision (relative standard deviation lower than 6%) using high-pressure liquid chromatography (HPLC) combined with ultraviolet (DAD) and fluorescence (FLR) detection. The microextraction alternative resulted in a fast, simple, and green method for a wide variety of analytes in environmental water sample. The results suggest that this type of solvent turns out to be a great alternative for the determination of different analytes in relatively complex water samples.</t>
  </si>
  <si>
    <t>Alvarez-Lueje, Alejandro/N-3707-2019; Salazar, Ricardo/L-7870-2013; Lasarte Aragones, Guillermo/S-2381-2018</t>
  </si>
  <si>
    <t>Lasarte Aragones, Guillermo/0000-0003-3502-9367; Salazar-Gonzalez, Ricardo/0000-0003-2180-6022; Toledo Neira, Carla Beatriz/0000-0003-2872-3043</t>
  </si>
  <si>
    <t>10.3390/molecules25010086</t>
  </si>
  <si>
    <t>WOS:000513770000086</t>
  </si>
  <si>
    <t>Rivas, C; Triestino, M</t>
  </si>
  <si>
    <t>Rivas, Cristobal; Triestino, Michele</t>
  </si>
  <si>
    <t>One-dimensional Actions of Higman's Group</t>
  </si>
  <si>
    <t>DISCRETE ANALYSIS</t>
  </si>
  <si>
    <t>We build a faithful action of Higman's group on the line by homeomorphisms, answering a question of Yves de Cornulier. As a by-product we obtain many quasimorphisms from Higman's group into the reals. We also show that every action by C-1-diffeomorphisms of Higman's group on the line or the circle is trivial.</t>
  </si>
  <si>
    <t>Triestino, Michele/AAB-7691-2020</t>
  </si>
  <si>
    <t>Rivas, Cristobal/0000-0003-4021-2705</t>
  </si>
  <si>
    <t>2397-3129</t>
  </si>
  <si>
    <t>10.19086/da.11151</t>
  </si>
  <si>
    <t>WOS:000508368300001</t>
  </si>
  <si>
    <t>Rivera-Vera, C; Lasarte-Aragonés, G; Bravo, MA; Muñoz-Lira, D; Salazar, R; Toledo-Neira, C</t>
  </si>
  <si>
    <t>Rivera-Vera, Camilo; Lasarte-Aragones, Guillermo; Bravo, Manuel A.; Munoz-Lira, Daniela; Salazar, Ricardo; Toledo-Neira, Carla</t>
  </si>
  <si>
    <t>Ionic liquids-based dispersive liquid-liquid microextraction for determination of carcinogenic polycyclic aromatic hydrocarbons in tea beverages: Evaluation of infusion preparation on pollutants release</t>
  </si>
  <si>
    <t>FOOD CONTROL</t>
  </si>
  <si>
    <t>A rapid, and sensitive analytical method based on the use of Dispersive Liquid-Liquid Microextraction, ionic liquids and High-performance liquid chromatography equipped with a fluorescence detector for determination of six carcinogenic Polycyclic Aromatic Hydrocarbons (PAHs) in tea infusions samples was developed. The effects of various parameters associated to analytical method and tea infusions preparation were studied. Under the optimized conditions the method exhibited good precision, with relative standard deviation values between 2% and 5%, for the six PAHs. Limits of detection of the method achieved for all the analytes were between 2.0 and 30.8 ng L-1, and the recoveries ranged from 56% to 94%. The proposed method was successfully applied to the analysis of twenty-five tea marketed in Chile. The concentration found for the six carcinogenic PAHs were reported for the first time in this study and the values are found between 0.4 and 9.7 mu g L-1 for black tea, 7.0-16.3 mu g L-1 for green tea and 1.4-8.25 mu g L-1 for white tea.</t>
  </si>
  <si>
    <t>Salazar, Ricardo/L-7870-2013; Lasarte Aragones, Guillermo/S-2381-2018</t>
  </si>
  <si>
    <t>Toledo Neira, Carla Beatriz/0000-0003-2872-3043; Bravo, Manuel/0000-0002-4548-6265; , Camilo Rivera Vera/0009-0002-8833-9342; Lasarte Aragones, Guillermo/0000-0003-3502-9367; Salazar-Gonzalez, Ricardo/0000-0003-2180-6022</t>
  </si>
  <si>
    <t>0956-7135</t>
  </si>
  <si>
    <t>1873-7129</t>
  </si>
  <si>
    <t>10.1016/j.foodcont.2019.06.011</t>
  </si>
  <si>
    <t>WOS:000482506700004</t>
  </si>
  <si>
    <t>Pseudoplastic fluid flows for different Prandtl numbers: Steady and time-dependent solutions</t>
  </si>
  <si>
    <t>INTERNATIONAL JOURNAL OF THERMAL SCIENCES</t>
  </si>
  <si>
    <t>In this work, a variational multiscale (VMS) finite element formulation is used to approximate numerically the natural convection in square cavity with differentially heated from sidewalls problem for Newtonian and power-law fluids. The problem is characterized for going through a Hopf bifurcation when reaching high enough Rayleigh numbers, which initiates the transition between steady and time dependent behavior, however, results found in the literature are only for air Prandtl number. The presented VMS formulation is validated using existing results, and is used to study highly convective cases, to determine the flow conditions at which it becomes time dependent, and to establish new benchmark solutions for non-Newtonian fluid flows for different Pr and power-law indexes n. The range of solutions were found in the range 0.6 &lt; n &lt; 1 and 0.01 &lt; Pr &lt; 1,000, and the critical Rayleigh number (Ra-c) where Hopf bifurcations appear were identified for all cases. Obtained results have good agreement with those previously reported in the specific literature, and new data related to the heat transfer capabilities of pseudoplastic fluids and its oscillatory behavior was identified. This non-Newtonian influence of the fluid is later checked in a 3D model of a simplified heat exchanger, where the capability of pseudoplastic fluids for energy transport proved to be enhanced when compared to the Newtonian case.</t>
  </si>
  <si>
    <t>Cruchaga, Marcela/M-7522-2014; Baiges, Joan/D-3433-2014; Castillo, Ernesto/D-1612-2015; Codina, Ramon/I-2311-2014</t>
  </si>
  <si>
    <t>Castillo, Ernesto/0000-0001-7013-6008; Aguirre, Alejandro/0000-0003-0638-5258; Codina, Ramon/0000-0002-7412-778X</t>
  </si>
  <si>
    <t>1290-0729</t>
  </si>
  <si>
    <t>1778-4166</t>
  </si>
  <si>
    <t>10.1016/j.ijthermalsci.2019.106022</t>
  </si>
  <si>
    <t>WOS:000487647600053</t>
  </si>
  <si>
    <t>Gamboa, J; Mendez, F; Paranjape, MB; Sirois, B</t>
  </si>
  <si>
    <t>Gamboa, J.; Mendez, F.; Paranjape, M. B.; Sirois, Benoit</t>
  </si>
  <si>
    <t>The twin paradox: the role of acceleration</t>
  </si>
  <si>
    <t>CANADIAN JOURNAL OF PHYSICS</t>
  </si>
  <si>
    <t>The twin paradox corresponds to the situation where two twins begin at rest in an inertial reference frame, one of them takes a journey, normally very fast and to a distant place, and then returns to the twin at rest. The twin paradox evokes the idea that each twin would say that it should be the other who is younger because of their relative motion. A complete resolution of the paradox corresponds to the calculation of the elapsed proper time of each twin, by each twin, and the subsequent observation that they actually get the same answer, that the travelling twin is indeed the younger twin. Acceleration has a role to play; indeed, if one tries to calculate the age difference from the point of the view of the travelling twin, then the role of the acceleration is crucial and cannot be dismissed. In this tutorial, we show in complete and pedagogical detail, how to do the necessary calculations according to each twin using simple transformations of coordinates.</t>
  </si>
  <si>
    <t>Gamboa, Jorge/R-8744-2019; Paranjape, Manu/AAI-2388-2020</t>
  </si>
  <si>
    <t>Gamboa, Jorge/0000-0001-7992-7199</t>
  </si>
  <si>
    <t>0008-4204</t>
  </si>
  <si>
    <t>1208-6045</t>
  </si>
  <si>
    <t>10.1139/cjp-2018-0788</t>
  </si>
  <si>
    <t>WOS:000488804500002</t>
  </si>
  <si>
    <t>Lopes, TF; Carvalheiro, F; Duarte, LC; Girio, F; Quintero, JA; Aroca, G</t>
  </si>
  <si>
    <t>Lopes, Tiago F.; Carvalheiro, Florbela; Duarte, Luis C.; Girio, Francisco; Quintero, Julian A.; Aroca, German</t>
  </si>
  <si>
    <t>Techno-economic and life-cycle assessments of small-scale biorefineries for isobutene and xylo-oligosaccharides production: a comparative study in Portugal and Chile</t>
  </si>
  <si>
    <t>BIOFUELS BIOPRODUCTS &amp; BIOREFINING-BIOFPR</t>
  </si>
  <si>
    <t>This work presents a comparative simulation study involving the techno-economic and environmental assessment of lignocellulosic-based small-scale biorefineries, integrated with a piggery waste-based anaerobic digestion platform (ADB), located in Portugal and Chile. Two main products are obtained: isobutene and xylo-oligosaccharides (XOS). The bioproduction of isobutene using a genetically engineered organism (Escherichia coli), coupled with the removal and purification of high added-value XOS, obtained after a feedstock hydrothermal pre-treatment, was evaluated. Two lignocellulosic agricultural wastes were used: corn stover in the Portuguese case study and wheat straw in Chilean case study. Both processes were simulated using the Aspen Plus modeling software tool, while the Aspen Process Economic Analyzer was used to carry out the economic evaluation. The simulation results were validated with experimental data from the laboratory and the literature. An economic assessment was performed considering the different locations of both biorefineries. A life-cycle analysis (LCA) was also applied to evaluate the differences in environmental impacts on both locations. The results showed that the isobutene / XOS biorefinery concept was economically viable in both Portugal and Chile, mainly due to the high market value of XOS. The biorefinery has lower production costs for isobutene and XOS (1 US$/kg of isobutene and 1.18 US$/kg of XOS) when located in Portugal, as compared with Chile (1.14 US$/kg of isobutene and 1.56 US$/kg of XOS). Conversely, it leads to less environmental impact when located in Chile: 48.8 kg(CO2eq.)/GJ(isobutene), in comparison to 60.7 kg(CO2eq.)/GJ(isobutene) in Portugal. (c) 2019 Society of Chemical Industry and John Wiley &amp; Sons, Ltd</t>
  </si>
  <si>
    <t>Gírio, Francisco/L-2282-2014; Aroca, German/ABG-6714-2020; Lopes, Tiago/AAG-7044-2020; Quintero, Julian/KHY-7891-2024; Duarte, Luis/C-1430-2008; Carvalheiro, Florbela/L-1860-2014; Aroca, German/B-3798-2011</t>
  </si>
  <si>
    <t>Duarte, Luis/0000-0001-5820-3669; Girio, Francisco/0000-0002-5376-8430; Lopes, Tiago/0000-0002-9720-8777; Carvalheiro, Florbela/0000-0002-0270-4832; Aroca, German/0000-0003-1376-7940</t>
  </si>
  <si>
    <t>1932-104X</t>
  </si>
  <si>
    <t>1932-1031</t>
  </si>
  <si>
    <t>10.1002/bbb.2036</t>
  </si>
  <si>
    <t>WOS:000485982700016</t>
  </si>
  <si>
    <t>de Dicastillo, CL; López-Carballo, G; Gavara, R; Galet, VM; Guarda, A; Galotto, MJ</t>
  </si>
  <si>
    <t>Lopez de Dicastillo, Carol; Lopez-Carballo, Gracia; Gavara, Rafael; Muriel Galet, Virginia; Guarda, Abel; Jose Galotto, Maria</t>
  </si>
  <si>
    <t>Improving polyphenolic thermal stability of Aristotelia Chilensis fruit extract by encapsulation within electrospun cyclodextrin capsules</t>
  </si>
  <si>
    <t>JOURNAL OF FOOD PROCESSING AND PRESERVATION</t>
  </si>
  <si>
    <t>Aristotelia chilensis berry, also known as maqui (MQ), has received an increased interest in the last years due to its high polyphenolic content and interesting biological activities. In this work, extractions of maqui fruit were carried out under water, ethanol and ethanol 50%. The hydroalcoholic extract presented the highest polyphenolic content, antioxidant, antimicrobial, and anti-tyrosinase properties, resulting the most promising extract to be part of a nutraceutical product. Subsequently, because some polyphenols, principally anthocyanins, are highly sensitive to thermal treatments, encapsulation of the most powerful extract was performed by electrospray. Hydroxypropyl-beta-cyclodextrin (HP beta CD) microcapsules containing increased amounts of maqui fruit extract were successfully electrosprayed. Morphological analysis revealed when maqui extract was incorporated at 30%, the distribution of particle diameters showed the most homogeneous ratio. Electrospun HP beta CD capsules containing maqui extract, HP beta CD/MQ, improved the thermal stability of MQ and preserved total phenolic content when exposed to high-temperature treatments. Practical applications The interest of consumers toward the consumption of foods rich in polyphenols has grown during the last years. One of the main sources of polyphenols are berry fruits, and maqui is one of Chilean berries with highest polyphenolic content, mainly anthocyanins. This fruit has also shown interesting antioxidant, antimicrobial, and anti-tyrosinase activities that could contribute to the preservation of foods. The protection of these maqui fruit extract polyphenols through the encapsulation in zeina microparticles broadens the range of applications of this fruit in different applications and food formulations that involve high temperature thermal treatments, such as bakery and dairy products.</t>
  </si>
  <si>
    <t>Gavara, Rafael/H-4096-2012; Lopez-de-Dicastillo, Carol/C-6347-2019</t>
  </si>
  <si>
    <t>Lopez-de-Dicastillo, Carol/0000-0003-0067-9765; Lopez-Carballo, Gracia/0000-0003-2534-9420</t>
  </si>
  <si>
    <t>0145-8892</t>
  </si>
  <si>
    <t>1745-4549</t>
  </si>
  <si>
    <t>e14044</t>
  </si>
  <si>
    <t>10.1111/jfpp.14044</t>
  </si>
  <si>
    <t>WOS:000479276800024</t>
  </si>
  <si>
    <t>von Bernhardi, R; Ponce, E; Muñoz, P; Rodríguez, V; Zuñiga, C; Beltrán, S; Triviño, JJ</t>
  </si>
  <si>
    <t>von Bernhardi, R.; Ponce, E.; Munoz, P.; Rodriguez, V.; Zuniga, C.; Beltran, S.; Trivino, J. J.</t>
  </si>
  <si>
    <t>Age-related changes in Smad- and non-Smad TGFβ signaling in neuroinflammation</t>
  </si>
  <si>
    <t>GLIA</t>
  </si>
  <si>
    <t>14th European Meeting on Glial Cells in Health and Disease (GLIA)</t>
  </si>
  <si>
    <t>JUL 10-13, 2019</t>
  </si>
  <si>
    <t>Porto, PORTUGAL</t>
  </si>
  <si>
    <t>von Bernhardi, Rommy/IAO-3764-2023</t>
  </si>
  <si>
    <t>0894-1491</t>
  </si>
  <si>
    <t>1098-1136</t>
  </si>
  <si>
    <t>S1</t>
  </si>
  <si>
    <t>T14-087B</t>
  </si>
  <si>
    <t>E580</t>
  </si>
  <si>
    <t>E581</t>
  </si>
  <si>
    <t>WOS:000502867403077</t>
  </si>
  <si>
    <t>Abadías, L; Lizama, C; Miana, PJ; Velasco, MP</t>
  </si>
  <si>
    <t>Abadias, Luciano; Lizama, Carlos; Miana, Pedro J.; Velasco, M. Pilar</t>
  </si>
  <si>
    <t>ON WELL-POSEDNESS OF VECTOR-VALUED FRACTIONAL DIFFERENTIAL-DIFFERENCE EQUATIONS</t>
  </si>
  <si>
    <t>We develop an operator-theoretical method for the analysis on well posedness of partial differential-difference equations that can be modeled in the form (*) {Delta(alpha) u(n) = Au(n + 2) + f(n, u(n)), n is an element of N-0, 1 &lt; alpha &lt;= 2; u(0) = u(0); u(1) = u(1); where A is a closed linear operator defined on a Banach space X. Our ideas are inspired on the Poisson distribution as a tool to sampling fractional differential operators into fractional differences. Using our abstract approach, we are able to show existence and uniqueness of solutions for the problem (*) on a distinguished class of weighted Lebesgue spaces of sequences, under mild conditions on sequences of strongly continuous families of bounded operators generated by A, and natural restrictions on the nonlinearity f. Finally we present some original examples to illustrate our results.</t>
  </si>
  <si>
    <t>Lizama, Carlos/E-5909-2011; Velasco, M. Pilar/G-6747-2015</t>
  </si>
  <si>
    <t>Velasco, M. Pilar/0000-0002-0988-2527; Miana Sanz, Pedro Jose/0000-0001-9430-343X</t>
  </si>
  <si>
    <t>10.3934/dcds.2019112</t>
  </si>
  <si>
    <t>WOS:000456087700015</t>
  </si>
  <si>
    <t>Guerrero, JA; Almeida-Naranjo, CE; Ayala, CAV</t>
  </si>
  <si>
    <t>Guerrero, Jennifer A.; Almeida-Naranjo, Cristina E.; Villamar Ayala, Cristina Alejandra</t>
  </si>
  <si>
    <t>Improvement of nutrients removal from domestic wastewater by activated-sludge encapsulation with polyvinyl alcohol (PVA)</t>
  </si>
  <si>
    <t>JOURNAL OF ENVIRONMENTAL SCIENCE AND HEALTH PART A-TOXIC/HAZARDOUS SUBSTANCES &amp; ENVIRONMENTAL ENGINEERING</t>
  </si>
  <si>
    <t>Conventional activated-sludge (AS) technologies are deficient for nutrient removal because they require specific floc characteristics. Therefore, the encapsulated AS with polyvinyl alcohol (PVA) will favor floc's formation that removes nutrients. The applied method was based on monitoring the removal of organic matter and nutrients (NH4+, NO3-, NO2-, PO43-) from synthetic domestic wastewater using laboratory-scale AS. The experimental reactors were operated at 8 h as optimized Hydraulic Retention Time (HRT). The sludge characteristics evaluation was carried out through the Sludge Volumetric Index (SVI), Food/Microorganism ratio (F/M), and Mixed Liquor Volatile Suspended Solids (MLVSS). Other specific floc characteristics, such as zeta potential and effective diameter were also evaluated. The results showed that the encapsulated AS with PVA favors nitrogen and phosphorous removal up to 35% but it did not improve organic matter removal. In addition, encapsulated AS with PVA has the characteristics of filamentous sludge (F/M: 0.7 g COD g(-1) MLVSS d(-1)) with good settleability conditions (SVI: 43 mL g(-1) MLSVS h(-1)) and low zeta potential (ZP: -0.9 mV), which favors its separation from the liquid phase. In conclusion, the encapsulation of AS with PVA improves nutrient removal by improving floc characteristics.</t>
  </si>
  <si>
    <t>Villamar, Cristina-Alejandra/AAB-4154-2019</t>
  </si>
  <si>
    <t>Villamar, Cristina Alejandra/0000-0003-4654-0670; Almeida Naranjo, Cristina Elizabeth/0000-0002-1066-6661</t>
  </si>
  <si>
    <t>1093-4529</t>
  </si>
  <si>
    <t>1532-4117</t>
  </si>
  <si>
    <t>10.1080/10934529.2019.1592526</t>
  </si>
  <si>
    <t>WOS:000469100400001</t>
  </si>
  <si>
    <t>Mendoza, L; Vivanco, M; Melo, R; Castro, P; Araya-Maturana, R; Cotoras, M</t>
  </si>
  <si>
    <t>Mendoza, Leonora; Vivanco, Marcela; Melo, Ricardo; Castro, Paulo; Araya-Maturana, Ramiro; Cotoras, Milena</t>
  </si>
  <si>
    <t>Detoxification Mechanism of 8,8-Dimethyl-3-[(R-phenyl)amino]-1,4,5(8H)-naphthalentrione Derivatives by Botrytis cinerea</t>
  </si>
  <si>
    <t>The effect of 8,8-dimethyl-3-[(R-phenyl)amino]-1,4,5(8H)-naphthalentrione derivatives (compounds 1-13) on the mycelial growth of Botrytis cinerea was evaluated. The fungitoxic effect depended on the substituent and its position in the aromatic ring. Compounds substituted with halogens in meta and/or para positions (compounds 3, 4, 5 and 7), methyl (compounds 8 and 9), methoxyl (compounds 10 and 11), or ethoxy-carbonyl groups (compound 12) presented higher antifungal activity than compound 1, which had an unsubstituted aromatic ring. In addition, compounds with halogens in the ortho position, such as compounds 2 and 6, and a substitution with an acetyl group in the para position (compound 13) were less active. The role of the ABC efflux pump Bctr B-type as a defense mechanism of B. cinerea against these naphthalentrione derivatives was analyzed. This pump could be involved in the detoxification of compounds 2, 6, and 13. On the contrary, this mechanism would not participate in the detoxification of compounds 1, 7, 9 and 12. Finally, the biotransformation of compound 7 by B. cinerea was studied. A mixture of two biotransformed products was obtained. One of them was compound 7A, which is reduced at C1 and C4, compared to compound 7. The other product of biotransformation, 7B, is oxidized at C7.</t>
  </si>
  <si>
    <t>Araya-Maturana, Ramiro/N-8747-2015</t>
  </si>
  <si>
    <t>Melo, Ricardo/0000-0001-6512-4272; Araya-Maturana, Ramiro/0000-0002-5082-9146</t>
  </si>
  <si>
    <t>FEB 1</t>
  </si>
  <si>
    <t>10.3390/molecules24030544</t>
  </si>
  <si>
    <t>WOS:000458934000168</t>
  </si>
  <si>
    <t>Vilches-Herrera, M; Concha-Puelles, M; Carvajal, N; Molina, J; Santander, R; Rezende, MC; Lühr, S</t>
  </si>
  <si>
    <t>Vilches-Herrera, Marcelo; Concha-Puelles, Matias; Carvajal, Nicole; Molina, Juana; Santander, Rocio; Caroli Rezende, Marcos; Luhr, Susan</t>
  </si>
  <si>
    <t>Influence of the bite natural angle of bidentate diphosphine ligands in the syngas-free branched hydroformylation of β-functionalized olefins</t>
  </si>
  <si>
    <t>CATALYSIS COMMUNICATIONS</t>
  </si>
  <si>
    <t>The correlation between the activity, regio- and chemoselectivity of Rh-diphosphine catalyst and the ligand bite natural angle (beta(n)) in the syngas-free hydroformylation of allyl cyanide was investigated. A screening of Xantphos type and diphosphine alkyl ligands with different bite natural angles was studied. Interesting, a switch in the linear to the branch regioselectivity was found. Wide beta(n) favour a linear regioselectivity whereas smaller beta(n) allow the formation of the branched aldehyde as the major product. Modification of the substituents at the phosphorus atoms of the diphosphine ligands produced a dramatic change in the hydroformylation. Others beta-functionalized olefins were also branched hydroformylated.</t>
  </si>
  <si>
    <t>Santander, Rocio/K-7645-2013; Herrera, Luis/M-2750-2015; Caroli, Marcos/H-3570-2019</t>
  </si>
  <si>
    <t>Luhr, Susan/0000-0003-0449-0601; Vilches Herrera, Marcelo/0000-0001-8282-8650; Rezende, Marcos/0000-0003-2040-9009</t>
  </si>
  <si>
    <t>1566-7367</t>
  </si>
  <si>
    <t>1873-3905</t>
  </si>
  <si>
    <t>10.1016/j.catcom.2018.08.007</t>
  </si>
  <si>
    <t>WOS:000444933100013</t>
  </si>
  <si>
    <t>Lefranc, G; López-Juárez, I; Barbosa, KA</t>
  </si>
  <si>
    <t>Lefranc, Gaston; Lopez-Juarez, Ismael; Barbosa, Karina A.</t>
  </si>
  <si>
    <t>Special Issue of Best Conference Papers in IEEE Conf. in Latin America 2017</t>
  </si>
  <si>
    <t>IEEE LATIN AMERICA TRANSACTIONS</t>
  </si>
  <si>
    <t>This is a special issue of IEEE Latin America Transactions for 2018 that presents the trends of emerging technologies and the best research work in our countries. This volume presents trends in emerging technologies, and the best extended conferences in Latin America that show how Latin American countries work towards solving the main problems that our countries have.</t>
  </si>
  <si>
    <t>Barbosa, Karina/A-2236-2014; Lopez-Juarez, Ismael/E-7088-2011</t>
  </si>
  <si>
    <t>Barbosa, Karina A./0000-0001-7183-2662; Lopez-Juarez, Ismael/0000-0001-6405-5519</t>
  </si>
  <si>
    <t>1548-0992</t>
  </si>
  <si>
    <t>WOS:000480361900001</t>
  </si>
  <si>
    <t>Canales, C; Olea, AF; Gidi, L; Arce, R; Ramírez, G</t>
  </si>
  <si>
    <t>Canales, Camila; Olea, Andres F.; Gidi, Leyla; Arce, Roxana; Ramirez, Galo</t>
  </si>
  <si>
    <t>Enhanced light-induced hydrogen evolution reaction by supramolecular systems of cobalt(II) and copper(II) octaethylporphyrins on glassy carbon electrodes</t>
  </si>
  <si>
    <t>Chemically modified glassy carbon electrodes formed by p-stacking of commercial cobalt (II) and copper (II) porphyrins have been used as stable and efficient electrocatalytic system for the hydrogen evolution reaction at pH 7.0, as reported in a previous work. In this work, it has been found that when these systems are irradiated with light of different wavelengths, their electrocatalytic responses change in terms of overpotential and photocurrent. Thus, the electroactivity of these systems towards hydrogen evolution reaction can be enhanced by irradiation at certain wavelength with no requirement of a photosensitizer. Interestingly, the largest enhancement of this reaction is observed at wavelengths corresponding to specific arrangement of porphyrins on the electrode. Cyclic voltammetry, photo-electrochemical impedance spectroscopy and UV-visible spectroscopy studies were done in order to corroborate and discuss this effect. Finally, XRD experiments allowed us to confirm the existence of highly ordered arrangement in each supramolecular system and that this is a determinant factor in the photoelectrochemical responses. (C) 2017 Elsevier Ltd. All rights reserved.</t>
  </si>
  <si>
    <t>Olea, Andres/AAF-6955-2019; Arce, Roxana/V-8140-2019</t>
  </si>
  <si>
    <t>, Roxana/0000-0002-7529-8011; Canales, Camila/0000-0002-4966-3601; ARCE, ROXANA/0000-0002-1387-9232; Ramirez, Galo/0000-0002-6217-4730</t>
  </si>
  <si>
    <t>DEC 20</t>
  </si>
  <si>
    <t>10.1016/j.electacta.2017.11.135</t>
  </si>
  <si>
    <t>WOS:000418324800096</t>
  </si>
  <si>
    <t>Artigas, EM; Yrigoyen, CC; Moraga, ET; Villalón, CB</t>
  </si>
  <si>
    <t>Marinao Artigas, Enrique; Chasco Yrigoyen, Coro; Torres Moraga, Eduardo; Barra Villalon, Cristobal</t>
  </si>
  <si>
    <t>Determinants of trust towards tourist destinations</t>
  </si>
  <si>
    <t>JOURNAL OF DESTINATION MARKETING &amp; MANAGEMENT</t>
  </si>
  <si>
    <t>Trust has become a relevant concern for tourist destinations. Partly because of the novelty of the research on trust in the tourism literature, there are several open questions regarding the antecedents of trust towards a tourist destination. In this research, we suggest that reputation, and cognitive and affective evaluation of a destination, are relevant antecedents of trust. Trust towards a tourist destination is understood as a multidimensional construct, including local inhabitants and,public and private institutions that are honest, benevolent and competent. This paper used a non-probabilistic sample of 750 tourists based on quotas, proportionally distributed among the main tourist destinations in Chile. After testing the psychometric properties of the scales developed for this study, a structural equation model was estimated and it was found that trust is a consequence of the reputation of the destination, as well as the cognitive and affective evaluation of the tourists. The paper concludes by emphasising the importance of these findings for the tourism industry, and outlines recommendations to reinforce trust relations with tourists.</t>
  </si>
  <si>
    <t>Marinao-Artigas, Enrique/CAF-2031-2022; Barra, Cristobal/I-2330-2013; Chasco, Coro/IUN-0313-2023; Chasco, Coro/L-2577-2013</t>
  </si>
  <si>
    <t>Chasco, Coro/0000-0001-8098-9979; Marinao-Artigas, Enrique/0000-0002-1588-5011</t>
  </si>
  <si>
    <t>2212-571X</t>
  </si>
  <si>
    <t>2212-5752</t>
  </si>
  <si>
    <t>10.1016/j.jdmm.2017.03.003</t>
  </si>
  <si>
    <t>WOS:000419415200006</t>
  </si>
  <si>
    <t>Verdejo, H; Kliemann, W; Becker, C</t>
  </si>
  <si>
    <t>Verdejo, Humberto; Kliemann, Wolfgang; Becker, Cristhian</t>
  </si>
  <si>
    <t>A stochastic methodology to adjust controllers based on moments Lyapunov exponents: Application to power systems</t>
  </si>
  <si>
    <t>INTERNATIONAL JOURNAL OF ELECTRICAL POWER &amp; ENERGY SYSTEMS</t>
  </si>
  <si>
    <t>This paper presents a methodology, based on linear analysis, that uses stability indices based on the calculation of moments Lyapunov exponents to determine the optimum adjustment of controllers in linear stochastic systems. The purpose is to define what values the parameters must have so that the system, subjected to perturbations self-sustained over time, can maintain its stability during operation in permanent regime. The proposed development is applied to three test systems, including two electric power system. (C) 2017 Elsevier Ltd. All rights reserved.</t>
  </si>
  <si>
    <t>0142-0615</t>
  </si>
  <si>
    <t>1879-3517</t>
  </si>
  <si>
    <t>10.1016/j.ijepes.2017.05.013</t>
  </si>
  <si>
    <t>WOS:000407526300002</t>
  </si>
  <si>
    <t>Cruz, N; Olivares, M; Villanueva, JR</t>
  </si>
  <si>
    <t>Cruz, Norman; Olivares, Marco; Villanueva, J. R.</t>
  </si>
  <si>
    <t>The golden ratio in Schwarzschild-Kottler black holes</t>
  </si>
  <si>
    <t>In this paper we show that the golden ratio is present in the Schwarzschild-Kottler metric. For null geodesics with maximal radial acceleration, the turning points of the orbits are in the golden ratio Phi = (root 5 - 1)/2. This is a general result which is independent of the value and sign of the cosmological constant Lambda .</t>
  </si>
  <si>
    <t>Villanueva, Jairo/AAB-4646-2019</t>
  </si>
  <si>
    <t>FEB 23</t>
  </si>
  <si>
    <t>10.1140/epjc/s10052-017-4670-7</t>
  </si>
  <si>
    <t>WOS:000399999600002</t>
  </si>
  <si>
    <t>Mery, D; Riffo, V; Zuccar, I; Pieringer, C</t>
  </si>
  <si>
    <t>Mery, D.; Riffo, V.; Zuccar, I.; Pieringer, C.</t>
  </si>
  <si>
    <t>Object recognition in X-ray testing using an efficient search algorithm in multiple views</t>
  </si>
  <si>
    <t>In order to reduce the security risk of commercial aircraft, passengers are not allowed to take certain items in their carry-on baggage. For this reason, human operators are trained to detect prohibited items using a manually-controlled baggage screening process. In this paper, the use of an automated method based on multiple X-ray views is proposed to recognise certain regular objects with highly-defined shapes and sizes. The method consists of two steps: 'monocular analysis', to obtain possible detections in each view of a sequence, and 'multiple view analysis', to recognise the objects of interest using matching in all views. The search for matching candidates is efficiently performed using a look-up table that is computed offline. In order to illustrate the effectiveness of the proposed method, experimental results on recognising regular objects (clips, springs and razor blades) in pencil cases are shown achieving high precision and recall (P-r = 95.7%, R-e = 92.5%) for 120 objects. We believe that it would be possible to design an automated aid in a target detection task using the proposed algorithm.</t>
  </si>
  <si>
    <t>Pieringer, Christian/AAD-8594-2020; Riffo, Vladimir/KIE-4536-2024; Mery, Domingo/D-1385-2014</t>
  </si>
  <si>
    <t>Mery, Domingo/0000-0003-4748-3882; Pieringer, Christian/0000-0003-2486-6733</t>
  </si>
  <si>
    <t>10.1784/insi.2017.59.2.85</t>
  </si>
  <si>
    <t>WOS:000397332500007</t>
  </si>
  <si>
    <t>Urrutia, M; Mora, A; Angulo, A; Lezana, P; Cárdenas, R; Diaz, M</t>
  </si>
  <si>
    <t>Urrutia, Matias; Mora, Andres; Angulo, Alejandro; Lezana, Pablo; Cardenas, Roberto; Diaz, Matias</t>
  </si>
  <si>
    <t>A Novel Capacitor Voltage Balancing Strategy for Modular Multilevel Converters.</t>
  </si>
  <si>
    <t>This paper presents a simple and innovative Capacitor Voltage Balancing (CVB) strategy for Modular Multilevel Converters (MMC) based on full H-bridge cell topologies. The method computes specific modulation indexes for each cell using the explicit solution of an underlying optimal control problem. Based on the structure of its analytical solution, the proposed CVB scheme is integrated to a Phase-Shifted PWM scheme with an easy implementation. Experimental results obtained from a nine-cell single-phase converter demonstrate an improved performance of the proposed method, especially under transient operating conditions.</t>
  </si>
  <si>
    <t>Angulo, Alejandro/H-3042-2018; Diaz, Matias/R-7570-2018; Mora, Andres/I-6953-2015; Illesca, Pablo/E-4605-2015</t>
  </si>
  <si>
    <t>WOS:000454362300041</t>
  </si>
  <si>
    <t>Ramírez-Vélez, R; Correa-Bautista, JE; González-Ruíz, K; Vivas, A; Garcia-Hermoso, A; Triana-Reina, HR</t>
  </si>
  <si>
    <t>Ramirez-Velez, Robinson; Correa-Bautista, Jorge Enrique; Gonzalez-Ruiz, Katherine; Vivas, Andres; Garcia-Hermoso, Antonio; Triana-Reina, Hector Reynaldo</t>
  </si>
  <si>
    <t>Predictive Validity of the Body Adiposity Index in Overweight and Obese Adults Using Dual-Energy X-ray Absorptiometry</t>
  </si>
  <si>
    <t>NUTRIENTS</t>
  </si>
  <si>
    <t>The body adiposity index (BAI) is a recent anthropometric measure proven to be valid in predicting body fat percentage (BF%) in some populations. However, the results have been inconsistent across populations. This study was designed to verify the validity of BAI in predicting BF% in a sample of overweight/obese adults, using dual-energy X-ray absorptiometry (DEXA) as the reference method. A cross-sectional study was conducted in 48 participants (54% women, mean age 41.0 +/- 7.3 years old). DEXA was used as the gold standard to determine BF%. Pearson's correlation coefficient was used to evaluate the association between BAI and BF%, as assessed by DEXA. A paired sample t-test was used to test differences in mean BF% obtained with BAI and DEXA methods. To evaluate the concordance between BF% as measured by DEXA and as estimated by BAI, we used Lin's concordance correlation coefficient and Bland-Altman agreement analysis. The correlation between BF% obtained by DEXA and that estimated by BAI was r = 0.844, p &lt; 0.001. Paired t-test showed a significant mean difference in BF% between methods (BAI = 33.3 +/- 6.2 vs. DEXA 39.0 +/- 6.1; p &lt; 0.001). The bias of the BAI was 6.0 +/- 3.0 BF% (95% CI = 12.0 to 1.0), indicating that the BAI method significantly underestimated the BF% compared to the reference method. Lin's concordance correlation coefficient was considered stronger (rho c = 0.923, 95% CI = 0.862 to 0.957). In obese adults, BAI presented low agreement with BF% measured by DEXA; therefore, BAI is not recommended for BF% prediction in this overweight/obese sample studied.</t>
  </si>
  <si>
    <t>González-Ruíz, Katherine/CAA-4624-2022; Correa-Bautista, Jorge Enrique/JDD-3131-2023; García-Hermoso, Antonio/ADU-2591-2022; Triana-Reina, Héctor/JMP-5055-2023; Correa-Bautista, Jorge Enrique/N-2741-2015; Ramirez-Velez, Robinson/D-5311-2016; Garcia-Hermoso, Antonio/P-1857-2017</t>
  </si>
  <si>
    <t>Correa-Bautista, Jorge Enrique/0000-0002-0646-2316; Ramirez-Velez, Robinson/0000-0003-3075-6960; Garcia-Hermoso, Antonio/0000-0002-1397-7182; Gonzalez-Ruiz, Katherine/0000-0001-7518-0761; TRIANA-REINA, HECTOR REYNALDO/0000-0002-6334-7082; Vivas, Andres/0000-0001-8169-1664</t>
  </si>
  <si>
    <t>2072-6643</t>
  </si>
  <si>
    <t>10.3390/nu8120737</t>
  </si>
  <si>
    <t>WOS:000389144100002</t>
  </si>
  <si>
    <t>Méndez, F; Sepúlveda, F; Valdés, N</t>
  </si>
  <si>
    <t>Mendez, Fabio; Sepulveda, Facundo; Valdes, Nieves</t>
  </si>
  <si>
    <t>Legalization and human capital accumulation</t>
  </si>
  <si>
    <t>JOURNAL OF POPULATION ECONOMICS</t>
  </si>
  <si>
    <t>This paper presents new evidence regarding the effects of legalization on the training of immigrants who were granted legal status through the US Immigration Reform and Control Act (IRCA) of 1986. Our findings point to a large increase in the immigrants' incidence of training relative to comparable groups of natives following legalization. While training gains are higher for males, wage gains are higher for females. We also show that an important part of these changes in labor market outcomes occurs through occupation changes by newly legalized immigrants.</t>
  </si>
  <si>
    <t>Valdés, Nieves/AAW-1383-2020</t>
  </si>
  <si>
    <t>Valdes, Nieves/0000-0002-0197-876X</t>
  </si>
  <si>
    <t>0933-1433</t>
  </si>
  <si>
    <t>1432-1475</t>
  </si>
  <si>
    <t>10.1007/s00148-016-0585-0</t>
  </si>
  <si>
    <t>WOS:000374709000003</t>
  </si>
  <si>
    <t>Zhang, YY; Ye, N; Wang, RC; Malekian, R</t>
  </si>
  <si>
    <t>Zhang, Yingya; Ye, Ning; Wang, Ruchuan; Malekian, Reza</t>
  </si>
  <si>
    <t>A Method for Traffic Congestion Clustering Judgment Based on Grey Relational Analysis</t>
  </si>
  <si>
    <t>ISPRS INTERNATIONAL JOURNAL OF GEO-INFORMATION</t>
  </si>
  <si>
    <t>Traffic congestion clustering judgment is a fundamental problem in the study of traffic jam warning. However, it is not satisfactory to judge traffic congestion degrees using only vehicle speed. In this paper, we collect traffic flow information with three properties (traffic flow velocity, traffic flow density and traffic volume) of urban trunk roads, which is used to judge the traffic congestion degree. We first define a grey relational clustering model by leveraging grey relational analysis and rough set theory to mine relationships of multidimensional-attribute information. Then, we propose a grey relational membership degree rank clustering algorithm (GMRC) to discriminant clustering priority and further analyze the urban traffic congestion degree. Our experimental results show that the average accuracy of the GMRC algorithm is 24.9% greater than that of the K-means algorithm and 30.8% greater than that of the Fuzzy C-Means (FCM) algorithm. Furthermore, we find that our method can be more conducive to dynamic traffic warnings.</t>
  </si>
  <si>
    <t>Reza, Malekian/F-7647-2015</t>
  </si>
  <si>
    <t>2220-9964</t>
  </si>
  <si>
    <t>10.3390/ijgi5050071</t>
  </si>
  <si>
    <t>WOS:000379861800018</t>
  </si>
  <si>
    <t>Saavedra, MB; Armijo, CP</t>
  </si>
  <si>
    <t>Bastias Saavedra, Manuel; Plaza Armijo, Camilo</t>
  </si>
  <si>
    <t>From control to social reform: the Latin-American social question in the Latin-American scientific congresses (1898-1908)</t>
  </si>
  <si>
    <t>ESTUDOS IBERO-AMERICANOS</t>
  </si>
  <si>
    <t>This article focuses on the circulation of ideas on social policies in Latin America through the discussions in the Latin-American scientific congresses. The main argument is that, although Latin-American scholars relied on European narratives to frame the social problems that affected the region, the policy solutions they found were not based on the direct importation of foreign models. Either by emphasising criminality or the need for social reform, scholars sought to address the social question through regional mechanisms which were the outgrowth of regional processes of knowledge transfer.</t>
  </si>
  <si>
    <t>Bastias Saavedra, Manuel/Y-5616-2019</t>
  </si>
  <si>
    <t>0101-4064</t>
  </si>
  <si>
    <t>1980-864X</t>
  </si>
  <si>
    <t>10.15448/1980-864X.2016.1.21808</t>
  </si>
  <si>
    <t>WOS:000383557300016</t>
  </si>
  <si>
    <t>Moreira-Arce, D; Vergara, PM; Boutin, S</t>
  </si>
  <si>
    <t>Moreira-Arce, Dario; Vergara, Pablo M.; Boutin, Stan</t>
  </si>
  <si>
    <t>Diurnal Human Activity and Introduced Species Affect Occurrence of Carnivores in a Human-Dominated Landscape</t>
  </si>
  <si>
    <t>Diurnal human activity and domestic dogs in agro-forestry mosaics should theoretically modify the diurnal habitat use patterns of native carnivores, with these effects being scale-dependent. We combined intensive camera trapping data with Bayesian occurrence probability models to evaluate both diurnal and nocturnal patterns of space use by carnivores in a mosaic of land-use types in southern Chile. A total of eight carnivores species were recorded, including human-introduced dogs. During the day the most frequently detected species were the culpeo fox and the cougar. Conversely, during the night, the kodkod and chilla fox were the most detected species. The best supported models showed that native carnivores responded differently to landscape attributes and dogs depending on both the time of day as well as the spatial scale of landscape attributes. The positive effect of native forest cover at 250m and 500 m radius buffers was stronger during the night for the Darwin's fox and cougar. Road density at 250m scale negatively affected the diurnal occurrence of Darwin's fox, whereas at 500m scale roads had a stronger negative effect on the diurnal occurrence of Darwin's foxes and cougars. A positive effect of road density on dog occurrence was evidenced during both night and day. Patch size had a positive effect on cougar occurrence during night whereas it affected negatively the occurrence of culpeo foxes and skunks during day. Dog occurrence had a negative effect on Darwin's fox occurrence during day-time and night-time, whereas its negative effect on the occurrence of cougar was evidenced only during day-time. Carnivore occurrences were not influenced by the proximity to a conservation area. Our results provided support for the hypothesis that diurnal changes to carnivore occurrence were associated with human and dog activity. Landscape planning in our study area should be focused in reducing both the levels of diurnal human activity in native forest remnants and the dispersion rates of dogs into these habitats.</t>
  </si>
  <si>
    <t>Moreira-Arce, Dario/ABG-2898-2021; Vergara, Pablo/F-2519-2010; Boutin, Stan/A-2619-2014</t>
  </si>
  <si>
    <t>Vergara, Pablo/0000-0002-0024-1678; Moreira Arce, Dario/0000-0002-1188-496X; Boutin, Stan/0000-0001-6317-038X</t>
  </si>
  <si>
    <t>SEP 14</t>
  </si>
  <si>
    <t>e0137854</t>
  </si>
  <si>
    <t>10.1371/journal.pone.0137854</t>
  </si>
  <si>
    <t>WOS:000361601100156</t>
  </si>
  <si>
    <t>Rivas-Aravena, A; Fuentes, Y; Cartagena, J; Brito, T; Poggio, V; La Torre, J; Mendoza, H; Gonzalez-Nilo, F; Sandino, AM; Spencer, E</t>
  </si>
  <si>
    <t>Rivas-Aravena, Andrea; Fuentes, Yazmin; Cartagena, Julio; Brito, Tania; Poggio, Veronica; La Torre, Jose; Mendoza, Hegaly; Gonzalez-Nilo, Fernando; Sandino, Ana Maria; Spencer, Eugenio</t>
  </si>
  <si>
    <t>Development of a nanoparticle-based oral vaccine for Atlantic salmon against ISAV using an alphavirus replicon as adjuvant</t>
  </si>
  <si>
    <t>FISH &amp; SHELLFISH IMMUNOLOGY</t>
  </si>
  <si>
    <t>Adjuvants used in vaccine aquaculture are frequently harmful for the fish, causing melanosis, granulomas and kidney damage. Along with that, vaccines are mostly administered by injection, causing pain and stress to the fish. We used the DNA coding for the replicase of alphavirus as adjuvant (Ad) of a vaccine against ISAV. The Ad and an inactivated ISAV (V) were loaded in chitosan nanoparticles (NPs) to be administered orally to Atlantic salmon. NP-Ad was able to deliver the DNA ex vivo and in vivo. Oral administration of the NPs stimulated the expression of immune molecules, but did not stimulate the humoral response. Although the vaccination with NP-V results in a modest protection of fish against ISAV, NP-V administered together with NP-Ad caused a protection of 77%. Therefore, the DNA coding for the replicase of alphavirus could be administered orally and can potentiate the immuneprotection of a virine against infection. (C) 2015 Elsevier Ltd. All rights reserved.</t>
  </si>
  <si>
    <t>; Gonzalez Nilo, Fernando Danilo/M-5671-2016</t>
  </si>
  <si>
    <t>SANDINO, ANA MARIA/0000-0002-3862-3743; Spencer, Eugenio/0000-0001-6109-140X; Gonzalez Nilo, Fernando Danilo/0000-0001-6857-3575</t>
  </si>
  <si>
    <t>1050-4648</t>
  </si>
  <si>
    <t>1095-9947</t>
  </si>
  <si>
    <t>10.1016/j.fsi.2015.03.033</t>
  </si>
  <si>
    <t>WOS:000356112900020</t>
  </si>
  <si>
    <t>Biler, P; Guerra, I</t>
  </si>
  <si>
    <t>Biler, Piotr; Guerra, Ignacio</t>
  </si>
  <si>
    <t>Blowup and self-similar solutions for two-component drift-diffusion systems</t>
  </si>
  <si>
    <t>We discuss asymptotic properties of solutions of two-component parabolic drift-diffusion systems coupled through an elliptic equation in two space dimensions. In particular, conditions for finite time blowup versus the existence of forward self-similar solutions are studied. (C) 2012 Elsevier Ltd. All rights reserved.</t>
  </si>
  <si>
    <t>Biler, Piotr/AAM-2990-2021</t>
  </si>
  <si>
    <t>Biler, Piotr/0000-0002-2293-6964</t>
  </si>
  <si>
    <t>10.1016/j.na.2012.04.035</t>
  </si>
  <si>
    <t>WOS:000305144900042</t>
  </si>
  <si>
    <t>González, C; Baez-Nieto, D; Valencia, I; Oyarzún, I; Rojas, P; Naranjo, D; Latorre, R</t>
  </si>
  <si>
    <t>Gonzalez, Carlos; Baez-Nieto, David; Valencia, Ignacio; Oyarzun, Ingrid; Rojas, Patricio; Naranjo, David; Latorre, Ramon</t>
  </si>
  <si>
    <t>K+ Channels: Function-Structural Overview</t>
  </si>
  <si>
    <t>COMPREHENSIVE PHYSIOLOGY</t>
  </si>
  <si>
    <t>Potassium channels are particularly important in determining the shape and duration of the action potential, controlling the membrane potential, modulating hormone secretion, epithelial function and, in the case of those K+ channels activated by Ca2+, damping excitatory signals. The multiplicity of roles played by K+ channels is only possible to their mammoth diversity that includes at present 70 K+ channels encoding genes in mammals. Today, thanks to the use of cloning, mutagenesis, and the more recent structural studies using x-ray crystallography, we are in a unique position to understand the origins of the enormous diversity of this superfamily of ion channels, the roles they play in different cell types, and the relations that exist between structure and function. With the exception of two-pore K+ channels that are dimers, voltage-dependent K+ channels are tetrameric assemblies and share an extremely well conserved pore region, in which the ion-selectivity filter resides. In the present overview, we discuss in the function, localization, and the relations between function and structure of the five different subfamilies of K+ channels: (a) inward rectifiers, Kir; (b) four transmembrane segments-2 pores, K-2P; (c) voltage-gated, Kv; (d) the Slo family; and (e) Ca2+-activated SK family, SKCa. (C) 2012 American Physiological Society. Compr Physiol 2:2087-2149, 2012.</t>
  </si>
  <si>
    <t>Rojas, Patricio/ISS-1091-2023</t>
  </si>
  <si>
    <t>Latorre, Ramon/0000-0002-6044-5795; Naranjo, David/0000-0003-3482-5126</t>
  </si>
  <si>
    <t>2040-4603</t>
  </si>
  <si>
    <t>10.1002/cphy.c110047</t>
  </si>
  <si>
    <t>WOS:000314651300017</t>
  </si>
  <si>
    <t>Alarcón, E; Aspée, A; Abuin, EB; Lissi, EA</t>
  </si>
  <si>
    <t>Alarcon, E.; Aspee, A.; Abuin, E. B.; Lissi, E. A.</t>
  </si>
  <si>
    <t>Evaluation of solute binding to proteins and intra-protein distances from steady state fluorescence measurements</t>
  </si>
  <si>
    <t>JOURNAL OF PHOTOCHEMISTRY AND PHOTOBIOLOGY B-BIOLOGY</t>
  </si>
  <si>
    <t>Steady state fluorescence measurements, due to their relative simplicity and fast and easy implementation, are one of the most employed techniques for evaluating the non-covalent binding of small molecules to proteins. In the present review we discuss the main characteristics of solute binding and the experimental procedures that can be employed for evaluating both, the efficiency of the process and the number of binding sites. It is also discussed the possibility of determining the distance between endogenous fluorophores and non-covalently bound solutes. Albumins (human serum albumin and bovine serum albumin) are considered as model proteins due to their relevance as solute carriers, the extensive available data comprising binding of a large number of solutes, and the reduced number of intrinsic fluorophores which simplifies the data treatment. It is shown that, in spite of the apparent simplicity of the systems, extreme care must be exercised in data treatment and interpretation to avoid misleading results. This applies to the evaluation of binding constants, number of binding sites, and average distance between intrinsic fluorophores and non-covalently bound solutes associated to the proteins. (C) 2011 Elsevier B.V. All rights reserved.</t>
  </si>
  <si>
    <t>Alarcon, Emilio/A-7285-2011</t>
  </si>
  <si>
    <t>1011-1344</t>
  </si>
  <si>
    <t>1873-2682</t>
  </si>
  <si>
    <t>JAN 5</t>
  </si>
  <si>
    <t>10.1016/j.jphotobiol.2011.11.002</t>
  </si>
  <si>
    <t>WOS:000300387800001</t>
  </si>
  <si>
    <t>Jaksic, FM; Castro, SA</t>
  </si>
  <si>
    <t>Jaksic, Fabian M.; Castro, Sergio A.</t>
  </si>
  <si>
    <t>Ecology and biodiversity of vertebrates in Chile: A commented analysis of the Zoology of Claude Gay</t>
  </si>
  <si>
    <t>REVISTA CHILENA DE HISTORIA NATURAL</t>
  </si>
  <si>
    <t>By reviewing the zoological section of the Historia Fisica y Politica de Chile written by Claude Gay, we analyze his contributions to the understanding of the Chilean vertebrates, which included 483 species: 68 mammals, 259 birds, 31 reptiles, 16 amphibians, and 109 fishes. Gay documented 50 species as new taxa to science, but subsequent taxonomic analyses sinonimized 58 % of those species; thus currently only 21 species are recognized as valid. This means that 1.1 % of the Chilean vertebrates currently recognized were described in this monumental publication.</t>
  </si>
  <si>
    <t>0716-078X</t>
  </si>
  <si>
    <t>WOS:000283685100001</t>
  </si>
  <si>
    <t>Hamm, E; Géminard, JC</t>
  </si>
  <si>
    <t>Hamm, Eugenio; Geminard, Jean-Christophe</t>
  </si>
  <si>
    <t>The weight of a falling chain, revisited</t>
  </si>
  <si>
    <t>AMERICAN JOURNAL OF PHYSICS</t>
  </si>
  <si>
    <t>A vertically hanging chain is released from rest and falls due to gravity on a scale pan. We discuss the various experimental and theoretical aspects of this classic problem. Careful time-resolved force measurements allow us to determine the differences between the idealized problem and its implementation in the laboratory. We observe that, in spite of the upward force exerted by the pan on the chain, the free end at the top falls faster than a freely falling body. Because a real chain exhibits a finite minimum radius of curvature, the contact at the bottom results in a tensional force, which pulls the falling part downward. (C) 2010 American Association of Physics Teachers. [DOI: 10.1119/1.3429983]</t>
  </si>
  <si>
    <t>Hamm, Eugenio/A-7927-2013</t>
  </si>
  <si>
    <t>GEMINARD, Jean-Christophe Nicolas Denis/0000-0002-9773-4806</t>
  </si>
  <si>
    <t>0002-9505</t>
  </si>
  <si>
    <t>10.1119/1.3429983</t>
  </si>
  <si>
    <t>WOS:000281214900010</t>
  </si>
  <si>
    <t>Lemus, L; Guerrero, J; Costamagna, J; Estiu, G; Ferraudi, G; Lappin, AG; Oliver, A; Noll, BC</t>
  </si>
  <si>
    <t>Lemus, L.; Guerrero, J.; Costamagna, J.; Estiu, G.; Ferraudi, G.; Lappin, A. Graham; Oliver, A.; Noll, B. C.</t>
  </si>
  <si>
    <t>Unfolding of the [Cu2(1,3-bis(9-methyl-1,10-phenanthrolin-2-yl)propane)2]2+ Helicate. Coupling of the Chlorocarbon Dehalogenation to the Unfolding Process</t>
  </si>
  <si>
    <t>INORGANIC CHEMISTRY</t>
  </si>
  <si>
    <t>A new helical dimeric copper(I) complex [Cu-2(mphenpr)(2)](ClO4)(2) where mphenpr is 1,3-bis(9-methyl-1,10-phenanthrolin-2-yl)propane has been prepared and characterized by X-ray crystallography and NMR In the solid state, the metal centers are 6.42 angstrom apart, and the electronic structure has been investigated with use of density functional theory (OFT) calculations. In solution the dimer equilibrates with a monomeric form [Cu(mphenpr)](ClO4), and the mechanism of unfolding of the dimer into monomer has been studied In the presence of CCl4, formation of the monomer is coupled to the reductive dehalogenation of the halocarbon. The mechanism of this process has been probed by the study of short-lived potential reaction intermediates using fast kinetic pulse radiolysis techniques and comparisons with DFT calculations The copper(II) product [Cu(mphenpr)CI](ClO4) and an analogue [Cu(mphenpr)](ClO4)(2) have been isolated and characterized by X-ray crystallography.</t>
  </si>
  <si>
    <t>LEMUS, LUIS/0000-0002-5499-8115; Oliver, Allen/0000-0002-0511-1127</t>
  </si>
  <si>
    <t>0020-1669</t>
  </si>
  <si>
    <t>1520-510X</t>
  </si>
  <si>
    <t>MAY 3</t>
  </si>
  <si>
    <t>10.1021/IC9018986</t>
  </si>
  <si>
    <t>WOS:000276939100014</t>
  </si>
  <si>
    <t>García-Huldobro, M; Manásevich, R; Yarur, CS</t>
  </si>
  <si>
    <t>On the structure of positive radial solutions to an equation containing a p-Laplacian with weight</t>
  </si>
  <si>
    <t>Let A. B : (0, infinity) -&gt; (0 infinity) be two given weight functions and consider the equation (P) - div (A(vertical bar x vertical bar)vertical bar del u vertical bar(p-2)del u) = B (vertical bar x vertical bar)vertical bar u vertical bar(q-2)u, x is an element of R-n, where q &gt; p &gt; 1. By considering positive radial solutions to this equation that are bounded, we are led to study the initial value problem {-(a(r)vertical bar u'vertical bar(p-2) u') = b(r) (u(+))(q-1), r is an element of (0, infinity) u(0) = alpha &gt; 0, lim(r -&gt; 0) a (r)vertical bar u'(r)vertical bar(p-1)=0, where a(r) = r((N-1)) A(r) and b(r) = r((N-1)) B(r). By means of two key functions in and B-q defined below, we obtain several new results that allow us to classify solutions to this initial value problem as being respectively crossing, slowly decaying, or rapidly decaying. We also generalize several results in Clement et al. (Asymptotic Anal. 17 (1998) 13-29), Kawano et al. (Funkcial. Ekvac 36 (1993) 121-145), Yanagida and Yotsutani (Arch. Rational Mech. Anal. 124 (1993) 239-259), Yanagida and Yotsutani (J. Differential Equations 115 (1995) 477-502), Yanagida and Yotsutani.</t>
  </si>
  <si>
    <t>Manasevich, Raúl/J-5529-2016</t>
  </si>
  <si>
    <t>10.1016/j.jde.2005.04.012</t>
  </si>
  <si>
    <t>WOS:000236416900003</t>
  </si>
  <si>
    <t>Combina, M; Elía, A; Mercado, L; Catania, C; Ganga, A; Martinez, C</t>
  </si>
  <si>
    <t>Dynamics of indigenous yeast populations during spontaneous fermentation of wines from Mendoza, Argentina</t>
  </si>
  <si>
    <t>INTERNATIONAL JOURNAL OF FOOD MICROBIOLOGY</t>
  </si>
  <si>
    <t>Fermentation of wine is a complex microbial reaction, which involves the sequential development of various species of yeasts and lactic acid bacteria. Of these, yeasts are the main group responsible for alcoholic fermentation. The aim of this work was to study, under industrial conditions, the evolution of yeast populations and to describe the individual evolution of the most important yeasts during three spontaneous fermentations of Malbec musts from Argentina. This work shows the significant participation of non-Saccharomyces yeasts during spontaneous fermentation of musts, with the ubiquitous presence of three main species: Kloeckera apiculata, Candida stellata and Metschnikowia pulcherrima. (c) 2004 Elsevier B.V. All rights reserved.</t>
  </si>
  <si>
    <t>Martinez, Claudio/MGS-9961-2025; Ganga, Maria/S-8176-2019</t>
  </si>
  <si>
    <t>Martinez, Claudio/0000-0001-8564-9287</t>
  </si>
  <si>
    <t>0168-1605</t>
  </si>
  <si>
    <t>1879-3460</t>
  </si>
  <si>
    <t>10.1016/j.ijfoodmicro.2004.08.017</t>
  </si>
  <si>
    <t>WOS:000228497400002</t>
  </si>
  <si>
    <t>Laurido, C; Hernández, A; Constandil, L; Pelissier, T</t>
  </si>
  <si>
    <t>Nitric oxide synthase and soluble guanylate cyclase are involved in spinal cord wind-up activity of monoarthritic, but not of normal rats</t>
  </si>
  <si>
    <t>While increasing evidence points to a role for the nitric oxide (NO)/cyclic guanosine 3,5-monophosphate (GMPc) cascade in hyperalgesia and allodynia, participation of the NO/GMPc pathway in synaptic processing in the spinal cord, i.e. wind-up activity, is less clear. We studied the effects of intrathecal administration of Nomega-nitro-L-arginine methyl ester (L-NAME) and methylene blue, inhibitors of NO synthase and guanylate cyclase respectively, on wind-up activity developed in a C-fiber reflex response paradigm. 5, 10 and 20 mug i.t. of L-NAME or methylene blue did not modify spinal wind-up in normal rats, while a dose-dependent inhibition of wind-up was observed in monoarthritic rats. Results suggest that the NO/GMPc pathway plays a non-significant role in wind-up activity evoked in normal animals, while it may be essential in chronic pain processing. (C) 2003 Elsevier Ireland Ltd. All rights reserved.</t>
  </si>
  <si>
    <t>Constandil, Luis/0000-0002-2504-0119; Hernandez, Alejandro/0000-0001-9222-6522</t>
  </si>
  <si>
    <t>10.1016/j.neulet.2003.08.014</t>
  </si>
  <si>
    <t>WOS:000186689600017</t>
  </si>
  <si>
    <t>Infante, CD; von Bernhardi, R; Rovegno, M; Llona, I; Eugenín, JL</t>
  </si>
  <si>
    <t>Respiratory responses to pH in the absence of pontine and dorsal medullary areas in the newborn mouse in vitro</t>
  </si>
  <si>
    <t>BRAIN RESEARCH</t>
  </si>
  <si>
    <t>The contribution of pons and dorsal medulla in establishing the pattern of fictive respiration and in mediating the respiratory response to acidification was studied using the isolated brainstem-spinal cord preparation from neonatal mouse. About 40% of ponto-medullary preparations (retaining pons) showed spontaneous, but irregular respiratory-like rhythm. In the other 60%, the elimination of the pons often was followed by the initiation of a respiratory-like rhythm. Medullary preparations, derived from either inactive or rhythmic ponto-medullary preparations, showed a regular respiratory-like rhythm, which was also of a higher frequency and a bigger amplitude than that observed in ponto-medullary preparations. In contrast, ventral medullary preparations, derived from medullary preparations by eliminating the dorsal medulla, showed an irregular rhythm with a reduced amplitude of the integrated inspiratory burst. In ponto-medullary and ventral medullary preparations, acidification of the superfusion medium increased the respiratory frequency, while in medullary preparations, it increased the frequency and reduced the amplitude of the inspiratory burst. Our results suggest that pontine structures influence negatively the rate and depth of the respiratory-like rhythm, while dorsal medullary structures influence positively the depth of the rhythm. They also suggest that the pattern of response to pH supported by the ventral medulla is modified by the input provided from pons and dorsal medulla. (C) 2003 Elsevier B.V. All rights reserved.</t>
  </si>
  <si>
    <t>Rovegno, Maximiliano/AGB-1364-2022; von Bernhardi, Rommy/F-7232-2013</t>
  </si>
  <si>
    <t>von Bernhardi, Rommy/0000-0002-9022-7676; Rovegno, Maximiliano/0000-0002-2882-8024</t>
  </si>
  <si>
    <t>0006-8993</t>
  </si>
  <si>
    <t>1872-6240</t>
  </si>
  <si>
    <t>SEP 12</t>
  </si>
  <si>
    <t>10.1016/S0006-8993(03)03155-X</t>
  </si>
  <si>
    <t>WOS:000185316200021</t>
  </si>
  <si>
    <t>Pardey, AJ; Moreno, MA; Ortega, MC; Mendez, B; Rivas, AB; Moya, SA; Villagra, D; Lutz, M</t>
  </si>
  <si>
    <t>Homogeneous catalysis of the water gas shift reaction:: Ir,1H- and 13C-NMR in situ studies on catalytic iridium systems</t>
  </si>
  <si>
    <t>Reported here are the in situ FT IR and C-13-NMR spectroscopic studies of the complex cis-[Ir(CO)(2)(py)(2)](PF6) (py = pyridine) dissolved in 80% aqueous pyridine used as a precursor in the homogeneous catalysis of the water gas shift reaction (WGSR, CO + H2O --&gt; CO2 + H-2). These spectroscopy studies reveal the presence of aminocarbonyliridium complexes with linear and bridging carbonyls groups as reaction intermediates. The WGSR catalysis by Ir-4(CO)(12) complex dissolved in 80% of aqueous 4-picoline or pyridine under 1.9 atm of CO at 100 degreesC and the FT-IR and H-1-NMR in situ studies of the pyridine promoted disproportionation of Ir-4(CO)(12), are also described.</t>
  </si>
  <si>
    <t>WOS:000183467400003</t>
  </si>
  <si>
    <t>KALLITSIS, JK; MARTINEZ, F; NAARMANN, H</t>
  </si>
  <si>
    <t>NEW STRUCTURES AND SYNTHETIC METHODS TO PERCONJUGATED SYSTEMS</t>
  </si>
  <si>
    <t>SYNTHETIC METALS</t>
  </si>
  <si>
    <t>INTERNATIONAL CONF ON SCIENCE AND TECHNOLOGY OF SYNTHETIC METALS ( ICSM 92 )</t>
  </si>
  <si>
    <t>AUG 12-18, 1992</t>
  </si>
  <si>
    <t>GOTEBORG, SWEDEN</t>
  </si>
  <si>
    <t>The synthesizing of polymers containing conjugated -C=C- bonds begins with oxidative coupling, which in the early 60s developed through the different stages of polyaromatics and polyheteroaromatics to culminate in metal-like conducting polymers 1). Subsequent investigation showed that under oxidation conditions triphenylene structures are formed and those structures stepwise assemble from low molecular, soluble to highmolecular insoluble systems. Typical examples are heterocycles (pyrrole, thiophene) or indophenin-reaction products between isatin and thiophene 2) - now extended to thiophene containing terphenylenes 3) and cyclopentadienones. These materials are electrically conducting (0-10(+1) S/cm) (without any additional dopants) and have thermal stabilities up to 350-degrees-C. Synthesis of the starting compounds and condensation conditions are described.</t>
  </si>
  <si>
    <t>Kallitsis, Joannis/K-1043-2015; martinez, francisco/A-7948-2013</t>
  </si>
  <si>
    <t>0379-6779</t>
  </si>
  <si>
    <t>2-3</t>
  </si>
  <si>
    <t>10.1016/0379-6779(93)90150-U</t>
  </si>
  <si>
    <t>WOS:A1993LH62000005</t>
  </si>
  <si>
    <t>GAUTIER, JL; BRENET, J; FUENTEALBA, R</t>
  </si>
  <si>
    <t>PHOTOLYSIS OF WATER WITH ZN1-XNIXMN2O4 POWDERED SPINEL OXIDES</t>
  </si>
  <si>
    <t>COMPTES RENDUS DE L ACADEMIE DES SCIENCES SERIE II</t>
  </si>
  <si>
    <t>1251-8069</t>
  </si>
  <si>
    <t>WOS:A1987K434400007</t>
  </si>
  <si>
    <t>Assal, M; Bony, JF; Michel, L</t>
  </si>
  <si>
    <t>Assal, Marouane; Bony, Jean-Francois; Michel, Laurent</t>
  </si>
  <si>
    <t>METASTABLE DIFFUSIONS WITH DEGENERATE DRIFTS</t>
  </si>
  <si>
    <t>ANNALES DE L INSTITUT FOURIER</t>
  </si>
  <si>
    <t>We study the spectrum of the semiclassical Witten Laplacian triangle f associated to a smooth function f on Rd. We assume that f is a confining Morse-Bott function. Under this assumption we show that triangle f admits exponentially small eigenvalues separated from the rest of the spectrum. Moreover, we establish Eyring-Kramers formula for these eigenvalues. Our approach is based on microlo cal constructions of quasimo des near the critical submanifolds.</t>
  </si>
  <si>
    <t>Assal, Marouane/IQW-7068-2023</t>
  </si>
  <si>
    <t>0373-0956</t>
  </si>
  <si>
    <t>1777-5310</t>
  </si>
  <si>
    <t>10.5802/aif.3636</t>
  </si>
  <si>
    <t>WOS:001457803600001</t>
  </si>
  <si>
    <t>Aballay-Fredes, C; Quezada, L; Marchant-Silva, M; Fuertes, G; Vargas, M</t>
  </si>
  <si>
    <t>Aballay-Fredes, Claudio; Quezada, Luis; Marchant-Silva, Mario; Fuertes, Guillermo; Vargas, Manuel</t>
  </si>
  <si>
    <t>Methodology to Generate Strategic Manufacturing Indicators to Support Decision-Making - Case Study of a Food Company</t>
  </si>
  <si>
    <t>ENGINEERING MANAGEMENT JOURNAL</t>
  </si>
  <si>
    <t>This study proposes a methodology that selects key performance indicators and measures their influence on the strategic manufacturing objectives of a food company. The proposed hybrid methodology used the focus model centered on a value function to select criteria and classify key performance indicators and the multi-criteria model DEMATEL to identify the level of influence of key performance indicators on strategic manufacturing objectives. This new method constructs a value function with input from all production line members. This allows the degree of direct and indirect influence of selected key performance indicators to be measured to achieve the organization's strategic objectives. Finally, seven key performance indicators were selected, the most influential being the level of automation, performance, set-up times, and resource use.</t>
  </si>
  <si>
    <t>Quezada, Luis/W-8168-2019; Fuertes, Guillermo/Q-2341-2016</t>
  </si>
  <si>
    <t>Fuertes, Guillermo/0000-0003-3044-5919; Aballay Fredes, Claudio/0000-0002-7695-2927</t>
  </si>
  <si>
    <t>1042-9247</t>
  </si>
  <si>
    <t>2377-0643</t>
  </si>
  <si>
    <t>2024 OCT 20</t>
  </si>
  <si>
    <t>10.1080/10429247.2024.2412418</t>
  </si>
  <si>
    <t>OCT 2024</t>
  </si>
  <si>
    <t>WOS:001339037000001</t>
  </si>
  <si>
    <t>Alvarez, E; Díaz, S; Lizama, C</t>
  </si>
  <si>
    <t>Alvarez, Edgardo; Diaz, Stiven; Lizama, Carlos</t>
  </si>
  <si>
    <t>Lp(Lq)-Maximal Regularity for Damped Equations in a Cylindrical Domain</t>
  </si>
  <si>
    <t>FRACTAL AND FRACTIONAL</t>
  </si>
  <si>
    <t>We show maximal regularity estimates for the damped hyperbolic and strongly damped wave equations with periodic initial conditions in a cylindrical domain. We prove that this property strongly depends on a critical combination on the parameters of the equation. Noteworthy, our results are still valid for fractional powers of the negative Laplacian operator. We base our methods on the theory of operator-valued Fourier multipliers on vector-valued Lebesgue spaces of periodic functions.</t>
  </si>
  <si>
    <t>Díaz, Stiven/AAV-8033-2021; Lizama, Carlos/E-5909-2011</t>
  </si>
  <si>
    <t>Lizama, Carlos/0000-0002-9807-1100; Alvarez, Edgardo/0000-0003-2699-398X; Diaz, Stiven/0000-0001-9613-9469</t>
  </si>
  <si>
    <t>2504-3110</t>
  </si>
  <si>
    <t>10.3390/fractalfract8090516</t>
  </si>
  <si>
    <t>WOS:001326489100001</t>
  </si>
  <si>
    <t>Gómez, M; Pizarro, J; Díaz, C; Ortiz, C; Castillo, X; Navlani-García, M; Cazorla-Amorós, D</t>
  </si>
  <si>
    <t>Gomez, Mauricio; Pizarro, Jaime; Diaz, Carlos; Ortiz, Claudia; Castillo, Ximena; Navlani-Garcia, Miriam; Cazorla-Amoros, Diego</t>
  </si>
  <si>
    <t>Silica extracts from fly ash modified via sol-gel methods and functionalized with CMPO for potential scavenging of rare earth elements La 3+and Ce 3+</t>
  </si>
  <si>
    <t>MATERIALS CHEMISTRY AND PHYSICS</t>
  </si>
  <si>
    <t>A mesoporous material was synthesized using silica extracts from fly ash and its properties were studied. Subsequently, it was functionalized with carbamoylmethylphosphine oxide (CMPO) to capture La 3+ and Ce 3+ . The developed mesoporous material was obtained by the sol-gel method and was called Si-MMS (siliceous mesoporous materials), subsequently functionalized with APTMS (1-(2-aminoethyl)-3-aminopropyl trimethoxysilane) in a reflux system, which led to the synthesis of Si-MMS-APTMS. This derivative was modified with carbonyldiimidazole (CDI) and diethylphosphonoacetic acid, which finally resulted in the synthesis of Si-MMS-CMPO as the final product. The materials were characterized by DRIFT, XRD, SEM-EDS, TEM, XPS, elemental analysis and nitrogen isotherms at -196 degrees C, confirming that the synthesis and subsequent modification of the mesoporous structure was successful. Adsorption studies in batch systems indicated that the optimal pH for La 3+ was 6, the Langmuir isotherm model and the non-linear Sips models were perfectly fitted and the best fitting kinetics is the Elovich model. For Ce 3+ the optimal pH was 7.5, the non-linear Sips isotherm fit the best and the non-linear Pseudo -second order kinetics was the mechanism that best represents the adsorption. The maximum experimental adsorption capacity q e of La 3+ was 17.00 mg g -1 and for Ce 3+ was 30.09 mg g -1 . In both cases, the rapid adsorption suggests an open porous matrix that facilitates the formation of chelates between the adsorbates and the phosphoryl group -PO 3 2- .</t>
  </si>
  <si>
    <t>Cazorla-Amoros, Diego/A-3967-2008; Diaz, Carlos/ITT-9959-2023; Navlani-García, Miriam/Y-9733-2019</t>
  </si>
  <si>
    <t>Gomez Barrena, Mauricio/0000-0003-2010-5910</t>
  </si>
  <si>
    <t>0254-0584</t>
  </si>
  <si>
    <t>1879-3312</t>
  </si>
  <si>
    <t>10.1016/j.matchemphys.2024.129161</t>
  </si>
  <si>
    <t>WOS:001215742600001</t>
  </si>
  <si>
    <t>Herrera-Muñoz, J; Cabrera-Reina, A; Salazar-González, R; Miralles-Cuevas, S</t>
  </si>
  <si>
    <t>Herrera-Munoz, Jose; Cabrera-Reina, Alejandro; Salazar-Gonzalez, Ricardo; Miralles-Cuevas, Sara</t>
  </si>
  <si>
    <t>Assessing the photo-activation efficiency of aminopolycarboxylate iron complex mixtures for effective sulfamethoxazole degradation in a pilot-scale UVA-LED photoreactor</t>
  </si>
  <si>
    <t>JOURNAL OF ENVIRONMENTAL CHEMICAL ENGINEERING</t>
  </si>
  <si>
    <t>This study focused on the degradation of antibiotic sulfamethoxazole (SMX), through the UVA-LED photo-activation of aminopolycarboxylate-based iron complexes in a pilot-scale photoreactor. Fe3+-EDDS, Fe3+-NTA, and a combination of both complexes Fe3+-EDDS and Fe3+-NTA were studied in simulated tap water (TW) and simulated secondary effluent (SE) from a municipal wastewater treatment plant (MWWTP). In TW, 40% SMX degradation was reached after 60 min, with different concentration profiles due to absorption characteristics of each complex. Combining Fe3+-EDDS and Fe3+-NTA an initial rapid SMX degradation was observed followed by a slower phase, improving SMX degradation with respect to each complex separately. In SE and despite presenting similar kinetics, SMX degradation was lower than in TW, due to the presence of organic matter in the water matrix. Moreover, the Fe3+-EDDS and Fe3+-NTA mixture improved SMX degradation with increasing iron concentration. This improvement was attributed to reduced dissolved organic carbon (DOC) from NTA and the lower molar absorption coefficient of Fe3+-NTA. Higher EDDS ratios led to faster complex degradation but did not significantly enhance SMX removal. Conversely, higher NTA ratios reduced SMX degradation. In summary, this study revealed a synergistic effect between Fe3+-EDDS and Fe3+-NTA in SMX degradation. Considering the cost difference between EDDS and NTA, using both compounds offers technical and economic advantages. All treatments reduced chronic toxicity in Selenastrum capricornutum.</t>
  </si>
  <si>
    <t>Cabrera, Alejandro/GNH-3181-2022; Salazar, Ricardo/L-7870-2013; Miralles-Cuevas, Sara/HGF-1348-2022</t>
  </si>
  <si>
    <t>Herrera-Munoz, Jose/0009-0006-3713-3861</t>
  </si>
  <si>
    <t>2213-2929</t>
  </si>
  <si>
    <t>2213-3437</t>
  </si>
  <si>
    <t>10.1016/j.jece.2024.112471</t>
  </si>
  <si>
    <t>MAR 2024</t>
  </si>
  <si>
    <t>WOS:001217570500001</t>
  </si>
  <si>
    <t>Montenegro-Pohlhammer, N; Cardenas-Jiron, G; Calzado, CJ</t>
  </si>
  <si>
    <t>Montenegro-Pohlhammer, Nicolas; Cardenas-Jiron, Gloria; Calzado, Carmen J.</t>
  </si>
  <si>
    <t>Voltage-induced modulation of the magnetic exchange in binuclear Fe(iii) complex deposited on Au(111) surface</t>
  </si>
  <si>
    <t>We present a complete computational study devoted to the deposition of a magnetic binuclear complex on a metallic surface, aimed to obtain insight into the interaction of magnetically coupled complexes with their supporting substrates, as well as their response to external electrical stimuli applied through a surface-molecule-STM molecular junction-like architecture. Our results not only show that the deposition is favorable in two of the four studied orientations, but also, that the magnetic coupling is only slightly perturbed once the complex is adsorbed. We observe that the effects of the applied bias voltage on the magnetic coupling strongly depend on the molecule orientation with respect to the surface and the voltage polarity. Further analysis shows that this behavior is attributable to the stabilization/destabilization of the d-type singly occupied orbitals of the iron centers, reinforced by the strong local electric fields and induced charge densities only present in certain orientations of the deposited molecule and applied voltage polarity.</t>
  </si>
  <si>
    <t>Montenegro-Pohlhammer, Nicolas/HJZ-2914-2023; Jimenez Calzado, Maria del Carmen/D-1159-2011</t>
  </si>
  <si>
    <t>Jimenez Calzado, Maria del Carmen/0000-0003-3841-7330; Montenegro-Pohlhammer, Nicolas/0000-0003-3574-2955</t>
  </si>
  <si>
    <t>10.1039/d4dt00580e</t>
  </si>
  <si>
    <t>WOS:001187728900001</t>
  </si>
  <si>
    <t>Munizaga, JJ; Lacoste, P; Skewes, JC; Alegria, L</t>
  </si>
  <si>
    <t>Munizaga, Jose Jeffs; Lacoste, Pablo; Skewes, Juan Carlos; Alegria, Luis</t>
  </si>
  <si>
    <t>YERBA MATE, INTANGIBLE HERITAGE AND SOFT POWER IN THE TIME OF JUAN MANUEL DE ROSAS (1829 -1852)</t>
  </si>
  <si>
    <t>REVISTA DE HISTORIA-SAO PAULO</t>
  </si>
  <si>
    <t>We examine the valuation of yerba mate as a regional agro-food heritage in the process of the cons-truction of the Americanist ideolog y during the administration of Juan Manuel de Rosas at the head of the Argentine Confederation. The yerba mate culture was deeply rooted in Southern Cone society in the seventeenth and eighteenth centuries, but, after independence, British commercial strateg y sought to replace it with tea, an imperial product that served their interests. This project was successful in several territories, for example in Chile, where the elite followed the fashion im-posed by the British. But in the Rio de la Plata, Rosas was determined to promote and strengthen the mate culture as a strategic means of asserting an Americanist identity and resisting European neo-colonial pretensions. With this attitude, Rosas was a pioneer in the valuation of the regional agro-food heritage</t>
  </si>
  <si>
    <t>Skewes, Juan/ACY-4666-2022</t>
  </si>
  <si>
    <t>0034-8309</t>
  </si>
  <si>
    <t>2316-9141</t>
  </si>
  <si>
    <t>10.11606/issn.2316-9141.rh.2024.215337</t>
  </si>
  <si>
    <t>WOS:001157769900001</t>
  </si>
  <si>
    <t>Maquieira, CP; Espinosa-Mendez, C; Arias, JT</t>
  </si>
  <si>
    <t>Maquieira, Carlos P.; Espinosa-Mendez, Christian; Arias, Jose T.</t>
  </si>
  <si>
    <t>The impact of environmental, social and governance (ESG) score on dividend payment of large family firms: What is the role of financial constraints? International evidence</t>
  </si>
  <si>
    <t>CORPORATE SOCIAL RESPONSIBILITY AND ENVIRONMENTAL MANAGEMENT</t>
  </si>
  <si>
    <t>This article studies the relationship between environmental, social and governance (ESG) score and dividend payment for 274 large family firms in the period 2015-2021. This research has three contributions to the literature. First, to the best of our knowledge this is the first article to focus on large family firms considering their greater importance in stock ownership around the world. Second, this sample covers both developing and emerging nations. Third, our study not only establishes a connection between ESG (Environmental, Social, and Governance) criteria and dividend payments but also considers how financial constraints moderate the relationship between ESG scores and dividend payments. The results indicate a positive influence of ESG scores on dividend payments. Furthermore, financial constraints of family firms are negatively related to dividend payments. Finally, the moderating effect of financial constraints on the relationship between dividend payment and ESG show that for high levels of financial constraints that dividends are less sensitive to ESG score. The opposite effect is reported when firms show low levels of financial constraints. Practically speaking, the study demonstrates the value of creating a dividend policy that is in line with the ESG score because they are complementary signals. Additionally, it is important to consider financial limitations when planning financial reserves in family firms. This is due to the diminished correlation between ESG score and dividend payments in the presence of financial constraints.</t>
  </si>
  <si>
    <t>Maquieira, Carlos/ISB-9473-2023; Espinosa-Méndez, Christian/G-5177-2019</t>
  </si>
  <si>
    <t>Maquieira, Carlos/0000-0001-5710-4669</t>
  </si>
  <si>
    <t>1535-3958</t>
  </si>
  <si>
    <t>1535-3966</t>
  </si>
  <si>
    <t>10.1002/csr.2696</t>
  </si>
  <si>
    <t>DEC 2023</t>
  </si>
  <si>
    <t>WOS:001124182900001</t>
  </si>
  <si>
    <t>Gil-Durán, C; Palma, D; Marcano, Y; Palacios, JL; Martínez, C; Rojas-Aedo, JF; Levicán, G; Vaca, I; Chávez, R</t>
  </si>
  <si>
    <t>Gil-Duran, Carlos; Palma, Diego; Marcano, Yudethzi; Palacios, Jose-Luis; Martinez, Claudio; Rojas-Aedo, Juan F.; Levican, Gloria; Vaca, Inmaculada; Chavez, Renato</t>
  </si>
  <si>
    <t>CRISPR/Cas9-Mediated Disruption of the pcz1 Gene and Its Impact on Growth, Development, and Penicillin Production in Penicillium rubens</t>
  </si>
  <si>
    <t>Penicillium rubens is a filamentous fungus of great biotechnological importance due to its role as an industrial producer of the antibiotic penicillin. However, despite its significance, our understanding of the regulatory mechanisms governing biological processes in this fungus is still limited. In fungi, zinc finger proteins containing a Zn(II)(2)Cys(6) domain are particularly interesting regulators. Although the P. rubens genome harbors many genes encoding proteins with this domain, only two of them have been investigated thus far. In this study, we employed CRISPR-Cas9 technology to disrupt the pcz1 gene, which encodes a Zn(II)(2)Cys(6) protein in P. rubens. The disruption of pcz1 resulted in a decrease in the production of penicillin in P. rubens. This decrease in penicillin production was accompanied by the downregulation of the expression of pcbAB, pcbC and penDE genes, which form the biosynthetic gene cluster responsible for penicillin production. Moreover, the disruption of pcz1 also impacts on asexual development, leading to decreased growth and conidiation, as well as enhanced conidial germination. Collectively, our results indicate that pcz1 acts as a positive regulator of penicillin production, growth, and conidiation, while functioning as a negative regulator of conidial germination in P. rubens. To the best of our knowledge, this is the first report involving a gene encoding a Zn(II)(2)Cys(6) protein in the regulation of penicillin biosynthesis in P. rubens.</t>
  </si>
  <si>
    <t>Levican, Gloria/R-5191-2019; Martinez, Claudio/MGS-9961-2025</t>
  </si>
  <si>
    <t>Chavez, Renato/0000-0003-1754-3610; Gil-Duran, Carlos Andres/0000-0001-9638-6902; Levican, Gloria/0000-0002-1275-7399</t>
  </si>
  <si>
    <t>10.3390/jof9101010</t>
  </si>
  <si>
    <t>WOS:001092658700001</t>
  </si>
  <si>
    <t>Rabasedas, ML; Moneva, JM; Jara-Sarrúa, L</t>
  </si>
  <si>
    <t>Rabasedas, Maria Laura; Moneva, Jose M.; Jara-Sarrua, Luis</t>
  </si>
  <si>
    <t>Circular reporting, strategy and performance in agri-food companies: a natural resource-based theoretical approach</t>
  </si>
  <si>
    <t>REVISTA DE CONTABILIDAD-SPANISH ACCOUNTING REVIEW</t>
  </si>
  <si>
    <t>Awareness about the circular economy as a sustainability paradigm is growing globally, being the agri-food sector one of the most significant industries moving towards circular operations. The natural resource based view theory can provide a basis to analyze organizational resources and capabilities allowing a clear definition of circular economy strategies and performance. How accounting and reporting can leverage these concepts, is being debated currently at the academic level. In this context, this study examines to what extent Argentinian agri-food organizations use circular reporting to translate circular economy strategy into better performance. Survey data were collected from 238 agri-food Argentinian organizations and analyzed using partial least squares structural equation modeling (PLS-SEM). General results show that a natural resource-based circular economy strategy positively affects performance and circular reporting has a significant indirect effect on environmental and economic performance, through the improvement of natural resource-based circular economy strategies.(c) 2023 ASEPUC. Published by EDITUM Universidad de Murcia. This is an open access article under the CC BY-NC-ND license (http://creativecommons.org/licenses/by-nc-nd/4.0/).</t>
  </si>
  <si>
    <t>Moneva, Jose/H-7603-2012</t>
  </si>
  <si>
    <t>Rabasedas, Maria Laura/0000-0002-2489-8260; Jara-Sarrua, Luis/0000-0001-6628-362X; Moneva, Jose M./0000-0003-1619-8042</t>
  </si>
  <si>
    <t>1138-4891</t>
  </si>
  <si>
    <t>1988-4672</t>
  </si>
  <si>
    <t>10.6018/rcsar.555771</t>
  </si>
  <si>
    <t>WOS:001091901000002</t>
  </si>
  <si>
    <t>León, MJA; Guasch, R; Estévez, AT; Peña, J</t>
  </si>
  <si>
    <t>Araya Leon, Maria Jose; Guasch, Ricardo; Estevez, Alberto T.; Pena, Javier</t>
  </si>
  <si>
    <t>Interaction between the interior built environment and the human being. An integrative review in relation to perception, health, and well-being</t>
  </si>
  <si>
    <t>THEORETICAL ISSUES IN ERGONOMICS SCIENCE</t>
  </si>
  <si>
    <t>Given that human being inhabits approximately 80% of the time within the built environment, it is necessary to understand how this affects them. Therefore, this article analyzes the state of the art on the interaction between the interior built environment and the human being, -their health and well-being- with a holistic view. Considering the perceived and not perceived aspects. And the psychological and biological responses of human beings. Through an integrative review developed at the WOS database, between 1998 and 2018 with the question: What are the parameters that have been studied of the interaction between human beings and the built environment, perceived and not perceived, related to health and well-being? and In what contexts have these issues been scientifically developed from a systemic perspective? With 11,997 titles filtered, 244 articles are analyzed. Among the main results, it is observed that the most studied context is the domestic one, followed by the work and educational context. Air quality is the most intervened parameter, followed by the physical-environmental parameters. And it is observed that matter is occasionally related to human parameters. This article proposes a vision focused on interdisciplinarity, which allows updating knowledge and contributing to evidence-based design methods.</t>
  </si>
  <si>
    <t>Araya, Maria/HSG-3880-2023; Estevez, Alberto T./I-4362-2012</t>
  </si>
  <si>
    <t>Estevez, Alberto T./0000-0002-1877-1060; Pena Andres, Javier/0000-0003-0932-9737; Araya Leon, Maria Jose/0000-0001-7284-6943</t>
  </si>
  <si>
    <t>1463-922X</t>
  </si>
  <si>
    <t>1464-536X</t>
  </si>
  <si>
    <t>NOV 2</t>
  </si>
  <si>
    <t>10.1080/1463922X.2022.2134940</t>
  </si>
  <si>
    <t>OCT 2022</t>
  </si>
  <si>
    <t>WOS:000877449400001</t>
  </si>
  <si>
    <t>Magnot, JP; Reyes, EG; Rubtsov, V</t>
  </si>
  <si>
    <t>Magnot, Jean-Pierre; Reyes, Enrique G.; Rubtsov, Vladimir</t>
  </si>
  <si>
    <t>On (t2, t3)-Zakharov-Shabat equations of generalized Kadomtsev-Petviashvili hierarchies</t>
  </si>
  <si>
    <t>We review the integration of the Kadomtsev-Petviashvili (KP) hierarchy in several non-standard contexts. Specifically, we consider KP in the following associative differential algebras: an algebra equipped with a nilpotent derivation, an algebra of functions equipped with a derivation that generalizes the gradient operator, an algebra of quaternion-valued functions, a differential Lie algebra, an algebra of polynomials equipped with the Pincherle differential, and a Moyal algebra. In all these cases, we can formulate and solve the Cauchy problem of the KP hierarchy. In addition, in each of these cases, we derive different Zakharov-Shabat (t(2), t(3))-equations-that is, different Kadomtsev-Petviashvili equations-and we prove the existence of solutions arising from solutions to the corresponding KP hierarchy.</t>
  </si>
  <si>
    <t>Magnot, Jean-pierre/K-7324-2013; rubtsov, vladimir/H-5374-2012; Reyes, Enrique/AAD-1308-2019</t>
  </si>
  <si>
    <t>Magnot, Jean-Pierre/0000-0002-3959-3443; Reyes, Enrique G./0000-0001-8460-444X</t>
  </si>
  <si>
    <t>10.1063/5.0093238</t>
  </si>
  <si>
    <t>WOS:000863277100004</t>
  </si>
  <si>
    <t>Donoso, GR; Zorondo-Rodríguez, F; Navarro, CL; Carrasco-Oliva, G</t>
  </si>
  <si>
    <t>Rubilar Donoso, Gabriela; Zorondo-Rodriguez, Francisco; Leyton Navarro, Cristian; Carrasco-Oliva, Gabriela</t>
  </si>
  <si>
    <t>Socio-environmental Conflicts in Southern Chile. Actors, Power Mechanisms and Influence on the Challenge of Reducing Rural Poverty</t>
  </si>
  <si>
    <t>AGER-REVISTA DE ESTUDIOS SOBRE DESPOBLACION Y DESARROLLO RURAL</t>
  </si>
  <si>
    <t>Chile has made vast strides in terms of the reducing of poverty. However, some rural areas of the country display persistent indicators of backwardness and poverty. Socio-environmental conflicts and their impact on residents' well-being are among the defining characteristics of these territories. Based on interviews with key actors associated with 30 rural territories in southern Chile, this study identifies 34 socio-environmental conflicts which are perceived as the main causes of socio-territorial inequalities and analyzes the mechanisms of influence that actors deploy in them. Thirty-two types of conflicts have an anthropological origin whereas that two of them are natural phenomena locally perceived as conflicts. Most of the conflicts with anthropological origin are related to loss of environmental assets. If environmental conflicts are the cause and effect of poverty tramps and territorial inequalities, then the management of such assets emerges as a major element in strategies aimed at poverty. The conflicts identified mostly derive from extractive, high-entropy economic activities that have formed the historical basis of the economic model in the area studied. It is concluded that environmental assets and territory management policies must be developed considering a revision of political-institutional arrangements and new governance models.</t>
  </si>
  <si>
    <t>Leyton, Cristian/HSH-4726-2023; Zorondo-Rodríguez, Francisco/GWU-8371-2022</t>
  </si>
  <si>
    <t>1578-7168</t>
  </si>
  <si>
    <t>2340-4655</t>
  </si>
  <si>
    <t>10.4422/ager.2022.10</t>
  </si>
  <si>
    <t>WOS:000866236500003</t>
  </si>
  <si>
    <t>Pérez, PG; Sanhueza, JAG</t>
  </si>
  <si>
    <t>Garcia Perez, Patricio; Garcia Sanhueza, Julian Andres</t>
  </si>
  <si>
    <t>Considerations about criminal actors in Colombia, as mutations of the internal conflict, from the economic perspective and the history of international relations (2006-2018)</t>
  </si>
  <si>
    <t>HISTORIA CARIBE</t>
  </si>
  <si>
    <t>This study analyses the armed actors in Colombia's post-conflict from the partial demobilization of the United Self-Defenses Forces of Colombia (AUC in Spanish) in 2006 until the peace agreements signing with the Revolutionary Armed-Forces of Colombia-People's Army (FARC-EP). It aims at establishing the insurgent and counterinsurgent armed actors' transformation into transnational criminal groups promoting criminal capitalism, taking advantage of institutional gaps and the absence of modern economic actors, thus impacting economic growth and potential development in the country's departments where they are concentrated. This paper works towards an initial framework to study the impact of institutional gaps, illegal economies and the presence of armed actors on economic growth in the Colombian departments most affected by violence.</t>
  </si>
  <si>
    <t>0122-8803</t>
  </si>
  <si>
    <t>2322-6889</t>
  </si>
  <si>
    <t>10.15648/hc.39.2021.2963</t>
  </si>
  <si>
    <t>WOS:000756721200007</t>
  </si>
  <si>
    <t>Zoulagh, T; El Aiss, H; Barbosa, KA; Hmamed, A; El Hajjaji, A</t>
  </si>
  <si>
    <t>Zoulagh, Taha; El Aiss, Hicham; Barbosa, Karina A.; Hmamed, Abdelaziz; El Hajjaji, Ahmed</t>
  </si>
  <si>
    <t>Sufficient conditions on the Energy to Peak Filter Design for Continuous-time Polytopic Systems</t>
  </si>
  <si>
    <t>2021 IEEE CHILEAN CONFERENCE ON ELECTRICAL, ELECTRONICS ENGINEERING, INFORMATION AND COMMUNICATION TECHNOLOGIES (IEEE CHILECON 2021)</t>
  </si>
  <si>
    <t>IEEE Chilean Conference on Electrical, Electronics Engineering, Information and Communication Technologies (CHILECON)</t>
  </si>
  <si>
    <t>DEC 06-09, 2021</t>
  </si>
  <si>
    <t>ELECTR NETWORK</t>
  </si>
  <si>
    <t>IEEE,IEEE Consejo Chile, IEEE Chile Centro,Asociac Chilena Control Automatico,IEEE Chilean Chapter Control Syst,IEEE Chilean Chapter SMC,IEEE Chilean Chapter Educ,Int Federat Automat Control,IEEE Syst, Man &amp; Cybernet Soc,IEEE Control Syst Soc,IEEE Educ Soc,Chilean Assoc Elect &amp; Elect Ind,IEEE Consejo Chile, Chile Sur,Chilean Assoc Engineeres</t>
  </si>
  <si>
    <t>This paper focuses on the L-2 - L-infinity filtering design problem for polytopic continuous-time systems. In particular, using the parameter-dependent Lyapunov function approach (PDLFA), improved results are obtained based on linear matrix inequality (LMI) formulation. Furthermore, the insertion of the free weighting variables (slacks) approach yields filter design conditions with less conservative outcomes. The main target is to reduce conservatism without raising the number of decision variables. Finally, a numerical example is proposed to show the efficacy of the proposed strategy.</t>
  </si>
  <si>
    <t>Zoulagh, Taha/AAT-5521-2020; El Aiss, Hicham/AAD-6510-2022; Barbosa, Karina/A-2236-2014; El Hajjaji, Ahmed/D-6459-2016</t>
  </si>
  <si>
    <t>Zoulagh, Taha/0000-0003-4796-2744; El Hajjaji, Ahmed/0000-0002-7564-3620; EL AISS, hicham/0000-0003-1098-275X</t>
  </si>
  <si>
    <t>978-1-6654-0873-8</t>
  </si>
  <si>
    <t>10.1109/CHILECON54041.2021.9703016</t>
  </si>
  <si>
    <t>WOS:000788072700022</t>
  </si>
  <si>
    <t>Espinosa-Méndez, C; Araya-Castillo, L; Bertín, MJ; Gorigoitía, J</t>
  </si>
  <si>
    <t>Espinosa-Mendez, Christian; Araya-Castillo, Luis; Jara Bertin, Mauricio; Gorigoitia, Juan</t>
  </si>
  <si>
    <t>International diversification, ownership structure and performance in an emerging market: evidence from Chile</t>
  </si>
  <si>
    <t>ECONOMIC RESEARCH-EKONOMSKA ISTRAZIVANJA</t>
  </si>
  <si>
    <t>This research analyzes the impact of international diversification on the performance of Chilean exporting firms. Considering a sample of 47 companies listed on the Santiago Stock Exchange during the period 2003-2013, we found an international diversification discount. Secondly, when investigating the relationship between international diversification and performance, we found that they are related through an inverted U curve. Finally, we investigated how the ownership structure moderates the relationship between international diversification and performance, finding that the ownership concentration and pyramidal ownership positively impacts the performance of companies initiating international diversification strategies; and that the business groups' affiliation negatively impacts in the international diversification-performance relationship.</t>
  </si>
  <si>
    <t>Jara, Mauricio/HHN-5573-2022; Araya-Castillo, Luis/AAC-8619-2019; Espinosa-Méndez, Christian/G-5177-2019</t>
  </si>
  <si>
    <t>Jara, Mauricio/0000-0001-6339-3794; Espinosa-Mendez, Christian/0000-0001-6499-2414; Araya-Castillo, Luis/0000-0001-7574-3907</t>
  </si>
  <si>
    <t>1331-677X</t>
  </si>
  <si>
    <t>1848-9664</t>
  </si>
  <si>
    <t>10.1080/1331677X.2020.1820359</t>
  </si>
  <si>
    <t>WOS:000570029900001</t>
  </si>
  <si>
    <t>Miranda, P; Popoff, N</t>
  </si>
  <si>
    <t>Miranda, Pablo; Popoff, Nicolas</t>
  </si>
  <si>
    <t>Spectrum of the Iwatsuka Hamiltonian at thresholds</t>
  </si>
  <si>
    <t>We consider the bi-dimensional Schrodinger operator with unidirectionally constant magnetic field, Ho, sometimes known as the Iwatsuka Hamiltonian. This operator is analytically fibered, with band functions converging to finite limits at infinity. We first obtain the asymptotic behavior of the band functions and its derivatives. Using this results we give estimates on the current and on the localization of states whose energy value is close to a given threshold in the spectrum of Ho. In addition, for non-negative electric perturbations V we study the spectral properties of H-0 +/- V, by considering the Spectral Shift Function associated to the operator pair (H-0 +/- V, H-0). We compute the asymptotic behavior of the Spectral Shift Function at the thresholds, which are the only points where it can grow to infinity. (C) 2017 Elsevier Inc. All rights reserved.</t>
  </si>
  <si>
    <t>Miranda, Pablo/AAD-3559-2019</t>
  </si>
  <si>
    <t>Miranda, Pablo/0000-0003-0370-9288</t>
  </si>
  <si>
    <t>10.1016/j.jmaa.2017.11.058</t>
  </si>
  <si>
    <t>WOS:000425705800003</t>
  </si>
  <si>
    <t>Palominos, FE; Durán, CA; Córdova, FM</t>
  </si>
  <si>
    <t>Palominos, Fredi E.; Duran, Claudia A.; Cordova, F. M.</t>
  </si>
  <si>
    <t>Multidimensional Data Model for the analysis of information of productive, scientific or service processes</t>
  </si>
  <si>
    <t>Technological development and software engineering have been provided by companies and diverse types of organizations with the ability to manage virtually all of their production processes and services in computer systems, generating, as a result, the need to store and analyze huge datasets. As a consequence, the intensive use of software has caused an exponential growth of the amount of data, making the analytical use of information an arduous task through traditional software development techniques. On the other hand, for many years, software producers have taken advantage of the simplicity and capacity of relational systems for the development of OLTP applications; however, this strategy, by itself, has not been enough to face the challenge of dealing with growing amounts of data stored. This work presents a particular approach of the multidimensional data model, with its own rules, restrictions, and operators, where the indicators of the productive processes of organizations, based on representative data obtained from their information systems, have been managed efficiently, privileging the speed of response. In this way, it is possible to analyze production processes or services, as well as to manage the information derived from different types of scientific experiments. By simulating the simplicity of the relational data model, a set of operators that represent the fundamental OLAP operations have been included, which can then be easily implemented in SQL. In addition, the multidimensional designs based on this model can be implemented in a ROLAP context, in any relational database engine. Finally, since the representation of the operators is inspired on the classical relational algebra, it is easy to assimilate, turning this model into a great potential for training specialists in multidimensional modeling. Consequently, the proposed model allows the use of multidimensional databases, in a simple and friendly context.</t>
  </si>
  <si>
    <t>Palominos, Fredi/U-4690-2019; Duran, Claudia/S-1175-2019; CORDOVA, FELISA/S-1093-2019</t>
  </si>
  <si>
    <t>Duran, Claudia/0000-0002-0903-4333; Palominos, Fredi/0000-0002-6119-4991; CORDOVA, FELISA/0000-0002-5557-8569</t>
  </si>
  <si>
    <t>WOS:000437157500002</t>
  </si>
  <si>
    <t>Probst, TM; Gailey, NJ; Jiang, LX; Bohle, SL</t>
  </si>
  <si>
    <t>Probst, Tahira M.; Gailey, Nicholas J.; Jiang, Lixin; Lopez Bohle, Sergio</t>
  </si>
  <si>
    <t>Psychological capital: Buffering the longitudinal curvilinear effects of job insecurity on performance</t>
  </si>
  <si>
    <t>SAFETY SCIENCE</t>
  </si>
  <si>
    <t>Job insecurity is a psychosocial risk that can present significant problems for organizational performance and employees' health and well-being. The purpose of the current research was to investigate the curvilinear relationship between employee job insecurity and three types of job performance: in-role task performance, organizational citizenship behaviors directed to the organization (OCB-O), and organizational citizenship behaviors directed toward individuals (OCB-I). Additionally, we tested whether a higher order construct, Psychological Capital, consisting of hope, self-efficacy, resilience, and optimism would moderate the relationships between job insecurity and performance. Using a 3-wave design, anonymous survey data were collected online from a sample of 300 employees via Amazon Mechanical Turk. Time 1 job insecurity was curvilinearly related to Time 2 and Time 3 measures of job performance. In addition, these curvilinear relationships were largely attenuated among employees with higher levels of PsyCap. These results are discussed in light of rising job insecurity and the need for psychosocial interventions to attenuate its adverse effects. (C) 2017 Elsevier Ltd. All rights reserved.</t>
  </si>
  <si>
    <t>Probst, Tahira/ABD-5600-2021; Bohle, Sergio/P-7698-2014; Probst, Tahira/K-2494-2014</t>
  </si>
  <si>
    <t>Probst, Tahira/0000-0002-2789-4492; Jiang, Lixin/0000-0003-0853-9329; Lopez Bohle, Sergio/0000-0002-6202-4089</t>
  </si>
  <si>
    <t>0925-7535</t>
  </si>
  <si>
    <t>1879-1042</t>
  </si>
  <si>
    <t>A</t>
  </si>
  <si>
    <t>10.1016/j.ssci.2017.02.002</t>
  </si>
  <si>
    <t>WOS:000412962400010</t>
  </si>
  <si>
    <t>Vidal, J; Villegas, L; Peralta-Hernández, JM; González, RS</t>
  </si>
  <si>
    <t>Vidal, Jorge; Villegas, Loreto; Peralta-Hernandez, Juan M.; Salazar Gonzalez, Ricardo</t>
  </si>
  <si>
    <t>Removal of Acid Black 194 dye from water by electrocoagulation with aluminum anode</t>
  </si>
  <si>
    <t>Application of an electrocoagulation process (EC) for the elimination of AB194 textile dye from synthetic and textile wastewater (effluent) contaminated with AB194 dye, was carried out using aluminum anodes at two different initial pH values. Tafel studies in the presence and absence of the dye were performed. The aluminum species formed during the electrolysis were quantified by atomic absorption, and the flocs formed in the process were analyzed by HPLC-MS. Complete removal of AB194 from 1.0 L of solution was achieved applying low densities current at initial pH values of 4.0 and 8.0. The removal of AB194 by EC was possible with a short electrolysis time, removing practically 100% of the total organic carbon content and chemical oxygen demand. The final result was completely discolored water lacking dye and organic matter. An effluent contaminated with 126 mg L-1 AB194 dye from a Chilean textile industry was also treated by EC under optimized experimental conditions, yielding discolored water and considerably decreasing the presence of organic compounds (dye + dyeing additives), with very low concentrations of dissolved Al3+. Analysis of flocs showed the presence of the original dye without changes in its chemical structure.</t>
  </si>
  <si>
    <t>Salazar, Ricardo/L-7870-2013</t>
  </si>
  <si>
    <t>Vidal, Jorge/0000-0002-1334-377X; Salazar-Gonzalez, Ricardo/0000-0003-2180-6022</t>
  </si>
  <si>
    <t>10.1080/10934529.2015.1109385</t>
  </si>
  <si>
    <t>WOS:000369491300002</t>
  </si>
  <si>
    <t>Jeanjean, L; Quoirin, HR</t>
  </si>
  <si>
    <t>Jeanjean, Louis; Quoirin, Humberto Ramos</t>
  </si>
  <si>
    <t>MULTIPLE SOLUTIONS FOR AN INDEFINITE ELLIPTIC PROBLEM WITH CRITICAL GROWTH IN THE GRADIENT</t>
  </si>
  <si>
    <t>PROCEEDINGS OF THE AMERICAN MATHEMATICAL SOCIETY</t>
  </si>
  <si>
    <t>We consider the problem (P) -Delta u = c(x)u+mu vertical bar Delta u vertical bar(2) + f(x), u is an element of H-0(1)(Omega) boolean AND L-infinity(Omega), where Omega is a bounded domain of R-N, N &gt;= 3, mu &gt; 0 and c, f is an element of L-q(Omega) for some q &gt; N/2 with f not greater than or equal to 0. Here c is allowed to change sign and we assume that c(+) not equivalent to 0. We show that when c(+) and mu f are suitably small this problem has at least two positive solutions. This result contrasts with the case c &lt;= 0, where uniqueness holds. To show this multiplicity result we first transform (P) into a semilinear problem having a variational structure. Then we are led to the search of two critical points for a functional whose superquadratic part is indefinite in sign and has a so-called slow growth at infinity. The key point is to show that the Palais-Smale condition holds.</t>
  </si>
  <si>
    <t>Ramos Quoirin, Humberto/0000-0001-6252-2515; Jeanjean, Louis/0000-0002-7864-0900</t>
  </si>
  <si>
    <t>0002-9939</t>
  </si>
  <si>
    <t>1088-6826</t>
  </si>
  <si>
    <t>10.1090/proc12724</t>
  </si>
  <si>
    <t>WOS:000366328000010</t>
  </si>
  <si>
    <t>Biler, P; Guerra, I; Karch, G</t>
  </si>
  <si>
    <t>Biler, Piotr; Guerra, Ignacio; Karch, Grzegorz</t>
  </si>
  <si>
    <t>LARGE GLOBAL-IN-TIME SOLUTIONS OF THE PARABOLIC-PARABOLIC KELLER-SEGEL SYSTEM ON THE PLANE</t>
  </si>
  <si>
    <t>As it is well known, the parabolic-elliptic Keller-Segel system of chemotaxis on the plane has global-in-time regular nonnegative solutions with total mass below the critical value 8 pi. Solutions with mass above 8 pi blow up in a finite time. We show that the case of the parabolic-parabolic Keller-Segel is different: each mass may lead to a global-in-time-solution, even if the initial data is a finite signed measure. These solutions need not be unique, even if we limit ourselves to nonnegative solutions.</t>
  </si>
  <si>
    <t>Karch, Grzegorz/F-2503-2017; Biler, Piotr/AAM-2990-2021</t>
  </si>
  <si>
    <t>Karch, Grzegorz/0000-0001-9390-5578; Biler, Piotr/0000-0002-2293-6964</t>
  </si>
  <si>
    <t>1553-5258</t>
  </si>
  <si>
    <t>10.3934/cpaa.2015.14.2117</t>
  </si>
  <si>
    <t>WOS:000365611600001</t>
  </si>
  <si>
    <t>Harrison, R; Jara-Moroni, P</t>
  </si>
  <si>
    <t>Harrison, Rodrigo; Jara-Moroni, Pedro</t>
  </si>
  <si>
    <t>A dominance solvable global game with strategic substitutes</t>
  </si>
  <si>
    <t>JOURNAL OF MATHEMATICAL ECONOMICS</t>
  </si>
  <si>
    <t>Global games emerged as an approach to equilibrium selection, For a general setting with supermodular payoffs, unique selection of equilibrium has been obtained through iterative elimination of strictly dominated strategies. For the case of global games with strategic substitutes, uniqueness of equilibrium has not been proved by iterative elimination of strictly dominated strategies, making the equilibrium less appealing. In this work we provide a condition for dominance solvability in a simple three-player binary-action global game with strategic substitutes. This opens an unexplored research agenda on the study of global games with strategic substitutes. (C) 2015 Elsevier B.V. All rights reserved.</t>
  </si>
  <si>
    <t>Jara-Moroni, Pedro/C-2269-2013</t>
  </si>
  <si>
    <t>Jara-Moroni, Pedro/0000-0001-5760-388X</t>
  </si>
  <si>
    <t>0304-4068</t>
  </si>
  <si>
    <t>10.1016/j.jmateco.2015.01.001</t>
  </si>
  <si>
    <t>WOS:000352660200001</t>
  </si>
  <si>
    <t>Cordero, RR; Damiani, A; Ferrer, J; Rayas, J; Jorquera, J; Tobar, M; Labbe, F; Laroze, D</t>
  </si>
  <si>
    <t>Cordero, Raul R.; Damiani, Alessandro; Ferrer, Jorge; Rayas, Juan; Jorquera, Jose; Tobar, Mario; Labbe, Fernando; Laroze, David</t>
  </si>
  <si>
    <t>Downwelling and upwelling radiance distributions sampled under cloudless conditions in Antarctica</t>
  </si>
  <si>
    <t>APPLIED OPTICS</t>
  </si>
  <si>
    <t>We have sampled both the downwelling and upwelling radiance distributions at a camp located in the southern Ellsworth Mountains on the broad expanse of Union Glacier (700 m altitude, 79 460 S, 82 520 W). The measurements (at 320-440 nm wavelength range) were carried out under cloudless conditions by using a sky scanner system, during a campaign (in December, 2012) meant to assess the effects of the high albedo on the radiance distribution. The angular variations observed in both the downwelling and upwelling radiance distributions increase with the wavelength. However, these variations were considerably greater in the case of the downwelling radiance than in the case of the upwelling radiance. Indeed, we found that downwelling radiance tends to be less isotropic than the corresponding upwelling radiance. Regardless of the solar zenith angle and the wavelength, the minima of the downwelling and the upwelling radiance distributions were measured close to the zenith and to the nadir, respectively. The downwelling (upwelling) radiance increased nearly monotonically toward the horizon and peaked at zenith (nadir) angles that ranged from 75 degrees to 90 degrees. Comparisons with the UVSPEC radiative transfer model were used to weight up the response of the downwelling radiance distribution to changes in the albedo. (C) 2013 Optical Society of America</t>
  </si>
  <si>
    <t>Laroze, David/Z-2852-2019; Rayas, Juan/CAG-8266-2022; Damiani, Alessandro/X-4677-2019; Cordero, Raul/M-7979-2017; Laroze, David/E-9134-2011</t>
  </si>
  <si>
    <t>Cordero, Raul R./0000-0001-7607-7993; Damiani, Alessandro/0000-0003-3014-6193; Laroze, David/0000-0002-6487-8096; Rayas, Juan Antonio/0000-0001-6809-2368</t>
  </si>
  <si>
    <t>1559-128X</t>
  </si>
  <si>
    <t>2155-3165</t>
  </si>
  <si>
    <t>10.1364/AO.52.006287</t>
  </si>
  <si>
    <t>WOS:000323881700026</t>
  </si>
  <si>
    <t>Méndez, F; Sepúlveda, F</t>
  </si>
  <si>
    <t>Mendez, Fabio; Sepulveda, Facundo</t>
  </si>
  <si>
    <t>OPTIMAL GOVERNMENT REGULATIONS AND RED TAPE IN AN ECONOMY WITH CORRUPTION</t>
  </si>
  <si>
    <t>HITOTSUBASHI JOURNAL OF ECONOMICS</t>
  </si>
  <si>
    <t>We study an economy where agents are heterogeneous in entrepreneurial ability, and may decide to become workers or entrepreneurs. The government is motivated by a production externality to impose regulations on entrepreneurship, and sets a level of red tape to test regulation compliance. In an environment where some officials are corrupt, we characterize the optimal levels of regulations and red tape, and to what extent such policies reduce the welfare losses created by corruption. For each level of externalities, high and low levels of corruption create qualitatively different distortions, which in turn changes the nature and reach of optimal policies.</t>
  </si>
  <si>
    <t>Mendez, Fabio/0000-0002-8431-6138</t>
  </si>
  <si>
    <t>0018-280X</t>
  </si>
  <si>
    <t>10.15057/25774</t>
  </si>
  <si>
    <t>WOS:000321474300004</t>
  </si>
  <si>
    <t>Durantini, AM; Falcone, RD; Anunziata, JD; Silber, JJ; Abuin, EB; Lissi, EA; Correa, NM</t>
  </si>
  <si>
    <t>Durantini, Andres M.; Dario Falcone, R.; Anunziata, Jorge D.; Silber, Juana J.; Abuin, Elsa B.; Lissi, Eduardo A.; Mariano Correa, N.</t>
  </si>
  <si>
    <t>Reply to Comment on 'An Interesting Case Where Water Behaves as a Unique Solvent. 4-Aminophthalimide Emission Profile to Monitor Aqueous Environment'</t>
  </si>
  <si>
    <t>Falcone, Ruben/F-5413-2011; Correa, N. Mariano/I-8886-2018</t>
  </si>
  <si>
    <t>Falcone, R. Dario/0000-0002-0997-3437; Silber, Juana/0000-0001-9395-9939; Correa, N. Mariano/0000-0002-1728-3620</t>
  </si>
  <si>
    <t>1520-5207</t>
  </si>
  <si>
    <t>MAY 2</t>
  </si>
  <si>
    <t>10.1021/jp4026909</t>
  </si>
  <si>
    <t>WOS:000318536700071</t>
  </si>
  <si>
    <t>Villanueva, JR; Saavedra, J; Olivares, M; Cruz, N</t>
  </si>
  <si>
    <t>Villanueva, J. R.; Saavedra, Joel; Olivares, Marco; Cruz, Norman</t>
  </si>
  <si>
    <t>Photons motion in charged Anti-de Sitter black holes</t>
  </si>
  <si>
    <t>ASTROPHYSICS AND SPACE SCIENCE</t>
  </si>
  <si>
    <t>In this work we study the null geodesics in the background of Reissner-Nordstrom Anti de Sitter black hole. We compute the exact trajectories in terms of Weierstrass elliptic functions, obtaining a detailed description of the orbits in terms of the charge, mass and the cosmological constant. The trajectories of the photon are classified using the impact parameter.</t>
  </si>
  <si>
    <t>0004-640X</t>
  </si>
  <si>
    <t>1572-946X</t>
  </si>
  <si>
    <t>10.1007/s10509-012-1333-x</t>
  </si>
  <si>
    <t>WOS:000315566700018</t>
  </si>
  <si>
    <t>Labarca, R; Moreira, C; Pumariño, A; Rodríguez, JA</t>
  </si>
  <si>
    <t>Labarca, R.; Moreira, C.; Pumarino, A.; Rodriguez, J. A.</t>
  </si>
  <si>
    <t>ON BIFURCATION SETS FOR SYMBOLIC DYNAMICS IN THE MILNOR-THURSTON WORLD</t>
  </si>
  <si>
    <t>COMMUNICATIONS IN CONTEMPORARY MATHEMATICS</t>
  </si>
  <si>
    <t>We show the continuity of the topological entropy for the Milnor-Thurston world of interval maps and we compute the minimum and the maximum values for the entropy of a maximal sequence of any given period. We also study (fractal) geometric properties of the bifurcation set in the parameter space and in the associated phase spaces Sigma[a, b], and we compare these results with the previously known results about the lexicographic world of interval maps (related to Lorenz-like maps).</t>
  </si>
  <si>
    <t>Rodríguez, J./K-2755-2014; Pumarino, Antonio/K-4256-2014</t>
  </si>
  <si>
    <t>Pumarino, Antonio/0000-0003-2295-6399</t>
  </si>
  <si>
    <t>0219-1997</t>
  </si>
  <si>
    <t>10.1142/S0219199712500241</t>
  </si>
  <si>
    <t>WOS:000307074800001</t>
  </si>
  <si>
    <t>Pedreschi, F; Bunger, A; Skurtys, O; Allen, P; Rojas, X</t>
  </si>
  <si>
    <t>Pedreschi, Franco; Bunger, Andrea; Skurtys, Olivier; Allen, Paula; Rojas, Ximena</t>
  </si>
  <si>
    <t>Grading of Potato Chips According to Their Sensory Quality Determined by Color</t>
  </si>
  <si>
    <t>Potato chips were classified in quality categories according to their color after frying at oil temperatures (120, 140, 160, and 180+/-1 degrees C) and undergoing some pre-treatments (control or unblanching, blanching, and blanching plus drying). For each oil temperature, six time intervals were considered since the beginning of the frying process until the corresponding time at which potato slices reached a moisture content of 2%. In order to define quality categories according to the surface color, we worked with 79 frequent consumers of potato chips who classified the color scores of the potato chip photographs located in a standard color chart in the following categories: (1) desirable color, (2) still acceptable color and (3) non-desirable color. A sensory panel was formed with 12 judges who were selected according to simple tests of color ordering. This sensory panel evaluated the samples processed at different oil temperatures, frying times, and pre-treatments based on the standard color chart previously mentioned. For each measured point, the score from the color standard chart indicated for more than 50% of the panel members was selected. Finally, time-temperature modeling was achieved in order to get potato chip with the best color surface for the three pre-treatments tested.</t>
  </si>
  <si>
    <t>skurtys, olivier/HNS-4835-2023; rojas, ximena/JVN-8650-2024; pedreschi, franco/F-8844-2013</t>
  </si>
  <si>
    <t>skurtys, olivier/0000-0003-1432-7242</t>
  </si>
  <si>
    <t>10.1007/s11947-011-0559-x</t>
  </si>
  <si>
    <t>WOS:000309869700036</t>
  </si>
  <si>
    <t>Klahn, AH; Morales, V; Oelckers, B; Buono-Core, GE; Gomez, J; Godoy, F</t>
  </si>
  <si>
    <t>Hugo Klahn, A.; Morales, Veronica; Oelckers, Beatriz; Buono-Core, Gonzalo E.; Gomez, Johand; Godoy, Fernando</t>
  </si>
  <si>
    <t>η2-COORDINATION OF CHLOROBENZENES TO RHENIUM FRAGMENT Cp*Re(CO)2: CHEMICAL AND PHOTOCHEMICAL SYNTHESES OF Cp*Re(CO)2(η2-C6H6-nCln).</t>
  </si>
  <si>
    <t>The complexes Cp*Re(CO)(2)(eta(2)-C6H6-nCln), n = 4, (5,6-eta(2)-1,2,3,4-C6H2Cl4) 2a; n = 3, (5,6-eta(2)-1,2,4-C6H3Cl3) 2b; n = 2, (2,3-eta(2)-1,4-C6H3Cl2) 2c and (4,5-eta(2)-1,3-C6H3Cl2) 2d, have been conveniently prepared by two alternative procedures: Directly, by the photochemical reaction of Cp*Re(CO)(2)(N-2) in neat or saturated hexane solution of the corresponding partially chlorinated benzene or stepwise, by the reaction of the appropriate trans-Cp*Re(CO)(2)(Ar-cl)X, X = Cl, Br (1a-d) with LiBHEt3 followed by protonation with HCl to form the hydrido complexes trans-Cp*Re(CO)(2)(Ar-ct)H which resulted thermally unstable in solution and convert to eta(2)-coordination complexes 2a-d. Due to their low stability as solids and in solution, the new complexes were only characterized by IR and H-1 and C-13 NMR spectroscopy. The H-1 NMR spectra of the two derivatives containing dichlorobenzene (2c and 2d) indicate that a rapid exchange occurs between the hydrogen atoms on the coordinated carbons and those on the non-coordinated carbons.</t>
  </si>
  <si>
    <t>Klahn, Hugo/0000-0003-3979-2693</t>
  </si>
  <si>
    <t>10.4067/S0717-97072011000300022</t>
  </si>
  <si>
    <t>WOS:000296753600022</t>
  </si>
  <si>
    <t>Palma, C; Carvajal, A; Vásquez, C; Contreras, E</t>
  </si>
  <si>
    <t>Palma, Carolyn; Carvajal, Andrea; Vasquez, Carlos; Contreras, Elsa</t>
  </si>
  <si>
    <t>Wastewater Treatment for Removal of Recalcitrant Compounds: A Hybrid Process for Decolorization and Biodegradation of Dyes</t>
  </si>
  <si>
    <t>CHINESE JOURNAL OF CHEMICAL ENGINEERING</t>
  </si>
  <si>
    <t>While conventional wastewater treatments for urban effluents are fairly routine and have proved highly effective, industrial wastewater requires more complex and specific treatments. This paper provides a technological strategy for removal of recalcitrant contaminants based on a hybrid treatment system. The model effluent containing a binary mixture of synthetic dyes is treated by a combination of a preliminary physicochemical stage followed by a biological stage based on ligninolytic enzymes produced by Phanerochaete chrysosporium. This proposal includes biosorption onto peat as pretreatment, which decreases the volume and concentration to be treated in the biological reactor, thereby obtaining a completely decolorized effluent. The treated wastewater can therefore be reused in the dyeing baths with the consequent saving of water resources.</t>
  </si>
  <si>
    <t>Carvajal Guevara, Andrea/G-1602-2011</t>
  </si>
  <si>
    <t>Carvajal Guevara, Andrea/0000-0003-0973-8901</t>
  </si>
  <si>
    <t>1004-9541</t>
  </si>
  <si>
    <t>WOS:000294745400015</t>
  </si>
  <si>
    <t>Correa, CPC; Aliaga, C</t>
  </si>
  <si>
    <t>Castro Correa, Carmen Paz; Aliaga, Cristobal</t>
  </si>
  <si>
    <t>Evaluation of soil loss, associated with the process of urban expansion and productive restructuration. Case: Los Andes, Quillota and Concon municipalities, Aconcagua Valley</t>
  </si>
  <si>
    <t>REVISTA DE GEOGRAFIA NORTE GRANDE</t>
  </si>
  <si>
    <t>The assessment of soil degradation in Los Andes, Quillota and Concon municipalities, which represents the morphoclirnatic environments of Aconcagua Valley, was identified through the Erosion Respones Units (ERUs). Subsequently, the soil loss was quantified through the Universal Soil Loss Equation (USLE) in microbasins, and timely simulations were made for two different scenarios, representing the implementation of soil conservation practices. On the other hand, quality indicators were used to quantify the degradation produced in the last decade on the bottom part of the valley. Results show a clear degradation of agricultural valley soils as a result of both endogenous and exogenous factors. Among them, the topography and vegetation coverage were found to be relevant, in addition to the impact of socio-economic dynamics. Agricultural soils from the bottom part of the valley show the highest vulnerability of the study, due to intense territorial changes in the last decades.</t>
  </si>
  <si>
    <t>0718-3402</t>
  </si>
  <si>
    <t>WOS:000277110900003</t>
  </si>
  <si>
    <t>Baricelli, PJ; Melean, LG; Ricardes, S; Guanipa, V; Rodriguez, M; Romero, C; Pardey, AJ; Moya, S; Rosales, M</t>
  </si>
  <si>
    <t>Baricelli, Pablo J.; Melean, Luis G.; Ricardes, Santiago; Guanipa, Victor; Rodriguez, Mariandry; Romero, Carlos; Pardey, Alvaro J.; Moya, Sergio; Rosales, Merlin</t>
  </si>
  <si>
    <t>Mo(CO)3(NCMe)(PPh3)2: Synthesis, X-ray structure and evaluation of its catalytic activity for the homogeneous hydrogenation of olefins and their mixtures</t>
  </si>
  <si>
    <t>The complex Mo(CO)(3)(NCMe)(PPh3)(2), was synthesized by the reaction of Mo(NCMe)(3)(CO)(3) with two equivalents of PPh3 and characterized by UV-Vis, IR, NMR and X-ray diffraction. This complex was used as a catalyst precursor for the hydrogenation of 1-hexene, styrene, cyclohexene and 2,3-dimethyl-1-butene and their mixtures under moderate conditions in homogeneous media. Under mild reaction conditions (T = 373 K, P = 60 atm), the substrates showed the following reactivity order: styrene &gt; 1-hexene &gt; cyclohexene &gt; 2,3-dimethyl-1-butene. A quaternary equimolar mixture showed a different hydrogenation order: 1-hexene &gt; cyclohexene &gt; styrene &gt; 2,3-dimethyl-1-butene; the presence of dibenzothiophene or mercury does not interfere with the activity of the catalyst. (C) 2009 Elsevier B.V. All rights reserved.</t>
  </si>
  <si>
    <t>Rodriguez, Mariandry/AAD-7852-2022; Moya, Sergio/I-1446-2015</t>
  </si>
  <si>
    <t>OCT 1</t>
  </si>
  <si>
    <t>10.1016/j.jorganchem.2009.06.042</t>
  </si>
  <si>
    <t>WOS:000269311200003</t>
  </si>
  <si>
    <t>Diagana, T; Henriquez, H; Hernández, E</t>
  </si>
  <si>
    <t>Diagana, Toka; Henriquez, Hernan; Hernandez, Eduardo</t>
  </si>
  <si>
    <t>ASYMPTOTICALLY ALMOST PERIODIC SOLUTIONS TO SOME CLASSES OF SECOND-ORDER FUNCTIONAL DIFFERENTIAL EQUATIONS</t>
  </si>
  <si>
    <t>In this paper, we study the existence of asymptotically almost periodic solutions to some classes of second-order partial functional-differential equations with unbounded delay. Our results are, subsequently, applied to studying the existence of asymptotically almost periodic solutions to some integrodifferential equations, which arise in the theory of heat conduction within fading memory materials.</t>
  </si>
  <si>
    <t>Hernández, Eduardo/N-4531-2013</t>
  </si>
  <si>
    <t>WOS:000208720500010</t>
  </si>
  <si>
    <t>Jabalquinto, AM; Laivenieks, M; González-Nilo, FD; Encinas, MV; Zeikus, G; Cardemil, E</t>
  </si>
  <si>
    <t>Anaerobiospirillum succiniciproducens phosphoenolpyruvate carboxykinase:: Mutagenesis at metal site 2</t>
  </si>
  <si>
    <t>Phosphoenolpyruvate (PEP) carboxykinases harbor two divalent metal-binding sites. One cation interacts with the enzyme (metal binding site 1) to elicit activation, while a second cation (metal binding site 2) interacts with the nucleotide to serve as the metal nucleotide substrate. Mutants of Anaerobiospirillum succiniciproducens PEP carboxykinase have been constructed where Thr(249) and Asp(262), two residues of metal binding site 2 of the enzyme, were altered. Binding of the 3'(2')-O-(N-methylantraniloyl) derivative of ADP provides a test of the structural integrity of these mutants. The conservative mutation (Asp262Glu) retains a significant proportion of the wild type enzymatic activity. Meanwhile, removal of the OH group of Thr(249) in the Thr249Ala mutant causes a decrease in V-max by a factor of 1.1 X 10(4). Molecular modeling of wild type and mutant enzymes suggests that the lower catalytic efficiency of the Thr249Ala enzyme could be explained by a movement of the lateral chain of Lys(248), a critical catalytic residue, away from the reaction center.</t>
  </si>
  <si>
    <t>10.1023/B:JOPC.0000005500.67125.71</t>
  </si>
  <si>
    <t>WOS:000186865800003</t>
  </si>
  <si>
    <t>Pouliot, K; Thibault, J; Garnier, A; Leiva, GA</t>
  </si>
  <si>
    <t>KLa evaluation during the course of fermentation using data reconciliation techniques</t>
  </si>
  <si>
    <t>BIOPROCESS ENGINEERING</t>
  </si>
  <si>
    <t>The oxygen mass transfer coefficient often serves compare the efficiency of bioreactors and their mixing devices as well as being an important scale-up factor. In submerged fermentation, four methods are available to estimate the overall oxygen mass transfer coefficient (K(L)a): the dynamic method, the stationary method based on a previous determination of the oxygen uptake rate (Q(O2)X), the gaseous oxygen balance and the carbon dioxide balance. Each method provides a distinct estimation of the value of K(L)a. Data reconciliation was used to obtain a more probable value of K(L)a during the production of Saccharomyces cerevisiae, performed in 22.5-l fed-batch bioreactor. The estimate of K(L)a is obtained by minimising an objective function that includes measurement terms and oxygen conservation models, each being weighted according to their level of confidence. Weighting factors of measurement terms were taken as their respective inverse variance whereas weighting factors of oxygen conservation models were obtained using Monte Carlo simulations. Results show that more coherent and precise estimations of K(L)a are obtained.</t>
  </si>
  <si>
    <t>Garnier, Alain/0000-0001-8593-1899</t>
  </si>
  <si>
    <t>0178-515X</t>
  </si>
  <si>
    <t>10.1007/s004490000198</t>
  </si>
  <si>
    <t>WOS:000166449800004</t>
  </si>
  <si>
    <t>Rodríguez, N; Soto, I; Carrasco, R</t>
  </si>
  <si>
    <t>Adaptive predistortion and postdistortion for nonlinear channel</t>
  </si>
  <si>
    <t>NEURAL COMPUTING &amp; APPLICATIONS</t>
  </si>
  <si>
    <t>This paper proposes a new adaptive predistortion-postdistortion scheme based on a recurrent neural network to reduce nonlinear distortion introduced by a high power amplifier in the amplitude and phase of received Quadrature Phase Shift Keying (QPSK) signals in a digital microwave system. The recurrent neural network structure is inspired by the model proposed by Williams and Zipser, with a modified backpropagation algorithm. The input signal is processed by a nonlinear predistorter which reduces the warping effect The received output signal is passed through a postdistorter to compensate for the warping and clustering effects produced by an amplifier. The proposed scheme yields a significant improvement when it is compared to the system without predistortion-postdistortion, performance is evaluated in terms of the bit error rate and output signal constellation.</t>
  </si>
  <si>
    <t>0941-0643</t>
  </si>
  <si>
    <t>10.1007/s005210050039</t>
  </si>
  <si>
    <t>WOS:000085962800007</t>
  </si>
  <si>
    <t>Machado, VG; Nascimento, MD; Rezende, MC</t>
  </si>
  <si>
    <t>The halochromism of the 1-methyl-8-oxyquinolinium dye</t>
  </si>
  <si>
    <t>SPECTROSCOPY LETTERS</t>
  </si>
  <si>
    <t>The halochromic behaviour of the title dye (1) was studied in methanol, ethanol, 2-propanol, 1-butanol, 2-butanol, dimethyl acetamide, dimethyl sulfoxide, acetone and acetonitrile, in the presence of sodium iodide, potassium perchlorate and lithium perchlorate. The observed shifts of the charge-transfer band of 1, caused by the addition of increasing concentrations of the salts, was interpreted in terms of dye-salt and solvent-salt interactions and compared with the behaviour of other solvatochromic dyes which exhibit cationic halochromism. The phenomenon of halochromism is related to the more thoroughly investigated solvatochromic behaviour of dyes exhibiting a medium-sensitive absorption arising from an internal charge transfer.(1-8) The position of the charge-transfer band of a halochromic dye in solution is sensitive to the nature and concentration of an added salt. We may distinguish two kinds of behaviour, a cationic and an anionic halochromism, depending on which species is mainly responsible for the spectral changes induced by the salt added to the dye solutions.(3) The halochromic shifts may be explained in terms of dye-salt associations.(9,10) Most studies have been concerned with the halochromism of pyridinium phenoxides. For these compounds, which exhibit cationic halochromism, it is the association of the dye with the metal cation which determines the spectral shifts in solution. The 1-methyl-8-oxyquinolinium betaine 1 (QB) was originally described by Ueda and Schelly(11). More recently, solvatochromic shifts of this dye in 28 solvents were recorded and compared to the solvatochromic behaviour of the widely employed E-T(30) polarity probe 2(12). A good correlation of the transition energies of the solvatochromic band of 1 (E-T(QB)) was obtained with the corresponding E (T)(30) values in these media, with a correlation coefficient of 0.9935. In the present communication we studied the spectral properties of organic solutions of dye 1 in the presence of various salts. Because of the similarity of its solvatochromic behaviour with that of the ET(30) dye, it seemed natural to compare the halochromic properties of 1 with those of other pyridiniophenolate dyes previously studied by us and others.(1,6,8)</t>
  </si>
  <si>
    <t>0038-7010</t>
  </si>
  <si>
    <t>10.1080/00387019808003260</t>
  </si>
  <si>
    <t>WOS:000073062300010</t>
  </si>
  <si>
    <t>BenHadda, T; Zidane, I; Moya, SA; LeBozec, H</t>
  </si>
  <si>
    <t>Soluble ruthenium carbonyl complexes containing new sterically hindered bipyridine ligands</t>
  </si>
  <si>
    <t>The synthesis, characterization and reactivity of bipyridyl ruthenium carbonyl complexes of the type Ru(NN)(CO)(2)Cl-2 [where NN = 4,4'-(t)Bu(2)-2,2'-bpy (bpy*, a); 6,6'-Me(2)-4,4'-(t)Bu(2)-2,2'-bpy (dmbpy*, b); 6,6'-Ph(2)-4,4'-(t)Bu(2)-2,2'-bpy (dpbpy*, c)] is reported together with the synthesis and characterization of Ru(dpphen)(CO)(2)Cl-2 [where dpphen = 2,9-Ph(2)-1,10-phen, d]. When NN is bpy* or dmbpy*, the cis-carbonyl, trans-chloro isomer is obtained, whereas when NN is dpbpy* or dpphen the cis-carbonyl, cis-chloro isomer is the predominant product.</t>
  </si>
  <si>
    <t>Hadda, Taibi/ABC-7833-2021</t>
  </si>
  <si>
    <t>BEN HADDA, Taibi/0000-0002-5633-6203</t>
  </si>
  <si>
    <t>10.1016/0277-5387(95)00469-6</t>
  </si>
  <si>
    <t>WOS:A1996TW49300025</t>
  </si>
  <si>
    <t>LEON, A; GARGALLO, L; HORTA, A; RADIC, D</t>
  </si>
  <si>
    <t>SYNTHESIS AND SOLUTION PROPERTIES OF COMBLIKE POLY(MONO-N-ALKYL ITACONATES) .1. POLY(MONODECYL ITACONATE)</t>
  </si>
  <si>
    <t>JOURNAL OF POLYMER SCIENCE PART B-POLYMER PHYSICS</t>
  </si>
  <si>
    <t>0887-6266</t>
  </si>
  <si>
    <t>10.1002/polb.1989.090271113</t>
  </si>
  <si>
    <t>WOS:A1989AU07800013</t>
  </si>
  <si>
    <t>Kooshki, L; Fakhri, S; Abbaszadeh, F; Kiani, A; Farzaei, MH; Mohammadi-Noori, E; Echeverria, J</t>
  </si>
  <si>
    <t>Kooshki, Leila; Fakhri, Sajad; Abbaszadeh, Fatemeh; Kiani, Amir; Farzaei, Mohammad Hosein; Mohammadi-Noori, Ehsan; Echeverria, Javier</t>
  </si>
  <si>
    <t>Pelargonidin improves functional recovery and attenuates neuropathic pain following spinal cord injury in rats: relevance to its neuroprotective, antioxidant, and anti-inflammatory effects</t>
  </si>
  <si>
    <t>Background Spinal cord injury (SCI) significantly impairs individuals' sensorimotor functions, hindering daily activities. Current therapeutic options often demonstrate limited efficacy and lead to undesirable side effects. Emerging research highlights the potential of anthocyanins, especially pelargonidin, which possess neuroprotective, anti-inflammatory, and antioxidant properties beneficial for neurological conditions.Purpose This study sought to explore the impact of intrathecal administration of pelargonidin on the recovery of sensory-motor functions and associated disorders in a rat model of SCI through neuroprotective effects and regulating inflammatory/oxidative stress mediators.Materials and methods In total, 35 male Wistar rats were divided into five groups: sham, SCI, and three treatment groups receiving different intrathecal concentrations of pelargonidin (1, 2, and 4 mM) once on day 0 after surgery/injury. Weight changes were assessed and behavioral analyses were done, including hot plate tests, acetone drop tests, von Frey tests, inclined plane tests, as well as Basso, Beattie, and Bresnahan (BBB) scores, weekly up to day 28 post-injury. On day 28, serum levels of nitrite, catalase, and glutathione as well as matrix metalloproteinase (MMP) assays and histological evaluations were done.Results and discussion Pelargonidin significantly attenuated neuropathic pain, improved motor performance, and reduced weight loss in rats with SCI. Biochemical assays demonstrated increased serum catalase/glutathione level, and MMP2 activity, while decreased serum nitrite level and MMP9 activity. Histological analyses showed an enhancement in the number of motor neurons in the ventral horn of the spinal cord after treatment with pelargonidin, highlighting its neuroprotective and neurogenic effects.Conclusion Pelargonidin makes substantial therapeutic benefits following SCI by accelerating sensorimotor recovery. This effect is likely due to its strong antioxidant, anti-inflammatory, and neuroprotective properties.</t>
  </si>
  <si>
    <t>Echeverría, Javier/AAK-3323-2020; Abbaszadeh, Fatemeh/AHB-2484-2022; Farzaei, Mohammad/M-5779-2017</t>
  </si>
  <si>
    <t>MAR 24</t>
  </si>
  <si>
    <t>10.3389/fphar.2025.1547187</t>
  </si>
  <si>
    <t>WOS:001460093700001</t>
  </si>
  <si>
    <t>Leiva, NV; Montenegro, D; Castro, C; Silva, M; Vidal, R; González, MT</t>
  </si>
  <si>
    <t>Leiva, N. V.; Montenegro, D.; Castro, C.; Silva, M.; Vidal, R.; Gonzalez, M. T.</t>
  </si>
  <si>
    <t>Is parasitic infection a buffer against metal pollution?</t>
  </si>
  <si>
    <t>JOURNAL OF HELMINTHOLOGY</t>
  </si>
  <si>
    <t>Metal pollution is a major global issue in aquatic environments, affecting environmental quality and potentially altering host-parasite dynamics. This study evaluates the buffering role of a larval trematode Himasthla sp. under experimental conditions to test the effect of copper (Cu) exposure on the survival of the marine snail Echinolittorina peruviana. Snails were collected from intertidal rocky pools over a two-month period from Coloso (23 degrees 45'S, 70 degrees 28'W), northern Chile, and identified as parasitized or unparasitized. Both groups were then exposed to Cu concentrations (3 and 6 mg/L). Kaplan-Meier curves were used to determine the percentage of survival over time and the respective confidence intervals (CI). A nested ANOVA was conducted to assess whether rediae abundance per snail varied by experiment time, snail status, and Cu concentration. Snail survival was affected by both Cu-concentrations, but the effect was greater at 6 mg/L. At 3 mg/L, 57% (CI: 49.9-66.6%) of unparasitized snails were alive at 192 h, while 56% (CI: 46.6-67.4%) of parasitized snails survived at 216 h. At 6 mg/L, 42% (CI:35-51%) of unparasitized snails survived at 192 h, while 48% of parasitized snails survived at 216 h (CI:39-59%). Regardless of Cu concentration, after 240 h, all unparasitized snails had died, while 15% of parasitized snails remained alive. Dead snails harboured 125 +/- 53 rediae, while survivors had 194 +/- 73 rediae, with no significant differences between treatments. Our results show that parasitized snails survived longer than unparasitized snails, suggesting a trade-off between parasitism and host survival in polluted environments.</t>
  </si>
  <si>
    <t>0022-149X</t>
  </si>
  <si>
    <t>1475-2697</t>
  </si>
  <si>
    <t>FEB 26</t>
  </si>
  <si>
    <t>e34</t>
  </si>
  <si>
    <t>10.1017/S0022149X2500015X</t>
  </si>
  <si>
    <t>WOS:001435727200001</t>
  </si>
  <si>
    <t>García-Muñoz, F; Cortés-Borray, AF</t>
  </si>
  <si>
    <t>Garcia-Munoz, Fernando; Cortes-Borray, Andres Felipe</t>
  </si>
  <si>
    <t>Optimal operation of multi-energy carriers considering energy hubs in unbalanced distribution networks under uncertainty</t>
  </si>
  <si>
    <t>This article presents a two-stage stochastic programming model to address the dispatching scheduling problem in an energy hub, considering an unbalanced active low-voltage (LV) network. A three-phase version of the second-order cone relaxation of DistFlow AC optimal power flow (AC-OPF) is employed to incorporate unbalanced network constraints, while the objective minimizes the Local Energy Community (LEC) operational cost. The model results have been validated using OpenDSS, encompassing energy losses, voltage levels, and active/reactive power. Likewise, a comparative analysis between the three-phase model and the traditional single-phase model, using a modified version of the IEEE European LV Test Feeder as a case study, reveals interesting differences, such that the single-phase model underestimates voltage limits during photovoltaic (PV) system operation and overestimates energy purchased from the main grid, compared with the three-phase model. Similarly, the comparison results reveal that discrepancies between the single and three-phase models intensify as the power injected from PV systems rises. This notably impacts the total energy purchased from the grid, battery operation, and the satisfaction of thermal consumption through electricity. Finally, while the three-phase model offers valuable insights into security levels for voltage and grid energy purchase, its longer computational time makes it more suitable for strategic use rather than daily operational frameworks.</t>
  </si>
  <si>
    <t>García-Muñoz, Fernando/AAX-9963-2020</t>
  </si>
  <si>
    <t>Garcia-Munoz, Fernando/0000-0001-9376-4357; Cortes Borray, Andres Felipe/0000-0002-7819-2458</t>
  </si>
  <si>
    <t>10.1016/j.segan.2024.101538</t>
  </si>
  <si>
    <t>WOS:001343489600001</t>
  </si>
  <si>
    <t>Acuña-Castillo, C; Escobar, A; García-Gómez, M; Bachelet, VC; Huidobro-Toro, JP; Sauma, D; Barrera-Avalos, C</t>
  </si>
  <si>
    <t>Acuna-Castillo, Claudio; Escobar, Alejandro; Garcia-Gomez, Moira; Bachelet, Vivienne C.; Huidobro-Toro, Juan Pablo; Sauma, Daniela; Barrera-Avalos, Carlos</t>
  </si>
  <si>
    <t>P2X7 Receptor in Dendritic Cells and Macrophages: Implications in Antigen Presentation and T Lymphocyte Activation</t>
  </si>
  <si>
    <t>The P2X7 receptor, a member of the P2X purinergic receptor family, is a non-selective ion channel. Over the years, it has been associated with various biological functions, from modulating to regulating inflammation. However, its emerging role in antigen presentation has captured the scientific community's attention. This function is essential for the immune system to identify and respond to external threats, such as pathogens and tumor cells, through T lymphocytes. New studies show that the P2X7 receptor is crucial for controlling how antigens are presented and how T cells are activated. These studies focus on antigen-presenting cells, like dendritic cells and macrophages. This review examines how the P2X7 receptor interferes with effective antigen presentation and activates T cells and discusses the fundamental mechanisms that can affect the immune response. Understanding these P2X7-mediated processes in great detail opens up exciting opportunities to create new immunological therapies.</t>
  </si>
  <si>
    <t>Acuña-Castillo, Claudio/AAI-7090-2021; Escobar, Alejandro/I-2775-2013; Bachelet, Vivienne/JAN-7158-2023; Sauma, Daniela/D-8387-2013</t>
  </si>
  <si>
    <t>Acuna-Castillo, Claudio/0000-0003-3607-6077; Bachelet, Vivienne C./0000-0002-5715-9755; Barrera-Avalos, Carlos/0000-0001-6160-9563; Escobar, Alejandro/0000-0002-1587-4179</t>
  </si>
  <si>
    <t>10.3390/ijms25052495</t>
  </si>
  <si>
    <t>WOS:001182785900001</t>
  </si>
  <si>
    <t>Alfaro, M; Santander, P; Fuertes, G; Ternero, R; Vargas, M</t>
  </si>
  <si>
    <t>Alfaro, Miguel; Santander, Pavlo; Fuertes, Guillermo; Ternero, Rodrigo; Vargas, Manuel</t>
  </si>
  <si>
    <t>Water Reservoir Placement Methodology for Forest Firefighting: A Case Study of Valparaíso, Chile</t>
  </si>
  <si>
    <t>FORESTS</t>
  </si>
  <si>
    <t>Climate change has a significant impact on generating forest fires. These fires damage property, interrupt productive processes, reduce employment sources, and generate direct economic losses. Also, fires contribute to climate change, resulting in a negative cycle. Therefore, the effective management of forest fires is of vital importance. This research focuses on the combat and mitigation phase of forest fires, with special emphasis on using helicopters to transport water from nearby reservoirs to the fire site. The location of these reservoirs is key since a greater distance traveled by helicopter means a longer delay in water transport, which favors the spread of the fire. For this reason, this research proposes an optimization model to determine the optimal location of these reservoirs in a territory. The proposed model is illustrated with a case study of the region of Valparaiso, demonstrating its usefulness for management and decision making when locating reservoirs for firefighting.</t>
  </si>
  <si>
    <t>; Fuertes, Guillermo/Q-2341-2016</t>
  </si>
  <si>
    <t>Ternero Saavedra, Rodrigo/0000-0002-6075-6657; Fuertes, Guillermo/0000-0003-3044-5919; Santander Tapia, Pavlo/0009-0000-2076-5586</t>
  </si>
  <si>
    <t>1999-4907</t>
  </si>
  <si>
    <t>10.3390/f15010201</t>
  </si>
  <si>
    <t>WOS:001148893300001</t>
  </si>
  <si>
    <t>Cedeño, AL; Orellana, R; Carvajal, R; Agüero, JC</t>
  </si>
  <si>
    <t>Cedeno, Angel L.; Orellana, Rafael; Carvajal, Rodrigo; Agueero, Juan C.</t>
  </si>
  <si>
    <t>A Bayesian Filtering Method for Wiener State-Space Systems Utilizing a Piece-wise Linear Approximation</t>
  </si>
  <si>
    <t>IFAC PAPERSONLINE</t>
  </si>
  <si>
    <t>22nd World Congress of the International Federation of Automatic Control (IFAC)</t>
  </si>
  <si>
    <t>JUL 09-14, 2023</t>
  </si>
  <si>
    <t>Yokohama, JAPAN</t>
  </si>
  <si>
    <t>In this paper, we develop a filtering algorithm for Wiener systems written in statespace form which considers correlated noise sources. The output non-linearity is approximated by using a piece-wise linear function. The probability function of the output signal conditioned to the system state is written as a Gaussian mixture distribution. A Gaussian sum filter algorithm to obtain the a posteriori probability density function of the state given the current and past output is developed. The associated statistics of the system state are obtained. The benefits of our proposal are illustrated via numerical simulations. Copyright (c) 2023 The Authors.</t>
  </si>
  <si>
    <t>Carvajal, Rodrigo/E-5560-2015; Orellana Prato, Rafael/Y-5616-2018; Aguero, Juan/A-8657-2013</t>
  </si>
  <si>
    <t>Cedeno, Angel L./0000-0002-5797-4231</t>
  </si>
  <si>
    <t>2405-8963</t>
  </si>
  <si>
    <t>10.1016/j.ifacol.2023.10.906</t>
  </si>
  <si>
    <t>WOS:001122557300643</t>
  </si>
  <si>
    <t>Köhler, J; Hidalgo, L; Jara, JL</t>
  </si>
  <si>
    <t>Kohler, Jacqueline; Hidalgo, Luciano; Jara, Jose Luis</t>
  </si>
  <si>
    <t>Predicting Students' Outcome in an Introductory Programming Course: Leveraging the Student Background</t>
  </si>
  <si>
    <t>For a lot of beginners, learning to program is challenging; similarly, for teachers, it is difficult to draw on students' prior knowledge to help the process because it is not quite obvious which abilities are significant for developing programming skills. This paper seeks to shed some light on the subject by identifying which previously recorded variables have the strongest correlation with passing an introductory programming course. To do this, a data set was collected including data from four cohorts of students who attended an introductory programming course, common to all Engineering programmes at a Chilean university. With this data set, several classifiers were built, using different Machine Learning methods, to determine whether students pass or fail the course. In addition, models were trained on subsets of students by programme duration and engineering specialisation. An accuracy of 68% was achieved, but the analysis by specialisation shows that both accuracy and the significant variables vary depending on the programme. The fact that classification methods select different predictors depending on the specialisation suggests that there is a variety of factors that affect a student's ability to succeed in a programming course, such as overall academic performance, language proficiency, and mathematical and scientific skills.</t>
  </si>
  <si>
    <t>Köhler, Jacqueline/HOC-7820-2023; Hidalgo, Luciano/HKO-3764-2023; Jara, JL/J-7254-2015</t>
  </si>
  <si>
    <t>Hidalgo, Luciano/0000-0001-8875-172X; Jara, JL/0000-0002-3348-7017</t>
  </si>
  <si>
    <t>10.3390/app132111994</t>
  </si>
  <si>
    <t>WOS:001100537300001</t>
  </si>
  <si>
    <t>Barbieri, S; Meyerovitch, T</t>
  </si>
  <si>
    <t>Barbieri, Sebastian; Meyerovitch, Tom</t>
  </si>
  <si>
    <t>THE LANFORD-RUELLE THEOREM FOR ACTIONS OF SOFIC GROUPS</t>
  </si>
  <si>
    <t>TRANSACTIONS OF THE AMERICAN MATHEMATICAL SOCIETY</t>
  </si>
  <si>
    <t>Let Gamma be a sofic group, Sigma be a sofic approximation sequence of G and X be a Gamma-subshift with non-negative sofic topological entropy with respect to S. Further assume that X is a shift of finite type, or more generally, that X satisfies the topological Markov property. We show that for any sufficiently regular potential f : X -&gt; R, any translation-invariant Borel probability measure on X which maximizes the measure-theoretic sofic pressure of f with respect to S is a Gibbs state with respect to f. This extends a classical theorem of Lanford and Ruelle, as well as previous generalizations of Moulin Ollagnier, Pinchon, Tempelman and others, to the case where the group is sofic. As applications of our main result we present a criterion for uniqueness of an equilibrium measure, as well as sufficient conditions for having that the equilibrium states do not depend upon the chosen sofic approximation sequence. We also prove that for any group-shift over a sofic group, the Haar measure is the unique measure of maximal sofic entropy for every sofic approximation sequence, as long as the homoclinic group is dense. On the expository side, we present a short proof of Chung's variational principle for sofic topological pressure.</t>
  </si>
  <si>
    <t>0002-9947</t>
  </si>
  <si>
    <t>1088-6850</t>
  </si>
  <si>
    <t>10.1090/tran/8810</t>
  </si>
  <si>
    <t>WOS:000886305500001</t>
  </si>
  <si>
    <t>Véliz-Tejo, A; Travieso-Torres, JC; Peters, AA; Mora, A; Leiva-Silva, F</t>
  </si>
  <si>
    <t>Veliz-Tejo, Adolfo; Travieso-Torres, Juan Carlos; Peters, Andres A.; Mora, Andres; Leiva-Silva, Felipe</t>
  </si>
  <si>
    <t>Normalized-Model Reference System for Parameter Estimation of Induction Motors</t>
  </si>
  <si>
    <t>ENERGIES</t>
  </si>
  <si>
    <t>This manuscript proposes a short tuning march algorithm to estimate induction motors (IM) electrical and mechanical parameters. It has two main novel proposals. First, it starts by presenting a normalized-model reference adaptive system (N-MRAS) that extends a recently proposed normalized model reference adaptive controller for parameter estimation of higher-order nonlinear systems, adding filtering. Second, it proposes persistent exciting (PE) rules for the input amplitude. This N-MRAS normalizes the information vector and identification adaptive law gains for a more straightforward tuning method, avoiding trial and error. Later, two N-MRAS designs consider estimating IM electrical and mechanical parameters. Finally, the proposed algorithm considers starting with a V/f speed control strategy, applying a persistently exciting voltage and frequency, and applying the two designed N-MRAS. Test bench experiments validate the efficacy of the proposed algorithm for a 10 HP IM.</t>
  </si>
  <si>
    <t>Mora, Andres/I-6953-2015; Peters, Andres/U-2037-2019; Travieso Torres, Juan carlos/N-6437-2019</t>
  </si>
  <si>
    <t>Peters, Andres/0000-0003-3282-770X; Leiva Silva, Felipe Ignacio/0000-0003-3589-5695; MORA, ANDRES/0000-0002-5606-2783; Travieso Torres, Juan carlos/0000-0002-9246-4827</t>
  </si>
  <si>
    <t>1996-1073</t>
  </si>
  <si>
    <t>10.3390/en15134542</t>
  </si>
  <si>
    <t>WOS:000825676800001</t>
  </si>
  <si>
    <t>Castro, SA; Sobarzo, F; Carmona, MR; Castro-Comte, C; Castro-Comte, JP; Figueroa, JA</t>
  </si>
  <si>
    <t>Castro, Sergio A.; Sobarzo, Felipe; Carmona, Martin R.; Castro-Comte, Camilo; Pablo Castro-Comte, Juan; Figueroa, Javier A.</t>
  </si>
  <si>
    <t>Richness and taxonomic representation of the genus Platanus in Santiago (Chile) based on PCR procedure on the LEAFY gene (LFY-i2)</t>
  </si>
  <si>
    <t>Species of the genus Platanus are widely distributed around the globe, due to their ornamental use. Although there are 10 valid species, an undetermined number of hybrids have been generated from them. Therefore, in different cities where these taxa have been planted -including Chilean cities- the diversity and taxonomic representation of Platanus is confusing and controversial. Through a PCR -based procedure on the LEAFY gene (LFYi2), an informative gene to identify Platanus species, we analyzed the diversity of the genus in Santiago, measuring also its representation. We sampled 269 Platanus trees distributed in streets and avenues of Santiago, showing that there are at least seven taxa, including the species P. occidentalis and P. orientalis, and five hybrid taxa; one of them is P. x hispanica, while the other four have no discernible origin from Leafy-i2 (here called Platanus A, Platanus B, Platanus C and Platanus D). In terms of representation, the set of hybrid taxa accumulated 84.7% of the trees sampled; while P. orientalis and P. occidentalis together accumulated 15.3% of the trees. Of the species, P. orientalis was the most frequent (14.9%), while among the hybrids, the most frequent was Platanus A (40.8%); in contrast, P. x hispanica represented a low proportion of the sample (1.9%). These results confirm the presence of P. occidentalis, P. orientalis and P. x hispanica in Santiago; however, the cumulative representation of these three taxa (17.2%) is lower than that of undetermined hybrids (82.8%). The taxonomic recognition and representation of Platanus specimens in Santiago is an important tool for projecting future urban tree planting efforts, especially in view of the ecosystem services provided by them.</t>
  </si>
  <si>
    <t>0016-5301</t>
  </si>
  <si>
    <t>WOS:000933200700004</t>
  </si>
  <si>
    <t>Vergara, PM; Fierro, A; Carvajal, MA; Alaniz, AJ</t>
  </si>
  <si>
    <t>Vergara, Pablo M.; Fierro, Andres; Carvajal, Mario A.; Alaniz, Alberto J.</t>
  </si>
  <si>
    <t>Using sonic tomography to assess the relationship between internal wood decay and saproxylic beetle communities</t>
  </si>
  <si>
    <t>ENVIRONMENTAL TECHNOLOGY &amp; INNOVATION</t>
  </si>
  <si>
    <t>Although wood-inhabiting beetle species are known to contribute to the progressive degradation of wood by building larval galleries and dispersing fungal propagules, the relationship between decaying wood and beetle communities is difficult to be assessed. The ecological properties of trees, such as their mortality status and species, could modify the relationships between beetle communities and decaying wood. We used recently developed techniques of sonic tomography for the first time to address how the trophic structure of beetle communities varies with the internal wood decay. We developed a paired design where sonic tomograms taken in the trunk sections of live and dead trees of the Patagonian forest were related with beetles sampled with emergence traps. Beetles captured in the trunks of live trees responded weakly to the internal wood decay. Indeed, the diversity of predators in live trees was likely influenced by bark microhabitats. Conversely, most of the guild assemblages in the trunks of dead trees were impoverished as wood decay was more advanced, possibly due to decreasing microhabitat quality. Our preliminary study suggests sonic tomography offers the opportunity to distinguish how beetles modulate decaying wood, but also provides insights about the assessment of live trees with tomograms. (C) 2022 The Author(s). Published by Elsevier B.V.</t>
  </si>
  <si>
    <t>Carvajal, Mario/GYU-2659-2022; Vergara, Pablo/F-2519-2010; Alaniz, Alberto/J-3104-2019</t>
  </si>
  <si>
    <t>2352-1864</t>
  </si>
  <si>
    <t>10.1016/j.eti.2022.102677</t>
  </si>
  <si>
    <t>WOS:000809657100007</t>
  </si>
  <si>
    <t>Gonzalez-Munoz, B; Garrido-Vargas, F; Pavez, C; Osorio, F; Chen, JS; Bordeu, E; O'Brien, JA; Brossard, N</t>
  </si>
  <si>
    <t>Gonzalez-Munoz, Beatriz; Garrido-Vargas, Fernanda; Pavez, Carolina; Osorio, Fernando; Chen, Jianshe; Bordeu, Edmundo; O'Brien, Jose A.; Brossard, Natalia</t>
  </si>
  <si>
    <t>Wine astringency: more than just tannin-protein interactions</t>
  </si>
  <si>
    <t>Red wines are characterized by their astringency, a very important sensory attribute that affects the perceived quality of wines. Three mechanisms have been proposed to explain astringency, and two theories describe how these mechanisms work in an integrated manner to produce tactile sensations such as drying, roughening, shrinking and puckering. The factors involved include not only tannins and salivary proteins, but also anthocyanins, grape polysaccharides and mannoproteins, as well as other wine matrix components that modulate their interactions. These multifactorial interactions could be responsible for different sensory responses and therefore need to be further studied. This review presents the latest advances in astringency perception and its possible origins, with special attention on the interactions of components, their impact on oral perception and the development of astringency sub-qualities. Future research efforts should concentrate on understanding the mechanisms involved as well as on the limiting factors related to the conformation and stability of the tannin-salivary protein complexes. (c) 2021 Society of Chemical Industry.</t>
  </si>
  <si>
    <t>O'Brien, Jose/AAN-8430-2020; Chen, Jianshe/KXR-9203-2024; Brossard, Natalia/ABH-2990-2021; Pavez Moreno, Carolina/AHI-1364-2022</t>
  </si>
  <si>
    <t>Garrido Vargas, Fernanda Stephanie/0009-0003-8826-0914; Brossard, Natalia/0000-0001-7444-8869</t>
  </si>
  <si>
    <t>MAR 30</t>
  </si>
  <si>
    <t>10.1002/jsfa.11672</t>
  </si>
  <si>
    <t>DEC 2021</t>
  </si>
  <si>
    <t>WOS:000726755200001</t>
  </si>
  <si>
    <t>Pineda, C; Pereda, J; Rojas, F; Droguett, G; Burgos-Mellado, C; Watson, AJ</t>
  </si>
  <si>
    <t>Pineda, Cristian; Pereda, Javier; Rojas, Felix; Droguett, Gabriel; Burgos-Mellado, Claudio; Watson, Alan J.</t>
  </si>
  <si>
    <t>Optimal ZCS Modulation for Bidirectional High-Step-Ratio Modular Multilevel DC-DC Converter</t>
  </si>
  <si>
    <t>IEEE TRANSACTIONS ON POWER ELECTRONICS</t>
  </si>
  <si>
    <t>Recent developments in dc powered technologies have increased interest in highly efficient dc-dc converters, especially at high voltage and high-step voltage ratios. Modular multilevel converters (MMCs) are an attractive alternative approach to this demand because they can manage medium and high dc voltages while using standard semiconductor devices with high efficiency if they employ soft-switching techniques. However, the latest soft-switching techniques require resonant circuits, limiting their operation. This article proposes a new zero-current switching modulation technique for a high-step-ratio MMC dc-dc converter as result of a rms current minimization problem. The proposed optimization generates trapezoidal or triangular current to operate the converter over a wide output voltage and power range, while using a simple control scheme to regulate the output voltage and the voltage balance among the floating cell capacitors. The theoretical analysis has been verified with a laboratory-scaled prototype, demonstrating the effectiveness of the approach and excellent dynamical response.</t>
  </si>
  <si>
    <t>Burgos-Mellado, Claudio/X-6305-2019; Rojas, Felix/U-3305-2019; Pereda Torres, Javier/F-8244-2013</t>
  </si>
  <si>
    <t>Droguett, Gabriel/0000-0003-4858-0369; Pineda, Cristian/0000-0003-3813-7718; Watson, Alan/0000-0001-6763-5535; Pereda Torres, Javier/0000-0002-3407-5233; Burgos-Mellado, Claudio/0000-0003-1990-0191; Rojas, Felix/0000-0001-6145-2826</t>
  </si>
  <si>
    <t>0885-8993</t>
  </si>
  <si>
    <t>1941-0107</t>
  </si>
  <si>
    <t>10.1109/TPEL.2021.3078235</t>
  </si>
  <si>
    <t>WOS:000678445700043</t>
  </si>
  <si>
    <t>Bonner, MD; Dammert, L</t>
  </si>
  <si>
    <t>Bonner, Michelle D.; Dammert, Lucia</t>
  </si>
  <si>
    <t>Constructing police legitimacy during protests: frames and consequences for human rights</t>
  </si>
  <si>
    <t>POLICING &amp; SOCIETY</t>
  </si>
  <si>
    <t>Police legitimacy is a constructed concept. Theorists argue that legitimacy is achieved through police practices that conform to the law and societal expectations, and respect human rights. The challenge is that the distinction between acceptable and unacceptable police force requires interpretation. This article uses a qualitative frame analysis of leading Chilean newspapers to reveal how police and their supporters justified police actions in response to the massive social protests in Chile from October to December 2019. We argue that the dominant frames speakers used to explain police actions during the social uprising justified police violence as a legitimate response to a criminal threat and as consistent with police protocols and the law. While reasserting police legitimacy, the frames delegitimise claims of human rights abuses (often explicitly) and shift the dominant public conversation away from discussions of broader public security and public order reforms that could better reduce police violence. Such frames reveal the tensions between police legitimacy and human rights protections, and the power of state and civil society voices elevated in the media to challenge the latter.</t>
  </si>
  <si>
    <t>Bonner, Michelle/0000-0003-4942-0367; Dammert, Lucia/0000-0003-1239-4425</t>
  </si>
  <si>
    <t>1043-9463</t>
  </si>
  <si>
    <t>1477-2728</t>
  </si>
  <si>
    <t>MAY 28</t>
  </si>
  <si>
    <t>10.1080/10439463.2021.1957887</t>
  </si>
  <si>
    <t>JUL 2021</t>
  </si>
  <si>
    <t>WOS:000678897900001</t>
  </si>
  <si>
    <t>Sandoval, F; Julio, K; Méndez, G; Valderas, C; Echeverría, AC; Perinetti, MJ; Suarez, NM; Barraza, G; Piñera, C; Alarcón, M; Samaniego, F; Quesada-Rios, P; Robles, C; Izquierdo, G</t>
  </si>
  <si>
    <t>Sandoval, Francisca; Julio, Katherine; Mendez, Gaston; Valderas, Carolina; Echeverria, Alejandra C.; Perinetti, Maria Jose; Suarez, N. Mario; Barraza, Gonzalo; Pinera, Cecilia; Alarcon, Macarena; Samaniego, Fernando; Quesada-Rios, Pia; Robles, Carlos; Izquierdo, Giannina</t>
  </si>
  <si>
    <t>Neurologic Features Associated With SARS-CoV-2 Infection in Children: A Case Series Report</t>
  </si>
  <si>
    <t>JOURNAL OF CHILD NEUROLOGY</t>
  </si>
  <si>
    <t>Introduction: Although multiple neurologic manifestations associated with SARS-CoV-2 infection have been described in adults, there is little information about those presented in children. Here, we described neurologic manifestations associated with COVID-19 in the pediatric population. Methods: Retrospective case series report. We included patients younger than 18 years, admitted with confirmed SARS-CoV-2 infection and neurologic manifestations at our hospital in Santiago, Chile. Demographics, clinical presentations, laboratory results, radiologic and neurophysiological studies, treatment, and outcome features were described. Cases were described based on whether they presented with predominantly central or peripheral neurologic involvement. Results: Thirteen of 90 (14.4%) patients admitted with confirmed infection presented with new-onset neurologic symptoms and 4 patients showed epilepsy exacerbation. Neurologic manifestations ranged from mild (headache, muscle weakness, anosmia, ageusia), to severe (status epilepticus, Guillain-Barre syndrome, encephalopathy, demyelinating events). Conclusions: We found a wide range of neurologic manifestations in children with confirmed SARS-CoV-2 infection. In general, neurologic symptoms were resolved as the systemic presentation subsided. It is essential to recognize and report the main neurologic manifestations related to this new infectious disease in the pediatric population. More evidence is needed to establish the specific causality of nervous system involvement.</t>
  </si>
  <si>
    <t>Sandoval, Francisca/GNP-2558-2022</t>
  </si>
  <si>
    <t>Mendez, Gaston/0000-0002-4421-4428; Sandoval, Francisca/0000-0003-3919-9240</t>
  </si>
  <si>
    <t>0883-0738</t>
  </si>
  <si>
    <t>1708-8283</t>
  </si>
  <si>
    <t>10.1177/0883073821989164</t>
  </si>
  <si>
    <t>MAR 2021</t>
  </si>
  <si>
    <t>WOS:000637142700001</t>
  </si>
  <si>
    <t>Rozas, BA; Urra, JV; Mahtani, PD; Isea, JW; Rodríguez, MM</t>
  </si>
  <si>
    <t>Abarca Rozas, Bastian; Vargas Urra, Jocelyn; Dadlani Mahtani, Pavan; Widerstrom Isea, Jorge; Mestas Rodriguez, Manuel</t>
  </si>
  <si>
    <t>Essential aspects for the administration of blood components in hospitalized patients: A narrative literature review</t>
  </si>
  <si>
    <t>MEDWAVE</t>
  </si>
  <si>
    <t>Introduction Transfusion medicine develops and disseminates guidelines that govern the optimal conditions for transfusion. The purpose of this article is to review the current evidence on the use of blood components. Methods We searched PubMed, Scholar Google, ScienceDirect, SciELO and Cochrane web portals, as well as official documents published in the Chilean Society of Hematology. Articles from the last ten years were included, of which 42 were appropriate for this narrative literature review. Conclusion First of all, there is a controversy between two types of strategies regarding the practice of red blood cell transfusion: a liberal strategy and a restrictive strategy. Second, for the management of coagulopathies, clotting times do not reflect the true ability of patients to clot. Third, to reverse the effect of coumadin, the administration of vitamin K would suffice over the use of fresh frozen plasma. Fourth, the use of physiological triggers could help define the best time for a transfusion.</t>
  </si>
  <si>
    <t>Abarca Rozas, Bastian/0000-0002-7643-9496; Dadlani Mahtani, Pavan/0000-0003-0696-0910</t>
  </si>
  <si>
    <t>0717-6384</t>
  </si>
  <si>
    <t>e8060</t>
  </si>
  <si>
    <t>10.5867/medwave.2020.10.8060</t>
  </si>
  <si>
    <t>WOS:000603383400003</t>
  </si>
  <si>
    <t>Oyarce, E; Pizarro, GD; Oyarzún, DP; Zúñiga, C; Sánchez, J</t>
  </si>
  <si>
    <t>Oyarce, Estefania; Pizarro, Guadalupe Del C.; Oyarzun, Diego P.; Zuniga, Cesar; Sanchez, Julio</t>
  </si>
  <si>
    <t>HYDROGELS BASED ON 2-HYDROXYETHYL METHACRYLATE: SYNTHESIS, CHARACTERIZATION AND HYDRATION CAPACITY</t>
  </si>
  <si>
    <t>In the present work, three hydrogels of poly(2-hydroxyethyl methacrylate-co-itaconic acid), p(HEMA-co-IA), poly(2-hydroxyethyl methacrylate-co-acrylic acid), p(HEMA-co-AA) and poly(2-hydroxyethyl methacrylate-co-(1-vinyl-2-pyrrolidone)), p(HEMA-co-NVP) were prepared by free radical polymerization in aqueous solution (1:1 monomer mole ratio) using ammonium persulfate as initiator and N,N '-methylenebisacrylamide as crosslinking agent at two different amount (0.3 and 0.9 mol%). The obtained hydrogels were characterized by Fourier transform infrared spectroscopy (FT-IR), which allowed to verify the structural composition. Thermal analysis of the hydrogels was carried out by thermogravimetric analysis (TGA). In addition, hydration capacity (U%) was studied at different experimental conditions such as: time, pH, concentrations of interfering salts (KCl, NaCl and LiCl). The results showed a good polymerization yield (95%). FTIR characterization shows the absorption bands of the functional groups of copolymers. TGA exhibited the characteristic thermal stability of this type of hydrogels. The presence of comonomer AI, AA or NVP in copolymer determine the thermal behavior. Hydration experiments revealed a higher U% in copolymer containing more carboxylic acid groups. The maximum U% values in water were 400% and 250% for p(HEMA-co-AI) and p(HEMA-co-AA), respectively. For P(HEMA-co-NVP) a maximum of U% value was only 74% in water. The effect of interferent salts affects the hydration capacity decreasing U% when the concentration of salts increase.</t>
  </si>
  <si>
    <t>PIZARRO, GUADALUPE/V-3353-2017; Oyarzun, Diego/MTF-4062-2025; Sanchez, Julio/AEO-4360-2022</t>
  </si>
  <si>
    <t>Zuniga, Cesar/0009-0004-8736-6861; Sanchez, Julio/0000-0003-4245-0096</t>
  </si>
  <si>
    <t>WOS:000528017500006</t>
  </si>
  <si>
    <t>Espinoza-B, M; Donoso-M, F; Diaz-D, M; Urrutia-O, M; Cardenas-D, R</t>
  </si>
  <si>
    <t>Espinoza-B, Mauricio; Donoso-M, Felipe; Diaz-D, Matias; Urrutia-O, Matias; Cardenas-D, Roberto</t>
  </si>
  <si>
    <t>A Novel Control System for Medium-Voltage Hexverter-Based Drives</t>
  </si>
  <si>
    <t>2020 FIFTEENTH INTERNATIONAL CONFERENCE ON ECOLOGICAL VEHICLES AND RENEWABLE ENERGIES (EVER)</t>
  </si>
  <si>
    <t>15th International Conference on Ecological Vehicles and Renewable Energies (EVER)</t>
  </si>
  <si>
    <t>SEP 10-12, 2020</t>
  </si>
  <si>
    <t>Monte Carlo, MONACO</t>
  </si>
  <si>
    <t>Monaco Development Durable,IEEE Ind Applicat Soc,IEEE Power &amp; Energy Soc,IEEE Tunisia Sect,IEEE France Sect,Fondation Prince Albert II de Monaco,Soc Monegasque Electricite Gaz,Honda,E Plus</t>
  </si>
  <si>
    <t>In this paper, a novel control system for the Hexverter-based drive is proposed and analysed. Unlike previously proposed control schemes, the proposed one does not require the information of the machine variables to regulate the converter floating capacitors, as required in high-performance drive applications. The feasibility of the proposed control system is demonstrated by using simulation results of an Hexverter-based drive driving a medium-voltage machine, including the whole frequency range and high starting torque loads.</t>
  </si>
  <si>
    <t>Cardenas, Roberto/C-6395-2011; Diaz, Matias/R-7570-2018</t>
  </si>
  <si>
    <t>Cardenas, Roberto/0000-0003-3853-7703; Diaz, Matias/0000-0003-4489-9532</t>
  </si>
  <si>
    <t>978-1-7281-5641-5</t>
  </si>
  <si>
    <t>WOS:000681647700065</t>
  </si>
  <si>
    <t>Andrade, F; Cuevas, C; Henríquez, HR</t>
  </si>
  <si>
    <t>Andrade, Filipe; Cuevas, Claudio; Henriquez, Hernan R.</t>
  </si>
  <si>
    <t>Existence of asymptotically periodic solutions of partial functional differential equations with state-dependent delay</t>
  </si>
  <si>
    <t>APPLICABLE ANALYSIS</t>
  </si>
  <si>
    <t>In this paper, we are concerned with systems determined by partial differential equations with infinite and state-dependent delay. To study the system, we model the equation as an abstract retarded functional differential equations with infinite and state-dependent delay. We establish the existence of mild solutions, and the existence of S-asymptotically periodic solutions and asymptotically periodic solutions using local Lipschitz conditions on the involved functions. We apply our results to study the existence of asymptotically periodic solutions of a partial differential equation with infinite and state-dependent delay.</t>
  </si>
  <si>
    <t>Cuevas, Claudio/A-5896-2012; Andrade da Costa, Filipe/T-4137-2017</t>
  </si>
  <si>
    <t>Andrade da Costa, Filipe/0000-0001-6539-1581</t>
  </si>
  <si>
    <t>0003-6811</t>
  </si>
  <si>
    <t>1563-504X</t>
  </si>
  <si>
    <t>OCT 26</t>
  </si>
  <si>
    <t>10.1080/00036811.2019.1704737</t>
  </si>
  <si>
    <t>DEC 2019</t>
  </si>
  <si>
    <t>WOS:000504532500001</t>
  </si>
  <si>
    <t>Rojas, P; Vila, I; Habit, E; Castro, SA</t>
  </si>
  <si>
    <t>Rojas, Pablo; Vila, Irma; Habit, Evelyn; Castro, Sergio A.</t>
  </si>
  <si>
    <t>Homogenization of the freshwater fish fauna of the biogeographic regions of Chile</t>
  </si>
  <si>
    <t>Studies at local and global scales have showed that fish freshwater communities are going through a process of biotic homogenization, due mainly to exotic species introduced from other regions, and to the extinctions or extirpations of native species. Here we analyze the compositional changes among the contiguous biogeographic regions of continental Chile, expecting an important homogenization for being contiguous. By means of the spatial turnover (beta(sim) index), we determined the patterns of the compositional change and biotic homogenization from historical (beta(sim,H); calculated before the introduction of exotic species by post-European colonization) to current (beta(sim,C); calculated after the introduction of exotic species carried out by European colonizers) time. The differential turnover (Delta beta(sim)) exhibited an average of -0.04 and showing a significant distribution, with a median different from zero (P &lt;0.05). Our results indicate the regions are currently in an important homogenization process in comparison to those observed in studies between non-contiguous regions. This change is being influenced largely by the presence of exotic species and not by extirpations of native species affecting negatively the biosingularity of regions with a high degree of endemism. (C) 2019 Published by Elsevier B.V.</t>
  </si>
  <si>
    <t>Habit, Evelyn/AAD-3552-2019</t>
  </si>
  <si>
    <t>e00658</t>
  </si>
  <si>
    <t>10.1016/j.gecco.2019.e00658</t>
  </si>
  <si>
    <t>WOS:000477695200012</t>
  </si>
  <si>
    <t>Yañez, O; Báez-Grez, R; Inostroza, D; Rabanal-León, WA; Pino-Rios, R; Garza, J; Tiznado, W</t>
  </si>
  <si>
    <t>Yanez, Osvaldo; Baez-Grez, Rodrigo; Inostroza, Diego; Rabanal-Leon, Walter A.; Pino-Rios, Ricardo; Garza, Jorge; Tiznado, W.</t>
  </si>
  <si>
    <t>AUTOMATON: A Program That Combines a Probabilistic Cellular Automata and a Genetic Algorithm for Global Minimum Search of Clusters and Molecules</t>
  </si>
  <si>
    <t>JOURNAL OF CHEMICAL THEORY AND COMPUTATION</t>
  </si>
  <si>
    <t>A novel program for the search of global minimum structures of atomic clusters and molecules in the gas phase, AUTOMATON, is introduced in this work. This program involves the following: first, the generation of an initial population, using a simplified probabilistic cellular automaton method, which allows easy control of the adequate distribution of atoms in space; second, the fittest individuals are selected to evolve, through genetic operations (mating and mutations), until the best candidate for a global minimum surfaces. In addition, we propose a simple way to build the descendant structures by establishing a ranking of genes to be inherited. Thus, by means of a chemical formula checker procedure, genes are transferred to the offspring, ensuring that they always have the appropriate type and number of atoms. It is worth noting that a fraction of the fittest group is subject to mutation operations. This program also includes algorithms to identify duplicate structures: one based on geometric similarity and another on the similar distribution of atomic charges. The effectiveness of the program was evaluated in a group of 45 molecules, considering organic and organometallic compounds (benzene, cyclopentadienyl anion, and ferrocene), Zintl ion clusters [Sn9-m-nGemBin]((4-n)-) (n = 1-4 and m = 0-(9-n)), star-shaped clusters (Li7E5+, E = BH, C, Si, Ge) and a variety of boron-based clusters. The global minimum and the lowest-energy isomers reported in the literature were found for all the cases considered in this article. These results successfully prove AUTOMATON's effectiveness on the identification of energetically preferred structures of a wide variety of chemical species.</t>
  </si>
  <si>
    <t>Osorio, Edison/L-7964-2015; Garza, Jorge/H-9395-2016; Báez-Grez, Rodrigo/AAM-4876-2021; Inostroza, Diego/AAI-5261-2020; Tiznado, William/G-7479-2014</t>
  </si>
  <si>
    <t>Tiznado, William/0000-0002-6061-8879; Pino Rios, Ricardo/0000-0003-4756-1115; Inostroza Mendoza, Diego Estevan/0000-0002-0160-0337; Baez-Grez, Rodrigo/0000-0001-9303-1559; Rabanal-Leon, Walter A./0000-0002-2012-7194; Yanez Osses, Osvaldo Andres/0000-0001-8993-9353</t>
  </si>
  <si>
    <t>1549-9618</t>
  </si>
  <si>
    <t>1549-9626</t>
  </si>
  <si>
    <t>10.1021/acs.jctc.8b00772</t>
  </si>
  <si>
    <t>WOS:000458937600054</t>
  </si>
  <si>
    <t>Michie, J</t>
  </si>
  <si>
    <t>The multiplicity of distributional outcomes across the world: diversities of fundamentals or countries getting the inequality they deserve?</t>
  </si>
  <si>
    <t>HANDBOOK OF GLOBALISATION, 3RD EDITION</t>
  </si>
  <si>
    <t>978-1-78811-861-3; 978-1-78811-860-6; 978-1-78811-859-0</t>
  </si>
  <si>
    <t>10.4337/9781788118606</t>
  </si>
  <si>
    <t>WOS:000576728000008</t>
  </si>
  <si>
    <t>Godoy, F; Maldonado, T; Flores, E; Agurto, N; González, R; Ferraudi, G; Lappin, G</t>
  </si>
  <si>
    <t>Godoy, Fernando; Maldonado, Tamara; Flores, Erick; Agurto, Nicolas; Gonzalez, Rodrigo; Ferraudi, Guillermo; Lappin, Graham</t>
  </si>
  <si>
    <t>Novel organometallic chalcones functionalized with a crown ether fragment as optical ion chemosensors</t>
  </si>
  <si>
    <t>We previously reported the synthesis and characterization of new organometallic chalcones derived from ferrocene, cyrhetrene and cymantrene functionalized with a benzo-15-crown-5 fragment. The ferrocene and cyrhetrene chalcones have been investigated as chemosensors for metal ions with optical response in acetonitrile. Several metal ions were selected considering the diameter of the cavity and the charge-to-radius ratio of the cation. The stoichiometry of the complexes was determined using Job's method. It was found that Na+ and Ca2+ complexes have a 1:1 stoichiometry while a 2:1 (metaloligand-to-cation) stoichiometry was determined for Ba2+ and Pb2+ complexes. The association constants were calculated according to the stoichiometry of the complex and the results showed that they are directly affected by the electron-withdrawing nature of the organometallic fragment. Moreover, complexes of ferrocenyl chalcone have larger association constants than those of the cyrhetrenyl analogue. This experimental observation is consistent with the electronic properties of the ferrocenyl fragment.</t>
  </si>
  <si>
    <t>Gonzalez Ortega, Rodrigo/JUF-6240-2023; Flores, Erick/GPK-2155-2022</t>
  </si>
  <si>
    <t>Godoy, Fernando/0000-0002-3916-4753; Flores, Dr. Erick/0000-0002-2573-6650; Sepulveda Gonzalez, Rodrigo Antonio/0000-0003-4757-3546; Maldonado Hernandez, Tamara/0000-0002-3863-3001</t>
  </si>
  <si>
    <t>e4115</t>
  </si>
  <si>
    <t>10.1002/aoc.4115</t>
  </si>
  <si>
    <t>WOS:000426058000008</t>
  </si>
  <si>
    <t>Valdés-Saucedo, OA; Vázquez-Rodríguez, LJ; López-Zárate, B; Garza-Tovar, L; García-Gómez, NA; Artigas, A; Monsalve, A; Ramírez-Ramírez, JHH; Pérez-González, FA; Colás, R; Garza-Montes-de-Oca, NF</t>
  </si>
  <si>
    <t>Alejandro Valdes-Saucedo, Omar; Judith Vazquez-Rodriguez, Liliana; Lopez-Zarate, Brenda; Garza-Tovar, Lorena; Aleyda Garcia-Gomez, Nora; Artigas, Alfredo; Monsalve, Alberto; Humberto Ramirez-Ramirez, Javier H.; Aurelio Perez-Gonzalez, Francisco; Colas, Rafael; Federico Garza-Montes-de-Oca, Nelson</t>
  </si>
  <si>
    <t>High temperature isothermal and cyclic oxidation behaviour of pure recycled titanium</t>
  </si>
  <si>
    <t>Purpose This paper aims to analyse the surface evolution of pure recycled titanium subjected to isothermal and cyclic oxidation conditions using dry air as oxidant gas. It is important to mention that the cyclic oxidation behaviour of pure titanium is a process that has been barely studied. Design/methodology/approach An isothermal and cyclic oxidation reactor was built for these purposes. This installation allows the oxidation of material under the action of any atmosphere and for temperatures up to 1,200 degrees C. For this study, the oxidation behaviour of the material was studied at 850 degrees C and 950 degrees C. Findings Oxide growth under isothermal oxidation conditions in air follows a parabolic behaviour with an activation energy of 118 kJ/mol, and the oxide phase formed on the surface of the metal was rutile. The cyclic oxidation of the material indicates that oxide is spalled from the surface following linear behaviours; this phenomenon is controlled by the thermal stresses experienced by the samples during heating and cooling cycles. Originality/value The material is obtained from the production of electrolytic copper, and during its reprocessing practices at high temperature, it was thought that it could experience some abnormal oxidation. In addition, given that pure titanium is currently used for biomedical application, some surface degree can be given by means of oxidation and subsequent spallation process situation that is found during the cyclic oxidation experiments, which could be a low-cost method to engineer a surface for these purposes.</t>
  </si>
  <si>
    <t>Garcia-Gomez, Nora/AAR-6083-2021; Artigas, Alfredo/Y-1185-2019</t>
  </si>
  <si>
    <t>Ramirez-Ramirez, Javier H./0000-0002-4952-1478; Monsalve, Alberto/0000-0002-5772-8815; Garza-Tovar, Lorena Leticia/0000-0002-6463-6900; Garcia-Gomez, N.A./0000-0002-0279-4436; Colas, Rafael/0000-0001-6017-7244</t>
  </si>
  <si>
    <t>10.1108/ACMM-04-2017-1790</t>
  </si>
  <si>
    <t>WOS:000439562400002</t>
  </si>
  <si>
    <t>Alburquenque, D; Bracamonte, V; Del Canto, M; Pereira, A; Escrig, J</t>
  </si>
  <si>
    <t>Alburquenque, Daniela; Bracamonte, Victoria; Del Canto, Marcela; Pereira, Alejandro; Escrig, Juan</t>
  </si>
  <si>
    <t>Dewetting of Co thin films obtained by atomic layer deposition due to the thermal reduction process</t>
  </si>
  <si>
    <t>MRS COMMUNICATIONS</t>
  </si>
  <si>
    <t>Cobalt oxide thin films with different thicknesses were synthesized by atomic layer deposition. After a thermal reduction process, under a controlled atmosphere of hydrogen, it was possible to convert cobalt oxide to metallic cobalt. The different thicknesses were obtained considering from 500 to 2000 cycles of CoCp2/O-3. The thin films were characterized by x-ray diffraction, scanning electron microscopy, energy-dispersive x-ray microanalysis, and by magneto-optical Kerr effect measurements. The indirect synthesis process allows us to obtain cobalt oxide and cobalt thin films with controlled thicknesses and extraordinary magnetic properties, with coercivities above 500 Oe.</t>
  </si>
  <si>
    <t>Bracamonte, Maria/IAM-6370-2023; Pereira, Alejandro/X-7172-2018; Escrig, Juan/N-4304-2015</t>
  </si>
  <si>
    <t>Bracamonte, Maria Victoria/0000-0003-1083-1812; Pereira Abarca, Alejandro/0000-0002-4473-0852; Escrig, Juan/0000-0002-3958-8185; Alburquenque, Daniela/0000-0001-9236-3308</t>
  </si>
  <si>
    <t>2159-6859</t>
  </si>
  <si>
    <t>2159-6867</t>
  </si>
  <si>
    <t>10.1557/mrc.2017.94</t>
  </si>
  <si>
    <t>WOS:000418852000012</t>
  </si>
  <si>
    <t>Diaz, M; Caro, J; Salas, A; Carrasco, X; Mena, B</t>
  </si>
  <si>
    <t>Diaz, M.; Caro, J.; Salas, A.; Carrasco, X.; Mena, B.</t>
  </si>
  <si>
    <t>DIFFERENCES IN REM MUSCLE ACTIVITY AMONG PATIENTS WITH PARKINSONS DISEASE RELATED REM SLEEP BEHAVIOUR DISORDER AND PATIENTS WITH SUSPECTED OSA. CHILEAN EXPERIENCE WITH SINBAR MONTAGES</t>
  </si>
  <si>
    <t>SLEEP MEDICINE</t>
  </si>
  <si>
    <t>Salas, Antonio/E-3977-2012</t>
  </si>
  <si>
    <t>1389-9457</t>
  </si>
  <si>
    <t>1878-5506</t>
  </si>
  <si>
    <t>E78</t>
  </si>
  <si>
    <t>E79</t>
  </si>
  <si>
    <t>10.1016/j.sleep.2017.11.226</t>
  </si>
  <si>
    <t>WOS:000444558902226</t>
  </si>
  <si>
    <t>García-Rojo, G; Gámiz, F; Ampuero, E; Rojas-Espina, D; Sandoval, R; Rozas, C; Morales, B; Wyneken, U; Pancetti, F</t>
  </si>
  <si>
    <t>Garcia-Rojo, Gonzalo; Gamiz, Fernando; Ampuero, Estabaliz; Rojas-Espina, Daniel; Sandoval, Rodrigo; Rozas, Carlos; Morales, Bernardo; Wyneken, Ursula; Pancetti, Floria</t>
  </si>
  <si>
    <t>In Vivo Sub-chronic Treatment with Dichlorvos in Young Rats Promotes Synaptic Plasticity and Learning by a Mechanism that Involves Acylpeptide Hydrolase Instead of Acetylcholinesterase Inhibition. Correlation with Endogenous β-Amyloid Levels</t>
  </si>
  <si>
    <t>Acylpeptide hydrolase (APEH) is a serine hydrolase that displays two catalytic activities, acting both as an exopeptidase toward short N- acylated peptides and as an endopeptidase toward oxidized peptides or proteins. It has been demonstrated that this enzyme can degrade monomers, dimers, and trimers of the A beta(1)-40 peptide in the conditioned media of neuroblastoma cells. In a previous report, we showed that the specific inhibition of this enzyme by the organophosphate molecule dichlorvos (DDVP) triggers an enhancement of long- term potentiation in rat hippocampal slices. In this study, we demonstrate that the same effect can be accomplished in vivo by subchronic treatment of young rats with a low dose of DDVP (0.1 mg/kg). Besides exhibiting a significant enhancement of LTP, the treated animals also showed improvements in parameters of spatial learning and memory. Interestingly, higher doses of DDVP such as 2 mg/kg did not prove to be beneficial for synaptic plasticity or behavior. Due to the fact that at 2 mg/kg we observed inhibition of both APEH and acetylcholinesterase, we interpret that in order to achieve positive effects on the measured parameters only APEH inhibition should be obtained. The treatment with both DDVP doses produced an increase in the endogenous concentration of A beta(1-40), although this was statistically significant only at the dose of 0.1 mg/kg. We propose that APEH represents an interesting pharmacological target for cognitive enhancement, acting through the modulation of the endogenous concentration of A beta(1-40).</t>
  </si>
  <si>
    <t>Morales Castañeda, Bernardo/GPP-1642-2022; Pancetti, Floria/A-2491-2013; Sandoval, Rodrigo/I-2792-2013; Gámiz, Fernando/K-2474-2014; Wyneken, Ursula/AEF-2609-2022</t>
  </si>
  <si>
    <t>Gamiz, Fernando/0000-0001-6359-2718; Rozas, Carlos/0000-0002-6422-9600; Wyneken, Ursula/0000-0001-8913-4475; Pancetti, Floria/0000-0002-6990-9832; Garcia-Rojo, Gonzalo/0000-0001-8135-6313; Ampuero, Estibaliz/0000-0001-5543-1594</t>
  </si>
  <si>
    <t>JUL 25</t>
  </si>
  <si>
    <t>10.3389/fphar.2017.00483</t>
  </si>
  <si>
    <t>WOS:000406202800001</t>
  </si>
  <si>
    <t>Barriga-González, G; Aliaga, C; Olea-Azar, C; Zuñiga-López, MC; González, M; Cerecetto, H</t>
  </si>
  <si>
    <t>Barriga-Gonzalez, German; Aliaga, Carolina; Olea-Azar, Claudio; Zuniga-Lopez, Maria C.; Gonzalez, Mercedes; Cerecetto, Hugo</t>
  </si>
  <si>
    <t>Nitrones: A Potential New Alternative as Therapeutic Agents</t>
  </si>
  <si>
    <t>CURRENT ORGANIC CHEMISTRY</t>
  </si>
  <si>
    <t>Background: Nowadays, nitrones are the most used spin traps to characterize free radicals in biological systems due to the versatility and variety depending on the types of radicals to study and that the half-lives of the species studied and/or detected increase considerably. In recent years, nitrones have been studied not only as free radical spin traps. Moreover, nitrones have been employed as therapeutic agents; in particular, those spin traps that are derived from alpha-phenyl-N-tert-butylnitrone (PBN). Nitrones as therapeutics agents have been used in the treatment of diseases related to oxidative stress such as neurodegeneration, cardiovascular disease and cancer. Conclusion: In this review, we focus mainly on those studies where nitrones have been used as potential therapeutic agents in diseases such as cancer, neurodegenerative, acoustic trauma and others. In addition, we have shown that they continue to be a potent and important tool as radical spin trap as well as their use as therapeutic agent.</t>
  </si>
  <si>
    <t>Cerecetto, Hugo/AGJ-1293-2022; Aliaga, Carolina/G-6024-2019; OLEA AZAR, CLAUDIO/I-1605-2013</t>
  </si>
  <si>
    <t>Aliaga, Carolina/0000-0002-1352-3164; Barriga-Gonzalez, German/0000-0002-9628-2414; OLEA AZAR, CLAUDIO/0000-0001-5805-0746; Cerecetto, Hugo/0000-0003-1256-3786</t>
  </si>
  <si>
    <t>1385-2728</t>
  </si>
  <si>
    <t>1875-5348</t>
  </si>
  <si>
    <t>10.2174/1385272821666170228131324</t>
  </si>
  <si>
    <t>WOS:000413564500004</t>
  </si>
  <si>
    <t>Espinoza, C; Romero, J; Villegas, L; Cornejo-Ponce, L; Salazar, R</t>
  </si>
  <si>
    <t>Espinoza, Carolina; Romero, Julio; Villegas, Loreto; Cornejo-Ponce, Lorena; Salazar, Ricardo</t>
  </si>
  <si>
    <t>Mineralization of the textile dye acid yellow 42 by solar photoelectro-Fenton in a lab-pilot plant</t>
  </si>
  <si>
    <t>JOURNAL OF HAZARDOUS MATERIALS</t>
  </si>
  <si>
    <t>A complete mineralization of a textile dye widely used in the Chilean textile industry, acid yellow 42 (AY42), was studied. Degradation was carried out in an aqueous solution containing 100 mg L-1 of total organic carbon (TOC) of dye using the advanced solar photoelectro-Fenton (SPEF) process in a lab-scale pilot plant consisting of a filter press cell, which contains a boron doped diamond electrode and an air diffusion cathode (BDD/air-diffusion cell), coupled with a solar photoreactor for treat 8 L of Wastewater during 270 min of electrolysis. The main results obtained during the degradation of the textile dye were that a complete transformation to CO2 depends directly on the applied current density, the concentration of Fe2+ used as catalyst, and the solar radiation intensity. The elimination of AY42 and its organic intermediates was due to hydroxyl radicals formed at the anode surface from water oxidation and in the bulk from Fenton's reaction between electrogenerated H2O2 and added Fe2+. The application of solar radiation in the process (SPEF) yield higher current efficiencies and lower energy consumptions than electro-Fenton (EF) and electro-oxidation with electrogenerated H2O2 (EO-H2O2) by the additional production of hydroxyl radicals from the photolysis of Fe(III) hydrated species and the photodecomposition of Fe(III) complexes with organic intermediates. Moreover, some products and intermediates formed during mineralization of dye, such as inorganic ions, carboxylic acids and aromatic compounds were determined by photometric and chromatographic methods. An oxidation pathway is proposed for the complete conversion to CO2. (C) 2016 Elsevier B.V. All rights reserved.</t>
  </si>
  <si>
    <t>Romero, Julio/I-6705-2013; Salazar, Ricardo/L-7870-2013; Espinoza, Carolina/CAJ-5323-2022</t>
  </si>
  <si>
    <t>Espinoza, L. Carolina/0000-0002-6021-0742; Salazar-Gonzalez, Ricardo/0000-0003-2180-6022; Cornejo Ponce, Lorena/0000-0001-7518-0358; Romero, Julio/0000-0002-1229-1592</t>
  </si>
  <si>
    <t>0304-3894</t>
  </si>
  <si>
    <t>1873-3336</t>
  </si>
  <si>
    <t>10.1016/j.jhazmat.2016.03.003</t>
  </si>
  <si>
    <t>WOS:000383299100004</t>
  </si>
  <si>
    <t>Muros, JJ; Cofre-Bolados, C; Zurita-Ortega, F; Castro-Sánchez, M; Linares-Manrique, M; Chacón-Cuberos, R</t>
  </si>
  <si>
    <t>Joaquin Muros, Jose; Cofre-Bolados, Cristian; Zurita-Ortega, Felix; Castro-Sanchez, Manuel; Linares-Manrique, Marta; Chacon-Cuberos, Ramon</t>
  </si>
  <si>
    <t>Relationship between physical fitness, physical activity, and different anthropometric parameters in school children in Santiago (Chile)</t>
  </si>
  <si>
    <t>NUTRICION HOSPITALARIA</t>
  </si>
  <si>
    <t>Introduction: Society is currently experiencing significant reductions in physical activity levels and increases in sedentary behavior are associated with obesity. Objective: The aim of this study was to identify the prevalence of overweight and obesity in a group of school children in Santiago, Chile and explore the relationship between body composition, physical activity and physical fitness. Material and methods: Research was conducted with a representative sample of 515 students (10.6 +/- 0.5 age-old). Data included their anthropometric measurements (BM! and fat percentage), physical activity, and physical fitness (aerobic capacity, lower-body and upper-body explosive strength). Results: About 55% of the sample was overweigh/obesity. Male students and students with normal body weight fared better in physical fitness tests than females and those who suffered from overweight or obesity. We found inverse relationships between the PAQ-C score and anthropometric parameters and between anthropometric parameters and physical fitness. Conclusion: Given the alarming levels of childhood overweight and obesity detected in Santiago and the relationship between physical fitness and body composition it is important to design interventions which can induce improvements in physical fitness, and specifically target females and children with obesity.</t>
  </si>
  <si>
    <t>Muros, José/Q-9540-2019; MANRIQUE, MARTA/ABF-8268-2021; Chacon Cuberos, Ramon/H-7507-2017; ZURITA, FELIX/I-9017-2017</t>
  </si>
  <si>
    <t>Chacon Cuberos, Ramon/0000-0003-0937-1089; Muros Molina, Jose Joaquin/0000-0001-7573-0399; ZURITA, FELIX/0000-0002-1189-894X</t>
  </si>
  <si>
    <t>0212-1611</t>
  </si>
  <si>
    <t>1699-5198</t>
  </si>
  <si>
    <t>MAR-APR</t>
  </si>
  <si>
    <t>WOS:000378466100021</t>
  </si>
  <si>
    <t>Krommenacker, N; Vásquez, OC; Alfaro, MD; Soto, I</t>
  </si>
  <si>
    <t>Krommenacker, Nicolas; Vasquez, Oscar C.; Alfaro, Miguel D.; Soto, Ismael</t>
  </si>
  <si>
    <t>A Self-Adaptive Cell-ID Positioning System Based on Visible Light Communications in Underground Mines</t>
  </si>
  <si>
    <t>2016 IEEE INTERNATIONAL CONFERENCE ON AUTOMATICA (ICA-ACCA)</t>
  </si>
  <si>
    <t>IEEE International Conference on Automatica (ICA-ACCA)</t>
  </si>
  <si>
    <t>OCT 19-21, 2016</t>
  </si>
  <si>
    <t>Univ Talca, Curico, CHILE</t>
  </si>
  <si>
    <t>Univ Talca</t>
  </si>
  <si>
    <t>The Cell-ID positioning technique is usually implemented on cellular networks to locate mobile phones according to the cell identification code forwarded by the Base Transceiver Station (BTS). The user is then assumed to be located at the same coordinate position as the BTS. However, this simple positioning method, also used in indoor location systems with WiFi or RFID technologies, suffers from a lack of accuracy due to the size and the density of cells. In this paper we propose an indoor positioning system in underground mine tunnels based on the cell-ID method and the innovative Visible Light Communications (VLC) technology. Unlike previous technologies, it is possible to increase the position accuracy in controlling the number of light sources, i.e. the distribution of overlapping cells. As a result, self-adaptive positioning systems could be developed, where the switch on (or off) of the individual LEDs is determined according to the precision required by the application. We present an analytical model for such systems, based on Euclidean geometry equations. It is shown that the maximum position error in each cell may be fixed to obtain a positioning system with a constant accuracy. Finally, an application of this system is given to locate people or machinery in underground mine tunnels.</t>
  </si>
  <si>
    <t>Krommenacker, Nicolas/IAR-4851-2023</t>
  </si>
  <si>
    <t>978-1-5090-1147-6</t>
  </si>
  <si>
    <t>WOS:000390556300025</t>
  </si>
  <si>
    <t>Chávez, H; Baldick, R; Matevosyan, J</t>
  </si>
  <si>
    <t>This paper generalizes previous work on automatic generation control (AGC) gain in a single balancing authority system. In previous work, a control performance standard 1 (CPS1)-compliant AGC gain for a single balancing authority interconnection was proposed, assuming that frequency response can be decoupled from AGC dynamics by widening governor dead bands. However, current practices suggest that widening dead bands may not be a wise course to take as it may deteriorate primary frequency response. This paper formulates sufficient conditions for the adequacy of the joint operation of AGC control and primary frequency response to be consistent with frequency response adequacy. Historical data and a simulation of ERCOT are presented to show numerical results.</t>
  </si>
  <si>
    <t>Matevosyan, Julia/0000-0003-0391-6076</t>
  </si>
  <si>
    <t>10.1109/TSTE.2015.2417315</t>
  </si>
  <si>
    <t>WOS:000356461100033</t>
  </si>
  <si>
    <t>Santos, JFD; Valenzuela, TH; Franchini, E</t>
  </si>
  <si>
    <t>da Silva Santos, Jonatas F.; Valenzuela, Tomas H.; Franchini, Emerson</t>
  </si>
  <si>
    <t>CAN DIFFERENT CONDITIONING ACTIVITIES AND REST INTERVALS AFFECT THE ACUTE PERFORMANCE OF TAEKWONDO TURNING KICK?</t>
  </si>
  <si>
    <t>JOURNAL OF STRENGTH AND CONDITIONING RESEARCH</t>
  </si>
  <si>
    <t>This study compared the acute effect of strength, plyometric, and complex exercises (combined strength and plyometric exercise) in the countermovement jump (CMJ) and frequency speed of kick test (FSKT) and attempted to establish the best rest interval to maximize performance in the CMJ, number of kicks, and impact generated during FSKT. Eleven taekwondo athletes (mean +/- SD; age: 20.3 +/- 5.2 years; body mass: 71.8 +/- 15.3 kg; height: 177 +/- 7.2 cm) participated. One control and 9 experimental conditions were randomly applied. Each condition was composed of warm-up, conditioning activity (half-squat: 3 x 1 at 95% 1RM; jumps: 3 x 10 vertical jumps above 40-cm barrier; or complex exercise: half-squat 3 x 2 at 95% 1RM + 4 vertical jumps above 40-cm barrier), followed by different rest intervals (5-, 10-minute, and self-selected) before CMJ and FSKT. The conditions were compared using an analysis of variance with repeated measures, followed by Bonferroni's post hoc test. The alpha level was set at 5%. Significant difference was found in the number of kicks (F-9,F-90 = 1.32; p = 0.239; and eta(2) = 0.116 [small]). The complex method with a 10-minute rest interval (23 +/- 5 repetitions) was superior (p = 0.026) to the control (19 +/- 3 repetitions), maximum strength with a self-selected rest interval (328 +/- 139 seconds; 18 6 2 repetitions) (p = 0.015), and plyometric with a 5-minute rest interval (18 +/- 3 repetitions) (p &lt; 0.001). Our results indicate that taekwondo athletes increased the number of kicks in a specific test by using the complex method when 10-minute rest interval was used.</t>
  </si>
  <si>
    <t>da Silva Santos, Jonatas/O-6956-2019; HERRERA, TOMAS/AAH-3739-2019; Franchini, Emerson/B-9119-2012</t>
  </si>
  <si>
    <t>Franchini, Emerson/0000-0002-0769-8398; Ferreira da Silva Santos, Jonatas/0000-0002-3309-4731</t>
  </si>
  <si>
    <t>1064-8011</t>
  </si>
  <si>
    <t>1533-4287</t>
  </si>
  <si>
    <t>WOS:000355322300025</t>
  </si>
  <si>
    <t>Pereira, A; Palma, JL; Vázquez, M; Denardin, JC; Escrig, J</t>
  </si>
  <si>
    <t>Pereira, A.; Palma, J. L.; Vazquez, M.; Denardin, J. C.; Escrig, J.</t>
  </si>
  <si>
    <t>A soft/hard magnetic nanostructure based on multisegmented CoNi nanowires</t>
  </si>
  <si>
    <t>In this paper we have introduced a new soft/hard nanostructure based on multisegmented CoNi nanowire arrays having diameters of around 110 nm and made of five segments with nominal compositions of Co, Co66Ni33, Co50Ni50, Co33Ni66 and Ni, each of which has a length of 800 nm, so that the total length of the multisegmented nanowire is 4 mm. These arrays have been synthesized by means of potentiostatic electrodeposition into the pores of hard-anodic alumina templates. The morphology, chemical composition and microstructure of the multisegmented CoNi nanowires were determined by high-resolution scanning electron microscopy, energy dispersive X-ray microanalysis, and powder X-ray diffraction method, respectively. The room temperature magnetic behavior of the multisegmented nanowire arrays is also studied and compared with CoNi nanowire arrays with homogeneous composition (non-segmented nanowires), synthesized in the same templates and having the same dimensions as the segmented ones. These nanostructures could be used to control the movement of magnetic domain walls. In this way, these nanostructures can be an alternative to store information or even perform logic functions.</t>
  </si>
  <si>
    <t>Vázquez, Manuel/A-6370-2011; Palma, Juan/IAP-4554-2023; Denardin, Juliano/S-6407-2019; Pereira, Alejandro/X-7172-2018; Escrig, Juan/N-4304-2015</t>
  </si>
  <si>
    <t>Escrig, Juan/0000-0002-3958-8185; Palma, JuanLuis/0000-0003-2068-174X; Pereira Abarca, Alejandro/0000-0002-4473-0852; Vazquez Villalabeitia, Manuel/0000-0001-5591-0157</t>
  </si>
  <si>
    <t>10.1039/c4cp05665e</t>
  </si>
  <si>
    <t>WOS:000349616400025</t>
  </si>
  <si>
    <t>Skurtys, O; Velásquez, P; Osorio, F</t>
  </si>
  <si>
    <t>GutierrezLopez, GF; AlamillaBeltran, L; DelPilarBuera, M; WeltiChanes, J; ParadaArias, E; BarbosaCanovas, GV</t>
  </si>
  <si>
    <t>Skurtys, O.; Velasquez, P.; Osorio, F.</t>
  </si>
  <si>
    <t>Wetting Behavior of Chitosan Solutions on Blueberry Epicarp With or Without Epicuticular Waxes</t>
  </si>
  <si>
    <t>Water Stress in Biological, Chemical, Pharmaceutical and Food Systems</t>
  </si>
  <si>
    <t>Food Engineering Series</t>
  </si>
  <si>
    <t>11th Symposium on the Properties of Water (ISOPOW)</t>
  </si>
  <si>
    <t>SEP 05-09, 2010</t>
  </si>
  <si>
    <t>MEXICO</t>
  </si>
  <si>
    <t>IPN,ENCB-IPN,ITESM,IUFoST,CICATA-IPN,UAQ-Mexico,Kasetsart Univ,Government Queretero Anton Paar-Mexico,Coca-Cola Mexico,Asociac Asociac Embotelladoras Mexicanas Coca-Cola,Yakult,Decagon Devices</t>
  </si>
  <si>
    <t>skurtys, olivier/HNS-4835-2023; Valenzuela, Loreto/E-8094-2013; osorio, fernando/AAY-7304-2021</t>
  </si>
  <si>
    <t>skurtys, olivier/0000-0003-1432-7242; Valenzuela, Loreto/0000-0002-5220-9602; Velasquez, Patricia/0000-0002-6646-2238; osorio, fernando/0000-0001-7206-0924</t>
  </si>
  <si>
    <t>978-1-4939-2578-0; 978-1-4939-2577-3</t>
  </si>
  <si>
    <t>10.1007/978-1-4939-2578-0_46</t>
  </si>
  <si>
    <t>WOS:000380529900046</t>
  </si>
  <si>
    <t>Lizama, C; Miana, PJ; Ponce, R; Sánchez-Lajusticia, L</t>
  </si>
  <si>
    <t>Lizama, Carlos; Miana, Pedro J.; Ponce, Rodrigo; Sanchez-Lajusticia, Luis</t>
  </si>
  <si>
    <t>On the boundedness of generalized Cesaro operators on Sobolev spaces</t>
  </si>
  <si>
    <t>For beta &gt; 0 and p &gt;= 1, the generalized Cesaro operator l(beta)f(t) := beta/t(beta)integral(t)(0)(t - s)(beta-1) f(s)ds and its companion operator l beta* defined on Sobolev spaces J(p)((alpha))(t(alpha)) and Jp((alpha))(vertical bar t vertical bar(alpha)) (where alpha &gt;= 0 is the fractional order of derivation and are embedded in L-p(R+) and L-p(R) respectively) are studied. We prove that if p &gt; 1, then l(beta) and l(beta)* are bounded operators and commute on J(p)((alpha))(t(alpha)) and J(p)((alpha))(vertical bar t vertical bar(alpha)) . We calculate explicitly their spectra sigma(l(beta)) and sigma(l(beta)(*)) and their operator norms (which depend on p). For 1 &lt; p &lt;= 2, we prove that &lt;(l(beta)(f))over cap&gt; = l(beta)*((f) over cap) and &lt;(l(beta)*(f))over cap&gt; = l(beta)((f) over cap) where (f) over cap denotes the Fourier transform of a function f is an element of L-p (R). (C) 2014 Elsevier Inc. All rights reserved.</t>
  </si>
  <si>
    <t>Lizama, Carlos/0000-0002-9807-1100; Miana Sanz, Pedro Jose/0000-0001-9430-343X; Ponce, Rodrigo/0000-0002-1337-8083</t>
  </si>
  <si>
    <t>10.1016/j.jmaa.2014.04.047</t>
  </si>
  <si>
    <t>WOS:000338482600026</t>
  </si>
  <si>
    <t>Donoso, MV; Norambuena, A; Navarrete, C; Poblete, I; Velasco, A; Huidobro-Toro, JP</t>
  </si>
  <si>
    <t>Veronica Donoso, Maria; Norambuena, Andres; Navarrete, Camilo; Poblete, Ines; Velasco, Alfredo; Pablo Huidobro-Toro, Juan</t>
  </si>
  <si>
    <t>P2X1 Receptors Localized in Lipid Rafts Mediate ATP Motor Responses in the Human Vas Deferens Longitudinal Muscles</t>
  </si>
  <si>
    <t>BIOLOGY OF REPRODUCTION</t>
  </si>
  <si>
    <t>To assess the role of the P2X1 receptors (P2X1R) in the longitudinal and circular layers of the human vas deferens, ex vivo-isolated strips or rings were prepared from tissue biopsies to record isometric contractions. To ascertain its membrane distribution, tissue extracts were analyzed by immunoblotting following sucrose gradient ultracentrifugation. ATP, alpha, beta-methylene ATP, or electrical field stimulation elicited robust contractions of the longitudinal layer but not of the circular layer which demonstrated inconsistent responses. Alpha, betamethylene ATP generated stronger and more robust contractions than ATP. In parallel, prostatic segments of the rat vas deferens were examined. The motor responses in both species were not sustained but decayed within the first minute, showing desensitization to additional applications. Cross-desensitization was established between alpha, beta-methylene ATP or ATP-evoked contractions and electrical field stimulation-induced contractions. Full recovery of the desensitized motor responses required more than 30 min and showed a similar pattern in human and rat tissues. Immunoblot analysis of the human vas deferens extracts revealed a P2X1R oligomer of approximately 200 kDa under nonreducing conditions, whereas dithiothreitol-treated extracts showed a single band of approximately 70 kDa. The P2X1R was identified in ultracentrifugation fractions containing 15%-29% sucrose; the receptor localized in the same fractions as flotillin-1, indicating that it regionalized into smooth muscle lipid rafts. In conclusion, ATP plays a key role in human vas deferens contractile responses of the longitudinal smooth muscle layer, an effect mediated through P2X1Rs.</t>
  </si>
  <si>
    <t>0006-3363</t>
  </si>
  <si>
    <t>1529-7268</t>
  </si>
  <si>
    <t>10.1095/biolreprod.113.109660</t>
  </si>
  <si>
    <t>WOS:000331272300002</t>
  </si>
  <si>
    <t>Valenzuela, FA; Guzmán, AM; Díaz, AJ</t>
  </si>
  <si>
    <t>ASME</t>
  </si>
  <si>
    <t>Valenzuela, Felipe A.; Guzman, Amador M.; Diaz, Andres J.</t>
  </si>
  <si>
    <t>NUMERICAL INVESTIGATION OF FLOW OVER AN AIRFOIL BY THE LATTICE BOLTZMANN METHOD</t>
  </si>
  <si>
    <t>PROCEEDINGS OF THE ASME INTERNATIONAL MECHANICAL ENGINEERING CONGRESS AND EXPOSITION, 2013, VOL 1</t>
  </si>
  <si>
    <t>ASME International Mechanical Engineering Congress and Exposition (IMECE2013)</t>
  </si>
  <si>
    <t>NOV 15-21, 2013</t>
  </si>
  <si>
    <t>San Diego, CA</t>
  </si>
  <si>
    <t>During the last years the aerodynamics characteristics of airfoils have been studied solving numerically the Navier-Stokes(NS)equations. These calculations require a significant computational cost due to both the second order and the non-linear characteristics of the NS partial differential equations. Therefore, efforts have been devoted to reduce this cost and increase the accuracy of the numerical methods. The Lattice-Boltzmann Method (LBM) has become a great alternative to simulate this problem and a variety of fluid flows. In this method, the convective operator is linear and the pressure is calculated directly by the equation of state without implementing iterative methods. This work represents a preliminary investigation of a laminar flow over airfoils under low Reynolds number conditions (Re=500). Solutions are obtained using a Multi-Block mesh refinement method. In order to validate the computational code, calculations are performed on a SD7003 airfoil at an angle of attack of 4 degrees and 30 degrees, which corresponds to the available numerical and experimental results. The results of this study agree well with previous experimental and numerical studies demonstrating the capabilities of the LBM to simulate accurately laminar flows over airfoils as well as capturing and predicting the laminar separation bubbles.</t>
  </si>
  <si>
    <t>Guzman, Amador/F-9260-2013</t>
  </si>
  <si>
    <t>978-0-7918-5617-8</t>
  </si>
  <si>
    <t>V001T01A002</t>
  </si>
  <si>
    <t>WOS:000359682100002</t>
  </si>
  <si>
    <t>Mascayano, C; Espinosa, V; Sepúlveda-Boza, S; Hoobler, EK; Perry, S</t>
  </si>
  <si>
    <t>Mascayano, Carolina; Espinosa, Victoria; Sepulveda-Boza, Silvia; Hoobler, Eric K.; Perry, Steve</t>
  </si>
  <si>
    <t>In Vitro Study of Isoflavones and Isoflavans as Potent Inhibitors of Human 12-and 15-Lipoxygenases</t>
  </si>
  <si>
    <t>CHEMICAL BIOLOGY &amp; DRUG DESIGN</t>
  </si>
  <si>
    <t>In this study, we have investigated 16 isoflavone and isoflavan derivatives as potential inhibitors of human lipoxygenase (platelet 12-lipoxygenase, reticulocyte 15-lipoxygenase-1, and epithelial 15-lipoxygenase-2). The flavonoid baicalein, a known lipoxygenase inhibitor, was used as positive control. Four compounds, 6,7-dihydroxy-3-chloroisoflavone (1c), 7-hydroxy-8-methyl-4-chloroisoflavan (5a), 7,8-dihydroxy-4-methylisoflavan (5b), and 7,8-dihydroxy-3-methylisoflavan (5c), were effective inhibitors of 12-lipoxygenases and 15-lipoxygenase-1 with IC50's &lt;10m, while 6,7-dihydroxy-4-nitroisoflavone (1b) was a selective inhibitor of 12-lipoxygenases. Docking studies, antioxidant assays, and kinetic measurements were carried out for the three best inhibitors (1b, 5b, 5c). The results showed that a catechol group in ring A is critical for the antioxidant properties of these compounds, and probably essential for their inhibitory activity. Kinetic assays showed that compounds 1b, 5b, and 5c are competitive inhibitors with K-i values in the range of 0.3-3m.</t>
  </si>
  <si>
    <t>Espinosa, Victoria/0000-0003-3280-6394; Perry, Steven/0000-0003-4428-5338; Mascayano Collado, Carolina Lorena/0000-0002-3488-9309</t>
  </si>
  <si>
    <t>1747-0277</t>
  </si>
  <si>
    <t>10.1111/cbdd.12157</t>
  </si>
  <si>
    <t>WOS:000323376300009</t>
  </si>
  <si>
    <t>Méndez, CE; Gallardo, JG; Villanueva, CM</t>
  </si>
  <si>
    <t>Espinosa Mendez, Christian; Gorigoitia Gallardo, Juan; Maquieira Villanueva, Carlos</t>
  </si>
  <si>
    <t>NON LINEAR BEHAVIOUR IN PRIMARY PRODUCTS SERIES*</t>
  </si>
  <si>
    <t>TRIMESTRE ECONOMICO</t>
  </si>
  <si>
    <t>This paper uses the Hinich test to detect non-linearity windows on the series of daily closing prices of the commodities Copper, Gold, Palladium, Brent Oil, Silver, Platinum and Oil WTI. In addition, we use Wavelet theory to study either the scale or the scales that occur or accumulate the process of non-linearity. The results regarding the test of Hinichare consistent with those found in previous research, we confirm the phenomenon of non-linearitypresence in series of prices of financial assets. Nevertheless, by breaking down the series using wavelet, we find evidence that there are periods of non-linearity that occur before the window of non-linearity. In addition, we find evidence that after a non-linear window the phenomenon of non-linearity does not fully disappeared butthere is still non-linear behavior in the windows of the next period, but at different scales. The results indicate the impossibility of building lineal models to predict expected prices for commodities and therefore it might be prudent to manage financial risk, not only for companies in hands of the private sector but also for those owned by the state.</t>
  </si>
  <si>
    <t>Espinosa-Méndez, Christian/G-5177-2019</t>
  </si>
  <si>
    <t>0041-3011</t>
  </si>
  <si>
    <t>JAN-MAR</t>
  </si>
  <si>
    <t>WOS:000337714300005</t>
  </si>
  <si>
    <t>Ah-Hen, K; Fuenzalida, C; Hess, S; Contreras, A; Vega-Gálvez, A; Lemus-Mondaca, R</t>
  </si>
  <si>
    <t>Ah-Hen, Kong; Fuenzalida, Carolina; Hess, Susan; Contreras, Andres; Vega-Galvez, Antonio; Lemus-Mondaca, Roberto</t>
  </si>
  <si>
    <t>ANTIOXIDANT CAPACITY AND TOTAL PHENOLIC COMPOUNDS OF TWELVE SELECTED POTATO LANDRACE CLONES GROWN IN SOUTHERNCHILE</t>
  </si>
  <si>
    <t>CHILEAN JOURNAL OF AGRICULTURAL RESEARCH</t>
  </si>
  <si>
    <t>Colored potatoes (Solanum tuberosum L.) provide a natural source of phytochemicals that help reduce the risk of diseases. However, there is a lack of information on the degree of variation of the antioxidant activity and polyphenolic contents of these native potatoes. Thus, the antioxidant activity (AA) and total phenolic content (TPC) of native Chilean potatoes were determined. Twelve potato landrace clones collected from established cultivations on Chiloe Island and Valdivia were selected. Total phenolic content and AA were compared with two commercial varieties, Shepody and Desiree. Total phenolic content was determined by the Folin-Ciocalteu method, and beta-carotene bleaching was used to compare AA. The TPC varied in the peeled potato samples from 191 to 1864 mg 100 g(-1) DM meanwhile these parameters varied from 345 to 2852 mg 100 g(-1) DM in unpeeled samples. Antioxidant activity was higher in unpeeled potatoes, and was the highest in the unpeeled NG-6 or 'Bruja' native potato. The commercial var. Shepody showed pro-oxidant activity and had a relatively lower TPC. Results also indicated a higher concentration of total phenolics in the periderm of the colored native Chilean potatoes.</t>
  </si>
  <si>
    <t>Ah-Hen, Kong/D-2591-2011; Vega-Galvez, Antonio/F-1089-2015; Contreras, G./C-7621-2012; Lemus-Mondaca, Roberto/E-8348-2017</t>
  </si>
  <si>
    <t>Lemus-Mondaca, Roberto/0000-0002-1252-2573; Vega-Galvez, Antonio/0000-0001-9991-6139; Ah-Hen, Kong Shun/0000-0003-4595-0707</t>
  </si>
  <si>
    <t>0718-5820</t>
  </si>
  <si>
    <t>10.4067/S0718-58392012000100001</t>
  </si>
  <si>
    <t>WOS:000302267300001</t>
  </si>
  <si>
    <t>Cárdenas-Jirón, GI; Santander-Nelli, M; López, R; Menéndez, MI</t>
  </si>
  <si>
    <t>Cardenas-Jiron, Gloria I.; Santander-Nelli, Mireya; Lopez, Ramon; Isabel Menendez, Maria</t>
  </si>
  <si>
    <t>Quantitative Structure Property Relationships to Evaluate the Photosensitizing Capability in Porphyrins and Chlorins</t>
  </si>
  <si>
    <t>INTERNATIONAL JOURNAL OF QUANTUM CHEMISTRY</t>
  </si>
  <si>
    <t>The wavelength of the Q band (lambda(Q)) of sixteen compounds (porphyrins and chlorins) was related to eight descriptors (aromatic, electrostatic, and reactivity ones) by using quantitative structure property relationships (QSPR). These descriptors were calculated using density functional theory (DFT). No single linear regressions were found. So, our work demonstrates that lambda(Q) does not depend on a unique property; rather it is a multidimensional parameter. From twelve QSPR models obtained, four of them yielded regression coefficients over 0.8. In addition, the lambda(Q) values resulting from our QSPR models are closer to experiment than time dependent-DFT calculated ones. It has been proved the power of QSPR models to reproduce and predict the lambda(Q) values for new porphyrin derivatives with potential capability to be used in Photodynamic Therapy. (C) 2010 Wiley Periodicals, Inc. Int J Quantum Chem 111: 1570-1582, 2011</t>
  </si>
  <si>
    <t>LOPEZ, RAMON/H-5078-2015; Menendez, M. Isabel/B-7698-2009; Cardenas-Jiron, Gloria/H-9508-2012</t>
  </si>
  <si>
    <t>Cardenas-Jiron, Gloria/0000-0003-4305-8088; Santander-Nelli, Mireya/0000-0002-3687-6528</t>
  </si>
  <si>
    <t>0020-7608</t>
  </si>
  <si>
    <t>1097-461X</t>
  </si>
  <si>
    <t>JUN-JUL</t>
  </si>
  <si>
    <t>10.1002/qua.22731</t>
  </si>
  <si>
    <t>WOS:000288873300036</t>
  </si>
  <si>
    <t>Gamino, M; de Oliveira, JTD; dos Santos, CR; Bohn, F; Schelp, LF; Denardin, JC</t>
  </si>
  <si>
    <t>Gamino, M.; de Oliveira, J. T. D.; dos Santos, C. R.; Bohn, F.; Schelp, L. F.; Denardin, J. C.</t>
  </si>
  <si>
    <t>Deposition of Co nano-particles in a CoO/Al2O3 matrix by magnetron sputtering</t>
  </si>
  <si>
    <t>JOURNAL OF MAGNETISM AND MAGNETIC MATERIALS</t>
  </si>
  <si>
    <t>8th Latin American Workshop on Magnetism, Magnetic Materials and Their Applications</t>
  </si>
  <si>
    <t>AUG 12-16, 2007</t>
  </si>
  <si>
    <t>Rio de Janeiro, BRAZIL</t>
  </si>
  <si>
    <t>CBPF</t>
  </si>
  <si>
    <t>We have explored the use of sequential sputtering as an alternative way of growing Co clusters inside an antiferromagnetic matrix of CoO. The samples are composed of 10 bi-or tri-layers and have been deposited by direct magnetron sputtering of Co, CoO and Al2O3 targets. Transmission electron microscopy and impedance spectroscopy measurements show that the direct deposition of Co over CoO does not favor the Volmer-Weber tridimensional mode in the tested range of Co nominal thicknesses. In the samples where an Al2O3 layer is formed prior to the Co deposition, Co aggregates of nano-size are formed and retained when the empty space is filled by CoO. Some preliminary results of the magnetization as a function of temperature are presented and discussed. (C) 2008 Elsevier B.V. All rights reserved.</t>
  </si>
  <si>
    <t>Gamino, Matheus/V-8871-2019; Denardin, Juliano/S-6407-2019; Bohn, Felipe/F-9233-2011</t>
  </si>
  <si>
    <t>Denardin, Juliano/0000-0002-1373-6207; Bohn, Felipe/0000-0002-5907-4106; Gamino, Matheus/0000-0002-0420-7258</t>
  </si>
  <si>
    <t>0304-8853</t>
  </si>
  <si>
    <t>1873-4766</t>
  </si>
  <si>
    <t>E308</t>
  </si>
  <si>
    <t>E311</t>
  </si>
  <si>
    <t>10.1016/j.jmmm.2008.02.063</t>
  </si>
  <si>
    <t>WOS:000255512600094</t>
  </si>
  <si>
    <t>Cordero, P; Melo, F</t>
  </si>
  <si>
    <t>Cordero, Patricio; Melo, Francisco</t>
  </si>
  <si>
    <t>Selected papers from the Southern Workshop on Granular Materials 2006 in Vina del Mar, Chile - Introductory words</t>
  </si>
  <si>
    <t>GRANULAR MATTER</t>
  </si>
  <si>
    <t>1434-7636</t>
  </si>
  <si>
    <t>10.1007/s10035-007-0060-4</t>
  </si>
  <si>
    <t>WOS:000250883500001</t>
  </si>
  <si>
    <t>Ciofini, I; Bedioui, F; Zagal, JH; Adamo, C</t>
  </si>
  <si>
    <t>Environment effects on the oxidation of thiols: cobalt phthalocyanine as a test case</t>
  </si>
  <si>
    <t>The reactivity of Co(II) phthalocyanine toward the oxidation of 2-mercaptoethanol was investigated using first principle theoretical methods. Calculations have been carried out using a hybrid Hartree-Fock/density functional approach (PBE0). Solvent effects have been included through a polarizable continuum model (C-PCM), while surface effects have been mimicked by a supramolecular (phthalocyanine + carbon cluster) approach. The influences of chemical environment and of the medium on reactivity were analyzed using two different reactivity descriptors, the donor acceptor intermolecular hardness and the electrophilicity index. Our results show that solvent and surface have a cooperative effect, both increasing the reactivity of the adsorbed complex. (C) 2003 Elsevier B.V. All rights reserved.</t>
  </si>
  <si>
    <t>zagal, jose/L-9648-2014; Bedioui, Fethi/N-3507-2014; adamo, carlo/A-2909-2010</t>
  </si>
  <si>
    <t>Ciofini, Ilaria/0000-0002-5391-4522; Bedioui, Fethi/0000-0002-0063-4412; adamo, carlo/0000-0002-2638-2735</t>
  </si>
  <si>
    <t>10.1016/S0009-2614(03)01013-3</t>
  </si>
  <si>
    <t>WOS:000184565900023</t>
  </si>
  <si>
    <t>Stepanova, MV; Antonova, EE; Troshichev, O</t>
  </si>
  <si>
    <t>Intermittency of magnetospheric dynamics through non-Gaussian distribution function of PC-index fluctuations</t>
  </si>
  <si>
    <t>[1] Dynamical behavior of the one minute resolution Polar Cap (PC) index was studied by using the 1995-2000 data sets. It was found that the probability distribution functions (PDFs) of the PC-index increments display a strong non-Gaussian shape in both positive and negative time intervals, depending on the time of an increment. This indicates that PC-index is not characterized by a global time self-similarity but rather exhibits an intermittency, previously detected in solar wind and auroral electrojet index time series. The PDFs for the PC index increments are fitted by the functional form proposed by Castaing et al. [1990] to describe intermittency phenomena in an ordinary turbulent fluid flow. The parameters that characterize the PC index increments PDF are very close to those reported before for solar wind magnetic field probability distribution functions. This indicates that the PC index adequately reflects the solar wind effects on the high-latitude magnetosphere.</t>
  </si>
  <si>
    <t>Stepanova, Marina/D-6329-2011; Antonova, Elizaveta/A-2716-2012</t>
  </si>
  <si>
    <t>Stepanova, Marina/0000-0002-1053-3375; Antonova, Elizaveta/0000-0001-6980-3993</t>
  </si>
  <si>
    <t>FEB 8</t>
  </si>
  <si>
    <t>10.1029/2002GL016070</t>
  </si>
  <si>
    <t>WOS:000181887900001</t>
  </si>
  <si>
    <t>Retamal, JC; Zagury, N</t>
  </si>
  <si>
    <t>Stability of quantum states under dissipation</t>
  </si>
  <si>
    <t>Using a simple stability argument for the entropy production we find the conditions for a state to remain pure under certain dissipative dynamics. We also calculate the time scales for the onset of decoherence when these conditions are not satisfied.</t>
  </si>
  <si>
    <t>Retamal, Juan/G-6425-2010</t>
  </si>
  <si>
    <t>Retamal Abarzua, Juan Carlos/0000-0002-7174-7879</t>
  </si>
  <si>
    <t>10.1103/PhysRevA.63.032106</t>
  </si>
  <si>
    <t>WOS:000167321000021</t>
  </si>
  <si>
    <t>Belzile, N; Pizarro, J; Filella, M; Buffle, J</t>
  </si>
  <si>
    <t>Sediment diffusive fluxes of Fe, Mn, and P in a eutrophic lake: Contribution from lateral vs bottom sediments</t>
  </si>
  <si>
    <t>AQUATIC SCIENCES</t>
  </si>
  <si>
    <t>Water column data and porewater profiles are used to study the chemical evolution with time and with depth of a eutrophic lake. By using different approaches, diffusion fluxes for dissolved iron, manganese and phosphate are calculated and used to describe the processes occurring at the sediment-water interface as well as in the hypolimnion of the lake. These data are used in the elaboration of a qualitative model to describe the chemical behaviour of the sedimentary interface of an anoxic lake with emphasis on the Fe/P/S system. A corona model is proposed to explain the evolution with time of the diffusion process by estimating the relative contribution of bottom and lateral sediment surfaces to the total fluxes of dissolved elements diffusing from the sediment to the overlying water. As the hypolimnion becomes more anoxic, it has been observed that lateral sediment surfaces (16 to 10 meters in depth) represents a larger supplier of diffusing dissolved components than the bottom sediment portion (bottom to 18 meters).</t>
  </si>
  <si>
    <t>Filella, Montserrat/0000-0002-5943-1273</t>
  </si>
  <si>
    <t>1015-1621</t>
  </si>
  <si>
    <t>10.1007/BF00877474</t>
  </si>
  <si>
    <t>WOS:A1996WL10100003</t>
  </si>
  <si>
    <t>LEZNA, RO; JUANTO, S; ZAGAL, JH</t>
  </si>
  <si>
    <t>ELECTROCHROMISM OF METHYLENE-BLUE ABSORBED ON THE BASAL-PLANE OF GRAPHITE</t>
  </si>
  <si>
    <t>Reflectance measurements were obtained in situ of methylene blue films on a stress-annealed pyrolytic graphite electrode. The optical response in the charging region of the double layer was observed for p polarization in the form of a small bipolar band at 690 nm, red shifted 0.08 eV with respect to the monomer species in solution. The band intensity was found to depend linearly on the modulation amplitude. On the contrary, only tiny changes in band shape and frequency with the bias potential were detected. The average orientation of the adsorbed dye is discussed together with the role of the Stark effect as a likely band source.</t>
  </si>
  <si>
    <t>10.1016/0022-0728(95)03885-K</t>
  </si>
  <si>
    <t>WOS:A1995RE72400023</t>
  </si>
  <si>
    <t>ELGUETA, M; ESPARZA, C; ROSSLER, J</t>
  </si>
  <si>
    <t>THE NONADIABATIC PEIERLS-HEISENBERG MODEL IN FINITE CLUSTERS</t>
  </si>
  <si>
    <t>JOURNAL OF PHYSICS-CONDENSED MATTER</t>
  </si>
  <si>
    <t>The exact solution for the Peierls-Heisenberg antiferromagnetic (AF) model in a finite cluster is presented. The spin-spin coupling is retained up to second neighbours. The quantum mechanical character of the phonon variables is maintained in order to properly describe the fluctuations, which have a substantial role in one dimension. The problem of the frustrated AF state is briefly addressed. For the purpose of comparison, Born-Openheimer (BO) calculations are also provided. A noticeable result is the fact that the (semiclassiCal) BO approximation overestimates quantum fluctuations.</t>
  </si>
  <si>
    <t>0953-8984</t>
  </si>
  <si>
    <t>10.1088/0953-8984/6/23/016</t>
  </si>
  <si>
    <t>WOS:A1994NR77800016</t>
  </si>
  <si>
    <t>Vivar, Y; Velásquez-Yévenes, L; Vargas, C</t>
  </si>
  <si>
    <t>Vivar, Yeimy; Velasquez-Yevenes, Lilian; Vargas, Cristian</t>
  </si>
  <si>
    <t>Sustainable Recovery of Lead from Secondary Waste in Chloride Medium: A Review</t>
  </si>
  <si>
    <t>MINERALS</t>
  </si>
  <si>
    <t>Environmental regulations on lead recycling are becoming increasingly stringent, prompting the search for sustainable alternatives to conventional high-temperature processes. Hydrometallurgical methods in chloride media have emerged as a viable option for recovering lead from mining and urban wastes, including lead anode corrosion residues, zinc leaching residues, and spent lead-acid batteries. This study reviews the key conditions for lead recovery in chloride media, highlighting the variables that optimize lead dissolution, and the potential challenges associated with these processes. The findings indicate that efficient lead recovery requires high chloride concentrations, with acidity playing a critical role depending on the relative concentrations of lead and sulfate in the solution. When lead and sulfate concentrations are similar, stable lead-chloride complexes form within a pH range of 0 to 6.0. However, at higher sulfate concentrations, the pH range narrows significantly to 0 to 2.0, necessitating a more acidic environment for effective dissolution. Chloride media offer a distinct advantage through the formation of stable lead-chloride complexes, whose stability is influenced by chloride concentration, sulfate concentration, pH, and redox potential. Moreover, this approach provides a sustainable alternative that could integrate seawater into industrial processes, particularly in regions facing water scarcity.</t>
  </si>
  <si>
    <t>Velasquez Yevenes, LILIAN/JGD-3871-2023</t>
  </si>
  <si>
    <t>Vivar Lobos, Yeimy/0009-0000-0419-033X</t>
  </si>
  <si>
    <t>2075-163X</t>
  </si>
  <si>
    <t>10.3390/min15030244</t>
  </si>
  <si>
    <t>WOS:001452760300001</t>
  </si>
  <si>
    <t>González, M; Montoya, B; Jiménez, A; Salazar, M; Aedo-Munoz, E; Miarka, B; Arriagada-Tarifeno, D; Davies, J</t>
  </si>
  <si>
    <t>Gonzalez, Matias; Montoya, Belen; Jimenez, Anibal; Salazar, Martin; Aedo-Munoz, Esteban; Miarka, Bianca; Arriagada-Tarifeno, David; Davies, James</t>
  </si>
  <si>
    <t>Systematized review: Isokinetic evaluation in the assessment of upper extremity sports</t>
  </si>
  <si>
    <t>Objective: A systematized review was carried out to identify the studies that during the last ten years have used isokinetic equipment in sports in which the upper extremity is the basis of its practice, to provide an updated and detailed view of its use, methodologies and the variables used to express their results. Methods: A systematized search of 10 years of information was carried netic &gt;&gt; &lt;&lt; upper extremity &gt;&gt;, &lt;&lt; upper limb &gt;&gt;, &lt;&lt; sport &gt;&gt;, &lt;&lt; exercises &gt;&gt;, &lt;&lt; upper extremity &gt;&gt;. Results: 9406 articles were identified in the databases for review, of which only 46 were selected based on inclusion criteria. Among the sports evaluated, 25 articles correspond to sports with overhead throws (basketball, volleyball, baseball, handball, among others), followed by Paralympic sports with six articles (basketball and volleyball). Sports such as swimming, judo, weightlifting, water polo, or combined sports complete the list. The shoulder rotator muscles were the most evaluated and the concentric-concentric modality was the most used. The variable moment is the most reported, but the evaluation methodologies and selected speeds differ significantly between studies. Conclusion: The methodologies used are varied (i.e., selection of speed, type of muscular contraction, positioning, and dominance), and their selection was not always oriented toward the functionality of sports practice. In addition, it was observed that some studies needed to specify the isokinetic modality used, leaving a gap in relevant information within the study methods and affecting their future replicability.</t>
  </si>
  <si>
    <t>Miarka, Bianca/V-7395-2017; Aedo-Muñoz, Esteban/R-5623-2019</t>
  </si>
  <si>
    <t>WOS:001280532400001</t>
  </si>
  <si>
    <t>Sadek, BA; Badreddine, E; Noreddine, C; El Houssaine, T</t>
  </si>
  <si>
    <t>Sadek, Belamfedel Alaoui; Badreddine, El Haiek; Noreddine, Chaibi; El Houssaine, Tissir</t>
  </si>
  <si>
    <t>Achieving Prescribed-Time Stabilization in Nonlinear TCP/AQM Systems With Input Saturation</t>
  </si>
  <si>
    <t>IEEE TRANSACTIONS ON NETWORK SCIENCE AND ENGINEERING</t>
  </si>
  <si>
    <t>In this work, a prescribed finite time active queue management scheme for congestion control in IP networks is proposed to address the challenges of time delay and input saturation. A delay compensation-based predictor is utilized to eliminate input delay, and a novel nonlinear anti-windup compensator is constructed to handle input saturation. The proposed scheme is composed of two parts: the first one designs a predicted state-based active queue management scheme without considering saturation, and the second one develops a nonlinear anti-windup compensator to address saturation issues. The combination of these two results ensures prescribed finite-time stabilization even when the input is subject to saturation. The effectiveness of the proposed Prescribed Active Queue Management (PrAQM) scheme is demonstrated through simulations on a dumbbell network topology.</t>
  </si>
  <si>
    <t>Belamfedel Alaoui, Sadek/ABF-5643-2020; CHAIBI, NOREDDINE/AAB-4784-2021</t>
  </si>
  <si>
    <t>Tissir, El Houssaine/0000-0001-5664-6730; BELAMFEDEL ALAOUI, Sadek/0000-0002-8882-3807; El haiek, Badreddine/0000-0003-4776-0894</t>
  </si>
  <si>
    <t>2327-4697</t>
  </si>
  <si>
    <t>10.1109/TNSE.2023.3322514</t>
  </si>
  <si>
    <t>WOS:001139144400084</t>
  </si>
  <si>
    <t>Dettoni, R; Gil-Alana, LA</t>
  </si>
  <si>
    <t>Dettoni, Robinson; Gil-Alana, Luis Alberiko</t>
  </si>
  <si>
    <t>Testing the hypothesis of duration dependence in the US housing market</t>
  </si>
  <si>
    <t>FINANCE RESEARCH LETTERS</t>
  </si>
  <si>
    <t>The aim of this work is to test for duration dependence to examine rational speculative behaviour in the US housing market. Unlike other works that also test for duration dependence in stock markets, we use the Home Price Index, in a fractionally integrated model to calculate the runs of abnormal returns, and a flexible non-parametric model to estimate the hazard function of these runs. After applying the models, we conclude that the condition is not fulfilled in the US housing market. To the best of our knowledge, it is the first time that a combination of fractional integration along with a modern non-parametric duration model is applied to test for rational speculative bubbles in the US housing market.</t>
  </si>
  <si>
    <t>Gil-Alana, Luis/0000-0002-5760-3123</t>
  </si>
  <si>
    <t>1544-6123</t>
  </si>
  <si>
    <t>1544-6131</t>
  </si>
  <si>
    <t>D</t>
  </si>
  <si>
    <t>10.1016/j.frl.2023.104642</t>
  </si>
  <si>
    <t>WOS:001102463000001</t>
  </si>
  <si>
    <t>Muñoz-Martínez, J; Elías, RA; Batlle-Bayer, L; Cussó-Parcerisas, I; Carrillo-Alvarez, E</t>
  </si>
  <si>
    <t>Munoz-Martinez, Julia; Elias, Ricardo Abejon; Batlle-Bayer, Laura; Cusso-Parcerisas, Irene; Carrillo-Alvarez, Elena</t>
  </si>
  <si>
    <t>Optimizing sustainable, affordable and healthy diets and estimating the impact of plant-based substitutes to milk and meat: A case study in Spain</t>
  </si>
  <si>
    <t>JOURNAL OF CLEANER PRODUCTION</t>
  </si>
  <si>
    <t>The global food system is failing to appropriately nourish the population and has been identified as a driving force for environmental degradation. Changing current diets to healthier and more sustainable ones is key to decrease the incidence of non-communicable diseases and force changes at the production stage that will release environmental pressure. The determination of such diets is a challenge since it should be context specific, culturally acceptable, affordable, nutritionally adequate, and environmentally friendly. Through multiobjective optimization we aimed to determine a sustainable and healthy diet(SHD) in Spain with the minimum cost and environmental impact (assessed through GHGe, land use and blue-water use) that deviate the least from current consumption. Additionally, this research also compares the optimised diet with the Spanish food-based dietary guidelines(FBDG), and explores the potential benefits of reducing animal meat and milk while replacing them with plant-based alternatives. Compared to current consumption, a SHD in Spain can be more nutritious and reduce cost, GHGe, land and blue-water use by 32%, 46%, 27%, and 41%, respectively. The Spanish intake displayed the worst nutritional assessment and the highest values for GHGe and land use. The Spanish FBDG showed the highest cost and blue-water usage. Further analysis revealed that plant-based meat alternatives are not necessary to achieve a nutritionally adequate diet at the minimum cost and environmental impact. Shifting to fortified plant-based milk alternatives may add additional environmental benefits. This work emphasizes the potentiality of using optimization to determine a SHD and identifies important gaps to be fulfilled in future research.</t>
  </si>
  <si>
    <t>Cussó-Parcerisas, Irene/AAB-7064-2019; Muñoz-Martínez, Júlia/ABD-0340-2022; Abejon, Ricardo/I-7171-2019; Carrillo Alvarez, Elena/C-1681-2017</t>
  </si>
  <si>
    <t>Carrillo Alvarez, Elena/0000-0002-3834-7101; Munoz-Martinez, Julia/0000-0002-1817-8937; ABEJON, Ricardo/0000-0002-8030-7752</t>
  </si>
  <si>
    <t>0959-6526</t>
  </si>
  <si>
    <t>1879-1786</t>
  </si>
  <si>
    <t>OCT 20</t>
  </si>
  <si>
    <t>10.1016/j.jclepro.2023.138775</t>
  </si>
  <si>
    <t>SEP 2023</t>
  </si>
  <si>
    <t>WOS:001078861900001</t>
  </si>
  <si>
    <t>Caicedo, A; Estrada, M; Medina-Tapia, M; Mayorga, M</t>
  </si>
  <si>
    <t>Caicedo, Angelica; Estrada, Miquel; Medina-Tapia, Marcos; Mayorga, Miguel</t>
  </si>
  <si>
    <t>Optimizing bike network design: A cost-effective methodology for heterogeneous travel demands using continuous approximation techniques</t>
  </si>
  <si>
    <t>TRANSPORTATION RESEARCH PART A-POLICY AND PRACTICE</t>
  </si>
  <si>
    <t>This study presents a methodological framework for determining the most cost-effective design parameters for bike networks in cities with heterogenous travel demands. The suggested model utilizes continuous approximation techniques to calculate the optimal length and spacing between bike lanes, determine the number and location of bike-sharing stations, and estimate the appropriate fleet size (number of bikes). Throughout the process, both user and agency interests are considered. To validate the effectiveness of the proposed model, an example is provided using data from the City of Guayaquil, Ecuador. Additionally, sensitivity analysis is performed to gain further insights into the impact of significant parameters on the network design. The results indicate that agency costs constitute a relatively small proportion of the overall network costs compared to user costs. This finding suggests that the initial investment in facilities has been amortized over time, highlighting the network's long-term viability. Moreover, the study demonstrates that an increase in demand does not necessarily require a corresponding increase in investment. To strike a balance, the model tends to offer a reduced number of facilities, such as bikes, stations, and kilometers of lanes per person, while simultaneously densifying the network to reduce user access times, resulting in shorter total travel times for users. The proposed optimization model serves as a valuable tool for urban planners, aiding them in strategic design decisions during the planning stage of bike mobility systems.</t>
  </si>
  <si>
    <t>Caicedo Mafla, Angelica/AAE-4047-2022; Medina-Tapia, Marcos/F-8779-2016; Estrada, Miquel/L-3294-2017; Mayorga Cardenas, Miguel Y./HNR-7056-2023</t>
  </si>
  <si>
    <t>Caicedo Mafla, Angelica/0000-0003-2928-3668; Medina-Tapia, Marcos/0000-0002-3961-5075; Estrada, Miquel/0000-0002-5114-7796; Mayorga Cardenas, Miguel Y./0000-0002-3389-3541</t>
  </si>
  <si>
    <t>0965-8564</t>
  </si>
  <si>
    <t>1879-2375</t>
  </si>
  <si>
    <t>10.1016/j.tra.2023.103826</t>
  </si>
  <si>
    <t>WOS:001081152500001</t>
  </si>
  <si>
    <t>Wong-Benito, V; Barraza, F; Trujillo-Imarai, A; Ruiz-Higgs, D; Montero, R; Sandino, AM; Wang, TH; Maisey, K; Secombes, CJ; Imarai, M</t>
  </si>
  <si>
    <t>Wong-Benito, Valentina; Barraza, Felipe; Trujillo-Imarai, Agustin; Ruiz-Higgs, Daniela; Montero, Ruth; Sandino, Ana Maria; Wang, Tiehui; Maisey, Kevin; Secombes, Christopher J.; Imarai, Monica</t>
  </si>
  <si>
    <t>Infectious pancreatic necrosis virus (IPNV) recombinant viral protein 1 (VP1) and VP2-Flagellin fusion protein elicit distinct expression profiles of cytokines involved in type 1, type 2, and regulatory T cell response in rainbow trout (Oncorhynchus mykiss)</t>
  </si>
  <si>
    <t>In this study, we examined the cytokine immune response against two proteins of infectious pancreatic necrosis virus (IPNV) in rainbow trout (Oncorhynchus mykiss), the virion-associated RNA polymerase VP1 and VP2-Flagellin (VP2-Flg) fusion protein. Since VP1 is not a structural protein, we hypothesize it can induce cellular immunity, an essential mechanism of the antiviral response. At the same time, the fusion construction VP2-Flg could be highly immunogenic due to the presence of the flagellin used as an adjuvant. Fish were immunized with the corresponding antigen in MontanideTM, and the gene expression of a set of marker genes of Th1, Th2, and the immune regulatory response was quantified in the head kidney of immunized and control fish. Results indicate that VP1 induced upregulation of ifn-gamma, il-12p40c, il-4/13a, il-4/13b2, il-10a, and tgf-beta 1 in immunized fish. Expression of il-2a did not change in treated fish at the times tested. The antigen-dependent response was analysed by in vitro restimulation of head kidney leukocytes. In this assay, the group of cytokines upregulated after VP1-restimulation was consistent with those upregulated in the head kidney in vivo. Interestingly, VP1 induced il-2a expression after in vitro restimulation. The analysis of sorted lymphocytes showed that the increase of cytokines occurred in CD4-1+ T cells suggesting that Th differentiation happens in response to VP1. This is also consistent with the expression oft-bet and gata3, the master regulators for Th1/Th2 differentiation in the kidneys of immunized animals. A different cytokine expression profile was found after VP2-Flg administration, i.e., upregulation occurs for ifn-gamma, il-4/13a, il-10a, and tgf-beta 1, while down-regulation was observed in il-4/13b2 and il-2a. The cytokine response was due to flagellin; only the il-2a effect was dependent upon VP2 in the fusion protein. To the best of our knowledge this study reports for the first-time char-acteristics of the adaptive immune response induced in response to IPNV VP1 and the fusion protein VP2-Flg in fish. VP1 induces cytokines able to trigger the humoral and cell-mediated immune response in rainbow trout. The analysis of the fish response against VP2-Flg revealed the immunogenic properties of Aeromonas salmonicida flagellin, which can be further tested for adjuvanticity. The novel immunogenic effects of VP1 in rainbow trout open new opportunities for further IPNV vaccine development using this viral protein.</t>
  </si>
  <si>
    <t>Maisey, Kevin/AAP-2886-2021</t>
  </si>
  <si>
    <t>Montero, Ruth Tamara/0000-0002-3019-1800</t>
  </si>
  <si>
    <t>10.1016/j.fsi.2022.10.060</t>
  </si>
  <si>
    <t>WOS:000895951300004</t>
  </si>
  <si>
    <t>Muñoz-García, AL; Lira, A; Loncon, E</t>
  </si>
  <si>
    <t>Munoz-Garcia, Ana Luisa; Lira, Andrea; Loncon, Elisa</t>
  </si>
  <si>
    <t>Knowledges From the South: Reflections on Writing Academically</t>
  </si>
  <si>
    <t>EDUCATIONAL STUDIES-AESA</t>
  </si>
  <si>
    <t>In this paper we dialogue on the process of knowledge construction working through and disrupting academic regulations. We build on the reflections born of our own research doing indigenous research of biographies of schooling of Mapuche women, as feminist, indigenous and non-indigenous scholars latinx scholars. We focus on three tensions working on knowledge in and beyond academic spaces. First, the ways in which the knowledges (in plural) that comes from our own biographies usually is left out of academic conversations and moved into what we call invisible zones. Second, the work of translation and translanguaging as we move across language barriers and geographic places in our work, and what these processes afford across geographic and conceptual zones of north and south. Thirdly, the naturalized understanding of knowledge as a product in academic spaces and the ways in which we can reimagine and display complex and complicated ways of doing the research work otherwise.</t>
  </si>
  <si>
    <t>Loncon, Elisa/0000-0003-3239-1723</t>
  </si>
  <si>
    <t>0013-1946</t>
  </si>
  <si>
    <t>1532-6993</t>
  </si>
  <si>
    <t>10.1080/00131946.2022.2132394</t>
  </si>
  <si>
    <t>WOS:000879650800001</t>
  </si>
  <si>
    <t>Seguel, F; Palacios-Játiva, P; Azurdia-Meza, CA; Krommenacker, N; Charpentier, P; Soto, I</t>
  </si>
  <si>
    <t>Seguel, Fabian; Palacios-Jativa, Pablo; Azurdia-Meza, Cesar A.; Krommenacker, Nicolas; Charpentier, Patrick; Soto, Ismael</t>
  </si>
  <si>
    <t>Underground Mine Positioning: A Review</t>
  </si>
  <si>
    <t>IEEE SENSORS JOURNAL</t>
  </si>
  <si>
    <t>Underground mining is expected to lead the mining industry in the near future. Due to the advance of electronic devices and communications technologies, new safety regulations must be accomplished in order to operate underground mines safely and optimally. In 2006, the US government updated safety policies and introduced the PUBLIC LAW109-236. As a result, underground tracking is nowadays mandatory for underground mine operations. This new regulation establishes that current, or immediately pre-accident location of all underground personnel must be delivered over ground. Despite the recent advances of tracking and positioning systems for indoor environments, underground mines are a unique scenario which poses different and highly demanding constraints for current technologies. Throughout this manuscript an extensive survey on underground mines' positioning technologies is provided. The main characteristics of current localization systems in underground mines are analysed for their implementation from a user's requirements point of view. Furthermore, the main constraints and opportunities of the existing indoor positioning systems to deliver underground tracking are presented. Finally, future research directions are highlighted.</t>
  </si>
  <si>
    <t>Seguel, Fabian/ABC-4765-2020; Krommenacker, Nicolas/IAR-4851-2023; Palacios Játiva, Pablo/AAE-8235-2019; Meza, Cesar/D-6948-2014</t>
  </si>
  <si>
    <t>Azurdia, Cesar/0000-0003-3461-4484; Charpentier, Patrick/0000-0003-0236-4767; Krommenacker, Nicolas/0000-0003-0599-3614; Palacios, Pablo/0000-0002-3958-503X; Seguel, Fabian/0000-0001-6567-8988</t>
  </si>
  <si>
    <t>1530-437X</t>
  </si>
  <si>
    <t>1558-1748</t>
  </si>
  <si>
    <t>MAR 15</t>
  </si>
  <si>
    <t>10.1109/JSEN.2021.3112547</t>
  </si>
  <si>
    <t>WOS:000770054800006</t>
  </si>
  <si>
    <t>Barriga, L; Villalta, M; Navarrete, C; Benavides, D</t>
  </si>
  <si>
    <t>Barriga, Lautaro; Villalta, Marco; Navarrete, Camila; Benavides, Diego</t>
  </si>
  <si>
    <t>Conversation analysis: psychotherapist interventions in different gender university students with depressive conditions and suicidal ideation</t>
  </si>
  <si>
    <t>JOURNAL OF MENS HEALTH</t>
  </si>
  <si>
    <t>Background: Research shows that university students have increased prevalence of depressive disorders with suicidal ideation. The aim of the study is to analyze the psychotherapist's interventions in university students with a diagnosis of mild depression and suicidal ideation attended in a psychological center of an accredited university. Methods: Descriptive study of multiple cases and mixed method. The sessions were divided into three time segments to recognize the interventions used by the psychotherapist in the four therapeutic dyads. Results: Although the students share the same diagnosis, the psychotherapist's interventions are different according to the gender and experience of the psychotherapist. The greater the experience, the more binding and chain interventions are used, while the psychotherapist in training uses expansion, change and explanatory interventions. Conclusions: Interventions are distributed differently throughout the sessions, are engaged according to the years of experience of the psychotherapist and the gender of the student. The diagnosis of depression does not affect the type of intervention used.</t>
  </si>
  <si>
    <t>Villalta Paucar, Marco Antonio/B-9555-2012</t>
  </si>
  <si>
    <t>Villalta Paucar, Marco Antonio/0000-0002-7553-925X; Barriga Carvajal, Lautaro Bernardo/0000-0002-0128-7133</t>
  </si>
  <si>
    <t>1875-6867</t>
  </si>
  <si>
    <t>1875-6859</t>
  </si>
  <si>
    <t>10.31083/j.jomh1802049</t>
  </si>
  <si>
    <t>WOS:000766777600017</t>
  </si>
  <si>
    <t>Existence and monotonicity of nonlocal boundary value problems: the one-dimensional case</t>
  </si>
  <si>
    <t>PROCEEDINGS OF THE ROYAL SOCIETY OF EDINBURGH SECTION A-MATHEMATICS</t>
  </si>
  <si>
    <t>We consider nonlocal equations of the general form (a (*) u '') (.) + lambda f (., u(.)) = 0. By developing a Green's function representation for the solution of the boundary value problem we study existence, uniqueness, and qualitative properties (e.g., positivity or monotonicity) of solutions to these problems. We apply our methods to fractional order differential equations. We also demonstrate an application of our methodology both to convolution equations with nonlocal boundary conditions as well as those with a nonlocal term in the convolution equation itself.</t>
  </si>
  <si>
    <t>0308-2105</t>
  </si>
  <si>
    <t>1473-7124</t>
  </si>
  <si>
    <t>10.1017/prm.2020.90</t>
  </si>
  <si>
    <t>WOS:000757492400001</t>
  </si>
  <si>
    <t>Muñoz, CA; Dávila, AM; Mosey, S; Radrigán, M</t>
  </si>
  <si>
    <t>Munoz, Cristian A.; Davila, Ana Maria; Mosey, Simon; Radrigan, Mario</t>
  </si>
  <si>
    <t>Exploring Participatory Management in Social Enterprise Practice: Evidence from Chile</t>
  </si>
  <si>
    <t>VOLUNTAS</t>
  </si>
  <si>
    <t>Although evidence shows that it is challenging to implement, many authors state that participatory management is a distinctive attribute of social enterprises. This paper presents case study research exploring how participatory management is manifest in Chile, a country where a paternalistic and autocratic management style prevails thereby constraining the adoption of more collaborative approaches. We found that a majority of the twenty social enterprises considered, despite having very different sizes, governance structure and activity sectors, involved employees and stakeholders in shared decision-making processes. Participatory management was exhibited in distinctive and diverse ways ranging from common agreement on strategic decisions through to the presentation of new proposals by members. We conclude that social enterprises in Chile differ from conventional enterprises not only in their focus on trying to solve social problems, but also in the fact that they may provide a vehicle to promote more innovative and participatory approaches to decision making.</t>
  </si>
  <si>
    <t>Mosey, Simon/JXW-6801-2024</t>
  </si>
  <si>
    <t>Mosey, Simon/0000-0002-3452-5230</t>
  </si>
  <si>
    <t>0957-8765</t>
  </si>
  <si>
    <t>1573-7888</t>
  </si>
  <si>
    <t>10.1007/s11266-021-00367-1</t>
  </si>
  <si>
    <t>WOS:000663265900001</t>
  </si>
  <si>
    <t>Carreño, C; San Juan, E; Adasme, P; Cañete, L; Seguel, F; Firoozabadi, AD</t>
  </si>
  <si>
    <t>Carreno, Cristobal; San Juan, Enrique; Adasme, Pablo; Canete, Lucio; Seguel, Fabian; Dehghan Firoozabadi, Ali</t>
  </si>
  <si>
    <t>Fuzzy-PID controller design for UAV hybrid energy propelled with differential box</t>
  </si>
  <si>
    <t>This work provides the design of fuzzy - PID controller for energy management over a hybrid propulsion system in unmanned aerial vehicle. The simulation model of propulsion system and propeller dynamics have been developed by MATLAB-Simulink environment and his Simscape library. The main controller is composing for three controllers: Electric motor controller, an engine controller and energy manager. The last deliver set point to individual controllers. All PID controllers have been tuned by root locus methodology. Performance results was made into a specific flight scenario. All controllers have performed good results, showing a correct use of energy sources into the unmanned aerial vehicle unmanned.</t>
  </si>
  <si>
    <t>Adasme, Pablo/U-1735-2019; Seguel, Fabian/ABC-4765-2020; Arratia, Lucio/AAV-6112-2020; Dehghan Firoozabadi, Ali/AAD-4858-2019</t>
  </si>
  <si>
    <t>Adasme, Pablo/0000-0003-2500-3294; Canete Arratia, Lucio/0000-0002-1191-8728; Seguel, Fabian/0000-0001-6567-8988</t>
  </si>
  <si>
    <t>10.1109/SACVLC53127.2021.9652332</t>
  </si>
  <si>
    <t>WOS:000760247000017</t>
  </si>
  <si>
    <t>Thuany, M; Melo, JCN; Tavares, JPB; Santos, FMJ; Silva, ECM; Werneck, AO; Dantas, S; Ferrari, G; Sá, TH; Silva, DR</t>
  </si>
  <si>
    <t>Thuany, Mabliny; Melo, Joao Carlos N.; Tavares, Joao Pedro B.; Santos, Filipe M. J.; Silva, Ellen C. M.; Werneck, Andre O.; Dantas, Sayuri; Ferrari, Gerson; Sa, Thiago H.; Silva, Danilo R.</t>
  </si>
  <si>
    <t>The Profile of Bicycle Users, Their Perceived Difficulty to Cycle, and the Most Frequent Trip Origins and Destinations in Aracaju, Brazil</t>
  </si>
  <si>
    <t>The objective of this study was to describe the profile of bicycle users, their perceived difficulty to cycle, and the most frequent trip origins and destinations in Aracaju, Northeast Brazil. Our cross-sectional study sampled 1001 participants and we collected information through structured interviews. Aged &gt;= 15 years, participants were residents of all Aracaju's neighborhoods and used a bicycle for commuting to work or for leisure. We observed that bicycle users in Aracaju are predominantly employed male subjects, aged between 18 and 40 years, and were the heads of their households. Most of the them reported work as the main reason for their bicycle trips and, health and practicality aspects as their main motivations for using bicycles. In general, the neighborhoods in the north and center of the city were identified as the most difficult for cycling, and the easiest trips occurred in places with cycle paths. As a conclusion of this study, we reaffirm the need for intersectoral actions that create favorable environments for active commuting and more sustainable cities.</t>
  </si>
  <si>
    <t>Thuany, Mabliny/AAK-6675-2021; Ferrari, Gerson/ABG-6635-2021; Ferrari, Gerson/P-1152-2014; Sa, Thiago Herick de/N-1952-2015; Silva, Danilo/E-3747-2018; do Nascimento Melo, Joao Carlos/JWO-5981-2024; Mendes da Silva, Ellen Caroline/HMD-4285-2023; Werneck, Andre/N-5006-2016</t>
  </si>
  <si>
    <t>Ferrari, Gerson/0000-0003-3177-6576; Sa, Thiago Herick de/0000-0002-9348-4483; Silva, Danilo/0000-0003-3995-4795; do Nascimento Melo, Joao Carlos/0000-0002-7350-6243; Mendes da Silva, Ellen Caroline/0000-0001-9856-0054; Thuany, Mabliny/0000-0002-6858-1871; Werneck, Andre/0000-0002-9166-4376</t>
  </si>
  <si>
    <t>10.3390/ijerph17217983</t>
  </si>
  <si>
    <t>WOS:000588900200001</t>
  </si>
  <si>
    <t>Cid, H; Ortiz, C; Pizarro, J; Moreno-Piraján, JC</t>
  </si>
  <si>
    <t>Cid, Hector; Ortiz, Claudia; Pizarro, Jaime; Carlos Moreno-Pirajan, Juan</t>
  </si>
  <si>
    <t>Effect of copper (ii) biosorption over light metal cation desorption in the surface of macrocystis pyrifera biomass</t>
  </si>
  <si>
    <t>We study the effect of Cu(II) biosorption on the displacement of intrinsic light metal cations of the surface of the biomass of the brown macroalgae Macrocystis pyrifera. Batch methods and non-linearized kinetic models show chemisorption with a fast reach to equilibrium, represented by a pseudo-second order kinetic model. The nonlinear Langmuir isotherm model fits right to the data with a value of maximum capacity of 1.251 mmol g(-1) at pH 5. The light metal cations desorption induced by Cu(II) biosorption, show an increase in the desorption of alkali-terrous cations when more Cu(II) is available, especially the desorption of Ca cations. The infrared analysis shows that the functional groups amine, carboxylate, hydroxyl and sulphonate are the main moieties in this biomass. We observed changes in surface texture due to the desorption of light metal cations, and a rearrangement by an apparent increase in fibrillar crosslinking due to the Cu(II) biosorption. The results of the present work show that the cation exchange with Ca and Mg is the primary mechanism in the overall Cu(II) biosorption on M. pyrifera biomass, representing a 56 % of the total of Cu(II) bound.</t>
  </si>
  <si>
    <t>Cid, Héctor/AAH-5471-2020</t>
  </si>
  <si>
    <t>Cid Silva, Hector A./0000-0001-5942-608X; MORENO-PIRAJAN, JUAN CARLOS/0000-0001-9880-4696</t>
  </si>
  <si>
    <t>10.1016/j.jece.2020.103729</t>
  </si>
  <si>
    <t>WOS:000545339700001</t>
  </si>
  <si>
    <t>Figueroa-Céspedes, I; Ossa-Cornejo, C; Jorquera-Martínez, C</t>
  </si>
  <si>
    <t>Figueroa-Cespedes, Ignacio; Ossa-Cornejo, Carlos; Jorquera-Martinez, Carolina</t>
  </si>
  <si>
    <t>EDUCATIONAL PSYCHOLOGIST AS A CRITICAL FRIEND: CONTRIBUTIONS AND POSSIBILITIES FOR SCHOOL CHANGE AND IMPROVEMENT</t>
  </si>
  <si>
    <t>LIMITE-REVISTA DE FILOSOFIA Y PSICOLOGIA</t>
  </si>
  <si>
    <t>This essay presents the need to connect the role of educational psychologist with the concept of critical friend, as co-investigator and promoter of reflective processes that facilitate educational transformation. This is because educational psychology has based its work on a traditional paradigm, predominantly of a clinical-rehabilitative perspective, leaving little scope for professionals to focus on community development and promote collaborative inquiry in the institutional context. This role of critical friend is supported by the ability to promote action research in schools, maximizing an open participation from the different actors of the community. It is concluded that this role is positive for educational psychology since it would allow to strengthen a personal and critical view, as well as the enrichment of the repertoire of educational institutions to favor change and improvement in schools generating, finally, a more relevant and valued image in the educational community towards the work of the professional psychologist.</t>
  </si>
  <si>
    <t>Ossa-Cornejo, Carlos/AAA-4700-2021; Figueroa-Céspedes, Ignacio/B-5316-2019</t>
  </si>
  <si>
    <t>0718-1361</t>
  </si>
  <si>
    <t>0718-5065</t>
  </si>
  <si>
    <t>WOS:000617097000005</t>
  </si>
  <si>
    <t>Sandoval, MA; Zúñiga-Mallea, N; Espinoza, LC; Vidal, J; Jara-Ulloa, P; Salazar, R</t>
  </si>
  <si>
    <t>Sandoval, Miguel A.; Zuniga-Mallea, Nury; Espinoza, L. Carolina; Vidal, Jorge; Jara-Ulloa, Paola; Salazar, Ricardo</t>
  </si>
  <si>
    <t>Decolorization and Degradation of a Mixture of Industrial Azo Dyes by Anodic Oxidation Using a Ti/Ru0.3Ti0.7O2 (DSA-Cl2) Electrode</t>
  </si>
  <si>
    <t>CHEMISTRYSELECT</t>
  </si>
  <si>
    <t>The electrochemical treatment of wastewaters from the textile industry is a promising alternative for the elimination of organic pollutants. This study approach the decolorization and chemical oxygen demand (COD) removal from synthetic water (0.91 mM Acid Yellow 25 dye - and - 0.42 mM Acid Blue 29 dye), by anodic oxidation (AO) in batch mode using a Ti/Ru0.3Ti0.7O2 (DSA-Cl-2) electrode as anode and an AISI 304 stainless steel plate as cathode. The influence of pH (3, 7 and 10), type of supporting electrolyte (50 mM Na2SO4, 50 mM NaCl and 100 mM NaCl) and applied current density (10 &lt; j &lt; 80 mAcm(-2)) on COD removal and mineralization current efficiency was analyzed. The best AO test in terms of energy consumption was performed at pH 7, 50 mM NaCl and j = 30 mAcm(-2), obtaining a complete decolorization and COD removal. These operating parameters have an energy consumption between 0.41 and 0.82 kWh m(-3). High performance liquid chromatography (HPLC-MS/MS) analyses indicated the presence of several organic intermediates and carboxylic acids.</t>
  </si>
  <si>
    <t>Salazar, Ricardo/L-7870-2013; Espinoza, Carolina/HSH-9507-2023; Sandoval, Miguel/Q-3144-2019; Sandoval, Miguel/F-3645-2019</t>
  </si>
  <si>
    <t>Salazar-Gonzalez, Ricardo/0000-0003-2180-6022; Sandoval, Miguel/0000-0001-9659-5827; Vidal, Jorge/0000-0002-1334-377X</t>
  </si>
  <si>
    <t>2365-6549</t>
  </si>
  <si>
    <t>10.1002/slct.201903150</t>
  </si>
  <si>
    <t>WOS:000514100300016</t>
  </si>
  <si>
    <t>Toro, SA; Aranda, PM; García-Herrera, CM; Celentano, DJ</t>
  </si>
  <si>
    <t>Andres Toro, Sebastian; Miguel Aranda, Pedro; Moises Garcia-Herrera, Claudio; Javier Celentano, Diego</t>
  </si>
  <si>
    <t>Analysis of the Elastoplastic Response in the Torsion Test Applied to a Cylindrical Sample</t>
  </si>
  <si>
    <t>This work presents an experimental and numerical analysis of the mechanical behavior of a fixed-end SAE 1045 steel cylindrical specimen during the torsion test. To this end, an iterative numerical-experimental methodology is firstly proposed to assess the material response in the tensile test using a large strain elastoplasticity-based model solved in the context of the finite element method. Then, a 3D numerical simulation of the deformation process of the torsion test is tackled with this previously characterized model that proves to be able to predict the development of a high and localized triaxial stress and strain fields caused by the presence of high levels of angular deformation. Finally, the obtained numerical results are analytically studied with the cylindrical components of the Green-Lagrange strain tensor and experimentally validated with the measurements of shear strains via Digital Image Correlation (DIC) and the corresponding torque - twist angle curve.</t>
  </si>
  <si>
    <t>García-Herrera, Claudio/ABE-8991-2020; Toro, Sebastian/CAH-7489-2022; Celentano, Diego/JQW-5027-2023</t>
  </si>
  <si>
    <t>Garcia-Herrera, Claudio/0000-0002-1283-8551; Celentano, Diego/0000-0002-7600-0619; Toro, Sebastian Andres/0000-0002-2004-1382</t>
  </si>
  <si>
    <t>10.3390/ma12193200</t>
  </si>
  <si>
    <t>WOS:000493308500149</t>
  </si>
  <si>
    <t>Guzmán, HM; Sepúlveda, M; Rosso, N; San Martin, A; Guzmán, F; Guzmán, HC</t>
  </si>
  <si>
    <t>Guzman, Hernan M.; Sepulveda, Matias; Rosso, Nicolas; San Martin, Andres; Guzman, Felipe; Guzman, Hernan C.</t>
  </si>
  <si>
    <t>Incidence and Risk Factors for Cholelithiasis After Bariatric Surgery</t>
  </si>
  <si>
    <t>Background Obesity and rapid weight loss after bariatric surgery (BS) are independent risk factors for development of cholelithiasis (CL), a prevalent disease in the Chilean population. This study aimed to determine the incidence of CL in obese Chilean patients 12 months after BS and identify risk factors for development of gallstones. Methods Retrospective study of patients who underwent BS in 2014. Patients with preoperative negative abdominal ultrasound (US) for CL and follow-up for at least than 12 months were included. Patients underwent US at 6 months and 12 months. We analyzed sex, age, hypertension, dyslipidemia, type 2 diabetes mellitus, body mass index (BMI), surgical procedure, percentage of excess BMI loss (%EBMIL) at 6 months, and BMI at 6 months. Results Of 279 patients who underwent bariatric surgery during 2014, 66 had previous gallbladder disease and 176 met the inclusion criteria (82.6%), while 54.6% were female. The mean age was 37.8 +/- 10.5 years and preoperative BMI was 37.5 kg/m(2). BMI and %EBMIL at 6 months were 27.8 +/- 3.3 kg/m(2) and 77.9 +/- 33.6%, respectively. At 12 months after BS, CL was found in 65 patients (36.9%). Hypertension turned out to be protective against occurrence of gallstones at 1 year with an OR 0.241. Conclusions Incidence of CL was up to one-third of the patients followed up for 12 months after BS. Excessive weight loss and other variables studied did not increase risk. Hypertension seems to be protective against gallstone formation, but this result needs further analysis.</t>
  </si>
  <si>
    <t>10.1007/s11695-019-03760-4</t>
  </si>
  <si>
    <t>WOS:000469767700014</t>
  </si>
  <si>
    <t>Osorio, F; Dupont, L; Camargo, M; Palominos, P; Peña, JI; Alfaro, M</t>
  </si>
  <si>
    <t>Osorio, Ferney; Dupont, Laurent; Camargo, Mauricio; Palominos, Pedro; Ismael Pena, Jose; Alfaro, Miguel</t>
  </si>
  <si>
    <t>Design and management of innovation laboratories: Toward a performance assessment tool</t>
  </si>
  <si>
    <t>CREATIVITY AND INNOVATION MANAGEMENT</t>
  </si>
  <si>
    <t>There is a strong emergence of new spaces to foster innovation all over the world (Fablabs, Living Labs and Design Factories, among others). Past experiences have shown these types of projects involving innovation laboratories are at risk of not succeeding in their goals. Although several studies have tackled the problem of design, development and sustainability of innovation laboratories, there is still a gap in understanding how the capabilities and performance of these environments are affected by the strategic intentions at the early stages of design and functioning. Throughout this work, eight frameworks from the literature that analyze innovation laboratories are identified and compared. Then, based on both literature and the authors' experience, an updated framework is proposed as the basis for a guidance tool for researchers and practitioners aiming to assess or to adapt an existing project. As part of the operationalization process of the framework, a maturity grid-based assessment tool is proposed to evaluate the maturity degree of an innovation laboratory. Afterwards, to evaluate the viability and to integrate the perception of innovation laboratory managers, an exploratory study with answers from fifteen laboratories from five different countries is performed. Insights and implications for emerging and already existent projects of innovation laboratories are then discussed.</t>
  </si>
  <si>
    <t>DUPONT, Laurent/L-9239-2019; CAMARGO, Mauricio/HJP-7111-2023; Osorio, Ferney/AGE-3773-2022</t>
  </si>
  <si>
    <t>Palominos, Pedro/0000-0002-5695-3025; Osorio, Ferney/0000-0001-6199-2304; DUPONT, Laurent/0000-0002-8279-9690; Camargo, Mauricio/0000-0003-3867-2438</t>
  </si>
  <si>
    <t>0963-1690</t>
  </si>
  <si>
    <t>1467-8691</t>
  </si>
  <si>
    <t>10.1111/caim.12301</t>
  </si>
  <si>
    <t>WOS:000459053200008</t>
  </si>
  <si>
    <t>Vásquez-Martínez, YA; Osorio, ME; San Martín, DA; Carvajal, MA; Vergara, AP; Sanchez, E; Raimondi, M; Zacchino, SA; Mascayano, C; Torrent, C; Cabezas, F; Mejias, S; Montoya, M; Cortez-San Martín, M</t>
  </si>
  <si>
    <t>Vasquez-Martinez, Yesseny A.; Osorio, Mauricio E.; San Martin, Diego A.; Carvajal, Marcela A.; Vergara, Alejandra P.; Sanchez, Elizabeth; Raimondi, Marcela; Zacchino, Susana A.; Mascayano, Carolina; Torrent, Claudia; Cabezas, Francisco; Mejias, Sophia; Montoya, Margarita; Cortez-San Martin, Marcelo</t>
  </si>
  <si>
    <t>Antimicrobial, Anti-Inflammatory and Antioxidant Activities of Polyoxygenated Chalcones</t>
  </si>
  <si>
    <t>JOURNAL OF THE BRAZILIAN CHEMICAL SOCIETY</t>
  </si>
  <si>
    <t>It was synthesized nine polyoxygenated chalcones with a potential and safe use as antioxidant, antimicrobial and anti-inflammatory therapies. Chalcones obtained by Claisen-Schmidt condensation were studied as antioxidant, inhibitors of human 5-lipoxygenase, antifungal, antibacterial and antibiotic resistance modifiers. Two chalcones with catecholic moieties were able to strongly decrease the minimum inhibitory concentration (MIC) of methicillin against methicillin-resistant Staphylococcus aureus, increase the antiradical activity and significantly inhibit the human 5-lipoxygenase. Only one of these chalcones was active synergistically with methicillin. Chalcones with methoxyl substituents at different positions displayed the best activities against Cryptococcus neoformans. Only one chalcone showed good activity against the plant pathogenic bacteria Pseudomonas syringae whose half maximal inhibitory concentration (IC50) value (2.5 mu g mL(-1)) was similar to that observed with the antibiotic streptomycin (2.9 mu g mL(-1)). These simple chalcones have safe potential uses in antioxidant, antimicrobial and anti-inflammatory therapies.</t>
  </si>
  <si>
    <t>Zacchino, Susana/JYO-4044-2024; CARVAJAL, MARCELA/LXU-5350-2024</t>
  </si>
  <si>
    <t>Osorio-Olivares, Mauricio/0000-0003-4391-1739; CARVAJAL, MARCELA/0000-0003-3500-5242; Montoya, Margarita/0000-0002-6268-1118; Mascayano Collado, Carolina Lorena/0000-0002-3488-9309; Vasquez Martinez, Yesseny Amneris/0000-0002-4184-9815</t>
  </si>
  <si>
    <t>0103-5053</t>
  </si>
  <si>
    <t>1678-4790</t>
  </si>
  <si>
    <t>10.21577/0103-5053.20180177</t>
  </si>
  <si>
    <t>WOS:000453745200008</t>
  </si>
  <si>
    <t>Espinoza, J; Urzúa, A; Bardehle, L; Quiroz, A; Echeverría, J; González-Teuber, M</t>
  </si>
  <si>
    <t>Espinoza, Javier; Urzua, Alejandro; Bardehle, Leonardo; Quiroz, Andres; Echeverria, Javier; Gonzalez-Teuber, Marcia</t>
  </si>
  <si>
    <t>Antifeedant Effects of Essential Oil, Extracts, and Isolated Sesquiterpenes from Pilgerodendron uviferum (D. Don) Florin Heartwood on Red Clover Borer Hylastinus obscurus (Coleoptera: Curculionidae)</t>
  </si>
  <si>
    <t>The beetle Hylastinus obscurus Marsham (Coleoptera: Curculionidae), endemic to Europe and Northern Africa, is one of the most important red clover pests in Chile. As commercial insecticides are less effective against this pest, plant secondary metabolites have been considered as an alternative for its control. Here, we have investigated the chemical composition of essential oil (EO), petroleum ether extract (PEE), and dichloromethane extract (DCME) from Pilgerodendron uviferum heartwood. Additionally, the effects of EO and extracts on the feeding behavior (% of weight shift) of H. obscurus have been evaluated. The composition of EO, PEE, and DCME were analyzed using gas chromatography (GC) and gas chromatography/mass spectrometry (GC/MS). The results showed the presence of a similar mixture of sesquiterpenes in the essential oil and in both of the extracts, which accounted for circa 60% of the total mixture. Sesquiterpenes were further isolated using chromatographic methods and were structurally characterized by optical rotation, GC-MS, FTIR, and 1D and 2D NMR experiments. The physicochemical properties of the isolated sesquiterpenes, including lipophilicity and vapor pressure, were also determined. The sesquiterpenes were identified as the following: (-)-trans-calamenene (1), cadalene (2), (-)-cubenol (3), (-)-epi-cubenol (4), (-)-torreyol (5), and ()-15-copaenol (6). The antifeedant activity of EO, extracts, and isolated sesquiterpenes were evaluated using artificial diets in a non-choice test. Relative to the control, the EO, DCME extract, and the isolated sesquiterpenes, namely, (-)-trans-calamenene (1), cadalene (2), and (5) torreyol, were found to be the most effective treatments against H. obscurus. Our study showed that the compounds occurring in P. uviferum heartwood were effective in reducing the adult growth of H. obscurus. The physicochemical properties of the isolated sesquiterpenes might have been associated with antifeedant effects.</t>
  </si>
  <si>
    <t>Echeverría, Javier/AAK-3323-2020; Quiroz, Andres/I-2748-2018; Bardehle, Leonardo/ABB-3573-2021; González-Teuber, Marcia/ABH-2318-2021; Espinoza, Javier/L-1183-2019</t>
  </si>
  <si>
    <t>Gonzalez-Teuber, Marcia/0000-0003-0565-9333; Echeverria, Javier/0000-0002-1688-968X; Urzua, Alejandro/0000-0003-2638-0921; Espinoza Maldonado, Javier/0000-0003-0153-8534</t>
  </si>
  <si>
    <t>10.3390/molecules23061282</t>
  </si>
  <si>
    <t>WOS:000435875400044</t>
  </si>
  <si>
    <t>Alfaro, M; Vargas, M; Fuertes, G; Sepúlveda-Rojas, JP</t>
  </si>
  <si>
    <t>Alfaro, Miguel; Vargas, Manuel; Fuertes, Guillermo; Pedro Sepulveda-Rojas, Juan</t>
  </si>
  <si>
    <t>Proposal of Two Measures of Complexity Based on Lempel-Ziv for Dynamic Systems: An Application for Manufacturing Systems</t>
  </si>
  <si>
    <t>The measure of complexity of Lempel-Ziv (LZC) is used for the analysis of time series generated by dynamic systems with the objective of determining its complexity. This work measures LZC of different series coming from periodic functions, probabilistic functions, and chaotic systems. Later, these metrics of complexity are applied to the average of the number of parts in the waiting line in a manufacturing workshop. The results demonstrate the efficiency of the LZC to establish the level of the dynamic behavior of the manufacturing systems, through the time series.</t>
  </si>
  <si>
    <t>vargas, manuel/AAG-4780-2020; Sepulveda-Rojas, Juan Pedro/C-1799-2013; Fuertes, Guillermo/Q-2341-2016</t>
  </si>
  <si>
    <t>Vargas Guzman, Manuel Eduardo/0000-0003-4161-6621; Sepulveda-Rojas, Juan Pedro/0000-0002-6725-7295; Fuertes, Guillermo/0000-0003-3044-5919; Alfaro, Miguel/0000-0002-1633-8853</t>
  </si>
  <si>
    <t>10.1155/2018/8692146</t>
  </si>
  <si>
    <t>WOS:000424805900001</t>
  </si>
  <si>
    <t>Shi, Y; Wolcott, P; Kwak, W; Chen, Z; Tian, Y; Lee, H</t>
  </si>
  <si>
    <t>Method for improving critical strategic and operational success factors in a port system</t>
  </si>
  <si>
    <t>6TH INTERNATIONAL CONFERENCE ON INFORMATION TECHNOLOGY AND QUANTITATIVE MANAGEMENT</t>
  </si>
  <si>
    <t>6th International Conference on Information Technology and Quantitative Management (ITQM)</t>
  </si>
  <si>
    <t>OCT 20-21, 2018</t>
  </si>
  <si>
    <t>Omaha, NE</t>
  </si>
  <si>
    <t>Int Acad Informat Technol &amp; Quantitat Management,Univ Nebraska,Chinese Acad Sci, Res Ctr Fictitious Economy &amp; Data Sci,UCAS, Sch Econ &amp; Management,Chinese Acad Sci, Inst Sci &amp; Dev,Chinese Acad Sci, Key Lab Big Data Mining &amp; Knowledge Management,Chinese Acad Management, Business Intelligence Soc,SW Minzu Univ,TIBD</t>
  </si>
  <si>
    <t>This paper discusses the governance and its action over the port business where private companies and public organizations participate. The sources of strategic inefficiencies that affect competitiveness are identified in the context of political, technological, economic, and social aspects. Strategic inefficiencies, business and operational, that affect the decision-making process, are detected in port activity. These are related to port governance, loss of time, logistical costs and lack of human capital. Critical factors affected by inefficiencies in export/import logistics chains are also detected which, if overcome, may reduce their logistical costs and increase port competitiveness. The greatest inefficiencies found in the public components and the private companies are related to waiting time (lead time) and time delays caused by the actors in the port business. It is observed that all strategic interest groups are not involved in the system and a lack of synergy is also perceived at business and operational levels in both public organizations and private companies. Logistic costs related to transport, inventory, storage, together with administrative and supply costs are also considered. The trends of the indicators presented in the paper allow the monitoring of the factors of inefficiency detected in the port activity. (C) 2018 The Authors. Published by Elsevier B.V.</t>
  </si>
  <si>
    <t>Córdova, Felisa/AAK-4280-2020; Duran, Claudia/S-1175-2019; Palominos, Fredi/U-4690-2019</t>
  </si>
  <si>
    <t>CORDOVA, FELISA/0000-0002-5557-8569; Duran, Claudia/0000-0002-0903-4333</t>
  </si>
  <si>
    <t>10.1016/j.procs.2018.10.253</t>
  </si>
  <si>
    <t>WOS:000471259200060</t>
  </si>
  <si>
    <t>Espinoza, M; Donoso, F; Espina, E; Diaz, M; Cárdenas, R</t>
  </si>
  <si>
    <t>Espinoza, Mauricio; Donoso, Felipe; Espina, Enrique; Diaz, Matias; Cardenas, Roberto</t>
  </si>
  <si>
    <t>A Novel Control Strategy for Modular Multilevel-Based Drives Considering the System Operating Point</t>
  </si>
  <si>
    <t>Modular Multilevel Converters (MMC) are considered an attractive solution for high-power medium-voltage drives. However, in drive applications, the influence of the loading conditions leads to more complex control systems than the required ones for constant frequency applications. To solve this issue, a novel control methodology for the MMC-based drive is presented in this paper. The proposed scheme defines the best control structure to balance the voltage of the converter capacitors considering the drive operating point (e.g. the loading conditions and the machine frequency). The design of the converter parameters considering the desired behaviour of the converter is also discussed in this paper. Experimental results with an 18-power cells MMC are used to validate the proposed control strategy.</t>
  </si>
  <si>
    <t>Espina, Enrique/AGZ-7297-2022; Diaz, Matias/R-7570-2018; Espinoza, Mauricio/AAH-8647-2019</t>
  </si>
  <si>
    <t>Espina, Enrique/0000-0002-2075-2010</t>
  </si>
  <si>
    <t>WOS:000450299300319</t>
  </si>
  <si>
    <t>Sol-Pastorino, M; Vanegas-López, J; Psiq, RFU</t>
  </si>
  <si>
    <t>Sol-Pastorino, Maria; Vanegas-Lopez, Jairo; Florenzano-Urzua Psiq, Ramon</t>
  </si>
  <si>
    <t>Mental health with a gender perspective</t>
  </si>
  <si>
    <t>SALUD PUBLICA DE MEXICO</t>
  </si>
  <si>
    <t>Vanegas, Jairo/AAK-4264-2020</t>
  </si>
  <si>
    <t>Florenzano, Ramon/0000-0003-3230-0772; Vanegas Lopez, Jairo Javier/0000-0001-5281-483X</t>
  </si>
  <si>
    <t>0036-3634</t>
  </si>
  <si>
    <t>1606-7916</t>
  </si>
  <si>
    <t>WOS:000415960600001</t>
  </si>
  <si>
    <t>Bravo, MA; Batista, IS; Souza, JR; Foppiano, AJ</t>
  </si>
  <si>
    <t>Bravo, M. A.; Batista, I. S.; Souza, J. R.; Foppiano, A. J.</t>
  </si>
  <si>
    <t>Equatorial Ionospheric Response to Different Estimated Disturbed Electric Fields as Investigated Using Sheffield University Plasmasphere Ionosphere Model at INPE</t>
  </si>
  <si>
    <t>Good ionospheric modeling is important to understand anomalous effects, mainly during geomagnetic storm events. Ionospheric electric fields, thermospheric winds, and neutral composition are affected at different degrees, depending on the intensity of the magnetic disturbance which, in turns, affects the electron density distribution at all latitudes. The most important disturbed parameter for the equatorial ionosphere is the electric field, which is responsible for the equatorial ionization anomaly. Here various electric field measurements and models are analyzed: (1) measured by the Jicamarca incoherent scatter radar (ISR), (2) from Jicamarca Unattended Long-Term studies of the Ionosphere and Atmosphere (JULIA) radar, (3) deduced from magnetometers, (4) calculated from the time variations of the F layer height (dh'F/dt), and (5) deduced from interplanetary electric field determinations. The response of ionospheric parameters f(o)F(2) and h(m)F(2) to the electric fields simulated using the Sheffield University Plasmasphere Ionosphere Model version available at Instituto Nacional de Pesquisas Espaciais is compared with observations for two locations, during the geomagnetic storm events of 17-18 April 2002 and 7-10 November 2004. Results are found to be consistent with the observations in such a way that a hierarchy among the different types of drifts used can be established. When no ISR measurements are available, the drifts deduced from magnetometers or measured by the JULIA are best when including the contribution derived from dh'F/dt for the 18-24 LT time interval. However, when none of these drifts are available, drifts inferred from the interplanetary electric field seem to be a good alternative for some purposes.</t>
  </si>
  <si>
    <t>Batista, Inez/F-2899-2012; Foppiano, Alberto/LJM-1122-2024; Bravo, Manuel/AAD-8540-2020</t>
  </si>
  <si>
    <t>Bravo Sepulveda, Manuel Alejandro/0000-0002-5648-429X; Batista, Inez/0000-0001-5385-4112</t>
  </si>
  <si>
    <t>2169-9380</t>
  </si>
  <si>
    <t>2169-9402</t>
  </si>
  <si>
    <t>10.1002/2017JA024265</t>
  </si>
  <si>
    <t>WOS:000419937800053</t>
  </si>
  <si>
    <t>Beltran, FA; Torres, L; Troncoso-Escudero, P; Vicencio, I; Li, XJ; Lamberti, L; Rojas, P; Castro, MA</t>
  </si>
  <si>
    <t>Beltran, F. A.; Torres, L.; Troncoso-Escudero, P.; Vicencio, I.; Li, X. -J.; Lamberti, L.; Rojas, P.; Castro, M. A.</t>
  </si>
  <si>
    <t>Altered secretion of astrocyte-derived extracellular vesicles contribute to the early metabolic failure in Huntington's disease</t>
  </si>
  <si>
    <t>13th European Meeting on Glial Cells in Health and Disease</t>
  </si>
  <si>
    <t>JUL 08-11, 2017</t>
  </si>
  <si>
    <t>Edinburgh, SCOTLAND</t>
  </si>
  <si>
    <t>Augusto Oliveira Castro, Marcelo/MFJ-4020-2025</t>
  </si>
  <si>
    <t>T09-040B</t>
  </si>
  <si>
    <t>E274</t>
  </si>
  <si>
    <t>E275</t>
  </si>
  <si>
    <t>WOS:000403071700425</t>
  </si>
  <si>
    <t>Mera-Adasme, R; Erdmann, H; Berezniak, T; Ochsenfeld, C</t>
  </si>
  <si>
    <t>Mera-Adasme, Raul; Erdmann, Hannes; Berezniak, Tomasz; Ochsenfeld, Christian</t>
  </si>
  <si>
    <t>Destabilization of the metal site as a hub for the pathogenic mechanism of five ALS-linked mutants of copper, zinc superoxide dismutase</t>
  </si>
  <si>
    <t>Amyotrophic lateral sclerosis (ALS) is a lethal neurodegenerative disease, with no effective pharmacological treatment. Its pathogenesis is unknown, although a subset of the cases is linked to genetic mutations. A significant fraction of the mutations occur in one protein, copper, zinc superoxide dismutase (SOD1). The toxic function of mutant SOD1 has not been elucidated, but damage to the metal site of the protein is believed to play a major role. In this work, we study the electrostatic loop of SOD1, which we had previously proposed to work as a solvent seal isolating the metal site from water molecules. Out of the five contact points identified between the electrostatic loop and its dock in the rest of the protein, three points were found to be affected by ALS-linked mutations, with a total of five mutations identified. The effect of the five mutations was studied using methods of computational chemistry. We found that four of the mutations destabilize the proposed solvent seal, while the fifth mutation directly affects the metal-site stability. In the two contact points unaffected by ALS-linked mutations, the side chains of the residues were not found to play a stabilizing role. Our results show that the docking of the electrostatic loop to the rest of SOD1 plays a role in ALS pathogenesis, in support of that structure acting as a solvent barrier for the metal site. The results provide a unified pathogenic mechanism for five different ALS-linked mutations of SOD1.</t>
  </si>
  <si>
    <t>; Ochsenfeld, Christian/E-8021-2015</t>
  </si>
  <si>
    <t>Erdmann, Hannes/0000-0002-2620-1850; Ochsenfeld, Christian/0000-0002-4189-6558</t>
  </si>
  <si>
    <t>10.1039/c6mt00085a</t>
  </si>
  <si>
    <t>WOS:000385594000011</t>
  </si>
  <si>
    <t>Génova, G; Astudillo, H; Fraga, A</t>
  </si>
  <si>
    <t>Genova, Gonzalo; Astudillo, Hernan; Fraga, Anabel</t>
  </si>
  <si>
    <t>The Scientometric Bubble Considered Harmful</t>
  </si>
  <si>
    <t>SCIENCE AND ENGINEERING ETHICS</t>
  </si>
  <si>
    <t>This article deals with a modern disease of academic science that consists of an enormous increase in the number of scientific publications without a corresponding advance of knowledge. Findings are sliced as thin as salami and submitted to different journals to produce more papers. If we consider academic papers as a kind of scientific 'currency' that is backed by gold bullion in the central bank of 'true' science, then we are witnessing an article-inflation phenomenon, a scientometric bubble that is most harmful for science and promotes an unethical and antiscientific culture among researchers. The main problem behind the scenes is that the impact factor is used as a proxy for quality. Therefore, not only for convenience, but also based on ethical principles of scientific research, we adhere to the San Francisco Declaration on Research Assessment when it emphasizes the need to eliminate the use of journal-based metrics in funding, appointment and promotion considerations; and the need to assess research on its own merits rather on the journal in which the research is published. Our message is mainly addressed to the funding agencies and universities that award tenures or grants and manage research programmes, especially in developing countries. The message is also addressed to well-established scientists who have the power to change things when they participate in committees for grants and jobs.</t>
  </si>
  <si>
    <t>Génova, Gonzalo/ABF-4284-2021; Astudillo, Hernan/B-7521-2012</t>
  </si>
  <si>
    <t>Astudillo, Hernan/0000-0002-6487-5813; Genova, Gonzalo/0000-0003-0299-286X; FRAGA, ANABEL/0000-0001-5837-920X</t>
  </si>
  <si>
    <t>1353-3452</t>
  </si>
  <si>
    <t>1471-5546</t>
  </si>
  <si>
    <t>10.1007/s11948-015-9632-6</t>
  </si>
  <si>
    <t>WOS:000368702500012</t>
  </si>
  <si>
    <t>Avendaño-Herrera, R; Irgang, R; Poblete-Morales, M; Vásquez-Martínez, Y; Robles, C; Toro-Ascuy, D; Cortez-San Martín, M</t>
  </si>
  <si>
    <t>Avendano-Herrera, R.; Irgang, R.; Poblete-Morales, M.; Vasquez-Martinez, Y.; Robles, C.; Toro-Ascuy, D.; Cortez-San Martin, M.</t>
  </si>
  <si>
    <t>Predominant bacteria associated with black rockcod (Notothenia coriiceps, Richardson 1844) from King George Island, Antarctica</t>
  </si>
  <si>
    <t>BULLETIN OF THE EUROPEAN ASSOCIATION OF FISH PATHOLOGISTS</t>
  </si>
  <si>
    <t>EAFP 16th Meeting of the Austrian, German and Swiss Branches - Aquaculture - A Challenge for Fish Farmers and Veterinarians</t>
  </si>
  <si>
    <t>OCT 04-07, 2016</t>
  </si>
  <si>
    <t>Graz, AUSTRIA</t>
  </si>
  <si>
    <t>EAFP</t>
  </si>
  <si>
    <t>The present study isolated bacteria from black rockcod Notothenia coriiceps (Richardson, 1844) to determine if the relative proximity of salmon farms to natural habitats has resulted in the spread of known salmon pathogens. For this, bacteria were isolated from 60 N. coriiceps collected from seven sites along Fildes Bay, Antarctica (62 degrees 12'S, 58 degrees 57'W). Bacterial cultures were obtained from the kidney, liver, and spleen. The predominant bacterium of each culture was 16S rRNA gene sequenced, with 35 isolates obtained from 14 specimens. The predominant genera were Pseudomonas (9), Psychrobacter (7), and Staphylococcus (7), followed by Sporosarcina (4), and Bacillus (3). Notably, the Aliivibrio sp. (99.85% similarity with A. logei) and Chryseobacterium scophthalmus isolates were found and subsequently used to challenge rainbow trout (Oncorhynchus mykiss) and fine flounder (Paralichthys adspersus) species, which showed no clinical signs of disease nor death. Although kidney and skin lesion isolates were recovered (10 and 8 isolates, respectively), N. coriiceps challenges are needed to assess real infection risks. To our knowledge, this is the first description of these bacterial microorganisms from N. coriiceps.</t>
  </si>
  <si>
    <t>Avendaño-Herrera, Ruben/H-2368-2015; Toro-Ascuy, Daniela/JDC-8224-2023; Poblete-Morales, Matías/AAS-1973-2020; Irgang, Rute/H-2399-2015</t>
  </si>
  <si>
    <t>Vasquez Martinez, Yesseny Amneris/0000-0002-4184-9815; Poblete-Morales, Matias/0000-0001-9064-3285; Toro-Ascuy, Daniela/0000-0002-2563-9711</t>
  </si>
  <si>
    <t>0108-0288</t>
  </si>
  <si>
    <t>WOS:000390081800005</t>
  </si>
  <si>
    <t>Reinert, ES; Ghosh, J; Kattel, R</t>
  </si>
  <si>
    <t>The dependency school and its aftermath: why Latin America's critical thinking switched from one type of absolute certainties to another</t>
  </si>
  <si>
    <t>HANDBOOK OF ALTERNATIVE THEORIES OF ECONOMIC DEVELOPMENT</t>
  </si>
  <si>
    <t>978-1-78254-468-5; 978-1-78254-466-1</t>
  </si>
  <si>
    <t>10.4337/9781782544685</t>
  </si>
  <si>
    <t>WOS:000402506500022</t>
  </si>
  <si>
    <t>García-Herrera, CM; Celentano, DJ; Cruchaga, MA; Guinea, GV</t>
  </si>
  <si>
    <t>MunozRojas, PA</t>
  </si>
  <si>
    <t>Garcia-Herrera, Claudio M.; Celentano, Diego J.; Cruchaga, Marcela A.; Guinea, Gustavo V.</t>
  </si>
  <si>
    <t>Mechanical Characterization of the Human Aorta: Experiments, Modeling and Simulation</t>
  </si>
  <si>
    <t>COMPUTATIONAL MODELING, OPTIMIZATION AND MANUFACTURING SIMULATION OF ADVANCED ENGINEERING MATERIALS</t>
  </si>
  <si>
    <t>Advanced Structured Materials</t>
  </si>
  <si>
    <t>This chapter presents an overview of recent works aimed at characterizing the mechanical behaviour of the human aorta via experiments, modeling and simulation. The application of these techniques are in particular detailed in the analysis of the following cases: ascending aorta, aortic arch and thoracic descending aorta under in-vitro and in-vivo conditions. The experimental procedure encompasses uniaxial tension and pressurization tests on healthy and pathological tissues of different ages. The tensile measurements are used to calibrate the material parameters of isotropic or anisotropic quasi-static elastic constitutive models which are intended to predict the material response in a wide deformation range. Although this task is usually carried out analytically, numerical simulations (using a discretized formulation defined in the context of the finite element method) are also performed for problems in which more complex geometry, boundary conditions and loads are considered. Overall, the reported material characterization was found to provide a realistic description of the mechanical behaviour of the aorta subjected to various deformation and stress scenarios. Finally, the implication of these studies is the possibility to predict the mechanical response of the human aorta under generalized loading states like those that can occur in physiological conditions and/ or in medical device applications.</t>
  </si>
  <si>
    <t>Celentano, Diego/JQW-5027-2023; García-Herrera, Claudio/ABE-8991-2020; GUINEA TORTUERO, GUSTAVO VICTOR/N-1241-2014; Cruchaga, Marcela/M-7522-2014</t>
  </si>
  <si>
    <t>Garcia-Herrera, Claudio/0000-0002-1283-8551; GUINEA TORTUERO, GUSTAVO VICTOR/0000-0002-4326-3746; Cruchaga, Marcela/0000-0002-8708-2402</t>
  </si>
  <si>
    <t>1869-8433</t>
  </si>
  <si>
    <t>978-3-319-04265-7; 978-3-319-04264-0</t>
  </si>
  <si>
    <t>10.1007/978-3-319-04265-7_7</t>
  </si>
  <si>
    <t>10.1007/978-3-319-04265-7</t>
  </si>
  <si>
    <t>WOS:000387211300008</t>
  </si>
  <si>
    <t>Navia, P; Osorio, R</t>
  </si>
  <si>
    <t>Navia, Patricio; Osorio, Rodrigo</t>
  </si>
  <si>
    <t>It's the Christian Democrats' Fault: Declining Political Identification in Chile, 1957-2012</t>
  </si>
  <si>
    <t>CANADIAN JOURNAL OF POLITICAL SCIENCE-REVUE CANADIENNE DE SCIENCE POLITIQUE</t>
  </si>
  <si>
    <t>For different reasons, identification with political parties has been on the decline everywhere. Using polling data, we show that political identification in Chile increased in times of polarization before 1973 and in the transition to democracy in 1990 and fell under democratic consolidation. The decline comes primarily from falling identification with the largest party, the centrist Christian Democratic Party (PDC). Assessing the determinants of party identification, we report that while in the 1960s the PDC had a wide appeal as it attracted voters identified with the left, centre and right, in recent years the PDC attracts support from centrists and older people.</t>
  </si>
  <si>
    <t>Navia, Patricio/B-1052-2009</t>
  </si>
  <si>
    <t>Navia, Patricio/0000-0001-9398-8393; Osorio, Rodrigo/0000-0002-7365-5054</t>
  </si>
  <si>
    <t>0008-4239</t>
  </si>
  <si>
    <t>1744-9324</t>
  </si>
  <si>
    <t>10.1017/S0008423915001067</t>
  </si>
  <si>
    <t>WOS:000379976700004</t>
  </si>
  <si>
    <t>Pradenas, L; Garcés, J; Parada, V; Ferland, J</t>
  </si>
  <si>
    <t>Pradenas, Lorena; Garces, Juan; Parada, Victor; Ferland, Jacques</t>
  </si>
  <si>
    <t>Genotype-phenotype heuristic approaches for a cutting stock problem with circular patterns</t>
  </si>
  <si>
    <t>ENGINEERING APPLICATIONS OF ARTIFICIAL INTELLIGENCE</t>
  </si>
  <si>
    <t>The cutting stock problem has been studied in the context of different industrial applications inducing NP-hard problems in most instances. However, the application in sawmill has not received the same attention. In this paper, we deal with the problem of determining the number of logs to cut over a period of several days and the geometry of sawmill patterns in order to satisfy the demand while minimizing the loss of material. First, the problem is formulated as an integer programming problem of the form of a constrained set covering problem where the knowledge of a priori cutting patterns is necessary to generate its columns. In our implementation, these patterns are obtained using a genetic algorithm (GA) or a simulated annealing method (SA). Then, two different approaches are introduced to solve the problem. The first approach includes two methods that combine a metaheuristic to generate the number of logs and a constructive heuristic to generate the cutting patterns for each of the logs. In the second approach, we use an exact procedure CPLEX to solve the integer programming model where the cutting patterns are generated with the GA method (GA+CPLEX) or the SA method (SAH-CPLEX). These four methods are compared numerically on 11 semi-randomly generated problems similar to those found in real life. The best results for the loss are obtained with the two-stage GA+CPLEX approach that finds the best values for 7 problems. (C) 2013 Elsevier Ltd. All rights reserved.</t>
  </si>
  <si>
    <t>Garces, Juan/LLM-5700-2024; Parada, Victor/M-5840-2014; Pradenas, Lorena/ACZ-4624-2022</t>
  </si>
  <si>
    <t>0952-1976</t>
  </si>
  <si>
    <t>1873-6769</t>
  </si>
  <si>
    <t>10.1016/j.engappai.2013.08.003</t>
  </si>
  <si>
    <t>WOS:000326904500009</t>
  </si>
  <si>
    <t>Rojas, O; Gil-Costa, V; Marin, M</t>
  </si>
  <si>
    <t>Alexandrov, V; Lees, M; Krzhizhanovskaya, V; Dongarra, J; Sloot, PMA</t>
  </si>
  <si>
    <t>Rojas, Oscar; Gil-Costa, Veronica; Marin, Mauricio</t>
  </si>
  <si>
    <t>Distributing efficiently the Block-Max WAND algorithmy</t>
  </si>
  <si>
    <t>2013 INTERNATIONAL CONFERENCE ON COMPUTATIONAL SCIENCE</t>
  </si>
  <si>
    <t>13th Annual International Conference on Computational Science (ICCS)</t>
  </si>
  <si>
    <t>JUN 05-07, 2013</t>
  </si>
  <si>
    <t>Univ Amsterdam,Univ Tennessee,Nanyang Technol Univ,Barcelona Super Comp Ctr</t>
  </si>
  <si>
    <t>Large search engines are complex systems composed by several services. Each service is composed by a set of distributed processing nodes dedicated to execute a single operation required to user queries. One of these services is in charge of computing the top-k document results for queries by means of a document ranking operation. This ranking service is a major bottleneck in efficient query processing as billions of documents has to be processed each day. To answer user queries within a fraction of a second, techniques such as the Block-Max WAND algorithm are used to avoid fully processing all documents related to a query. In this work, we propose to efficiently distributing the Block-Max WAND computation among the ranking service processing nodes. Our proposal is devised to reduce memory usage and computation cost by assuming that each one of the P ranking processing nodes provide top-K/P + alpha documents results, where a is an estimation parameter which is dynamically set for each query. The experimental results show that the proposed approach significantly reduces execution time compared against current approaches used in search engines. (C) 2013 The Authors. Published by Elsevier B.V. Selection and peer review under responsibility of the organizers of the 2013 International Conference on Computational Science.</t>
  </si>
  <si>
    <t>Gil-Costa, Veronica/GPT-4785-2022; Rojas, Oscar/ABG-3625-2021; Marin, Mauricio/GLR-7700-2022</t>
  </si>
  <si>
    <t>Rojas Diaz, Oscar/0000-0002-7754-9996</t>
  </si>
  <si>
    <t>10.1016/j.procs.2013.05.175</t>
  </si>
  <si>
    <t>WOS:000321051200012</t>
  </si>
  <si>
    <t>Moraga, ET; Artigas, EAM; Irigoyen, CC</t>
  </si>
  <si>
    <t>Torres Moraga, Eduardo; Marinao Artigas, Enrique Alex; Chasco Irigoyen, Coro</t>
  </si>
  <si>
    <t>Development and Proposal of a Scale for Measuring the Image of Touristic Destinations (IMATUR)</t>
  </si>
  <si>
    <t>Image plays an important role in the process of choosing a touristic destination. In view of its importance, the purpose of this study is to propose a valid, reliable and dimensional scale of measurement that allows measuring touristic destinations images. To achieve this objective, a methodology was developed in different stages, which includes building a scale with a range of content validity and analyzing their psychometric properties by means of different statistical methods, parametric and nonparametric. To develop this analysis, 750 people were surveyed in samples, in proportion to the touristic destinations visited in Chile. The results showed a scale to measure the image of a touristic destination, made up of cognitive perception, affective evaluation, and by functional, symbolic and hedonistic benefits. This study provides to different groups of interest relevant information regarding the factors that make up the image, and are the basis to achieve a better perception of the touristic destination.</t>
  </si>
  <si>
    <t>Chasco, Coro/0000-0001-8098-9979</t>
  </si>
  <si>
    <t>WOS:000312742600003</t>
  </si>
  <si>
    <t>Navas, A; Wiest, B</t>
  </si>
  <si>
    <t>Navas, Andres; Wiest, Bert</t>
  </si>
  <si>
    <t>Nielsen-Thurston orders and the space of braid orderings</t>
  </si>
  <si>
    <t>BULLETIN OF THE LONDON MATHEMATICAL SOCIETY</t>
  </si>
  <si>
    <t>We study the topological space of left-orderings of the braid group, and its subspace of Nielsen-Thurston orderings. Our main result is that no Nielsen-Thurston ordering is isolated in the space of braid orderings. In the course of the proof, we classify the convex subgroups and calculate the Conradian soul for any Nielsen-Thurston ordering of B-n. We also prove that, for a large class of Nielsen-Thurston orderings, including all those of infinite type, a stronger result holds: they are approximated by their own conjugates. On the other hand, we suggest an example of a Nielsen-Thurston ordering that may not be approximated by its conjugates.</t>
  </si>
  <si>
    <t>Navas Flores, Andres Ignacio/0000-0002-0853-5136</t>
  </si>
  <si>
    <t>0024-6093</t>
  </si>
  <si>
    <t>1469-2120</t>
  </si>
  <si>
    <t>10.1112/blms/bdr027</t>
  </si>
  <si>
    <t>WOS:000294959100008</t>
  </si>
  <si>
    <t>Morales, MA; Martínez, A; Rayas, JA; Cordero, RR; Labbe, F</t>
  </si>
  <si>
    <t>Morales, M. Anguiano; Martinez, Arnalia; Rayas, J. A.; Cordero, Raul R.; Labbe, Fernando</t>
  </si>
  <si>
    <t>Uncertainty analysis of whole-field phase-differences retrieved from ESPI fringe patterns by using the Fourier transform method (FTM)</t>
  </si>
  <si>
    <t>OPTICS COMMUNICATIONS</t>
  </si>
  <si>
    <t>We have evaluated the uncertainty associated with the whole-field phase-differences retrieved by using the Fourier transform method (FTM), from a fringe pattern generated by electronic speckle pattern interferometry (ESPI). The phase-differences were induced by applying load to an elastic sample. The FTM involved the Fourier transform application to the fringe pattern, the isolation of the term carrying the phase information by applying a band-pass filter in the spatial frequency domain, and then the inverse Fourier transform application. Since the fringes in the analyzed pattern were adequately open, the FTM outcomes were presumed to be mainly affected by errors in the determination of both the width and the location of the applied filter mask. The influence of these error sources was assessed by using a Monte Carlo-based computer simulation. It implied evaluating the phase-differences a large number of times under the influence of the involved error sources. We found that the phase uncertainty depends strongly on the width of the applied filter mask; the influence of the other error sources considered into the uncertainty propagation was significantly smaller. (C) 2008 Elsevier B.V. All rights reserved.</t>
  </si>
  <si>
    <t>Cordero, Raul/M-7979-2017; Rayas, Juan/CAG-8266-2022</t>
  </si>
  <si>
    <t>Rayas, Juan Antonio/0000-0001-6809-2368; Cordero, Raul R./0000-0001-7607-7993</t>
  </si>
  <si>
    <t>0030-4018</t>
  </si>
  <si>
    <t>1873-0310</t>
  </si>
  <si>
    <t>10.1016/j.optcom.2008.10.072</t>
  </si>
  <si>
    <t>WOS:000263404400002</t>
  </si>
  <si>
    <t>Faini, F; Labbé, C; Delporte, C; Backhouse, N; Castro, C; Torres, R</t>
  </si>
  <si>
    <t>Faini, F.; Labbe, C.; Delporte, C.; Backhouse, N.; Castro, C.; Torres, R.</t>
  </si>
  <si>
    <t>Anti-inflammatory and antioxidant activities of Haplopappus taeda extracts</t>
  </si>
  <si>
    <t>7th Joint Meeting of the Association-Francophone-pour-l'Enselgnement-et-la-Recherche-en-Pharmacognosie/American-Society-of-Pharmacognosy/Society-for-Medicinal-Plant-Research/Phytochem-Society-of-Europe/Societa-Italiana-di-Fitochimica</t>
  </si>
  <si>
    <t>AUG 03-08, 2008</t>
  </si>
  <si>
    <t>Athens, GREECE</t>
  </si>
  <si>
    <t>Assoc Francophone Enseignement Rech Pharmacognosie,Amer Soc Pharmacognosy,Soc Medicinal Plant Res,Phytochem Soc Europe,Soc Italiana Fitochim</t>
  </si>
  <si>
    <t>WOS:000258261800233</t>
  </si>
  <si>
    <t>Tarride, MI; Zamorano, RA; Varela, SN; González, MJ</t>
  </si>
  <si>
    <t>Ivan Tarride, Mario; Ariel Zamorano, R.; Nicolas Varela, S.; Julia Gonzalez, M.</t>
  </si>
  <si>
    <t>Healthy organizations: toward a diagnostic method</t>
  </si>
  <si>
    <t>Purpose - The purpose of this paper is to propose, from the way in which an allopathic physician makes a diagnosis of a person's health, an organizational diagnosis metaphor that can contribute in the search for an increasingly more integral way of qualifying an organization as healthy. Design/methodology/approach - The methodological approach is essentially functional and is based on the cybernetics of W.R. Ashby with respect to the concept of a model and especially on iso- and homomorphisms. In this way, similarities are found between the behavior of the components observed by the physician in a person, according to his diagnostic guidelines, and the functioning of an organization. Findings - The paper finds that various authors recognize the value and power of the use of metaphors, following the spirit of L.V. Bertalanffy, in the search for a better understanding of the organizational phenomenon, particularly that of human health, including the definition of the World Health Organization, from which a way is proposed here to understand a healthy organization and a general model of organizational diagnosis. It is estimated that one of the most significant finding made so far is the need to formalize structurally dependencies meant to apply organizational awareness as a way of permanently reflecting on the organization, helping its members to distinguish what belongs to the person and what belongs to the emergent phenomenon called organization, a task that until now is done partially, considering only some actors and at some points in time. Strategic planning, coaching higher executives, and empowerment of employees have gone in that direction, but still show insufficient efforts. Research limitations/implications - The work done so far has consisted in the theoretical development of homomorphism and some applications about which it is not yet possible make a report because of their scarcity. However, this method of work has made it possible to refeed the initial model and make some adjustments according to the divergencies seen between the theoretical and the practical. Consequently, this is a proposal that requires discussion - the purpose of this communication - and further experimentation that may lead to its eventual validation. Practical implications - The proposal of a general model for making organizational diagnoses. Originality/value - Some degree of originality is considered with respect to known work, because the idea is to articulate a model having an integral character that allows an organization to be qualified as healthy, trying to go beyond partial views that attributed that condition to organizations that were seen from a particular perspective, such as the health of its workers or its economic-financial performance.</t>
  </si>
  <si>
    <t>1758-7883</t>
  </si>
  <si>
    <t>10.1108/03684920810884946</t>
  </si>
  <si>
    <t>WOS:000260044400005</t>
  </si>
  <si>
    <t>Ureta-Zañartu, MS; Alarcón, A; Muñoz, G; Gutiérrez, C</t>
  </si>
  <si>
    <t>Ureta-Zanartu, M. S.; Alarcon, A.; Munoz, G.; Gutierrez, C.</t>
  </si>
  <si>
    <t>Electrooxidation of methanol and ethylene glycol on gold and on gold modified with an electrodepo sited polyNiTSPc film</t>
  </si>
  <si>
    <t>The electrooxidation of methanol and ethylene glycol on An and on polynickettetrasulphophthalocyanine-modified gold (polyNiTSPc/Au/Q) electrodes in a pH I11 carbonatethydrogen carbonate buffer electrolyte was studied by cyclic voltammetry (CV) and with an electrochemical quartz crystal microbalance (EQCM). Au shows negligible activity for methanol oxidation, in agreement with the fact that methanol does not adsorb on Au, since it does not affect the potential at which the mass increase due to An oxidation starts. On the contrary, ethylene glycol (EG) is electrooxidized. on An at a significant rate, probably because it adsorbs rather strongly on Au, as evidenced by the positive shift by 0.35 V of the mass increase attending An monolayer oxidation. The polyNiTSPc-modified An electrodes are hydrophobic, as inferred from the disappearance of the large mass decrease in the double-layer region typical of the bare Au electrode, a decrease which is due to the desorption of the water molecules adsorbed at the negative potential limit. On the polyNiTSPc/Au/Q electrodes the current at the positive potential limit (at which only Ni(III) exists) of methanol oxidation, and the peak current of EG oxidation (at a potential at which only Ni(II) exists), show a Langmuir dependence on the concentration, which indicates that in both cases the reactive species are adsorbed, and that their oxidation rate is much lower than the adsorption rate. As is well known, the oxidation of Ni(II) to Ni(Ill) in the polyNiTSPc film is accompanied by a large mass decrease, due mostly to the expulsion of water from the film by the hydrophobic Ni(III). This mass decrease is independent of the scan rate, but in the presence of methanol or ethylene glycol it increases with increasing scan rate, which indicates that the oxidation of the alcohols involves a chemical reaction of the alcohols with Ni(III) ions, the extent of which decreases with increasing rate. Consequently, the amount of the hydrophobic Ni(III) will increase, and so will the mass loss. The mass decrease of Ni(II) oxidation decreases with increasing concentration of methanol or ethylene glycol, which again shows that there is a chemical reaction between the alcohols and Ni(III) ions, since the concentration of the latter would decrease with increasing alcohol concentration. (C) 2007 Elsevier Ltd. All rights reserved.</t>
  </si>
  <si>
    <t>10.1016/j.electacta.2007.06.055</t>
  </si>
  <si>
    <t>WOS:000250169800007</t>
  </si>
  <si>
    <t>Modak, B; Rojas, M; Torres, R; Rodilla, J; Luebert, F</t>
  </si>
  <si>
    <t>Modak, Brenda; Rojas, Macarena; Torres, Rene; Rodilla, Jess; Luebert, Federico</t>
  </si>
  <si>
    <t>Antioxidant activity of a new aromatic geranyl derivative of the resinous exudates from Heliotropium glutinosum Phil.</t>
  </si>
  <si>
    <t>Heliotropium glutinosum Phil. (Heliotropiceae) is a resinous bush that grows at a height of 2000 in in Chanaral, Chile. From the resinous exudates of Heliotropium glutinosum Phil. a new aromatic geranyl derivative: 4-methoxy-3-[(2)-7 '-methyl-3 ' hydroxymethyl-2 ',6 '-octadienyl] phenol (1) and three flavonoids: 5,3 '-dihydroxy-7,4 '-dimetboxyflavanone (2), 5,4 '-dihydroxy-7-methoxyfltvanone (3) and 4 '-acetyl-5-hydroxy-7-methoxyflavanone (4) were isolated and their structures were determined. Their antioxidant activity were evaluated using the bleaching of ABTS and DPPH derived cation radical methods and expressed in terms of FRE (fast reacting equivalents) and TRE (total reacting equivalents), where FRE is a good measure of the quick protection of a given compound against oxidants and TRE measures the degree of long-term protection of the antioxidant, or how effective it is against a strong oxidative stress.</t>
  </si>
  <si>
    <t>Rodilla, Jesus/H-8529-2019; Luebert, Federico/I-3246-2012</t>
  </si>
  <si>
    <t>Luebert, Federico/0000-0003-2251-4056; Rojas, Macarena/0000-0001-7243-4690; Lopez Rodilla, Jesus Miguel/0000-0001-6114-3572</t>
  </si>
  <si>
    <t>10.3390/12051057</t>
  </si>
  <si>
    <t>WOS:000247200900012</t>
  </si>
  <si>
    <t>Santis, N; Mendoza, F; Moyano, P; Pedreschi, F; Dejmek, P</t>
  </si>
  <si>
    <t>Santis, Nathalie; Mendoza, Fernando; Moyano, Pedro; Pedreschi, Franco; Dejmek, Petr</t>
  </si>
  <si>
    <t>Soaking in a NaCl solution produce paler potato chips</t>
  </si>
  <si>
    <t>Pairs of potato slices were blanched, soaked in a NaCl solution or water and fried. The originally adjoining faces of the chips were analysed for average L*a*b* color by digital photography and image analysis. Stepwise increases in blanching temperature (60, 65, 70, 75, 80 degrees C/5 min) gave rise to gradually darker chips above 65 degrees C, by a total of 9L* units (P = 0.001). Slices soaked after blanching in a 3% NaCl solution for 5 min were consistently paler by 5L* units (P = 0.0054) than those soaked in water only. Change in the concentration range 0.6-9% NaCl was found using one-tailed paired t-test, subsequent to blanching at 70 degrees C/5 min (P = 0.0125). (c) 2005 Published by Elsevier Ltd. on behalf of Swiss Society of Food Science and Technology.</t>
  </si>
  <si>
    <t>pedreschi, franco/F-8844-2013; Dejmek, Petr/B-5210-2008</t>
  </si>
  <si>
    <t>Dejmek, Petr/0000-0001-9170-2689; Mendoza, Fernando/0000-0001-6575-8590</t>
  </si>
  <si>
    <t>10.1016/j.lwt.2005.09.020</t>
  </si>
  <si>
    <t>WOS:000241664300017</t>
  </si>
  <si>
    <t>Mejía-López, J; Altbir, D; Romero, AH; Batlle, X; Roshchin, IV; Li, CP; Schuller, IK</t>
  </si>
  <si>
    <t>Mejia-Lopez, J.; Altbir, D.; Romero, A. H.; Batlle, X.; Roshchin, Igor V.; Li, Chang-Peng; Schuller, Ivan K.</t>
  </si>
  <si>
    <t>Vortex state and effect of anisotropy in sub-100-nm magnetic nanodots</t>
  </si>
  <si>
    <t>JOURNAL OF APPLIED PHYSICS</t>
  </si>
  <si>
    <t>Magnetic properties of Fe nanodots are simulated using a scaling technique and Monte Carlo method, in good agreement with experimental results. For the 20-nm-thick dots with diameters larger than 60 nm, the magnetization reversal via vortex state is observed. The role of magnetic interaction between dots in arrays in the reversal process is studied as a function of nanometric center-to-center distance. When this distance is more than twice the dot diameter, the interaction can be neglected and the magnetic properties of the entire array are determined by the magnetic configuration of the individual dots. The effect of crystalline anisotropy on the vortex state is investigated. For arrays of noninteracting dots, the anisotropy strongly affects the vortex nucleation field and coercivity, and only slightly affects the vortex annihilation field. (c) 2006 American Institute of Physics.</t>
  </si>
  <si>
    <t>Schuller, Ivan/B-3162-2013; Roshchin, Igor/I-5162-2012; Batlle, Xavier/H-5795-2012; Altbir, Dora/R-6781-2018; romero, aldo/B-2344-2016; Mejia-Lopez, Jose/T-6773-2017</t>
  </si>
  <si>
    <t>Batlle, Xavier/0000-0001-7897-2692; Altbir, Dora/0000-0002-2945-4909; romero, aldo/0000-0001-5968-0571; Mejia-Lopez, Jose/0000-0003-0301-3408</t>
  </si>
  <si>
    <t>0021-8979</t>
  </si>
  <si>
    <t>1089-7550</t>
  </si>
  <si>
    <t>10.1063/1.2364599</t>
  </si>
  <si>
    <t>WOS:000242408000092</t>
  </si>
  <si>
    <t>Ureta-Zañartu, MS; Alarcón, A; Berríos, C; Cárdenas-Jirón, GI; Zagal, J; Gutierrez, C</t>
  </si>
  <si>
    <t>Electropreparation and characterization of polyNiTSPc films.: An EQCM study</t>
  </si>
  <si>
    <t>Thin films of polyNi(II)tetrasulfophthalocyanine (polyNiTSPc) electrodeposited on a gold electrode by potential cycling in 0.1 M NaOH solutions containing 1 mM Ni(II) tetrasulfophthalocyanine were studied by cyclic voltammetry, electrochemical quartz crystal microbalance and impedance techniques. Both the mass increase due to the electrodeposited film, and the current of the Ni(II)/Ni(III) process in the film, increase monotonically with the number of electrodeposition cycles, a linear correlation existing between these two parameters. AFM micrographs show that the film is rugose and porous, this porosity being confirmed by the fact that the voltammetric features of gold oxide formation and reduction are unaffected by the film. The cyclic voltammogram of the film in a pH 11 carbonate-hydrogencarbon ate buffer shows the characteristic anodic and cathodic peaks of the Ni(II) double left right arrow Ni(III) process, with a large mass decrease upon Ni(II) electrooxidation and an equally large mass increase upon Ni(III) electroreduction. The sign of the mass change is compatible with a beta-Ni(OH)(2)-character of the film. The large slopes of the plots of mass change vs. charge in the Ni(II)/Ni(III) region clearly show that large fluxes of water and/or ions accompany the electron transfer. The fairly low activation energy of Ni(II) electrooxidation, 38 U mol(-1), is in agreement with the moderately non-Nernstian behaviour of the Ni(II)/Ni(III) process. The super-Nernstian dependence on pH of the peak potentials of the Ni(II)/Ni(III) process indicates that the species involved are non-stoichiometric, similarly to the Nit-xHx(OH)(2) species in nickel hydroxide. (c) 2005 Elsevier B.V. All rights reserved.</t>
  </si>
  <si>
    <t>Ureta-Zañartu, Maria/G-5239-2019; zagal, jose/L-9648-2014; Cardenas-Jiron, Gloria/H-9508-2012</t>
  </si>
  <si>
    <t>1572-6657</t>
  </si>
  <si>
    <t>1873-2569</t>
  </si>
  <si>
    <t>JUN 15</t>
  </si>
  <si>
    <t>10.1016/j.jelechem.2005.03.020</t>
  </si>
  <si>
    <t>WOS:000229512700012</t>
  </si>
  <si>
    <t>Azócar, MI; Mikelsons, L; Ferraudi, G; Moya, S; Guerrero, J; Aguirre, P; Martinez, C</t>
  </si>
  <si>
    <t>Intramolecular redox processes induced in biquinoline-centered and metal to ligand charge transfer excited states of Ru(II)-(4,4′-bipyridine)-Re(I)- and Ru(II)-(pyrazine)-Re(I)-containing dyads</t>
  </si>
  <si>
    <t>ORGANOMETALLICS</t>
  </si>
  <si>
    <t>The photochemical and photophysical properties of the (CO)(3)(biq)Re-I(4,4'-bipy)Ru-II(biq)(CO)(2)Cl2+ and (CO)(3)(biq)Re-I(pz)Ru-II(biq)(CO)(2)Cl2+ dyads and the monometallic compounds Re-I(biq)(CO)(3)(4,4'-bipy)(+), Re-I(biq)(CO)(3)(Pz)(+), and Ru-II(biq)(CO)(2)Cl-2 have been investigated. Deaerated solutions of these compounds were irradiated at wavelengths between similar to350 and 532 nm. Intraligand, biq-centered, excited states decay by populating Re(I) to biq charge transfer excited states. In the dyads, the Re(I) to biq charge transfer excited states decay by radiative/radiationless relaxation pathways and by forming reaction intermediates. Oxidants and reductants reacted with these intermediates. The Ru(II) to biq charge transfer excited state, 3MLCT(RU(11)--&gt;biq), could not be observed in a time domain t greater than or equal to 5 ns, and the transfer of energy from the (MLCTRe(I)--&gt;biq)-M-3 to the Ru(II) moiety is an inefficient process.</t>
  </si>
  <si>
    <t>Azocar, Manuel/I-1226-2013; Moya, Sergio/I-1446-2015</t>
  </si>
  <si>
    <t>Azocar Guzman, Manuel/0000-0003-1098-4659</t>
  </si>
  <si>
    <t>0276-7333</t>
  </si>
  <si>
    <t>1520-6041</t>
  </si>
  <si>
    <t>DEC 6</t>
  </si>
  <si>
    <t>10.1021/om040072p</t>
  </si>
  <si>
    <t>WOS:000225456000016</t>
  </si>
  <si>
    <t>Octaviano, ES; Ardila, DR; Andrade, LHC; Li, MS; Andreeta, JP</t>
  </si>
  <si>
    <t>Growth and evaluation of lanthanoids orthoniobates single crystals processed by a miniature pedestal growth technique</t>
  </si>
  <si>
    <t>CRYSTAL RESEARCH AND TECHNOLOGY</t>
  </si>
  <si>
    <t>International School on Crystal Growth, Characterization and Applications</t>
  </si>
  <si>
    <t>DEC 09-13, 2003</t>
  </si>
  <si>
    <t>La Pedrera, URUGUAY</t>
  </si>
  <si>
    <t>Int Union Crystallog,UNESCO,Inst Kristallzucht,Univ Republic, Uruguay, Sci Res Commiss</t>
  </si>
  <si>
    <t>Optimized conditions for the growth of lanthanoids orthoniobates (LnNbO(4), Ln = lanthanide elements) single crystal minirods by a floating zone technique were investigated. Adequate atmospheres and pulling to feeding speed ratios to grow these materials were determined. Emphasis is given to the study of LaNbO4 because of their more favorable growth conditions and crystalline quality. This material can be efficiently doped with rare earth elements such as erbium. It grows with high crystallinity and its preferential growth direction is [110]. A preliminary evaluation of optical properties of Er3+-doped LaNbO4 single crystal under the Judd-Ofelt formalism indicates spectral parameters R close and even larger than for Er3+ ions in YVO4. (C) 2004 WILEY-VCH Vertag GmbH &amp; Co. KGaA, Weinheim.</t>
  </si>
  <si>
    <t>Andrade, Luis/AAS-4839-2020; Ardila, D./Q-2557-2015; Siu Li, Maximo/I-5757-2012; Andrade, Luis Humberto/G-6471-2014; Andrade, Luis/C-3157-2013</t>
  </si>
  <si>
    <t>Siu Li, Maximo/0000-0001-7277-4126; Andrade, Luis Humberto/0000-0002-2644-4801; Andrade, Luis/0000-0001-7442-2554</t>
  </si>
  <si>
    <t>0232-1300</t>
  </si>
  <si>
    <t>1521-4079</t>
  </si>
  <si>
    <t>10.1002/crat.200410266</t>
  </si>
  <si>
    <t>WOS:000224399900006</t>
  </si>
  <si>
    <t>Klimov, AB; Guzmán, R; Retamal, JC; Saavedra, C</t>
  </si>
  <si>
    <t>Qutrit quantum computer with trapped ions -: art. no. 062313</t>
  </si>
  <si>
    <t>We study the physical implementation of a qutrit quantum computer in the context of trapped ions. Qutrits are defined in terms of electronic levels of trapped ions. We concentrate our attention on a universal two-qutrit gate, which corresponds to a controlled-NOT gate between qutrits. Using this gate and a general gate of an individual qutrit, any gate can be decomposed into a sequence of these gates. In particular, we show how this works for performing the quantum Fourier transform for n qutrits.</t>
  </si>
  <si>
    <t>Saavedra, Carlos/C-4262-2008; Retamal, Juan/G-6425-2010; Klimov, Andrei/I-5785-2015</t>
  </si>
  <si>
    <t>Klimov, Andrei/0000-0001-8493-721X; Saavedra, Carlos/0000-0003-3156-3853; Retamal Abarzua, Juan Carlos/0000-0002-7174-7879</t>
  </si>
  <si>
    <t>10.1103/PhysRevA.67.062313</t>
  </si>
  <si>
    <t>WOS:000183915200042</t>
  </si>
  <si>
    <t>Jabalquinto, AM; Laivenieks, M; Cabezas, M; Zeikus, JG; Cardemil, E</t>
  </si>
  <si>
    <t>The effect of active site mutations in the oxaloacetate decarboxylase and pyruvate kinase-like activities of Anaerobiospirillum succiniciproducens phosphoenolpyruvate carboxykinase</t>
  </si>
  <si>
    <t>Anaerobiospirillum succiniciproducens His225Gln, Asp262Asn, Asp263Asn, and Thr249Asn phosphoenolpyruvate carboxykinases were analyzed for their oxaloacetate decarboxylase, and pyruvate kinase-like activities. The His225Gln and Asp263Asn enzymes showed increased K-m values for Mn2+ and PEP compared with the native enzyme, suggesting a role of His(225) and Asp(263) in Mn2+ and PEP binding. No mayor alterations in K-m values for oxaloacetate were detected for the varied enzymes. Alterations of His(225), Asp(262), Asp(263), or Thr(249), however, did not affect the V-max of the secondary activities as much as they affected the V-max for the main reaction. The results presented in this communication suggest different rate-limiting steps for the primary reaction and the secondary activities.</t>
  </si>
  <si>
    <t>10.1023/A:1021342918955</t>
  </si>
  <si>
    <t>WOS:000179642200002</t>
  </si>
  <si>
    <t>Gobbi, M; Moia, M; Pirona, L; Ceglia, I; Reyes-Parada, M; Scorza, C; Mennini, T</t>
  </si>
  <si>
    <t>p-Methylthioamphetamine and 1-(m-chlorophenyl)piperazine, two non-neurotoxic 5-HT releasers in vivo, differ from neurotoxic amphetamine derivatives in their mode of action at 5-HT nerve endings in vitro</t>
  </si>
  <si>
    <t>JOURNAL OF NEUROCHEMISTRY</t>
  </si>
  <si>
    <t>The mechanism underlying the serotoninergic neurotoxicity of some amphetamine derivatives, such as p -chloroamphetamine (pCA) and 3,4-methylenedioxymethamphetamine (MDMA), is still debated. Their main acute effect, serotonin (5-HT) release from nerve endings, involves their interaction with 5-HT transporters (SERTs), as substrates. Although this interaction is required for the neurotoxic effects, 5-HT release alone may not be sufficient to induce long-term 5-HT deficits. Some non-neurotoxic compounds, including p -methylthioamphetamine (MTA) and 1-(m-chlorophenyl)piperazine (mCPP), have 5-HT releasing properties in vivo and in brain slices comparable to that of neurotoxic amphetamine derivatives. We measured 5-HT release in superfused rat brain synaptosomes preloaded with [H-3]5-HT, a model that distinguishes a releasing effect from reuptake inhibition. MTA and mCPP induced much lower release than pCA and MDMA. The striking difference between our findings in synaptosomes and those obtained in vivo or in brain slices is probably related to a different compartmentalisation of 5-HT in the different experimental models. Studies in synaptosomes, where the vesicular storage of 5-HT is predominant, could therefore bring to light differences between neurotoxic and non-neurotoxic 5-HT releasing agents which cannot be appreciated in other experimental models and might be useful to identify the mechanisms responsible for the neurotoxicity induced by amphetamine derivatives.</t>
  </si>
  <si>
    <t>Scorza, Fulvio/C-7048-2013; Gobbi, Marco/J-2638-2016</t>
  </si>
  <si>
    <t>Ceglia, Ilaria/0000-0003-0692-9518; Gobbi, Marco/0000-0003-1014-6225</t>
  </si>
  <si>
    <t>0022-3042</t>
  </si>
  <si>
    <t>1471-4159</t>
  </si>
  <si>
    <t>10.1046/j.1471-4159.2002.01073.x</t>
  </si>
  <si>
    <t>WOS:000177790000013</t>
  </si>
  <si>
    <t>Cataldo, M; Cruz, N; del Campo, S; Lepe, S</t>
  </si>
  <si>
    <t>Holographic principle and the dominant energy condition for Kasner type metrics</t>
  </si>
  <si>
    <t>In this Letter we study adiabatic anisotropic matter filled Bianchi type I models of the Kasner form together with the cosmological holographic bound. We find that the dominant energy condition and the holographic bound give precisely the same constraint on the scale factor parameters that appear in the metric. (C) 2001 Elsevier Science B.V. All rights reserved.</t>
  </si>
  <si>
    <t>JUN 7</t>
  </si>
  <si>
    <t>10.1016/S0370-2693(01)00490-7</t>
  </si>
  <si>
    <t>WOS:000169426200018</t>
  </si>
  <si>
    <t>Jabalquinto, AM; Laivenieks, M; Zeikus, JG; Cardemil, E</t>
  </si>
  <si>
    <t>Characterization of the oxaloacetate decarboxylase and pyruvate kinase-like activities of Saccharomyces cerevisiae and Anaerobiospirillum succiniciproducens phosphoenolpyruvate carboxykinases</t>
  </si>
  <si>
    <t>Two members of the ATP-dependent class of phosphoenolpyruvate carboxykinases (PEPCKs) (Saccharomyces cerevisiae and Anaerobiospirillum succiniciproducens) have been comparatively studied with regard to their oxaloacetate (OAA) decarboxylase and pyruvate kinase-like activities. The pyruvate kinase-like activities were dependent on the presence of Mn2+; at the same concentrations Mg2+ was not effective. These activities were synergistically activated by a combination of both metal ions. V-max, for these activities in A. succiniciproducens and S. cerevisiae PEPCKs was 0.13% and 1.2% that of the principal reaction, respectively. The OAA decarboxylase activity was nucleotide independent and, with decreasing order of effectiveness, these activities were supported by Mn2+ and Mg2+. AMP is an activator of these reactions. V-max for the OAA decarboxylase activities in A. succiniciproducens and S. cerevisiae PEPCKs was 4% and 0.2% that of the PEP-forming reaction, respectively.</t>
  </si>
  <si>
    <t>10.1023/A:1020602222808</t>
  </si>
  <si>
    <t>WOS:000084249200005</t>
  </si>
  <si>
    <t>Gaete-Garreton, L; Hernandez, YV; Montoya-Vitini, F; Juarez, JAG</t>
  </si>
  <si>
    <t>A simple non-linear technique for secondary calibration of ultrasonic probes</t>
  </si>
  <si>
    <t>SENSORS AND ACTUATORS A-PHYSICAL</t>
  </si>
  <si>
    <t>This paper presents a method for frequency-response evaluation of ultrasonic probes in air. It mainly consists of propagating a non-linear plane acoustic wave in a waveguide and in measuring its harmonics content by alternately using a reference probe and the probe to be calibrated. From the comparison between both measurements, the sensitivity of the unknown probe can be determined over a wide frequency band. The principal advantages of this method are the simplicity of the experimental set-up and the rapidity in the determination of the probe sensitivity for a certain number of frequencies. The method has been implemented for the frequency range of approximately 20 to 190 kHz in an air-filled tube. (C) 1998 Elsevier Science S.A. All rights reserved.</t>
  </si>
  <si>
    <t>; Montoya, Fausto/L-5962-2014</t>
  </si>
  <si>
    <t>Gaete-Garreton, Luis/0000-0002-2234-8783; Montoya, Fausto/0000-0002-8817-8705</t>
  </si>
  <si>
    <t>0924-4247</t>
  </si>
  <si>
    <t>JUN 30</t>
  </si>
  <si>
    <t>10.1016/S0924-4247(97)01757-3</t>
  </si>
  <si>
    <t>WOS:000074516700013</t>
  </si>
  <si>
    <t>VALDIVIESO, A; ARANEDA, O; CHERNILO, B; DOWNEY, P; ESCOBAR, J; GONZALEZ, M; JAIMOVICH, E; LISSI, E; MARTINEZ, R; SANTANA, R; WHITE, A; TOBAR, MC; BEHN, C</t>
  </si>
  <si>
    <t>RENAL-FUNCTION AS RELATED TO OXIDATIVE STRESS DURING MARATHON RUNNING</t>
  </si>
  <si>
    <t>JOURNAL OF THE AMERICAN SOCIETY OF NEPHROLOGY</t>
  </si>
  <si>
    <t>Jaimovich, Enrique/AAY-7632-2020</t>
  </si>
  <si>
    <t>1046-6673</t>
  </si>
  <si>
    <t>WOS:A1995RX68600705</t>
  </si>
  <si>
    <t>FOUASSIER, JP; JACQUES, P; ENCINAS, MV</t>
  </si>
  <si>
    <t>SOLVENT EFFECTS ON THE THIOXANTHONE TRIPLET QUENCHING BY VINYL MONOMERS</t>
  </si>
  <si>
    <t>10.1016/0009-2614(88)87277-4</t>
  </si>
  <si>
    <t>WOS:A1988P307800008</t>
  </si>
  <si>
    <t>de Oliveira, MR; Lourett, ETD; da Mata, AMM; Martins, MF; Palma, FHS; de Moura, BF</t>
  </si>
  <si>
    <t>de Oliveira, Marciellyo Ribeiro; Lourett, Eron Talisson Dias; da Mata, Adriana Machado Malafaia; Martins, Marcio Ferreira; Palma, Francisco Hernan Sepulveda; de Moura, Bruno Furtado</t>
  </si>
  <si>
    <t>Bulk resistance and contact impedance: Particular solution for annulus, homogeneous domain and dimensional analysis of the complete electrode model</t>
  </si>
  <si>
    <t>MEASUREMENT</t>
  </si>
  <si>
    <t>Viewing the complexity of multiphase flows, in which multi -dimensional and time-changing fluid structures, known as flow patterns, must be captured, electrical impedance tomography (EIT) stands out as an alternative for fluid flow visualization. Using an EIT system, this study presents an enhanced approach for measuring film thickness in two-phase flows. Incorporating bulk resistance and contact impedance contributions, the proposed ohmic model significantly improves accuracy, particularly in low-conductivity scenarios, yielding a robust, accurate, and rapid technique for obtaining images from an EIT-based low-cost acquisition system. Tomographic experiments validate the model's efficacy using cylindrical sensors and diverse conductivity mediums, including two distinct phantoms. The dimensional analysis of the model yields five dimensionless numbers, revealing interrelations between electrical parameters and sensor construction. A correlation based on a dimensionless number for the contact impedance is obtained. Additionally, the experiments demonstrate a strong interplay with the polarization phenomenon.</t>
  </si>
  <si>
    <t>Sepúlveda, Francesca/AAW-8092-2021; Ribeiro de Oliveira, Marciellyo/HHS-2589-2022; de Moura, Bruno/AAT-7554-2021; Ferreia Martins, Marcio/T-5321-2017</t>
  </si>
  <si>
    <t>Sepulveda Palma, Francisco Hernan/0000-0002-1930-3859; de Moura, Bruno Furtado/0000-0003-1912-3732; Ferreia Martins, Marcio/0000-0002-3023-222X</t>
  </si>
  <si>
    <t>0263-2241</t>
  </si>
  <si>
    <t>1873-412X</t>
  </si>
  <si>
    <t>10.1016/j.measurement.2024.114932</t>
  </si>
  <si>
    <t>WOS:001249557100001</t>
  </si>
  <si>
    <t>Harvey-Valdés, H; Rivas, AS</t>
  </si>
  <si>
    <t>Harvey-Valdes, Hugo; Rivas, Alvaro Sierra</t>
  </si>
  <si>
    <t>The international political thought of Ambassador Alejandro Magnet and the Dominican crisis of 1965: A New from Chile</t>
  </si>
  <si>
    <t>IZQUIERDAS</t>
  </si>
  <si>
    <t>The evolution of Alejandro Magnet's international political thought is examined, shifting from an anti -communist and pro -American stance reflected in his international analyses for Mensaje magazine from 1960 to 1962, to an antagonistic perspective towards the United States and alignment with the Dominican &lt;&lt; constitutionalist &gt;&gt; movement, documented in his reports as Representative of Chile to the OAS during the American intervention in the Dominican Republic in 1965.</t>
  </si>
  <si>
    <t>0718-5049</t>
  </si>
  <si>
    <t>WOS:001242657500003</t>
  </si>
  <si>
    <t>Herrera-Seda, C; Alarcón, CC; Ugalde, RF</t>
  </si>
  <si>
    <t>Herrera-Seda, Constanza; Alarcon, Constanza Cardenas; Ugalde, Rocio Fernandez</t>
  </si>
  <si>
    <t>TOWARDS THE HEART OF TEACHER LEADERSHIP: COLLABORATION EXPERIENCES IN TIMES OF COVID-19</t>
  </si>
  <si>
    <t>Teacher Leadership has received attention from educational research due to its relevance for school improvement. Even without agreement on its definition, its collective nature has been emphasised and considered its highly context -dependent. Therefore, expanding teacher leadership conceptualisation is necessary. Using the lens of teachers' work, we propose to enrich the teacher leadership definition by focusing on collaboration. With this aim, we characterised teacher collaboration during the pandemic in five Chilean schools, following the following questions: How did the work between teachers occur during the COVID-19 crisis school closures? What tensions did teacher collaboration experience as teachers sought to mobilize change in their diverse contexts? How can analysis of teachers' collaboration experiences contribute to broadening perspectives on teacher leadership? A mixed convergent -parallel design was used to conduct the research, which allowed for a deeper understanding of the teaching initiatives and the context in which they took place. The research involved five schools in Santiago de Chile with different dependencies (public, private, and subsidised), and primary and secondary teachers of different disciplines participated in each institution. An individual questionnaire registers collective initiatives of change led by teachers, and a group interview provides a general landscape of work during the crisis. Data processing included qualitative content analysis and the construction of epistemic networks with the information provided by the questionnaire, as well as thematic analysis of the interviews. The findings showed various collective initiatives developed collectively, mainly for crisis adaption and, to a lesser extent, mobilising profound transformations. Teachers' initiatives enabled them to learn from each other, reorganise their work, support and care for each other, diversify teaching and promote learning, maintain and strengthen links with students and their families, and rethink the curriculum and education. On the other hand, we identified several tensions in collaboration between teachers, including that teacher -led initiatives in a school are related to the material conditions and demand for formal spaces for joint work. Likewise, we observe that recognising the value of teaching work, constructing a democratic work culture, and teacher autonomy are fundamental elements for teachers to become involved in change processes. Finally, we described the contributions of teachers' collaboration experiences to broaden perspectives on teacher leadership. In this regard, we highlight that placing collaboration at the heart of leadership challenges us to delve deeper into the affective dimension of teachers' work and to understand the intended and unintended change processes. Also, these experiences showed the interweaving of the dimensions of work, collaboration and teacher leadership. Intertwining these categories invites us to establish conceptual bridges and explore new methodological paths that allow us to rethink leadership and collaboration in different educational contexts in which they emerge.</t>
  </si>
  <si>
    <t>Cardenas Alarcon, Constanza/0000-0002-6267-5404; Fernandez Ugalde, Rocio/0000-0003-4991-8034</t>
  </si>
  <si>
    <t>10.4151/07189729-Vol.63-Iss.1-Art.1512</t>
  </si>
  <si>
    <t>WOS:001249338600008</t>
  </si>
  <si>
    <t>Behzad, M; Abello-Passteni, V; Labayru, JTV; Ramírez, PM</t>
  </si>
  <si>
    <t>Behzad, Masoud; Abello-Passteni, Valentina; Labayru, Jose Tomas Videla; Ramirez, Patricia Martinez</t>
  </si>
  <si>
    <t>Developing an assessment model for uncovering potential synergies of regional industrial symbiosis: A case study of Valparaiso region, Chile</t>
  </si>
  <si>
    <t>Waste management is considered as one of the main challenges of policy makers. In regional scale, industrial waste affects waste management planning as it requires strict policy control and implementation. Industrial symbiosis is known as a potential solution to reduce the volume of dumping waste by introducing the waste to input resources of the companies. This study contributes on developing a methodical framework on quantifying and ranking the synergy potential of symbiosis between companies in the industrial sector of Valparaiso region since it hosts major industrial activities in the central zone of Chile. The proposed methodology includes a wasteto -resource complementary arrangement which merges the waste database declared by the Chilean government with potential generation of new alternative resources and corresponding recipients. This methodology suggests two indicators to calculate the potential synergies: (1) number of connections between companies; (2) accumulated weight of waste -to -resource materials between companies. In total, 9582 connections and 62, 781, 963 tons of accumulated waste to resource materials between companies were identified in 5 territorial clusters. The results present a comparative basis of internal and external potential synergies identifying the pros and cons of each regional cluster. The assessment model developed for the Valparaiso region can be adapted to other regions in Chile or worldwide to quantify and rank the potential synergies to promote industrial symbiosis towards sustainable environment in macro scales.</t>
  </si>
  <si>
    <t>Behzad, Masoud/0000-0002-5389-9318</t>
  </si>
  <si>
    <t>10.1016/j.jclepro.2024.141245</t>
  </si>
  <si>
    <t>WOS:001187887500001</t>
  </si>
  <si>
    <t>Skewes, JC; Vota, SS; Faba, P</t>
  </si>
  <si>
    <t>Skewes, Juan Carlos; Vota, Silvina Sosa; Faba, Paulina</t>
  </si>
  <si>
    <t>A contested invention at the start of the Cold War: Uncle Sam, progress and identities under the gaze of Topaze in 1951</t>
  </si>
  <si>
    <t>SI SOMOS AMERICANOS-REVISTA DE ESTUDIOS TRANSFRONTERIZOS</t>
  </si>
  <si>
    <t>At the start of the Cold War, the Chilean magazine Topaze condemned American interventionism in terms of economic, educational and foreign policy matters. The magazine's cartoons and articles represented an anti-imperialist approach in the context of Chilean magazines published in 1951, which generally legitimised the Western and North American political order, values and way of life. Patriotism resurfaces in this publication in order to condemn the Yankee presence, founded on the basis of Chile's heritage and wealth of natural resources. Consequently, the country's citizens are assured a place within a project of national identity. In the analysis of the magazine's contents, three aspects of social sovereignty can be identified that are linked to the popular susceptibility of its editorial line: political, economic and cultural. These formed the basis for articulating a sense of identity, which was created as a way of contesting neighbouring countries, North American capital and the hegemony of a foreign educational model. Without undermining or challenging social hierarchies, the magazine recognises popular culture as the repository of the nation's moral compass. The presence of Uncle Sam thus contributes to the creation of national unity, in the context of deepening the contradictions generated within a process of modernisation.</t>
  </si>
  <si>
    <t>Skewes, Juan/ACY-4666-2022; Shuttera, Alejandro/KBQ-3146-2024</t>
  </si>
  <si>
    <t>0718-2910</t>
  </si>
  <si>
    <t>0719-0948</t>
  </si>
  <si>
    <t>10.61303/07190948.v24i.1138</t>
  </si>
  <si>
    <t>WOS:001334779200001</t>
  </si>
  <si>
    <t>Jaime, D; Martínez, P; Contreras, D; Bonacic, C; Marín, M</t>
  </si>
  <si>
    <t>Jaime, Daniela; Martinez, Pablo; Contreras, Daniela; Bonacic, Carolina; Marin, Mauricio</t>
  </si>
  <si>
    <t>Volunteers' capabilities and their perceived satisfaction and performance in volunteering tasks during socio-natural disasters</t>
  </si>
  <si>
    <t>INTERNATIONAL JOURNAL OF DISASTER RISK REDUCTION</t>
  </si>
  <si>
    <t>Volunteers can be a valuable human resource for disaster risk management. In the aftermath of natural hazard events affecting vulnerable communities, there are many situations where there is an urgent need to properly match volunteers to volunteering tasks in order to fully harness their capabilities. Our study explores the relationships between volunteers' capabilities and their per-ceived satisfaction and performance in conducting volunteering tasks. We carried out a cross-sectional study recruiting a convenience sample of 170 volunteers (spontaneous and affiliated volunteers) who previously participated performing volunteering tasks during socio-natural dis -asters in Chile. We collected information on sociodemographics, experience in volunteering ac-tivities, capabilities (i.e. competencies and relatively stable psychological attributes), and per-ceived satisfaction and performance in volunteering tasks. Predictive models based on stepwise logistic regressions were fitted, with areas under the receiver operating characteristics curve (AUC) being estimated to assess the discrimination capacity of the predictive models. A heteroge-neous set of sociodemographic characteristics, experiences in volunteering activities, and capa-bilities were statistically significant predictors for each of the assessed volunteering tasks. Most of the predictive models had an adequate discriminatory capacity (AUC &gt;0.70), with models pre-dicting performance (AUC &gt;0.80) exhibiting the best discriminatory capacity. Knowledge of vol-unteering tasks - a competency - was the most consistent predictor of perceived satisfaction and performance in volunteering tasks. Our findings are a step forward in matching volunteers to vol-unteering tasks during emergencies from socio-natural disasters. In addition, some of the ob-served characteristics (e.g. knowledge) could be trained to improve volunteers' satisfaction and performance.</t>
  </si>
  <si>
    <t>Marin, Mauricio/GLR-7700-2022; Martínez, Pablo/LZF-5853-2025</t>
  </si>
  <si>
    <t>Marin, Mauricio/0000-0003-0662-7149</t>
  </si>
  <si>
    <t>2212-4209</t>
  </si>
  <si>
    <t>10.1016/j.ijdrr.2022.103510</t>
  </si>
  <si>
    <t>WOS:000915883000001</t>
  </si>
  <si>
    <t>Silva, H; Romero, M; Bedregal, P; Fernández, N; Schulin-Zeuthen, J</t>
  </si>
  <si>
    <t>Silva R, Helga; Romero M, Maximiliano; Bedregal G, Paula; Fernandez B, Nicolas; Schulin-Zeuthen F, Josephine</t>
  </si>
  <si>
    <t>Paternal-fetal attachment from the maternal perspective</t>
  </si>
  <si>
    <t>ANDES PEDIATRICA</t>
  </si>
  <si>
    <t>The study of Paternal-fetal attachment is a recent research area, which has become relevant due to its correlation with the postnatal paternal bond and its impact on the cognitive and socio-emotional development of the child. Objective: to characterize Paternal-fetal attachment, based on maternal perspective, in puerperal women treated in a public hospital in the Metropolitan Region. Subjects and Method: A cross-sectional observational study was carried out. Hospitalized puerperal women were interviewed by applying a questionnaire with sociodemographic variables of both parents. In addition, the Paternal-fetal attachment Scale from the maternal perspective was applied, previously adapted and validated. A descriptive and association analysis was performed to determine the behavior of the link indicator with respect to the sociodemographic variables. Results: The mean Paternal-fetal attachment score from the maternal perspective was 41.5 (range 10-50), which is significantly higher in cases where parents live together, the couple's relationship is longer than two years, and in planned and controlled pregnancies before twelve weeks. There were no differences in the Paternal-fetal attachment score from the maternal perspective in relation to the number of children, nationality, or educational level. Discussion: The Paternal-fetal attachment is mainly determined by characteristics of the parental relationship and not by the individual characteristics of the parents, therefore, the attachment must be seen from the triad.</t>
  </si>
  <si>
    <t>2452-6053</t>
  </si>
  <si>
    <t>10.32641/andespediatr.v93i3.3840</t>
  </si>
  <si>
    <t>WOS:000864013800005</t>
  </si>
  <si>
    <t>Herrera, MS; Galkuté, M; Fernández, MB; Elgueta, R</t>
  </si>
  <si>
    <t>Soledad Herrera, M.; Galkute, Milda; Beatriz Fernandez, M.; Elgueta, Raul</t>
  </si>
  <si>
    <t>Grandparent-grandchild relationships, generativity, subjective well-being and self-rated health of older people in Chile</t>
  </si>
  <si>
    <t>SOCIAL SCIENCE &amp; MEDICINE</t>
  </si>
  <si>
    <t>With increasing life expectancy, grandparents and grandchildren have more years available to share. Further-more, with lower fertility rates and fewer grandchildren, relationships can be more frequent and profound. Intergenerational relationships are expected to be associated with older people's quality of life, especially in Latin American countries such as Chile, with high intergenerational co-residence and contact between genera-tions. This research aims to analyze the associations between the characteristics of intergenerational relation-ships and grandparents' subjective well-being (Diener Scale and Satisfaction) and self-rated health. The novelty stems from including the structural characteristics of relationships with grandchildren (frequency of contact, closeness, and care), the activities they share (generativity), and the quality of relationships (ambivalence). This study is based on data from a specific face-to-face grandparenting survey conducted on a sample of 464 grandparents in January 2020. It is representative of older Chilean grandparents living in private dwellings. Multiple logistic and ordinary regression models were estimated using the Diener Scale, unique satisfaction question, and health self-perception. The results demonstrated that subjective well-being, but not self-rated health, was highly associated with the characteristics of intergenerational relationships, especially with the quality of relationships and with generative activities such as recreational activities and family identity. In conclusion, intergenerational relationships' quality and content are strongly associated with subjective well- being in old age, but not with health self-perception. Even in a Latin American country like Chile, with high co-residence and intergenerational contact, the variations in quality and generativity activities significantly explain the variations in subjective well-being. For this reason, policies for the promotion of well-being in older people must consider the family environment in which older people live, encompassing wider family networks, including grandchildren.</t>
  </si>
  <si>
    <t>Sjöberg, Marcela/HTR-0309-2023</t>
  </si>
  <si>
    <t>Fernandez Lorca, M.Beatriz/0000-0001-5400-3168; Herrera, M. Soledad/0000-0001-5178-806X</t>
  </si>
  <si>
    <t>0277-9536</t>
  </si>
  <si>
    <t>1873-5347</t>
  </si>
  <si>
    <t>10.1016/j.socscimed.2022.114786</t>
  </si>
  <si>
    <t>WOS:000805791200017</t>
  </si>
  <si>
    <t>Abejón, R; Moya, L</t>
  </si>
  <si>
    <t>Abejon, Ricardo; Moya, Laura</t>
  </si>
  <si>
    <t>Cross-laminated timber: Perspectives from a bibliometric analysis (2006-2018)</t>
  </si>
  <si>
    <t>WOOD MATERIAL SCIENCE &amp; ENGINEERING</t>
  </si>
  <si>
    <t>A bibliometric analysis of the Scopus database was performed to identify research trends related to cross-laminated timber (CLT) from 2006, when the earliest publication was found, to 2018. The analysis revealed a rapidly increasing number of annual publications, great contribution of conference papers to the total scientific production regarding this topic, a high degree of transdisciplinary collaboration, and a particularly remarkable contribution by Canada and Italy. The applied bibliometric network analysis was useful to determine the strategic diagram of topic clusters and their evolution through time. Number of cited papers and analysis of frequent keywords provided insight to identify the most relevant research topics: the seismic performance of CLT structures, and the mechanical properties of connections between different CLT substructures.</t>
  </si>
  <si>
    <t>Abejon, Ricardo/I-7171-2019</t>
  </si>
  <si>
    <t>ABEJON, Ricardo/0000-0002-8030-7752</t>
  </si>
  <si>
    <t>1748-0272</t>
  </si>
  <si>
    <t>1748-0280</t>
  </si>
  <si>
    <t>10.1080/17480272.2021.1955295</t>
  </si>
  <si>
    <t>WOS:000675720300001</t>
  </si>
  <si>
    <t>Abadias, L; González-Camus, J; Miana, PJ; Pozo, JC</t>
  </si>
  <si>
    <t>Abadias, Luciano; Gonzalez-Camus, Jorge; Miana, Pedro J.; Pozo, Juan C.</t>
  </si>
  <si>
    <t>Large time behaviour for the heat equation on Z, moments and decay rates</t>
  </si>
  <si>
    <t>The paper is devoted to understand the large time behaviour and decay of the solution of the discrete heat equation in the one dimensional mesh Z on l(p) spaces, and its analogies with the continuous-space case. We do a deep study of the moments of the discrete gaussian kernel (which is given in terms of Bessel functions), in particular the mass conservation principle; that is reflected on the large time behaviour of solutions. We prove asymptotic pointwise and l(p) decay results for the fundamental solution. We use that estimates to get rates on the l(p) decay and large time behaviour of solutions. For the l(2) case, we get optimal decay by use of Fourier techniques. (c) 2021 Elsevier Inc. All rights reserved.</t>
  </si>
  <si>
    <t>Gonzalez-Camus, Jorge/ABG-8235-2021</t>
  </si>
  <si>
    <t>Miana Sanz, Pedro Jose/0000-0001-9430-343X; Gonzalez-Camus, Jorge/0000-0001-6198-5403; Pozo, Juan Carlos/0009-0003-1910-7895</t>
  </si>
  <si>
    <t>10.1016/j.jmaa.2021.125137</t>
  </si>
  <si>
    <t>WOS:000641169200008</t>
  </si>
  <si>
    <t>Warma, M; Zamorano, S</t>
  </si>
  <si>
    <t>Warma, Mahamadi; Zamorano, Sebastian</t>
  </si>
  <si>
    <t>Exponential Turnpike property for fractional parabolic equations with non-zero exterior data</t>
  </si>
  <si>
    <t>ESAIM-CONTROL OPTIMISATION AND CALCULUS OF VARIATIONS</t>
  </si>
  <si>
    <t>We consider averages convergence as the time-horizon goes to infinity of optimal solutions of time-dependent optimal control problems to optimal solutions of the corresponding stationary optimal control problems. Control problems play a key role in engineering, economics and sciences. To be more precise, in climate sciences, often times, relevant problems are formulated in long time scales, so that, the problem of possible asymptotic behaviors when the time-horizon goes to infinity becomes natural. Assuming that the controlled dynamics under consideration are stabilizable towards a stationary solution, the following natural question arises: Do time averages of optimal controls and trajectories converge to the stationary optimal controls and states as the time-horizon goes to infinity? This question is very closely related to the so-called turnpike property that shows that, often times, the optimal trajectory joining two points that are far apart, consists in, departing from the point of origin, rapidly getting close to the steady-state (the turnpike) to stay there most of the time, to quit it only very close to the final destination and time. In the present paper we deal with heat equations with non-zero exterior conditions (Dirichlet and nonlocal Robin) associated with the fractional Laplace operator (-Delta)(s) (0 &lt; s &lt; 1). We prove the turnpike property for the nonlocal Robin optimal control problem and the exponential turnpike property for both Dirichlet and nonlocal Robin optimal control problems.</t>
  </si>
  <si>
    <t>Zamorano, Sebastián/AAY-2547-2020</t>
  </si>
  <si>
    <t>Warma, Mahamadi/0000-0002-2342-9585; Zamorano, Sebastian/0000-0001-5592-9085</t>
  </si>
  <si>
    <t>1292-8119</t>
  </si>
  <si>
    <t>1262-3377</t>
  </si>
  <si>
    <t>10.1051/cocv/2020076</t>
  </si>
  <si>
    <t>WOS:000612435800001</t>
  </si>
  <si>
    <t>Moreno, M; Pereda, J; Rojas, F; Dominguez-Lopez, I</t>
  </si>
  <si>
    <t>Moreno, Martin; Pereda, Javier; Rojas, Felix; Dominguez-Lopez, Ivan</t>
  </si>
  <si>
    <t>Decoupled PI Controllers Based on Pulse-Frequency Modulation for Current Sharing in Multi-Phase LLC Resonant Converters</t>
  </si>
  <si>
    <t>IEEE ACCESS</t>
  </si>
  <si>
    <t>The LLC series resonant converter has emerged as a solution to applications requiring power conversion with isolation, reduced volume and high efficiency, such as PV systems and EV chargers. However, the LLC resonant converter is limited in power, so it requires a multi-phase configuration in order to provide higher currents. This configuration connects the outputs of two or more LLC converters in parallel, increasing the output current but introducing imbalance and circulating currents due to the mismatch and tolerance values of components in each resonant tank. This paper proposes a simple PI control scheme to compensate the current imbalance and eliminate circulating currents generated when several LLC resonant converters are connected in parallel. Unlike reported current sharing methods, the proposed control scheme is based on multiple current control loops operating independently, using the switching frequency of each parallel-connected unit as a degree of freedom of the overall converter. The proposed control scheme has been successfully validated under simulations and experimental assessment, implementing two resonant tanks with +/- 5% tolerance of parameters, providing excellent steady-state and transient performance.</t>
  </si>
  <si>
    <t>Rojas, Felix/U-3305-2019; Dominguez-Lopez, Ivan/B-6072-2016; Pereda Torres, Javier/F-8244-2013</t>
  </si>
  <si>
    <t>Moreno, Martin/0000-0002-6590-441X; Dominguez-Lopez, Ivan/0000-0001-8084-8711; Rojas, Felix/0000-0001-6145-2826; Pereda Torres, Javier/0000-0002-3407-5233</t>
  </si>
  <si>
    <t>2169-3536</t>
  </si>
  <si>
    <t>10.1109/ACCESS.2021.3053171</t>
  </si>
  <si>
    <t>WOS:000613216900001</t>
  </si>
  <si>
    <t>Vanegas, LJ; Villalon, CM</t>
  </si>
  <si>
    <t>Vanegas, Jairo L.; Villalon, Marcelo C.</t>
  </si>
  <si>
    <t>Scientific communication during the current pandemic and some considerations on expressions of concern - retractions</t>
  </si>
  <si>
    <t>Vanegas, Jairo/ACV-6689-2022</t>
  </si>
  <si>
    <t>Vanegas Lopez, Jairo Javier/0000-0001-5281-483X</t>
  </si>
  <si>
    <t>WOS:000604270300022</t>
  </si>
  <si>
    <t>De Barbieri, F; Cerda, FC; Pérez-Ipiña, J; Artigas, A; Monsalve, A</t>
  </si>
  <si>
    <t>De Barbieri, Flavio; Castro Cerda, Felipe; Perez-Ipina, Juan; Artigas, Alfredo; Monsalve, Alberto</t>
  </si>
  <si>
    <t>Temperature Dependence of the Microstructure and Mechanical Properties of a Twinning-Induced Plasticity Steel</t>
  </si>
  <si>
    <t>The objective of the present study is to analyze the microstructure and mechanical properties of a twinning-induced plasticity (TWIP) steel at different temperatures. For this purpose, tensile tests were performed on a Fe-22Mn-0.65C TWIP steel in a temperature range between 25 degrees C and 400 degrees C. The microstructure after deformation was characterized via optical microscopy. It was observed that the microstructure consists of mainly deformation twins at low temperatures, whereas dislocation bands are the predominating feature at high temperatures. The analysis of mechanical data suggests a transition of the deformation mechanism from twinning at low temperatures to dislocation slip at high temperatures. The work-hardening rate and area reduction variation with temperature are discussed and correlated to the decrease of twinning contribution to the deformation mechanism. The role of other processes, such as dynamic strain aging and precipitation hardening, are discussed. A thermodynamic-based description for the dependence of yield stress with temperature was developed, suggesting two acting work-hardening mechanisms.</t>
  </si>
  <si>
    <t>Artigas, Alfredo/Y-1185-2019; De Barbieri, Flavio/AGQ-8546-2022; Perez Ipiña, Juan/IZE-2438-2023; Perez Ipina, Juan E./N-2620-2016; Castro Cerda, Felipe Manuel/Q-2714-2016</t>
  </si>
  <si>
    <t>Monsalve, Alberto/0000-0002-5772-8815; Perez Ipina, Juan E./0000-0002-0934-477X; Castro Cerda, Felipe Manuel/0000-0001-8126-5593; De Barbieri, Flavio/0000-0001-6088-1901</t>
  </si>
  <si>
    <t>10.3390/met8040262</t>
  </si>
  <si>
    <t>WOS:000434882800065</t>
  </si>
  <si>
    <t>Garcia-Segura, S; Brillas, E; Cornejo-Ponce, L; Salazar, R</t>
  </si>
  <si>
    <t>Garcia-Segura, Sergi; Brillas, Enric; Cornejo-Ponce, Lorena; Salazar, Ricardo</t>
  </si>
  <si>
    <t>Effect of the Fe3+/Cu2+ ratio on the removal of the recalcitrant oxalic and oxamic acids by electro-Fenton and solar photoelectro-Fenton</t>
  </si>
  <si>
    <t>SOLAR ENERGY</t>
  </si>
  <si>
    <t>The degradation of 100 mL of 2.08 mM oxalic acid (OXL) and oxamic acid (OXM) solutions in 0.10 M Na2SO4 at pH 3.0 has been studied by solar photolysis (SP), electro-Fenton (EF) and solar photoelectro-Fenton (SPEF). EF and SPEF experiments were performed with a stirred electrochemical cell containing a 3 cm(2) boron-doped diamond (BDD) anode and a 3 cm(2) air-diffusion cathode that generates H2O2. Natural sunlight was directly exposed to the solution in SP and SPEF. Catalytic contents of 0.50 mM Fe3+, 0.50 mM Cu2+ or mixtures up to 0.50 mM of both metallic ions were added to the solution and a current density of 33.3 mA cm(-2) was applied in EF and SPEF. OXM presented a remarkable slower decay than OXL by SP due to the lower photoactivity of metallic-oxamate complexes. OXL concentration decayed 90% in the presence of Fe3+ and Fe3+/Cu2+ mixtures, whereas the OXM drop decreased directly with increasing Cu2+ concentration. In EF, OXL was more slowly removed than OXM due to higher recalcitrant character of the Fe(III)-oxalate complexes which can only be mineralized by (OH)-O-center dot formed at the anode surface but not by those generated from Fenton's reaction in the bulk. Upon Cu2+ addition, higher removal percentages were found because Cu(II)-carboxylate complexes are attacked by (OH)-O-center dot, thus accelerating the mineralization. In contrast, OXL destruction was largely enhanced in SPEF using the mixture of catalysts as a result of the photolysis of Fe(III)-oxalate complexes and the parallel mineralization of Cu(II)-carboxylate complexes by the high quantity of oxidant (OH)-O-center dot induced from photolysis of Fe(III)-aquo species. In all cases, the decay of OXL and OXM concentration obeyed a pseudo-first-order reaction, with an apparent rate constant dependent on the applied current in EF and SPEF. (C) 2015 Elsevier Ltd. All rights reserved.</t>
  </si>
  <si>
    <t>Salazar, Ricardo/L-7870-2013; Garcia-Segura, Sergi/B-6406-2019</t>
  </si>
  <si>
    <t>Brillas, Enric/0000-0001-8147-4651; Salazar-Gonzalez, Ricardo/0000-0003-2180-6022; Garcia-Segura, Sergi/0000-0002-1417-6416; Cornejo Ponce, Lorena/0000-0001-7518-0358</t>
  </si>
  <si>
    <t>0038-092X</t>
  </si>
  <si>
    <t>10.1016/j.solener.2015.11.033</t>
  </si>
  <si>
    <t>WOS:000369459600021</t>
  </si>
  <si>
    <t>Latorre, R; González, C; Rojas, P</t>
  </si>
  <si>
    <t>Pfaff, DW; Volkow, ND</t>
  </si>
  <si>
    <t>Latorre, Ramon; Gonzalez, Carlos; Rojas, Patricio</t>
  </si>
  <si>
    <t>Signal Transduction-Dependent Channels</t>
  </si>
  <si>
    <t>NEUROSCIENCE IN THE 21ST CENTURY: FROM BASIC TO CLINICAL, 2ND EDITION</t>
  </si>
  <si>
    <t>From the moment the first member of this ion channel family, Slo1, was discovered, the scientific world was confronted with a molecular Pandora's box: once opened, its electrical language left scientists bewitched. They were fascinated with this monster of a single-channel conductance (250 pS in symmetrical 100 mM K+) close to the ceiling imposed by simple diffusion combined with an exquisite K+ selectivity. Slo1 channels are essentially impermeable to Na+ and conduct K+ tenfold and 200-fold more effectively than Rb+ and Cs+, respectively, though it was previously thought that large conductance channels were not supposed to be so selective. At the same time, the channel was activated by voltage and cytoplasmic Ca2+. This latter property led Meech in 1978 to hypothesize that this conductance system was perfect link between cell metabolism and electrical activity, and he was right on the mark1. Because of its large conductance, this voltage- and calcium-activated K+ channel was christened maxi-K or BK (for big K+). This high single-channel conductance is not only a characteristic of Slo1 but is shared by the other members of this family of K+ channels, Slo2 and Slo3. These channels, although similar in many aspects to the voltage-gated K+ (Kv) channels, are more versatile in that their activation is modulated by ions, as is the case of Slo1. In the case of Slo2, the key modulatory ions are Na+ and Cl- and in Slo3, H+ (pH).</t>
  </si>
  <si>
    <t>Latorre, Ramon/0000-0002-6044-5795</t>
  </si>
  <si>
    <t>978-1-4939-3474-4; 978-1-4939-3473-7</t>
  </si>
  <si>
    <t>10.1007/978-1-4939-3474-4_5</t>
  </si>
  <si>
    <t>10.1007/978-1-4939-3474-4</t>
  </si>
  <si>
    <t>WOS:000533148800005</t>
  </si>
  <si>
    <t>Escobar, A; Celentano, D; Cruchaga, M; Lacaze, J; Schulz, B; Dardati, P; Parada, A</t>
  </si>
  <si>
    <t>Escobar, A.; Celentano, D.; Cruchaga, M.; Lacaze, J.; Schulz, B.; Dardati, P.; Parada, A.</t>
  </si>
  <si>
    <t>Experimental and numerical analysis of effect of cooling rate on thermal-microstructural response of spheroidal graphite cast iron solidification</t>
  </si>
  <si>
    <t>INTERNATIONAL JOURNAL OF CAST METALS RESEARCH</t>
  </si>
  <si>
    <t>This work presents an experimental and numerical study of the solidification process of an eutectic spheroidal graphite cast iron (SGI). The effect of the cooling rate on the thermal-microstructural response is particularly analysed. To this end, experiments as well as numerical simulations were carried out. The experiments consisted in a solidification test in a wedge-like casting such that different cooling rates were measured at specific positions along the part. A metallographic analysis was also performed in five locations of the sample with the aim of obtaining the number and size of graphite nodules at the end of the process. The numerical simulations were made using multinodular based and uninodular based models. These two models predicted similar results in terms of cooling curves and nodule counts. Besides, good experimental-numerical agreements were obtained for both the cooling curves and the graphite nodule counts.</t>
  </si>
  <si>
    <t>Celentano, Diego/JQW-5027-2023; Schulz, Bernd/AAA-2480-2019; Cruchaga, Marcela/M-7522-2014</t>
  </si>
  <si>
    <t>Dardati, Patricia/0000-0002-3294-2962; Cruchaga, Marcela/0000-0002-8708-2402</t>
  </si>
  <si>
    <t>1364-0461</t>
  </si>
  <si>
    <t>1743-1336</t>
  </si>
  <si>
    <t>10.1179/1743133613Y.0000000095</t>
  </si>
  <si>
    <t>WOS:000337058300007</t>
  </si>
  <si>
    <t>Badilla, PAV; Cumillaf, AERG; Valenzuela, TNH</t>
  </si>
  <si>
    <t>Valdes Badilla, Pablo Antonio; Roberto Godoy Cumillaf, Andres Esteban; Herrera Valenzuela, Tomas Nicolas</t>
  </si>
  <si>
    <t>Somatotype, Body Composition, Nutritional State and Physical Condition in People with Visual Impairment Who Practice Goalball</t>
  </si>
  <si>
    <t>INTERNATIONAL JOURNAL OF MORPHOLOGY</t>
  </si>
  <si>
    <t>Few publications refer to people with a visual impairment who practice Goalball, given that other groups of the population were studied or for unknown reasons. The aim was to measure the somatotype, the body composition, the nutritional state, and the physical condition (more specifically structural and functional features) of people with visual impairment in the Araucan a Region in Chile. The type of investigation considers a cuantitative, non-experimental, descriptive and transversal design. The sample consists of 14 Goalball athletes of the Araucan a Region. The sample was selected randomly and included 11 male subjects (age 42.36 +/- 14.46), with respect to weight and height the average was 74.76 +/- 10.36 and 1.695 +/- 0.07 respectively. To measure the somatotype and the body composition, the protocol described by the International Society for the Advancement of Kinanthropometry (ISAK) was used, whereas to evaluate the nutritional state and physical condition, the tests employed in the SIMCE (System of Measuring the Quality of Education) for the subsector of Physical Education in Chile (MINEDUC - Ministry of Education) were administered. The results indicate that the evaluated athletes classify as meso-endomorph. They reached 28.78% of fat mass and 42.71% of muscle mass, whereas their BMI is 26.05kg/m(2). Regarding their physical condition the findings show a satisfactory level for the tests of abdominals, flexibility, and cardiorespiratory resistence. The tests of long jump with joined feet and elbow-flexo-extention were not as good, however. These outcomes can possibly be explained by the age, visual impairment, and by characteristics of the sport discipline practiced.</t>
  </si>
  <si>
    <t>0717-9502</t>
  </si>
  <si>
    <t>0717-9367</t>
  </si>
  <si>
    <t>WOS:000336654600031</t>
  </si>
  <si>
    <t>Torres, R; Mascayano, C; Núñez, C; Modak, B; Faini, F</t>
  </si>
  <si>
    <t>Torres, Rene; Mascayano, Carolina; Nunez, Carolina; Modak, Brenda; Faini, Francesca</t>
  </si>
  <si>
    <t>COUMARINS OF HAPLOPAPPUS MULTIFOLIUS AND DERIVATIVE AS INHIBITORS OF LOX: EVALUATION IN-VITRO AND DOCKING STUDIES</t>
  </si>
  <si>
    <t>Several natural compounds containing a coumarin moiety have been reported. They have multiple biological activities, e. g., as scavengers of reactive oxygen species (ROS) and to reduce the inflammatory processes by inhibition of enzymes like COX or LOX. A study was made of the inhibitory capacity of seven natural coumarins and one derivative of esculetin, against soybean 15-lipoxygenase (15-sLOX). The studied coumarins showed interesting degrees of inhibition compared to quercetin, a known LOX inhibitor. Docking studies of some compounds into the binding site of 15-sLOX and 5-hLOX were also made.</t>
  </si>
  <si>
    <t>Mascayano Collado, Carolina Lorena/0000-0002-3488-9309</t>
  </si>
  <si>
    <t>10.4067/S0717-97072013000400027</t>
  </si>
  <si>
    <t>WOS:000331238800023</t>
  </si>
  <si>
    <t>González, N; Torres-Avilés, F; Carrasco, E; Salas, F; Pérez, F</t>
  </si>
  <si>
    <t>Gonzalez R, Nelly; Torres-Aviles, Francisco; Carrasco P, Elena; Salas P, Francisca; Perez B, Francisco</t>
  </si>
  <si>
    <t>Association of the incidence of type 1 diabetes mellitus with environmental factors in Chile during the period 2000-2007</t>
  </si>
  <si>
    <t>Background: Pollution and viral infections could be associated with the incidence of type 1 diabetes mellitus. Aim: To look for associations between the temporal patterns of Type 1 Diabetes Mellitus (T1D) in infants younger than the age of 15 years, and environmental factors, such as air pollution and viruses. Material and Methods: Data registries from hospitals, emergency services, and the Infantile Diabetes Foundation were reviewed, corresponding to children aged less than 15 years, who received their first insulin injection between 2000 and 2007. The incidence of type I diabetes was computed for each epidemiological week. Environmental ozone and particulate matter rates for each week were obtained from Environmental services. Rates of influenza and respiratory syncytial virus infections were obtained from the epidemiological department of the Ministry of Health. An ecological Bayesian Poisson regression model was fitted, introducing the covariates, lagged covariates and errors, to estimate the incidence by epidemiological week. Results: Three factors were significant by the proposed model: particulate matter PPM 2.5 (relative risk (RR): 1.003) lagged by two weeks, influenza (RR: 0.1808) and RSV (RR: 1.021). Trends and seasonality were clearly controlled by these covariates, considering the epidemiological week as a counting period. Conclusions: These results show that environmental factors could be related to peaks of type I diabetes incidence.</t>
  </si>
  <si>
    <t>Perez Rodríguez, Francisco/GRN-8495-2022; Torres-Aviles, Francisco/J-8269-2013</t>
  </si>
  <si>
    <t>Torres-Aviles, Francisco/0000-0001-7973-4709</t>
  </si>
  <si>
    <t>10.4067/S0034-98872013000500007</t>
  </si>
  <si>
    <t>WOS:000322347700007</t>
  </si>
  <si>
    <t>Salinas, C; Vasco, DA; Moraga, NO</t>
  </si>
  <si>
    <t>Salinas, Carlos; Vasco, Diego A.; Moraga, Nelson O.</t>
  </si>
  <si>
    <t>Two-dimensional non-Newtonian injection molding with a new control volume FEM/volume of fluid method</t>
  </si>
  <si>
    <t>INTERNATIONAL JOURNAL FOR NUMERICAL METHODS IN FLUIDS</t>
  </si>
  <si>
    <t>A new method based on volume of fluid for interface tracking in the simulation of injection molding is presented. The proposed method is comprised of two main stages: accumulation and distribution of the volume fraction. In the first stage the equation for the volume fraction with a noninterfacial flux condition is solved. In the second stage the accumulated volume of fluid that arises as a consequence of the application of the first one is dispersed. This procedure guarantees that the fluid fills the available space without dispersion of the interface. The mathematical model is based on two-phase transport equations that are numerically integrated through the control volume finite element method. The numerical results for the interface position are successfully verified with analytical results and numerical data available in the literature for one-dimensional and two-dimensional domains. The transient position of the advance fronts showed an effective and consistent simulation of an injection molding process. The nondispersive volume of fluid method here proposed is implemented for the simulation of nonisothermal injection molding in two-dimensional cavities. The obtained results are represented as transient interface positions, isotherms and pressure distributions during the injection molding of low density polyethylene. Copyright (c) 2012 John Wiley &amp; Sons, Ltd.</t>
  </si>
  <si>
    <t>Salinas, Carlos/D-8689-2012; Vasco, Diego/Y-2934-2019</t>
  </si>
  <si>
    <t>0271-2091</t>
  </si>
  <si>
    <t>1097-0363</t>
  </si>
  <si>
    <t>APR 30</t>
  </si>
  <si>
    <t>10.1002/fld.3723</t>
  </si>
  <si>
    <t>WOS:000316626400003</t>
  </si>
  <si>
    <t>Dávila, J; del Pino, M; Guerra, I</t>
  </si>
  <si>
    <t>Davila, Juan; del Pino, Manuel; Guerra, Ignacio</t>
  </si>
  <si>
    <t>Non-uniqueness of positive ground states of non-linear Schrodinger equations</t>
  </si>
  <si>
    <t>PROCEEDINGS OF THE LONDON MATHEMATICAL SOCIETY</t>
  </si>
  <si>
    <t>Existence of a positive, decaying radial solution to the problem Delta u - u + u(p) + lambda u(q) = 0 in R-N, when lambda &gt; 0 and 1 &lt; q &lt; p &lt;(N+2)/(N-2) has been known for a long time. For lambda=0, it is well known that this solution is unique. While uniqueness conditions for rather general non-linearities have been found, the issue has remained elusive for this problem. We prove that uniqueness is in general not true. We find that if N=3, 1 &lt; q &lt; 3, lambda is fixed sufficiently large, and p &lt; 5 is taken sufficiently close to 5, then there are at least three positive decaying radial solutions.</t>
  </si>
  <si>
    <t>del Pino, Manuel/Q-6254-2019; Davila, Juan/H-9082-2012; del Pino, Manuel/E-6276-2012</t>
  </si>
  <si>
    <t>Davila, Juan/0000-0002-7058-7930; del Pino, Manuel/0000-0001-6048-0657</t>
  </si>
  <si>
    <t>0024-6115</t>
  </si>
  <si>
    <t>1460-244X</t>
  </si>
  <si>
    <t>10.1112/plms/pds038</t>
  </si>
  <si>
    <t>WOS:000315215100004</t>
  </si>
  <si>
    <t>Fernández, AM; Celis-Atenas, K; Córdova-Rubio, N; Dufey, M; Varella, MAC; Ferreira, JHBP</t>
  </si>
  <si>
    <t>Maria Fernandez, Ana; Celis-Atenas, Karem; Cordova-Rubio, Natalia; Dufey, Michele; Correa Varella, Marco Antonio; Piccoli Ferreira, Jose Henrique Benedetti</t>
  </si>
  <si>
    <t>Youth sexuality: behaviors, attitudes and differences by sex and personality variables in Chilean university students</t>
  </si>
  <si>
    <t>Youth sexuality: behaviors, attitudes and differences by sex and personality variables in Chilean university students Background: Sexual behavior usually begins in adolescence, and is mediated by biological, personality and socio-cultural variables which can affect the expression of preventive and risky sexual performance, as well as sex and age differences. Aim: To determine sex differences in the age of sexual initiation, the use of protective methods and mate selectivity in young men and women, as well as preventive practices according to age, and the prevalence of partner aggression. Subjects and Methods: Participants were 484 university students from public and private institutions, aged 22 +/- 3 years (59% women) assessed using a diversity of self-report measures of personality traits, romantic relationship quality, sexual role, attachment type, socio-sexual openness, and self-esteem; they also answered questions regarding sexual behavior, and violence. Results: Differences in age of sexual initiation, risky sexual behavior, and socio-sexual openness were observed between men and women. Aggression prevalence in romantic relationships also varied according to sex and age. Similarities and differences in patterns of behavior and personality variables were observed in relationship quality, sexual role, kindness, and responsibility in males and females. Conclusions: The findings present consistencies with the international evidence and differences that may be due to context specificities, providing also an empirical referent to consider in health planning. (Rev Med Chile 2013; 141: 160-166).</t>
  </si>
  <si>
    <t>Vera-Villarroel, Pablo/AAQ-8476-2020; Dufey, Michele/E-1358-2011; Ferreira, José/D-8329-2013; Varella, Marco/S-5492-2016; Fernandez, Ana Maria/E-6429-2011</t>
  </si>
  <si>
    <t>Varella, Marco/0000-0002-7274-7360; Fernandez, Ana Maria/0000-0003-4132-5891; Benedetti Piccoli Ferreira, Jose Henrique/0000-0002-8224-189X</t>
  </si>
  <si>
    <t>10.4067/S0034-98872013000200003</t>
  </si>
  <si>
    <t>WOS:000317635600003</t>
  </si>
  <si>
    <t>Messineo, MG; Frontini, GL; Eliçabe, GE; Gaete-Garretón, L</t>
  </si>
  <si>
    <t>Messineo, Maria G.; Frontini, Gloria L.; Elicabe, Guillermo E.; Gaete-Garreton, Luis</t>
  </si>
  <si>
    <t>Equivalent ultrasonic impedance in multilayer media. A parameter estimation problem</t>
  </si>
  <si>
    <t>INVERSE PROBLEMS IN SCIENCE AND ENGINEERING</t>
  </si>
  <si>
    <t>This article deals with ultrasonic transmission through multilayer systems. The equivalent ultrasonic impedance of such systems is based on the transmission line built as a convenient model to reduce the computational time for numerical evaluation. Also, the one dimensional wave equation is considered as the full model for the propagation of a plane wave inside the material. From numerical simulations, we obtained signals useful to assess the equivalent model. Results clearly depict coherence between the models since there are full agreements in the computed velocity and stress at each interface. The identification of the parameters involved in the model, characteristic acoustic impedance and time of flight, related to the layer densities and propagation velocities, is posed as a non-linear parameter estimation problem. An ultrasonic transmission is set up and the complete waveform is recorded after travelling through the layers. The minimization of a least squares objective function defined to measure the misfit between the real and predicted waveforms, in frequency, was successfully performed and the estimated parameters give useful information for the mechanical characterization of the sample.</t>
  </si>
  <si>
    <t>Eliçabe, Guillermo/AAO-7388-2020</t>
  </si>
  <si>
    <t>Gaete-Garreton, Luis/0000-0002-2234-8783</t>
  </si>
  <si>
    <t>1741-5977</t>
  </si>
  <si>
    <t>1741-5985</t>
  </si>
  <si>
    <t>10.1080/17415977.2012.757312</t>
  </si>
  <si>
    <t>WOS:000336503500002</t>
  </si>
  <si>
    <t>Riazantseva, MO; Myagkova, IN; Karavaev, MV; Antonova, EE; Ovchinnikov, IL; Marjin, BV; Saveliev, MA; Feigin, VM; Stepanova, MV</t>
  </si>
  <si>
    <t>Riazantseva, M. O.; Myagkova, I. N.; Karavaev, M. V.; Antonova, E. E.; Ovchinnikov, I. L.; Marjin, B. V.; Saveliev, M. A.; Feigin, V. M.; Stepanova, M. V.</t>
  </si>
  <si>
    <t>Enhanced energetic electron fluxes at the region of the auroral oval during quiet geomagnetic conditions November 2009</t>
  </si>
  <si>
    <t>ADVANCES IN SPACE RESEARCH</t>
  </si>
  <si>
    <t>Enhanced fluxes of subrelativistic electrons were studied using the CORONAS-PHOTON satellite data during November 2009. During this time interval quiet geomagnetic conditions were unusually quiet. It was found that for more than 50% of all events, the enhanced fluxes with very similar characteristics were observed at two or more consecutive orbits, i.e. have a life time of a few hours. The analysis of relative location of enhanced fluxes and auroral particle precipitations, measured simultaneously by the low orbiting METEOR-M and DMSP satellites, showed that the enhanced fluxes are located inside the auroral oval, i.e. poleward from the external boundary of the outer electron radiation belt. This fact was also confirmed comparing these fluxes with the auroral oval boundaries provided by the OVATION model of auroral precipitations. The nature of the observed events is discussed. (C) 2012 COSPAR. Published by Elsevier Ltd. All rights reserved.</t>
  </si>
  <si>
    <t>Myagkova, Irina/E-3660-2012; Riazantseva, Maria/G-9066-2014; Antonova, Elizaveta/A-2716-2012; Ovchinnikov, Ilya/B-1467-2014; Stepanova, Marina/D-6329-2011</t>
  </si>
  <si>
    <t>Antonova, Elizaveta/0000-0001-6980-3993; Ovchinnikov, Ilya/0000-0003-2509-8166; Stepanova, Marina/0000-0002-1053-3375</t>
  </si>
  <si>
    <t>0273-1177</t>
  </si>
  <si>
    <t>1879-1948</t>
  </si>
  <si>
    <t>10.1016/j.asr.2012.05.015</t>
  </si>
  <si>
    <t>WOS:000307139800009</t>
  </si>
  <si>
    <t>LARGE SOLUTIONS OF ELLIPTIC SYSTEMS OF SECOND ORDER AND APPLICATIONS TO THE BIHARMONIC EQUATION</t>
  </si>
  <si>
    <t>In this work we study the nonnegative solutions of the elliptic system Delta U - vertical bar x vertical bar(a)v(delta), Delta v - vertical bar x vertical bar(b)u(mu) in the superlinear case mu delta &gt; 1, which blow up near the boundary of a domain of R-N, or at one isolated point. In the radial case we give the precise behavior of the large solutions near the boundary in any dimension N. We also show the existence of infinitely many solutions blowing up at 0. Furthermore, we show that there exists a global positive solution in R-N \ {0}, large at 0, and we describe its behavior. We apply the results to the sign changing solutions of the biharmonic equation Delta(2)u = vertical bar x vertical bar(b) vertical bar u vertical bar(mu). Our results are based on a new dynamical approach of the radial system by means of a quadratic system of order 4, introduced in [4], combined with the nonradial upper estimates of [5].</t>
  </si>
  <si>
    <t>10.3934/dcds.2012.32.411</t>
  </si>
  <si>
    <t>WOS:000296750500003</t>
  </si>
  <si>
    <t>Amundson, JM; Burton, JC; Correa-Legisos, S</t>
  </si>
  <si>
    <t>Amundson, Jason M.; Burton, Justin C.; Correa-Legisos, Sergio</t>
  </si>
  <si>
    <t>Impact of hydrodynamics on seismic signals generated by iceberg collisions</t>
  </si>
  <si>
    <t>ANNALS OF GLACIOLOGY</t>
  </si>
  <si>
    <t>Full-glacier-thickness icebergs are frequently observed to capsize as they calve into the ocean. As they capsize they may collide with the glaciers' termini; previous studies have hypothesized that such collisions are the source of teleseismic 'glacial earthquakes'. We use laboratory-scale experiments, force-balance modeling and theoretical arguments to show that (1) the contact forces during these collisions are strongly influenced by hydrodynamic forces and (2) the associated glacial earthquake magnitudes (expressed as twice-integrated force histories) are related to the energy released by the capsizing icebergs plus a hydrodynamic term that is composed of drag forces and hydrodynamic pressure. Our experiments and first-order modeling efforts suggest that, due to hydrodynamic forces, both contact force and glacial earthquake magnitudes may not be directly proportional to the energy released by the capsizing icebergs (as might be expected). Most importantly, however, our results highlight the need to better understand the hydrodynamics of iceberg capsize prior to being able to accurately interpret seismic signals generated by iceberg collisions.</t>
  </si>
  <si>
    <t>Burton, Justin/M-9735-2016</t>
  </si>
  <si>
    <t>Burton, Justin/0000-0002-4797-8968</t>
  </si>
  <si>
    <t>0260-3055</t>
  </si>
  <si>
    <t>1727-5644</t>
  </si>
  <si>
    <t>10.3189/2012/AoG60A012</t>
  </si>
  <si>
    <t>WOS:000315310300015</t>
  </si>
  <si>
    <t>Lacoste, P; Yuri, JA; Aranda, M; Castro, A; Quinteros, K; Solar, M; Soto, N; Chávez, C</t>
  </si>
  <si>
    <t>Lacoste, Pablo; Antonio Yuri, Jose; Aranda, Marcela; Castro, Amalia; Quinteros, Katherine; Solar, Mario; Soto, Natalia; Chavez, Cristian</t>
  </si>
  <si>
    <t>Fruit trees and agro-industry: cans, oil and timber (Chile and Cuyo, 1550-1850)</t>
  </si>
  <si>
    <t>REVISTA DE INDIAS</t>
  </si>
  <si>
    <t>The rapid propagation of European fruit-bearing plants in Chile and Cuyo led to the problem of their exploitation, which was a complex issue in the period before the availability of means of refrigeration. The response was to encourage agro-industrial activity. Some fruits were conserved through a process of dehydration and others were used in the making of oils. Some of these products were commercialised on the domestic market and others were exported, especially to Peru. There was also an improved use of the timber from fruit trees in both the construction industry and carpentry and cabinet-making. These activities ensured the economic viability of fruit-growing and made it possible for it to expand in the region under analysis.</t>
  </si>
  <si>
    <t>Castro, Amalia/LXV-4156-2024</t>
  </si>
  <si>
    <t>Lacoste, Pablo/0000-0003-1876-8141</t>
  </si>
  <si>
    <t>0034-8341</t>
  </si>
  <si>
    <t>1988-3188</t>
  </si>
  <si>
    <t>SEP-DEC</t>
  </si>
  <si>
    <t>10.3989/revindias.2011.028</t>
  </si>
  <si>
    <t>WOS:000299303300008</t>
  </si>
  <si>
    <t>García, C; Domínguez, C; Aliaga, A; Matsuhiro, B; Mendoza, L; Aguirre, MJ; Isaacs, M</t>
  </si>
  <si>
    <t>Garcia, Camilo; Dominguez, Cristian; Aliaga, Alvaro; Matsuhiro, Betty; Mendoza, Leonora; Aguirre, Maria J.; Isaacs, Mauricio</t>
  </si>
  <si>
    <t>Electrochemical Properties of a Conducting Film Derived from Iron(II) Tris(diaminopolypyridyl) Complex in the S(IV) Oxoanions Reduction</t>
  </si>
  <si>
    <t>A new conducting film derived from the complex [Fe (diaphen)(3)](2+), (diaphen=5,6-diamino-1,10-phenanthroline) was electropolymerized by cyclic voltammetry onto a glassy carbon electrode. Poly-[Fe(II) (diaphen)(3)] was studied by cyclic voltammetry, SEM, UV-vis and micro-Raman spectroscopy. Poly-[Fe(II) (diaphen)(3)] shows electrocatalytic activity in HSO(3)(-) reduction in an ethanol/water solution. Electrocatalysis is centered at the pi ring of phenanthroline. Rotating disk electrode studies showed a 0.117 V/dec Tafel slope, suggesting an EC process where the electrochemical process is the determining step. The chemical step was studied by UV-vis spectroelectrochemistry. Amperometric behavior showed a linear range between 47.5 mu M to 417 mu M and the LOD was 19.5 mu M.</t>
  </si>
  <si>
    <t>Aliaga, Alvaro/D-2595-2011; Aguirre, Maria/A-3935-2013; Isaacs, Mauricio/N-3027-2013; Garcia, Camilo/H-5646-2013</t>
  </si>
  <si>
    <t>Garcia, Camilo/0000-0001-5997-1280; Isaacs Casanova, Mauricio/0000-0003-0503-0949; Aguirre, Maria/0000-0003-1134-4469</t>
  </si>
  <si>
    <t>10.1002/elan.201000769</t>
  </si>
  <si>
    <t>WOS:000291554700016</t>
  </si>
  <si>
    <t>Aguirre, MJ; Chen, YY; Ramirez, G; Isaacs, M; Isaacs, F; Cheuquepan, W</t>
  </si>
  <si>
    <t>Esposito, R; Conti, A</t>
  </si>
  <si>
    <t>Aguirre, Maria J.; Chen, Yo-ying; Ramirez, Galo; Isaacs, Mauricio; Isaacs, Fabiola; Cheuquepan, William</t>
  </si>
  <si>
    <t>ELECTROCATALYTIC MODIFIED ELECTRODES WITH TRANSITION METAL AZAMACROCYCLES AND OTHER COMPLEXES FOR THE DETECTION OF SULFUR AND NITROGEN OXOANIONS</t>
  </si>
  <si>
    <t>POLYMER ELECTROLYTE MEMBRANE FUEL CELLS AND ELECTROCATALYSTS</t>
  </si>
  <si>
    <t>Modified electrodes with transition metal phenantrolines, plithalocyanines, porphyrins and other complexes where the metal center is a transition metal have been widely studied because they show highly activity toward the oxidation and reduction of several analytes. One of the most interesting applications of these modified electrodes is the determination of oxoanions in waste water, food and beverages. In fact, they have been used to detect nitrite, nitrate, sulfite, and other pollutants or traces with low limit detection and in some cases; specificity. On the other hand, it is interesting that these modified electrodes can be designed for desirable purposes by changing the metal center, modifying the ligand, or changing the electrolyte. There are some cases in which the position of a substituent on the ligand can drastically change its activity. The modified electrodes are been used as supramolecular assemblies, as electroactive films or as composites of different layers adsorbed on the surface. This brief review shows the last decade's studies on the detection of sulfur and nitrogen oxoanions using electrodes modified with metal transition complexes.</t>
  </si>
  <si>
    <t>Valenzuela, William/AAN-9176-2020; Aguirre, Maria/A-3935-2013; Isaacs, Mauricio/N-3027-2013</t>
  </si>
  <si>
    <t>Cheuquepan, William/0000-0001-6741-1144; Ramirez, Galo/0000-0002-6217-4730; Aguirre, Maria/0000-0003-1134-4469; Isaacs Casanova, Mauricio/0000-0003-0503-0949</t>
  </si>
  <si>
    <t>978-1-60692-773-1</t>
  </si>
  <si>
    <t>WOS:000273474800012</t>
  </si>
  <si>
    <t>Ferraudi, G; Estiu, G; Lappin, AG; Villagran, M; Muena, JP; Costamagna, J; Zagal, J</t>
  </si>
  <si>
    <t>Ferraudi, Guillermo; Estiu, Guillermina; Lappin, A. Graham; Villagran, Manuel; Muena, Juan P.; Costamagna, Juan; Zagal, Jose</t>
  </si>
  <si>
    <t>The (Tetraazaannulene)copper-Catalyzed Reduction of Sulfur(IV) Species. A Pulse-Radiolysis and Theoretical Study of the Associated Reaction Mechanism</t>
  </si>
  <si>
    <t>HELVETICA CHIMICA ACTA</t>
  </si>
  <si>
    <t>The monomeric species, [Cu-II{H-x(tmdnTAA)}](x+) (x = 0, 1, and 2, and (tmdnTAA)(2) = [5,7,12,14]-tetramethyldinaphtho[b,i][1,4,8,11]tetraaza[14]annulenato(2-) = 7,9,18,20-tetramethyldinaphtho[2,3-b : 2',3'-i][1,4,8,11]tetraazacyclotetradecinato(2-)) catalyze the electrochemical reduction of SO2(aq) in homogeneous solution. A pulse-radiolytic study of the reaction of the [Cu-I(tetraazaannulene)] complexes with S-IV species revealed the formation of Cu-I-SO2 adducts. The formation of Cu-I-SO2 adducts prevents the disproportionation of the Cu-I complexes and precedes the reduction of the S-IV species to S2O42-. DFT Calculations were carried out to establish the structure and stability of the Cu-I-SO2 adducts. A good agreement between the calculated and recorded electronic spectrum of the Cu-I-SO2 adducts corroborated the formation of species with SO2 coordinated to Cu-I through the O-atom.</t>
  </si>
  <si>
    <t>0018-019X</t>
  </si>
  <si>
    <t>1522-2675</t>
  </si>
  <si>
    <t>10.1002/hlca.200800319</t>
  </si>
  <si>
    <t>WOS:000263865600012</t>
  </si>
  <si>
    <t>AERODYNAMICS OF A FLUIDIZED BED OF FORESTRY BIOMASS PARTICLES WITH MECHANICAL AGITATION</t>
  </si>
  <si>
    <t>The aerodynamic behavior of wet forestry biomass particles mechanically shaken in a fluidized bed was analyzed with turning velocity between 0.5 and 2 r.p.s. It was concluded that the agitation exerts an important effect on the fluidization of wet biomass particles. The effect of the agitator is not relevant if the particles have low humidity content. In addition, a methodology based on the Ergun's equation for the calculation of the specific biomass particle surface, with a degree of acceptable correlation (R(2) &gt; 0.96) was proposed. For the prediction of the minimum fluidization velocity, a new correlation allowing fitting the experimental values with deviations of +/- 15% for dry and wet particles, was also proposed.</t>
  </si>
  <si>
    <t>WOS:000264462200002</t>
  </si>
  <si>
    <t>Infante, C; Díaz, M; Hernandez, A; Constandil, L; Pelissier, T</t>
  </si>
  <si>
    <t>Infante, Claudio; Diaz, Marcelo; Hernandez, Alejandro; Constandil, Luis; Pelissier, Teresa</t>
  </si>
  <si>
    <t>Expression of nitric oxide synthase isoforms in the dorsal horn of monoarthritic rats:: effects of competitive and uncompetitive N-methyl-D-aspartate antagonists</t>
  </si>
  <si>
    <t>ARTHRITIS RESEARCH &amp; THERAPY</t>
  </si>
  <si>
    <t>Chronic pain is associated with N-methyl-D-aspartate (NMDA) receptor activation and downstream production of nitric oxide, which has a pivotal role in multisynaptic local circuit nociceptive processing in the spinal cord. The formation of nitric oxide is catalyzed by three major nitric oxide synthase (NOS) isoforms (neuronal, nNOS; inducible, iNOS; endothelial, eNOS), which are increased in the spinal cord of rodents subjected to some tonic and chronic forms of experimental pain. Despite the important role of NOS in spinal cord nociceptive transmission, there have been no studies exploring the effect of NMDA receptor blockade on NOS expression in the dorsal horn during chronic pain. Furthermore, NOS isoforms have not been fully characterized in the dorsal horn of animals subjected to arthritic pain. The aim of this work was therefore to study the expression of nNOS, iNOS and eNOS in the dorsal horns of monoarthritic rats, and the modifications in NOS expression induced by pharmacological blockade of spinal cord NMDA receptors. Monoarthritis was produced by intra-articular injection of complete Freund's adjuvant into the right tibio-tarsal joint. At week 4, monoarthritic rats were given either the competitive NMDA antagonist (+/-)-3-(2-carboxypiperazin-4-yl)-propyl-1phosphonic acid (CPP) or the uncompetitive NMDA antagonist ketamine. After 6 and 24 hours, animals were killed and posterior quadrants of the lumbar spinal cord were dissected. Sample tissues were homogenized and subjected to immunoblotting with anti-nNOS, anti-iNOS or anti-eNOS monoclonal antibodies. The nNOS isoform, but not the iNOS and eNOS isoforms, were detected in the dorsal horns of control rats. Monoarthritis increased the expression of nNOS, iNOS and eNOS in the dorsal horns ipsilateral and contralateral to the inflamed hindpaw. Intrathecal administration of CPP and ketamine reduced nNOS expression in monoarthritic rats but increased the expression of iNOS and eNOS. Results suggest that blockade of spinal cord NMDA receptors produces complex regulatory changes in the expression of NOS isoforms in monoarthritic rats that may be relevant for nitridergic neuronal/glial mechanisms involved in the pathophysiology of monoarthritis and in the pharmacological response to drugs interacting with NMDA receptors.</t>
  </si>
  <si>
    <t>Hernandez, Alejandro/0000-0001-9222-6522; Constandil, Luis/0000-0002-2504-0119</t>
  </si>
  <si>
    <t>1478-6354</t>
  </si>
  <si>
    <t>1478-6362</t>
  </si>
  <si>
    <t>R53</t>
  </si>
  <si>
    <t>10.1186/ar2208</t>
  </si>
  <si>
    <t>WOS:000248809300018</t>
  </si>
  <si>
    <t>Duarte-Mermoud, MA; Suárez, AM; Bassi, DF</t>
  </si>
  <si>
    <t>Multivariable predictive control of a pressurized tank using neural networks</t>
  </si>
  <si>
    <t>The behavior of a multivariable predictive control scheme based on neural networks applied to a model of a nonlinear multivariable real process, consisting of a pressurized tank is investigated in this paper. The neural scheme consists of three neural networks; the first is meant for the identification of plant parameters (identifier), the second one is for the prediction of future control errors (predictor) and the third one, based on the two previous, compute the control input to be applied to the plant (controller). The weights of the neural networks are updated on-line, using standard and dynamic backpropagation. The model of the nonlinear process is driven to an operation point and it is then controlled with the proposed neural control scheme, analyzing the maximum range over the neural control works properly.</t>
  </si>
  <si>
    <t>Duarte-Mermoud, Manuel A./I-2693-2013</t>
  </si>
  <si>
    <t>Duarte-Mermoud, Manuel A./0000-0003-2367-4553</t>
  </si>
  <si>
    <t>1433-3058</t>
  </si>
  <si>
    <t>10.1007/s00521-005-0003-0</t>
  </si>
  <si>
    <t>WOS:000234344800003</t>
  </si>
  <si>
    <t>Perez-Correa, JR; Cubillos, F; Zavala, E; Shene, C; Alvarez, PI</t>
  </si>
  <si>
    <t>Dynamic simulation and control of direct rotary dryers</t>
  </si>
  <si>
    <t>Adaptive and conventional control of a direct rotary dryer has been assessed through simulations. A dynamic model of the process was developed specifically for this purpose. The model is based on mass and energy balances and includes a drying kinetic derived from mass transfer principles. In the modelling process, ten discrete perfectly mixed elements were considered for the dryer with each containing four differential equations. A well tuned discrete PID and an adaptive algorithm were used to control the outlet solid humidity Bath controllers can regulate the controlled variable for different disturbances, although the adaptive controller is more effective. (C) 1998 Elsevier Science Ltd. All rights reserved.</t>
  </si>
  <si>
    <t>Perez-Correa, Jose/0000-0002-1278-7782; CUBILLOS, FRANCISCO/0000-0001-7863-4394</t>
  </si>
  <si>
    <t>10.1016/S0956-7135(97)00077-7</t>
  </si>
  <si>
    <t>WOS:000074673100002</t>
  </si>
  <si>
    <t>Cubillos, FA; Lima, EL</t>
  </si>
  <si>
    <t>Adaptive hybrid neural models for process control</t>
  </si>
  <si>
    <t>COMPUTERS &amp; CHEMICAL ENGINEERING</t>
  </si>
  <si>
    <t>European Symposium on Computer Aided Process Engineering (ESCAPE 8)</t>
  </si>
  <si>
    <t>MAY 24-27, 1998</t>
  </si>
  <si>
    <t>BRUGGE, BELGIUM</t>
  </si>
  <si>
    <t>Technol Inst Royal Flemish Soc Engineers</t>
  </si>
  <si>
    <t>A methodology for process modeling, combining prior knowledge with neural networks (NN), and its uses within process control strategies are explored in this work The model type was the so called Hybrid Neural Model (HNM), based on fundamental conservation laws associated with a neural network used to model the uncertain parameters. Since a neural net within HNM has fewer parameters than a pure black bar NN model, an on-line training method may be used. The adaptive HNM approach was applied to two simulated processes: a highly non-linear CSTR and a four-stage flotation unit, The task of synthesis of HNM, its incorporation into MBC control strategies, and two an-line learning strategies are presented. Results obtained showed excellent performance and this approach can be considered an option in terms of flexibility and robustness for the control of complex processes. (C) 1998 Published by Elsevier Science Ltd. All rights reserved.</t>
  </si>
  <si>
    <t>CUBILLOS, FRANCISCO/0000-0001-7863-4394</t>
  </si>
  <si>
    <t>0098-1354</t>
  </si>
  <si>
    <t>S989</t>
  </si>
  <si>
    <t>S992</t>
  </si>
  <si>
    <t>10.1016/S0098-1354(98)00197-5</t>
  </si>
  <si>
    <t>WOS:000073455100168</t>
  </si>
  <si>
    <t>ARAYA, F; ABARCA, O; ZUNIGA, GE; CORCUERA, LJ</t>
  </si>
  <si>
    <t>EFFECTS OF NACL ON GLYCINE-BETAINE AND ON APHIDS IN CEREAL SEEDLINGS</t>
  </si>
  <si>
    <t>The effect of NaCl on the aphid Schizaphis graminum was studied on seedlings and with artificial diets. Wheat and barley seedlings irrigated with saline Hoagland solution (0-700 mM NaCl) accumulated ions in their leaves. Glycine-betaine, also accumulated in wheat and barley seedlings with increasing salt levels. The population growth rate of the aphid S. graminum in wheat decreased with the amount of salt accumulated by leaves. In barley, however, population growth rate of aphids reached a minimum at 50 mM NaCl, increasing at higher NaCl concentration. Survival of aphids feeding from artificial diets with NaCl decreased (LD50 = 65 mM). Glycine-betaine, however, increased both survival and reproduction in salt treated and untreated aphids. In addition, ingestion time of aphids feeding in artificial diets also decreased (ED50 = 105 mM). These results show that accumulation of NaCl by cereals is more deleterious to aphids in wheat than in barley. This could be partly explained by the higher glycine-betaine accumulation in barley leaves.</t>
  </si>
  <si>
    <t>Corcuera, Luis/G-1714-2014; Zuñiga, Gustavo/P-8306-2015</t>
  </si>
  <si>
    <t>Zuniga, Gustavo/0000-0002-8286-9468</t>
  </si>
  <si>
    <t>10.1016/0031-9422(91)85014-Q</t>
  </si>
  <si>
    <t>WOS:A1991FN76000010</t>
  </si>
  <si>
    <t>Chourio-Acevedo, L; Madrid-Muñoz, G; Kri-Amar, F; Román-Cortés, A; Joglar-Campos, C; Villalobos-Cid, M</t>
  </si>
  <si>
    <t>Chourio-Acevedo, Luz; Madrid-Munoz, Graciela; Kri-Amar, Fernanda; Roman-Cortes, Anibal; Joglar-Campos, Carol; Villalobos-Cid, Manuel</t>
  </si>
  <si>
    <t>Assessing academic workload in computing engineering programs: A preliminary study</t>
  </si>
  <si>
    <t>REVISTA EDUCACION EN INGENIERIA</t>
  </si>
  <si>
    <t>Assessing academic workload is a critical component of the educational process, given its importance in the health and performance of students. Several universities worldwide have evaluated their programs using academic credit systems as a reference by contrasting the expected and real academic workload through strategies based on surveys, focus groups, questionnaires, and logbooks. In this work, we perform a preliminary study by extracting information for curricular updating of our computing engineering programs based on academic workload. The related method is divided into four stages: (1) the designing of an informatic tool to manage the class-to-class activities; (2) the recording of the academic workload expected by academics; (3) the application of surveys to record the workload declared by students; (4) and the formulation of recommendations based on a mixed analysis that combines qualitative and quantitative elements. This preliminary study can be extended by analysing other educational contexts.</t>
  </si>
  <si>
    <t>Villalobos-Cid, Manuel/AFK-0866-2022</t>
  </si>
  <si>
    <t>1900-8260</t>
  </si>
  <si>
    <t>10.26507/rei.v20n39.1297</t>
  </si>
  <si>
    <t>WOS:001460561100008</t>
  </si>
  <si>
    <t>Herrera, F; Barnes, WL</t>
  </si>
  <si>
    <t>Herrera, Felipe; Barnes, William L.</t>
  </si>
  <si>
    <t>Multiple interacting photonic modes in strongly coupled organic microcavities</t>
  </si>
  <si>
    <t>PHILOSOPHICAL TRANSACTIONS OF THE ROYAL SOCIETY A-MATHEMATICAL PHYSICAL AND ENGINEERING SCIENCES</t>
  </si>
  <si>
    <t>Room-temperature cavity quantum electrodynamics with molecular materials in optical cavities offers exciting prospects for controlling electronic, nuclear and photonic degrees of freedom for applications in physics, chemistry and materials science. However, achieving strong coupling with molecular ensembles typically requires high molecular densities and substantial electromagnetic-field confinement. These conditions usually involve a significant degree of molecular disorder and a highly structured photonic density of states. It remains unclear to what extent these additional complexities modify the usual physical picture of strong coupling developed for atoms and inorganic semiconductors. Using a microscopic quantum description of molecular ensembles in realistic multimode optical resonators, we show that the emergence of vacuum Rabi splitting in linear spectroscopy is a necessary but not sufficient metric of coherent admixing between light and matter. In low-finesse multi-mode situations, we find that molecular dipoles can be partially hybridized with photonic dissipation channels associated with off-resonant cavity modes. These vacuum-induced dissipative processes ultimately limit the extent of light-matter coherence that the system can sustain.This article is part of the theme issue 'The quantum theory of light'.</t>
  </si>
  <si>
    <t>Herrera, Felipe/KHD-8453-2024; Barnes, Bill/J-7111-2013</t>
  </si>
  <si>
    <t>Barnes, Bill/0000-0002-9474-5534</t>
  </si>
  <si>
    <t>1364-503X</t>
  </si>
  <si>
    <t>1471-2962</t>
  </si>
  <si>
    <t>DEC 24</t>
  </si>
  <si>
    <t>10.1098/rsta.2023.0343</t>
  </si>
  <si>
    <t>WOS:001385141600001</t>
  </si>
  <si>
    <t>Lizama, C; Murillo-Arcila, M; Vargas-Moreno, A</t>
  </si>
  <si>
    <t>Lizama, Carlos; Murillo-Arcila, Marina; Vargas-Moreno, Alvaro</t>
  </si>
  <si>
    <t>On the dynamics of a class of partial differential equations</t>
  </si>
  <si>
    <t>We study the dynamical behavior of a class of partial differential equations which includes the transport equation with decay, the advection-diffusion with decay, the linearized KdV equation and the linearized BBM equation. We characterize the stability regions as well as the chaotic regions in terms of the coefficients of the equation and the weight of the Herzog space. Consequently, we will obtain relations between the chaotic and unstable regions, finding out that under certain restrictions both coincide. (c) 2024 Elsevier Inc. All rights are reserved, including those for text and data mining, AI training, and similar technologies.</t>
  </si>
  <si>
    <t>Lizama, Carlos/E-5909-2011; Murillo, Marina/ABI-7284-2020; Vargas Moreno, Álvaro/JTS-8059-2023</t>
  </si>
  <si>
    <t>Vargas Moreno, Alvaro/0009-0004-6012-8927; murillo arcila, marina/0000-0001-6589-0452</t>
  </si>
  <si>
    <t>10.1016/j.jmaa.2024.129150</t>
  </si>
  <si>
    <t>WOS:001380965300001</t>
  </si>
  <si>
    <t>Cutrona, S; Dammert, L; Rosen, JD</t>
  </si>
  <si>
    <t>Cutrona, Sebastian; Dammert, Lucia; Rosen, Jonathan D.</t>
  </si>
  <si>
    <t>Conceptualizing Mano Dura in Latin America</t>
  </si>
  <si>
    <t>LATIN AMERICAN POLITICS AND SOCIETY</t>
  </si>
  <si>
    <t>Latin American governments are increasingly adopting mano dura initiatives to combat gangs, organized crime, and insecurity. While mano dura has been a concept of increasing empirical interest, there seems to be limited conceptual clarity about the wide spectrum of strategies developed to combat crime and associated fear. This article proposes a definition of mano dura that has three different dimensions, each of them containing specific elements. The form of mano dura depends on formal, informal, and rhetorical practices. Drawing on 46 scholarly works in the social sciences, we develop our definition anchored in the knowledge of Latin American policing strategies, contributions on responses to crime in the region, and the conceptual development literature. With the purpose of supplementing our effort to standardize the usage of the term with the need to retain a degree of conceptual differentiation, we also offer a stylized model to better classify policing strategies in Latin America. In our stylized model, the numerous ways policies and narratives as well as their implementation (or not) interact can be grouped into four broad categories: full mano dura, institutional mano dura, performative mano dura, and covert mano dura.</t>
  </si>
  <si>
    <t>Rosen, Jonathan/0000-0002-6642-8814; Cutrona, Sebastian/0000-0002-9871-6378; Dammert, Lucia/0000-0003-1239-4425</t>
  </si>
  <si>
    <t>1531-426X</t>
  </si>
  <si>
    <t>1548-2456</t>
  </si>
  <si>
    <t>2024 OCT 15</t>
  </si>
  <si>
    <t>10.1017/lap.2024.32</t>
  </si>
  <si>
    <t>WOS:001332485200001</t>
  </si>
  <si>
    <t>Alarcón, H; Galaz, B; Espíndola, D</t>
  </si>
  <si>
    <t>Alarcon, Hector; Galaz, Belfor; Espindola, David</t>
  </si>
  <si>
    <t>Cubic nonlinearity and surface shock waves in soft tissue-like materials</t>
  </si>
  <si>
    <t>The cubic nonlinearity of shear wave propagation plays a significant role in brain injury biomechanics. However, soft materials, like the brain, also support the propagation of surface waves, which produce a combination of longitudinal and transverse deformation. The order of the nonlinearity of surface waves in soft materials is still unknown. Here, we directly observe nonlinear Scholte waves propagating in an interface formed by an incompressible gelatin tissue-mimicking phantom and a water layer using ultrasound imaging operated as fast as 16667 frames per second. A two-dimensional correlation-based tracking algorithm was utilized to extract movies of the movement produced by the surface wave. Our results show that the initially nearly monochromatic wave becomes progressively distorted with the propagation due to nonlinearity. The distortion of the wave and its frequency spectrum indicate a high content of odd harmonics when compared with even harmonics. Additionally, by fitting our experimental data to a minimalist one-dimensional model based on the wave speed variation as a function of the perturbation amplitude, we found a cubic nonlinear parameter 46 times larger than the quadratic nonlinear parameter. Overall, the wave distortion, the harmonic development, and the dependence of the wave speed with the amplitude prove that cubic nonlinearity is essential to modeling nonlinear Scholte wave propagation.</t>
  </si>
  <si>
    <t>Espindola, DAVID/M-9318-2019</t>
  </si>
  <si>
    <t>Alarcon, Hector/0000-0003-4603-4946; Espindola, David/0000-0001-6675-9560</t>
  </si>
  <si>
    <t>10.1016/j.ultras.2024.107469</t>
  </si>
  <si>
    <t>WOS:001327453100001</t>
  </si>
  <si>
    <t>Karapinar, PB; Ekmekci, OT; Camgoz, SM; Bohle, SL; Aydin, EM</t>
  </si>
  <si>
    <t>Karapinar, Pinar Bayhan; Ekmekci, Ozge Tayfur; Camgoz, Selin Metin; Bohle, Sergio Lopez; Aydin, Eren Miski</t>
  </si>
  <si>
    <t>Et tu Brute? The Roles of Subordinate-Supervisor Similarities on the Relationship between Abusive Supervision and Employee Silence Behavior: A Study from the Subordinates' Perspectives</t>
  </si>
  <si>
    <t>BEHAVIORAL SCIENCES</t>
  </si>
  <si>
    <t>The current study examined the moderating effects of subordinate-supervisor similarities on abusive supervision and employee silence relationships. We addressed the question of whether employees' silence reactions are alleviated or aggravated when the abuse comes from a supervisor who shares a similar gender and other sociodemographic attributes with the employee. The results indicated that abusive supervision led to more silence behavior and supported the moderating effect of perceived sociodemographic similarity on this relationship. However, regardless of gender similarities with their supervisors, the findings postulated that employees experiencing abusive supervision were more likely to remain silent at work. When there is a perceived sociodemographic similarity between the employee and the supervisor, abusive supervision has been found to have a harsher influence on employee's silence behavior. These findings help us better understand the antecedents of employee silence behavior and provide important implications for subordinate-supervisor similarity dynamics in exposure to abusive supervision.</t>
  </si>
  <si>
    <t>Aydin, Eren/AAT-9857-2020; Karapinar, Pinar/AAE-1672-2021; METIN CAMGOZ, SELIN/ITU-7843-2023; Bohle, Sergio/P-7698-2014; TAYFUR EKMEKCI, OZGE/I-8480-2013</t>
  </si>
  <si>
    <t>Lopez Bohle, Sergio/0000-0002-6202-4089; Metin Camgoz, Selin/0000-0002-3304-7177; Bayhan Karapinar, Pinar/0000-0003-0534-8885; TAYFUR EKMEKCI, OZGE/0000-0002-9090-3996</t>
  </si>
  <si>
    <t>2076-328X</t>
  </si>
  <si>
    <t>10.3390/bs14070582</t>
  </si>
  <si>
    <t>WOS:001276605900001</t>
  </si>
  <si>
    <t>Veliz, F; Ponce, MJ; Flores, J; Haye, MT; Rubio, G; Gutiérrez, J; González, R</t>
  </si>
  <si>
    <t>Veliz, Francisca; Ponce, Marfa Jose; Flores, Javiera; Haye, Marfa Teresa; Rubio, Gonzalo; Gutierrez, Jorge; Gonzalez, Rogelio</t>
  </si>
  <si>
    <t>Births in Chile: what has been the impact of the last wave of migrant mothers?</t>
  </si>
  <si>
    <t>REVISTA MEDICA CLINICA LAS CONDES</t>
  </si>
  <si>
    <t>Introduction: Chile has traditionally had a stable process of inmigration of people from Peru, Bolivia and Colombia. In the last eight years, a strong increase of new migrants, mainly from Haiti and Venezuela, commenced.Aim: The aim of this study is to describe the impact this last migratory process has had on births and on the main neonatal demographic and biometric indicators in Chile during the last 8 years.Method: Information from the national database of the Informatics Department of the Chilean Ministry of Health (DEIS), obtained through academic collaboration with the Women's Health Program of the Ministry of Health, was used. All live births that occurred in Chile, during the period between January 2014 and September 2022, were included. Basic perinatal data, prematurity, low birth weight and their relationship with the gestational age of newborns of Chilean, South American and Haitian mothers were evaluated. Results: Births: During the study period, a total of 1,880,754 births occurred in Chile. 8.3% of them (156,858) were of mothers classified as foreigners or migrants in the national civil registry. From 2014 to the present an increase of 316% (3.1 to 12.9%) of births from mothers from other countries has occurred in Chile. The most frequent nationalities of foreign mothers for the period were Peru (23%), Haiti (20%), Venezuela (19%), Bolivia (13%) and Colombia (11%). Prematurity: The percentage of births under 37 weeks were similar for Chilean (8.6%) and Haitian (8.6%) mothers and was significantly lower for mothers of other South American nationalities (6.8%), Chi square p &lt;0.0001 (CI 1.6-1.9). Low birth weight: The percentage of newborns with low birth weight, very low birth weight and extremely low birth weight, was significantly higher for Haitian mothers, when compared to mothers from Chile and other South American countries.Conclusions: Migrant mothers of South American origin have less preterm births and low birth weight babies than Chilean mothers. Haitian mothers had more low birth weight newborns and prematurity at birth than their South American counterparts, however these indicators were better than those published for Haitian mothers in their country of origin. Chilean and South American mothers have similar percentage distribution weight curves according to gestational age; Haitian mothers have lower 10, 50 and 90 percentiles along all the gestational ages studied. Approximately one hundred and fifty thousand girls and boys have been born from migrant women in the last eight years in Chile, posing important challenges for the country's public health services.</t>
  </si>
  <si>
    <t>0716-8640</t>
  </si>
  <si>
    <t>10.1016/j.rmclc.2023.01.008</t>
  </si>
  <si>
    <t>FEB 2023</t>
  </si>
  <si>
    <t>WOS:001009497800001</t>
  </si>
  <si>
    <t>Moreno-Bárcenas, A; Arizpe-Zapata, JA; Haro, JAR; Sepúlveda, P; Garcia-Garcia, A</t>
  </si>
  <si>
    <t>Moreno-Barcenas, Alejandra; Alejandro Arizpe-Zapata, Jesus; Rivera Haro, Julio Alejandro; Sepulveda, Pamela; Garcia-Garcia, Alejandra</t>
  </si>
  <si>
    <t>Jute Fibers Synergy with nZVI/GO: Superficial Properties Enhancement for Arsenic Removal in Water with Possible Application in Dynamic Flow Filtration Systems</t>
  </si>
  <si>
    <t>Groundwater is one of the primary sources of water for both drinking and industrial use in northeastern Mexican territory, around 46% of the total, due to the lack of precipitation during the year and solar radiation index. The presence of arsenic in brackish soil and groundwater is a severe health issue, specifically in semi-arid and arid regions in the north of Mexico. Additionally, it represents the only source of drinking water in communities far from big cities, mainly due to the absence of hydric infrastructure. This work presents a new approach to treating polluted water with arsenic. The system based on activating jute fiber with nanoparticles of zero-valent iron immobilized over graphene oxide will allow nZVI particles to preserve their unique qualities for water sanitization. A dynamic flow test was designed to determine the effectivity of activated jute fibers as a water sanitation system. The results showed a reduction in the total arsenic content from 350 ppb to 34 ppb with a filtrate flow of 20 mL/min. The above represents 90% adsorption by the activated fiber. The analyzed sample corresponds to contaminated groundwater taken from Coahuila, Mexico. This sanitation system could be applied to low-income populations lacking robust infrastructure, such arsenic treatment plants.</t>
  </si>
  <si>
    <t>Garcia, Alejandra/IQT-2699-2023; Sepulvedaor, Pamela/GRO-3516-2022; Garcia-Garcia, A./B-1478-2012</t>
  </si>
  <si>
    <t>Moreno-Barcenas, Alejandra/0000-0001-8976-8873; Garcia-Garcia, A./0000-0001-7794-135X</t>
  </si>
  <si>
    <t>10.3390/nano12223974</t>
  </si>
  <si>
    <t>WOS:000887683400001</t>
  </si>
  <si>
    <t>Schwabe, R; Dittrich, C; Kadner, J; Senges, CHR; Bandow, JE; Tischler, D; Schlömann, M; Levicán, G; Wiche, O</t>
  </si>
  <si>
    <t>Schwabe, Ringo; Dittrich, Christine; Kadner, Julian; Senges, Christoph Helmut Rudi; Bandow, Julia Elisabeth; Tischler, Dirk; Schloemann, Michael; Levican, Gloria; Wiche, Oliver</t>
  </si>
  <si>
    <t>Secondary metabolites released by the rhizosphere bacteria Arthrobacter oxydans and Kocuria rosea enhance plant availability and soil-plant transfer of germanium (Ge) and rare earth elements (REEs)</t>
  </si>
  <si>
    <t>Here, we explore effects of metallophore-producing rhizobacteria on the plant availability of germanium (Ge) and rare earth elements (REEs). Five isolates of the four species Rhodococcus erythropolis, Arthrobacter oxydans, Kocuria rosea and Chryseobacterium koreense were characterized regarding their production of element-chelators using genome-mining, LC-MS/MS analysis and solid CAS-assay. Additionally, a soil elution experiment was conducted in order to identify isolates that increase solubility of Ge and REEs in soil solution. A. oxydans ATW2 and K. rosea ATW4 released desferrioxamine-, bacillibactin- and surfactin-like compounds that mobilized Ge and REEs as well as P, Fe, Si and Ca in soil. Subsequently, oat, rapeseed and reed canary grass were cultivated on soil and sand and treated with cells and iron depleted culture supernatants of A. oxydans ATW2 and K. rosea ATW4. Inoculation increased plant yield and shoot phosphorus (P), manganese (Mn), Ge and REE concentrations. However, effects of the inoculation varied substantially between the growth substrates and plant species. On sand, A. oxydans ATW2 increased accumulation of REEs in all plant species and root-shoot translocation in rapeseed, while K. rosea ATW4 enhanced REE accumulation in rapeseed only, without effects on other plant species. Sand-cultured oat plants showed increased Ge accumulation and root-shoot translocation in presence of A. oxydans ATW2 cells and K. rosea ATW4 supernatant; however, there was no effect on other plant species, irrespective the growth substrate used. In contrast, soil-cultured rapeseed showed enhanced REE accumulation in presence of cells of A. oxydans ATW2 while there were no effects on other plant species and Ge. The processes involved are not yet fully understood. Nevertheless, we demonstrated that chemical microbe-soil-plant relationships influence plant availability of nutrients together with Ge and REEs, which has major implications on our understanding of biogeochemical element cycling and development of sustainable bioremediation and biomining technologies.</t>
  </si>
  <si>
    <t>Levican, Gloria/R-5191-2019; Senges, Christoph/AAB-9150-2019; Wiche, Oliver/JYP-6050-2024; Tischler, Dirk/H-9431-2013; Bandow, Julia/K-8854-2012</t>
  </si>
  <si>
    <t>Tischler, Dirk/0000-0002-6288-2403; Senges, Christoph/0000-0002-8069-8730; Bandow, Julia/0000-0003-4100-8829</t>
  </si>
  <si>
    <t>10.1016/j.chemosphere.2021.131466</t>
  </si>
  <si>
    <t>WOS:000704464400005</t>
  </si>
  <si>
    <t>Riquelme, N; Laguna, L; Tárrega, A; Robert, P; Arancibia, C</t>
  </si>
  <si>
    <t>Riquelme, Natalia; Laguna, Laura; Tarrega, Amparo; Robert, Paz; Arancibia, Carla</t>
  </si>
  <si>
    <t>Oral behavior of emulsified systems with different particle size and thickening agents under simulated conditions</t>
  </si>
  <si>
    <t>FOOD RESEARCH INTERNATIONAL</t>
  </si>
  <si>
    <t>Food behavior during oral processing plays an essential role in the perception of texture. It depends on different factors, including food structure and composition, as well as its behavior when interacting with saliva. This study aimed to investigate the effect of particle size and thickener type of emulsified systems on physical, rheological, tribological, and oral oily coating properties under oral conditions. Six matrices based on oil-in-water emulsions with different particle sizes (NE-nanoemulsion and CE-conventional emulsions) were prepared using a mixture of emulsifiers (10% w/w) and sunflower oil (10% w/w). Thickened agents were added to the matrices (NE and CE) at different concentrations (3-4.5% w/w of starch-ST or 0.4-0.8% w/w xanthan gum-XG) to obtain equi-viscous samples (NE-EV) with their CE-based counterpart. Results showed a decrease in apparent viscosity values under oral conditions (saliva and shearing at 10 s(-1)) during the shear time, but this behavior was more evident in starch-based matrices. The lubrication properties of the different matrices depended mainly on the thickener concentration since equi-viscous samples (NE-ST-EV and NE-XG-EV) showed higher coefficient of friction (CoF) values. Finally, oral oily coating was more related to the oil droplets size than to the type of thickener since all NE-based matrices showed a higher amount of coating retained compared to the CE-based ones. Therefore, NE based matrices could be used as an alternative to increase mouthfeel sensations in food emulsions.</t>
  </si>
  <si>
    <t>Robert, Paz/G-8198-2014; Arancibia, Carla/AAN-2290-2020; Tarrega, Amparo/F-6334-2016</t>
  </si>
  <si>
    <t>Laguna, Laura/0000-0001-8551-1886; Riquelme Hinojosa, Natalia Andrea/0000-0003-3490-1045; Tarrega, Amparo/0000-0003-3338-2204</t>
  </si>
  <si>
    <t>0963-9969</t>
  </si>
  <si>
    <t>1873-7145</t>
  </si>
  <si>
    <t>10.1016/j.foodres.2021.110558</t>
  </si>
  <si>
    <t>WOS:000684808700010</t>
  </si>
  <si>
    <t>Grimm, D; Leep, DB</t>
  </si>
  <si>
    <t>Grimm, David; Leep, David B.</t>
  </si>
  <si>
    <t>Hereditarily non-pythagorean fields</t>
  </si>
  <si>
    <t>JOURNAL OF ALGEBRA</t>
  </si>
  <si>
    <t>We prove for a large class of fields F that every proper finite extension of F-pyth, the pythagorean closure of F, is not a pythagorean field. This class of fields contains number fields and fields F that are finitely generated of transcendence degree at least one over some subfield of F. (C) 2021 Elsevier Inc. All rights reserved.</t>
  </si>
  <si>
    <t>Grimm, David/0000-0003-2651-0298</t>
  </si>
  <si>
    <t>0021-8693</t>
  </si>
  <si>
    <t>1090-266X</t>
  </si>
  <si>
    <t>10.1016/j.jalgebra.2021.01.013</t>
  </si>
  <si>
    <t>FEB 2021</t>
  </si>
  <si>
    <t>WOS:000623913200020</t>
  </si>
  <si>
    <t>Pizarro, GD; Alavia, W; Martin-Trasanco, R; Marambio, OG; Sánchez, J; Oyarzún, DP</t>
  </si>
  <si>
    <t>Pizarro, Guadalupe Del C.; Alavia, Wilson; Martin-Trasanco, Rudy; Marambio, Oscar G.; Sanchez, Julio; Oyarzun, Diego P.</t>
  </si>
  <si>
    <t>Preparation of photoactive ZnS-composite porous polymer films: Fluorescent and morphological properties</t>
  </si>
  <si>
    <t>DESIGNED MONOMERS AND POLYMERS</t>
  </si>
  <si>
    <t>This work describes the use of the breath figure (BF) method for the fabrication of photoactive porous polymer films and the characterization of their responsive to photo stimulus. The films incorporate self-assembled photoactive polymers and ZnS nanoparticles (NPs). The effect of both components on the optical and morphological properties of the films were analyzed. Films with a hexagonally ordered pattern were obtained. The photoactive polymer was prepared by grafting the photochromic component 1-(2-hydroxyethyl)-3,3-dimethylindoline-6-nitrobenzopyran (SP) to polystyrene-block-polymethacrylic acid (PS-b-PMMA). ZnS NPs were incorporated into the polymer solution, and the films were prepared using spin-coating on glass substrates before subjecting them to the BF method. The hollow footprints were obtained before introducing the ZnS NPs in order to maintain the necessary conditions for hexagonal film growth. Accordingly, the SEM micrographs of the films prepared in the presence of ZnS NPs displayed a loss in the pore arrangement as a consequence of the interaction between SP moiety and NPs. The light-emitting properties of films were characterized by blue and violet colors when exposed to UV light under fluorescence. Progress in the field of breath-figure formation and its application, such as exemplified in this work, leads to functional structures with suitable applications in chemistry and materials science. It is expected that such microstructured polymeric films will have interesting applications in photonic and optoelectronic devices.</t>
  </si>
  <si>
    <t>Martin-Trasancos, Rudy/L-2791-2017; Oyarzun, Diego/MTF-4062-2025; PIZARRO, GUADALUPE/V-3353-2017; Sanchez, Julio/AEO-4360-2022; Alavia, Wilson/AGY-3117-2022</t>
  </si>
  <si>
    <t>Alavia, Wilson/0000-0001-5674-8489</t>
  </si>
  <si>
    <t>1385-772X</t>
  </si>
  <si>
    <t>1568-5551</t>
  </si>
  <si>
    <t>10.1080/15685551.2021.1989151</t>
  </si>
  <si>
    <t>WOS:000706958000001</t>
  </si>
  <si>
    <t>Oetiker, N; Muñoz-Villagrán, C; Vásquez, CC; Bravo, D; Pérez-Donoso, JM</t>
  </si>
  <si>
    <t>Oetiker, N.; Munoz-Villagran, C.; Vasquez, C. C.; Bravo, D.; Perez-Donoso, J. M.</t>
  </si>
  <si>
    <t>Bacterial phototoxicity of biomimetic CdTe-GSH quantum dots</t>
  </si>
  <si>
    <t>JOURNAL OF APPLIED MICROBIOLOGY</t>
  </si>
  <si>
    <t>Aim: Fluorescent semiconductor nanoparticles or quantum dots (QDs) have excellent properties as photosensitizers in photodynamic therapy. This is mainly a consequence of their nanometric size and the generation of light-activated redox species. In previous works, we have reported the low-cost biomimetic synthesis of glutathione (GSH) capped QDs (CdTe-GSH QDs) with high biocompatibility. However, no studies have been performed to determine their phototoxic effect. The aim of this work was to characterize the light-induced toxicity of green (QDs(500)) and red (QDs(600)) QDs in Escherichia coli, and to study the molecular mechanism involved. Methods and Results: Photodegradation and reduction power of biomimetic QDs was determined to analyse their potential for radical generation. Escherichia coli cells were exposed to photoactivated QDs and viability was evaluated at different times. High toxicity was determined in E. coli cells exposed to photoactivated QDs, particularly QDs(500). The molecular mechanism involved in QDs phototoxicity was studied by determining Cd2+-release and intracellular reactive oxygen species (ROS). Cells exposed to photoactivated QDs(500) presented high levels of ROS. Cells exposed to photoactivated QDs(500) presented high levels of ROS. Finally, to understand this phenomenon and the importance of oxidative and cadmium-stress in QDs-mediated phototoxicity, experiments were performed in E. coli mutants in ROS and Cd2+ response genes. As expected, E. coli mutants in ROS response genes were more sensitive than the wt strain to photoactivated QDs, with a higher effect in green-QDs(500). No increase in phototoxicity was observed in cadmium-related mutants. Conclusion: Obtained results indicate that light exposure increases the toxicity of biomimetic QDs on E. coli cells. The mechanism of bacterial phototoxicity of biomimetic CdTe-GSH QDs is mostly associated with ROS generation. Significance and Impact of the Study: The results presented establish biomimetic CdTe-GSH QDs as a promising cost-effective alternative against microbial infections, particularly QDs(500).</t>
  </si>
  <si>
    <t>Perez-Donoso, Jose/G-3668-2013</t>
  </si>
  <si>
    <t>Perez-Donoso, Jose/0000-0002-9506-1716</t>
  </si>
  <si>
    <t>1364-5072</t>
  </si>
  <si>
    <t>1365-2672</t>
  </si>
  <si>
    <t>10.1111/jam.14957</t>
  </si>
  <si>
    <t>DEC 2020</t>
  </si>
  <si>
    <t>WOS:000599742100001</t>
  </si>
  <si>
    <t>Pizarro, JM</t>
  </si>
  <si>
    <t>Matamala Pizarro, Jose</t>
  </si>
  <si>
    <t>Work: between pleasure and suffering. Contributions from the Psychodynamics of Work</t>
  </si>
  <si>
    <t>CUHSO-CULTURA-HOMBRE-SOCIEDAD</t>
  </si>
  <si>
    <t>0716-1557</t>
  </si>
  <si>
    <t>0719-2789</t>
  </si>
  <si>
    <t>10.7770/2452-610X.2020.CUHSO.05.A07</t>
  </si>
  <si>
    <t>WOS:000624603100020</t>
  </si>
  <si>
    <t>Guerrero, GR; Reiss, MJ</t>
  </si>
  <si>
    <t>Guerrero, Gonzalo R.; Reiss, Michael J.</t>
  </si>
  <si>
    <t>Science outside the classroom: exploring opportunities from interdisciplinarity and research-practice partnerships</t>
  </si>
  <si>
    <t>INTERNATIONAL JOURNAL OF SCIENCE EDUCATION</t>
  </si>
  <si>
    <t>This article examines an outdoor science activity based on Interdisciplinary Teaching and Learning of Science (ITLS) undertaken with a collaborative research methodology as a Research-Practice Partnership (RPP). The activity was implemented in a national reserve in Chile as part of continuing professional development and co-designed by in-service science teachers and researchers. The study had two research questions: 1) How do in-service teachers, working in a RPP, connect and articulate different science topics through methodological and theoretical interdisciplinary perspectives? 2) Can a RPP be a pedagogical resource to generate positive changes in professional development within the practice of managing outdoor science activities? The analysis was qualitative and based on content analysis of data collected from questionnaires about the teachers' perceptions and scientific posters designed by the teachers as part of their course. Teachers were able to connect interdisciplinary topics - using theoretical and methodological interdisciplinarity - to solve real problems that arise from the environment within a field trip. In addition, findings reveal benefits of RPP and ITLS, for the management of outdoors activities, supporting the importance and relevance of learning science outside the classroom. However, the boundaries between researchers and science teachers should consider the cultural worlds of participants in the partnerships.</t>
  </si>
  <si>
    <t>; Reiss, Michael/P-8205-2017</t>
  </si>
  <si>
    <t>Guerrero, Gonzalo/0000-0002-7207-4880; Reiss, Michael/0000-0003-1207-4229</t>
  </si>
  <si>
    <t>0950-0693</t>
  </si>
  <si>
    <t>1464-5289</t>
  </si>
  <si>
    <t>10.1080/09500693.2020.1767317</t>
  </si>
  <si>
    <t>WOS:000543221700001</t>
  </si>
  <si>
    <t>Gómez, M; Pizarro, J; Castillo, X; Ghisolfi, A; Díaz, C; Chávez, MD; Cazorla-Amorós, D</t>
  </si>
  <si>
    <t>Gomez, Mauricio; Pizarro, Jaime; Castillo, Ximena; Ghisolfi, Alessio; Diaz, Carlos; de Lourdes Chavez, Maria; Cazorla-Amoros, Diego</t>
  </si>
  <si>
    <t>Development of mesoporous materials from biomass ash with future applications as adsorbent materials</t>
  </si>
  <si>
    <t>MICROPOROUS AND MESOPOROUS MATERIALS</t>
  </si>
  <si>
    <t>This paper proposes the synthesis and functionalization of a low-cost mesoporous material from biomass ashes with the aim of obtaining a new adsorbent material, thereby recycling and transforming an environmental liability into a material with added value. Biomass ashes are an environmental liability, composed mainly of aluminosilicates, which have been modified with the help of a surfactant (Plumnic P-123) to model and modify its porous structure. The functionalization of the synthesized material was carried out with N, N-dimethylacetamide (DMAC) and glycine (GLY) in order to improve the adsorption capacity of the synthesized material. The materials obtained in this article were characterized by adsorption-desorption isotherms of N-2 at 77 K, X-ray fluorescence (XFR), elemental analysis (EA), X-Ray diffraction (XRD), Fourier-transform infrared spectrometry (FTIR), scanning electron microscopy (SEM), transmission electron microscopy (TEM), and X-ray photoemission spectroscopy (XPS). The adsorption capacity of the synthesized matrices has been tested in batch and electrochemical systems. The surface areas obtained by the BET method were 18.49 m(2) g(-)(1) for pure ashes (CBT) and 22.84 m(2) g(-)(1) for modified ashes, and the adsorption capacities of Fe3+ ions were of about 80.49% for bare SC1, 83.27% for SC1-GLY and 95.41% for SC1-DMAC.</t>
  </si>
  <si>
    <t>Diaz, Carlos/ITT-9959-2023; Diaz, Carlos/R-8646-2018; Cazorla-Amoros, Diego/A-3967-2008</t>
  </si>
  <si>
    <t>Diaz, Carlos/0000-0002-7250-8829; Cazorla-Amoros, Diego/0000-0001-5745-4271; Gomez Barrena, Mauricio/0000-0003-2010-5910</t>
  </si>
  <si>
    <t>1387-1811</t>
  </si>
  <si>
    <t>1873-3093</t>
  </si>
  <si>
    <t>10.1016/j.micromeso.2020.110085</t>
  </si>
  <si>
    <t>WOS:000527326100003</t>
  </si>
  <si>
    <t>Bossert, TJ; Dintrans, PV</t>
  </si>
  <si>
    <t>Bossert, Thomas J.; Villalobos Dintrans, Pablo</t>
  </si>
  <si>
    <t>Health Reform in the Midst of a Social and Political Crisis in Chile, 2019-2020</t>
  </si>
  <si>
    <t>The protests in Chile in October 2019 raised the issue of health reform to the public agenda again. This article reviews some of the explanations for why there was a widespread protest, including the expectations of continued progress, the emergence of a fear-based populism and the decline in legitimacy of most social and political actors. Using the theories of Kingdon to explain how reforms are placed on the political agenda, we describe how the protests raised health reform as a problem to be addressed, discuss the tendency toward consensus on policy options by technical health reform advocates, and examine the uncertain political processes that would be necessary for a consensus reform to be adopted and implemented. A lesson for reformers is the need to pay attention to growing signs of popular resentment over failures of health reforms to address accumulating problems and to try to address them with urgency to avoid populist crises.</t>
  </si>
  <si>
    <t>e1789031</t>
  </si>
  <si>
    <t>10.1080/23288604.2020.1789031</t>
  </si>
  <si>
    <t>WOS:000551592900001</t>
  </si>
  <si>
    <t>Guajardo-Penroz, C; Soto, I; San-Juan, E; Adasme, P; Azurdia-Meza, C; Zabala-Blanco, D</t>
  </si>
  <si>
    <t>Guajardo-Penroz, Cristobal; Soto, Ismael; San-Juan, Enrique; Adasme, Pablo; Azurdia-Meza, Cesar; Zabala-Blanco, David</t>
  </si>
  <si>
    <t>Finite Field Metrics Applied to M-FSK Modulation in VLC Systems</t>
  </si>
  <si>
    <t>2020 SECOND SOUTH AMERICAN COLLOQUIUM ON VISIBLE LIGHT COMMUNICATIONS (IEEE SACVC 2020)</t>
  </si>
  <si>
    <t>2nd South American Colloquium on Visible Light Communications (IEEE SACVLC)</t>
  </si>
  <si>
    <t>JUN 04-05, 2020</t>
  </si>
  <si>
    <t>Santiago, CHILE</t>
  </si>
  <si>
    <t>IEEE Chile Sect,Univ Santiago Chile,IEEE,IEEE Commun,Gobierno Chile, Minist Educ, Fondo Nacl Desarrollo Cientifico Tecnologico,Gobierno Chile, Minist Educ, Fondo Fomento Desarrollo Cientifico Tecnologico,Gobierno Chile, Minist Educ, Programa Cooperac Int</t>
  </si>
  <si>
    <t>This paper provides an alternative to digital filter based frequency detection for multi-frequency shift keying modulation (M-FSK) using field programmable gate array (FPGA) architectures, by providing a hamming space autocorrelation based detector that outperforms the use of digital filters by consuming only 4% of an equivalent filter's logic resources and no DSP blocks at all, with a detection accuracy of 97% while being non-dependant on Hermitian symmetry or any other radio frequency (RF) signal condition. This detection method supports an inexpensive, reliable and accurate real time data demodulation strategy for flicker-free, high dimming range visible light communications (VLC) multi-user systems.</t>
  </si>
  <si>
    <t>Adasme, Pablo/U-1735-2019; Meza, Cesar/D-6948-2014</t>
  </si>
  <si>
    <t>978-1-7281-6341-3</t>
  </si>
  <si>
    <t>10.1109/sacvlc50805.2020.9129865</t>
  </si>
  <si>
    <t>WOS:000856038700015</t>
  </si>
  <si>
    <t>Rojas, SPR; Meneses, A; Miguel, ES</t>
  </si>
  <si>
    <t>Rojas Rojas, Sandra Patricia; Meneses, Alejandra; Sanchez Miguel, Emilio</t>
  </si>
  <si>
    <t>Teachers' scaffolding science reading comprehension in low-income schools: how to improve achievement in science</t>
  </si>
  <si>
    <t>Reading is a tool that promotes the learning of science across schooling. Scientific texts are conceptually and linguistically complex, especially for students from low-income contexts because they have neither the experience with the language nor the literacy skills to face the challenges of scientific knowledge. This study used a mix method approach to compare the cognitive scaffolding practiced by teachers during science reading activities in high- and low-performing schools. Three teachers and 141 fourth grade students from low socioeconomic background schools participated in 48 class sessions. Classes were video-recorded and transcribed. The data were analyzed using Sanchez' Pedagogic Practice Analysis System. The results show that teachers from both types of schools continuously use reading as a tool for learning. The effective teacher uses reading with non-invasive scaffolding and varied verbal participation to elaborate knowledge, promoting literal and inferential comprehension and more opportunities for the students to construct knowledge. By contrast, less effective teachers use reading with invasive scaffolding and little verbal participation of the students to consolidate knowledge, promoting mainly literal comprehension. This study shed light on different approaches teachers use to foster reading comprehension for science learning.</t>
  </si>
  <si>
    <t>ROJAS, SANDRA/AAU-5018-2020</t>
  </si>
  <si>
    <t>Sanchez Miguel, Emilio/0000-0001-8157-9824; Meneses, Alejandra/0000-0002-6563-5117; Rojas Rojas, Sandra Patricia/0000-0001-6284-5373</t>
  </si>
  <si>
    <t>SEP 2</t>
  </si>
  <si>
    <t>10.1080/09500693.2019.1641855</t>
  </si>
  <si>
    <t>AUG 2019</t>
  </si>
  <si>
    <t>WOS:000480204000001</t>
  </si>
  <si>
    <t>Garcia-Hermoso, A; Vegas-Heredia, ED; Fernández-Vergara, O; Ceballos-Ceballos, R; Andrade-Schnettler, R; Arellano-Ruiz, P; Ramírez-Vélez, R</t>
  </si>
  <si>
    <t>Garcia-Hermoso, Antonio; Daniel Vegas-Heredia, Eddie; Fernandez-Vergara, Omar; Ceballos-Ceballos, Rodrigo; Andrade-Schnettler, Rodrigo; Arellano-Ruiz, Paola; Ramirez-Velez, Robinson</t>
  </si>
  <si>
    <t>Independent and combined effects of handgrip strength and adherence to a Mediterranean diet on blood pressure in Chilean children</t>
  </si>
  <si>
    <t>NUTRITION</t>
  </si>
  <si>
    <t>Objective: The aim of the study was to examine the combined associations between handgrip strength (HGS) and adherence to a Mediterranean diet with blood pressure (BP) in Chilean children. Methods: This cross-sectional study enrolled 1140 children (794 boys and 346 girls) 8 to 12 y of age. HGS was measured using a hand dynamometer with an adjustable grip. Adherence to a Mediterranean diet was assessed with the Kidmed score. Resting BP was measured by an automated monitor using an appropriately sized cuff. Elevated BP was defined as &gt;= 90th percentile, and high HGS was defined as sex- and age-specific normative &gt;= 80th percentile for the HGS. Results: The prevalence of elevated systolic BP, diastolic BP, and overall BP were 16.6%, 12.9%, and 8.1%, respectively. HGS was negatively associated with BP parameters in an unadjusted and adjusted model after considering potential confounders (age, sex, body mass index z-score, and HGS). Regarding diet adherence, the unadjusted model reveals that children with high adherence to the Mediterranean diet showed lower BP levels (systolic, diastolic, and mean arterial pressure) compared with children with low-medium adherence; however, these differences disappear after considering potential confounders. The combination of high HGS and optimal adherence to a Mediterranean diet was negatively associated with BP. Conclusions: Children with a high HGS levels (i.e., &gt;= 80th percentile) may somewhat overcome the deleterious effects of low adherence to a Mediterranean diet. Therefore, these findings suggest that the combination of these two components of a healthy lifestyle, especially HGS may be beneficial to children's BP. (C) 2018 Elsevier Inc. All rights reserved.</t>
  </si>
  <si>
    <t>García-Hermoso, Antonio/ADU-2591-2022; Ramirez-Velez, Robinson/D-5311-2016; Garcia-Hermoso, Antonio/P-1857-2017</t>
  </si>
  <si>
    <t>Ramirez-Velez, Robinson/0000-0003-3075-6960; Garcia-Hermoso, Antonio/0000-0002-1397-7182</t>
  </si>
  <si>
    <t>0899-9007</t>
  </si>
  <si>
    <t>1873-1244</t>
  </si>
  <si>
    <t>10.1016/j.nut.2018.08.019</t>
  </si>
  <si>
    <t>WOS:000460191300028</t>
  </si>
  <si>
    <t>Sepúlveda, P; Rubio, MA; Baltazar, SE; Rojas-Nunez, J; Llamazares, JLS; Garcia, AG; Arancibia-Miranda, N</t>
  </si>
  <si>
    <t>Sepulveda, Pamela; Rubio, Maria A.; Baltazar, Samuel E.; Rojas-Nunez, J.; Sanchez Llamazares, J. L.; Garcia Garcia, Alejandra; Arancibia-Miranda, Nicolas</t>
  </si>
  <si>
    <t>As(V) removal capacity of FeCu bimetallic nanoparticles in aqueous solutions: The influence of Cu content and morphologic changes in bimetallic nanoparticles</t>
  </si>
  <si>
    <t>In this study, bimetallic nanoparticles (BMNPs) with different mass ratios of Cu and Fe were evaluated. The influence of the morphology on the removal of pollutants was explored through theoretical and experimental studies, which revealed the best structure for removing arsenate (As(V)) in aqueous systems. To evidence the surface characteristics and differences among BMNPs with different mass proportions of Fe and Cu, several characterization techniques were used. Microscopy techniques and molecular dynamics simulations were applied to determine the differences in morphology and structure. In addition, X-ray diffraction (XRD) was used to determine the presence of various oxides. Finally, the magnetization response was evaluated, revealing differences among the materials. Our cumulative data show that BMNPs with low amounts of Cu (Fe0.9Cu0.1) had a non-uniform core-shell structure with agglomerate-type chains of magnetite, whereas a Janus-like structure was observed in BMNPs with high amounts of Cu (Fe0.5Cu0.5). However, a non-uniform core-shell structure (Fe0.9Cu0.1) facilitated electron transfer among Fe, Cu and As, which increased the adsorption rate (k), capacity (q(e)) and intensity (n). The mechanism of As removal was also explored in a comparative study of the phase and morphology of BMNPs pre- and post-sorption. (C) 2018 Elsevier Inc. All rights reserved.</t>
  </si>
  <si>
    <t>Bajo, Maria/ABF-6991-2020; Garcia, Alejandra/IQT-2699-2023; Sepulvedaor, Pamela/GRO-3516-2022; Rojas, Javier/JYP-5531-2024; Baltazar, Samuel/E-1814-2011; Arancibia-Miranda, Nicolás/I-6743-2013; Sanchez Llamazares, Jose Luis/A-6115-2017; Garcia-Garcia, A./B-1478-2012</t>
  </si>
  <si>
    <t>Sanchez Llamazares, Jose Luis/0000-0002-3192-8106; Rojas-Nunez, Javier/0000-0002-2343-3533; Garcia-Garcia, A./0000-0001-7794-135X; Baltazar, Samuel/0000-0001-9826-9400</t>
  </si>
  <si>
    <t>10.1016/j.jcis.2018.03.113</t>
  </si>
  <si>
    <t>WOS:000434494400020</t>
  </si>
  <si>
    <t>Simpson, K; Fuentes, P; Quiroz-Iturra, LF; Flores-Ortiz, C; Contreras, R; Handford, M; Stange, C</t>
  </si>
  <si>
    <t>Simpson, Kevin; Fuentes, Paulina; Felipe Quiroz-Iturra, Luis; Flores-Ortiz, Carlos; Contreras, Rodrigo; Handford, Michael; Stange, Claudia</t>
  </si>
  <si>
    <t>Unraveling the induction of phytoene synthase 2 expression by salt stress and abscisic acid in Daucus carota</t>
  </si>
  <si>
    <t>JOURNAL OF EXPERIMENTAL BOTANY</t>
  </si>
  <si>
    <t>Phytoene synthase (PSY) is the first committed enzyme of the carotenoid biosynthesis pathway and the most important point of regulation. Carotenoids are precursors of abscisic acid (ABA), which mediates abiotic stress tolerance responses in plants. ABA activates the synthesis of its own precursors through induction of PSY expression. Carrot, a species that accumulates very high amounts of carotenoids in its reserve root, has two PSY paralog genes that are expressed differentially in the root. Here, we determined that DcPSY2 expression is induced by salt stress and ABA. A DcPSY2 promoter fragment was obtained and characterized. Bioinformatic analysis showed the presence of three ABA responsive elements (ABREs). Through overexpressing pPSY2:GFP in Nicotiana tabacum we determined that all three ABREs are necessary for the ABA response. In the carrot transcriptome, we identified three ABRE binding protein (DcAREB) transcription factor candidates that localized in the nucleus, but only one, DcAREB3, was induced under ABA treatment in carrot roots. We found that AREB transcription factors bind to the carrot DcPSY2 promoter and transactivate the expression of reporter genes. We conclude that DcPSY2 is involved in ABA-mediated salt stress tolerance in carrot through the binding of AREB transcription factors to its promoter.</t>
  </si>
  <si>
    <t>Handford, Michael/C-6127-2012; Contreras, Rodrigo/I-1871-2013; Stange, Claudia/H-7411-2013</t>
  </si>
  <si>
    <t>Quiroz Iturra, Luis Felipe/0000-0002-7907-7320; Handford, Michael/0000-0003-0969-3192; Simpson Alfaro, Kevin/0000-0001-9757-7778; Stange, Claudia/0000-0002-2265-0472; Contreras, Rodrigo/0000-0001-9970-3125</t>
  </si>
  <si>
    <t>0022-0957</t>
  </si>
  <si>
    <t>1460-2431</t>
  </si>
  <si>
    <t>JUL 20</t>
  </si>
  <si>
    <t>10.1093/jxb/ery207</t>
  </si>
  <si>
    <t>WOS:000439796700024</t>
  </si>
  <si>
    <t>Banguera, L; Sepúlveda, JM; Fuertes, G; Carrasco, R; Vargas, M</t>
  </si>
  <si>
    <t>Banguera, L.; Sepulveda, J. M.; Fuertes, G.; Carrasco, R.; Vargas, M.</t>
  </si>
  <si>
    <t>REVERSE AND INVERSE LOGISTIC MODELS FOR SOLID WASTE MANAGEMENT</t>
  </si>
  <si>
    <t>SOUTH AFRICAN JOURNAL OF INDUSTRIAL ENGINEERING</t>
  </si>
  <si>
    <t>This paper presents a literature review of different models of reverse and inverse logistics for solid waste management by using the content analysis method. The article has two parts. In the first part, the studies of diverse authors are discussed to define the activities or steps to be followed for a general model of reverse and inverse logistics. These authors establish four basic steps for managing solid waste (gatekeeping, collection, sorting, and disposal). The second part deals with exploratory studies, designs, methodologies, and proposed mathematical models to solve problems in inverse logistics, based on articles published between 2010 and 2016.</t>
  </si>
  <si>
    <t>vargas, manuel/AAG-4780-2020; Fuertes, Guillermo/Q-2341-2016; Carrasco, Raul/G-5440-2015</t>
  </si>
  <si>
    <t>Sepulveda, Juan M./0000-0003-3755-0981; Fuertes, Guillermo/0000-0003-3044-5919; Carrasco, Raul/0000-0002-5023-9349; Vargas Guzman, Manuel Eduardo/0000-0003-4161-6621</t>
  </si>
  <si>
    <t>2224-7890</t>
  </si>
  <si>
    <t>10.7166/28-4-1701</t>
  </si>
  <si>
    <t>WOS:000427766800010</t>
  </si>
  <si>
    <t>Urzúa, C; González, E; Dueik, V; Bouchon, P; Giménez, B; Robert, P</t>
  </si>
  <si>
    <t>Urzua, Catalina; Gonzalez, Estefania; Dueik, Veronica; Bouchon, Pedro; Gimenez, Begona; Robert, Paz</t>
  </si>
  <si>
    <t>Olive leaves extract encapsulated by spray-drying in vacuum fried starch-gluten doughs</t>
  </si>
  <si>
    <t>FOOD AND BIOPRODUCTS PROCESSING</t>
  </si>
  <si>
    <t>Olive leaves extract (OLE) was microencapsulated with inulin (OLE-IN) by spray-drying using a central composite design. Oleuropein encapsulation efficiency and recovery values were over 87% in the OLE-IN microparticles obtained under optimal conditions. OLE or OLE microparticles were added into starch-gluten fried matrices with the aim of studying the effect of microencapsulation and the frying method on the polyphenols content and antioxidant activity, fat content and crispness. Vacuum starch-gluten fried samples absorbed slightly, but significantly, less oil than the atmospheric fried ones (except for the dough with 350 mg GAE/kg), but crispness was higher in the atmospheric fried products. Although vacuum fried matrices showed significantly higher content of polyphenols than atmospheric fried matrices, both types of matrices showed similar antioxidant activity, suggesting the formation of antioxidant metabolites derived from the Maillard reaction during the atmospheric frying. The results highlighted the importance of the microencapsulation of OLE to preserve the beneficial effects of polyphenols in processed food. (C) 2017 Institution of Chemical Engineers. Published by Elsevier B.V. All rights reserved.</t>
  </si>
  <si>
    <t>Bouchon, Pedro/D-5497-2014; Robert, Paz/G-8198-2014</t>
  </si>
  <si>
    <t>Bouchon, Pedro/0000-0003-2190-401X</t>
  </si>
  <si>
    <t>0960-3085</t>
  </si>
  <si>
    <t>1744-3571</t>
  </si>
  <si>
    <t>10.1016/j.fbp.2017.10.001</t>
  </si>
  <si>
    <t>WOS:000417966400019</t>
  </si>
  <si>
    <t>Ramirez-Collio, K; Vergara, PM; Simonetti, JA</t>
  </si>
  <si>
    <t>Ramirez-Collio, Karla; Vergara, Pablo M.; Simonetti, Javier A.</t>
  </si>
  <si>
    <t>Converting clear cutting into a less hostile habitat: The importance of understory for the abundance and movement of the Chestnut-throated Huet-Huet (Pteroptochos castaneus: Rhinocryptidae)</t>
  </si>
  <si>
    <t>FOREST ECOLOGY AND MANAGEMENT</t>
  </si>
  <si>
    <t>Sustainable forest management of commercial monoculture plantations may be difficult to achieve in plantations of Monterrey pine because these commercial monocultures are managed under a clear cutting system, where the understory vegetation is initially damaged by harvesting, and subsequently, by herbicide application. Despite its marked structural changes following harvesting, the ecological role of understory in mitigating the negative impact of clear cutting on biodiversity is scarcely known. We test for the positive effect of the understory vegetation present in clearcut pine stands on the abundance and movement ability of the Chestnut-throated Huet-Huet (Pteroptochos castaneus), an insectivorous bird sensitive to adult pine plantations with scarce understory cover. Abundance was assessed through passive and broadcasting surveys during reproductive and pos-reproductive season at native forests, mature pine stands and cleacut areas. Movement was experimentally assessed as the willingness of individual Huet-Huets to enter into clearcuts from adjacent mature pint stands of native forest. The understory vegetation was the main predictor of P. castaneus abundance in native forest and mature pine plantations, but not into clearcut stands. Although Huet-Huets tended to be reluctant to enter into clearcuttings, their displacement into clearcuttings was positively influenced by the understory present in both the clearcut stands and the habitats where they had been experimentally attracted by playbacks (i.e., native forest or mature pine). We conclude that the conservation of P. castaneus in forest plantations involves modifying the traditional clearcutting system into a forest management that minimizes the use of herbicides while promoting the retention of understory vegetation and woody debris. (C) 2016 Elsevier B.V. All rights reserved.</t>
  </si>
  <si>
    <t>Vergara, Pablo/F-2519-2010; Simonetti, Javier A./A-4658-2008</t>
  </si>
  <si>
    <t>Vergara, Pablo/0000-0002-0024-1678; Simonetti, Javier A./0000-0002-7238-4133</t>
  </si>
  <si>
    <t>0378-1127</t>
  </si>
  <si>
    <t>1872-7042</t>
  </si>
  <si>
    <t>10.1016/j.foreco.2016.11.005</t>
  </si>
  <si>
    <t>WOS:000390727600029</t>
  </si>
  <si>
    <t>Finite element approximation of the viscoelastic flow problem: A non-residual based stabilized formulation</t>
  </si>
  <si>
    <t>COMPUTERS &amp; FLUIDS</t>
  </si>
  <si>
    <t>18th International Conference on Finite Elements in Flow Problems (FEF)</t>
  </si>
  <si>
    <t>MAR 16-18, 2015</t>
  </si>
  <si>
    <t>Taipei, TAIWAN</t>
  </si>
  <si>
    <t>In this paper, a three-field finite element stabilized formulation for the incompressible viscoelastic fluid flow problem is tested numerically. Starting from a residual based formulation, a non-residual based one is designed, the benefits of which are highlighted in this work. Both formulations allow one to deal with the convective nature of the problem and to use equal interpolation for the problem unknowns sigma - u - p (deviatoric stress, velocity and pressure). Additionally, some results from the numerical analysis of the formulation are stated. Numerical examples are presented to show the robustness of the method, which include the classical 4:1 planar contraction problem and the flow over a confined cylinder case, as well as a two-fluid formulation for the planar jet buckling problem. (C) 2016 Elsevier Ltd. All rights reserved.</t>
  </si>
  <si>
    <t>Codina, Ramon/I-2311-2014; Castillo, Ernesto/D-1612-2015</t>
  </si>
  <si>
    <t>Codina, Ramon/0000-0002-7412-778X; Castillo, Ernesto/0000-0001-7013-6008</t>
  </si>
  <si>
    <t>0045-7930</t>
  </si>
  <si>
    <t>1879-0747</t>
  </si>
  <si>
    <t>10.1016/j.compfluid.2016.07.012</t>
  </si>
  <si>
    <t>WOS:000390077800009</t>
  </si>
  <si>
    <t>Córdova, FM; Durán, CA; Galindo, R</t>
  </si>
  <si>
    <t>Lee, H; Shi, Y; Lee, J; Cordova, F; Dzitac, I; Kou, G; Li, J</t>
  </si>
  <si>
    <t>Cordova, Felisa M.; Duran, Claudia A.; Galindo, Raquel</t>
  </si>
  <si>
    <t>Evaluation of intangible assets and best practices in a medium-sized port community</t>
  </si>
  <si>
    <t>PROMOTING BUSINESS ANALYTICS AND QUANTITATIVE MANAGEMENT OF TECHNOLOGY: 4TH INTERNATIONAL CONFERENCE ON INFORMATION TECHNOLOGY AND QUANTITATIVE MANAGEMENT (ITQM 2016)</t>
  </si>
  <si>
    <t>4th International Conference on Information Technology and Quantitative Management (ITQM) - Promoting Business Analytics and Quantitative Management of Technology</t>
  </si>
  <si>
    <t>AUG 16-18, 2016</t>
  </si>
  <si>
    <t>Asan, SOUTH KOREA</t>
  </si>
  <si>
    <t>Hoseo Univ, Acad Informat Technol &amp; Quantitat Management,Korea Adv Inst Sci &amp; Technol,Chinese Acad Sci, Res Ctr Fictitious Economy &amp; Data Sci,Chinese Acad Sci, Key Lab Big Data Mining &amp; Knowledge Management,Univ Chinese Acad Sci, Sch Econ &amp; Management,Chinese Acad Sci, Inst Policy &amp; Management,Univ Nebraska,Beijing Taiji Huabao Tech Co Ltd,Chinese Acad Management</t>
  </si>
  <si>
    <t>This paper analyses the main factors involved in the knowledge management of different actors participating in a Chilean port community. The intangible assets participating in the creation of value of the port community, which are expressed in ideas, attitudes, perceptions, experiences, information and knowledge management, are evaluated and classified according to community members' core competencies. Then, the current situation of public institutions and companies participating in the port community is diagnosed utilizing interviews to experts and relevant actors. The role of the intellectual, structural, and social capital is examined in relation to strategic statements present in the missions of public and private port system companies. The results of the assessment enable to identify the main critical factors in knowledge management, transference, dissemination, collaboration and team work, storage, and best practices. In particular, the Conversation System stage of the Primary Model is analyzed and evaluated, as well as its causes, by actors of the port community and experts. Initiatives fostering collective work and encouraging conversations are proposed. Some of the best practices developed by the port community to create and disseminate stakeholders' knowledge are presented. Also, a set of knowledge management indicators and indexes is developed and presented. (C) 2016 The Authors. Published by Elsevier B.V. This is an open access article under the CC BY-NC-ND license</t>
  </si>
  <si>
    <t>CORDOVA, FELISA/S-1093-2019; Duran, Claudia/S-1175-2019</t>
  </si>
  <si>
    <t>10.1016/j.procs.2016.07.043</t>
  </si>
  <si>
    <t>WOS:000387683300008</t>
  </si>
  <si>
    <t>Herrera, C; Rosales, J; Thomas, A; Parada, V</t>
  </si>
  <si>
    <t>Borangiu, T; Trentesaux, D; Thomas, A; McFarlane, D</t>
  </si>
  <si>
    <t>Herrera, Carlos; Rosales, Jose; Thomas, Andre; Parada, Victor</t>
  </si>
  <si>
    <t>A Holonic Manufacturing System for a Copper Smelting Process</t>
  </si>
  <si>
    <t>SERVICE ORIENTATION IN HOLONIC AND MULTI-AGENT MANUFACTURING</t>
  </si>
  <si>
    <t>Studies in Computational Intelligence</t>
  </si>
  <si>
    <t>5th International Workshop on Service Orientation in Holonic and Multi-Agent Manufacturing (SOHOMA)</t>
  </si>
  <si>
    <t>NOV 05-06, 2015</t>
  </si>
  <si>
    <t>Cambridge, ENGLAND</t>
  </si>
  <si>
    <t>Univ Cambridge, Inst Mfg,Univ Politehnica Bucharest, CIMR Res Ctr Comp Integrated Mfg &amp; Robot,Univ Valenciennes, Lab Ind &amp; Human Automat Control, Mech Engn &amp; Comp Sci,Hainaut Cambresis,Univ Lorraine, CRAN Res Ctr Automat Control</t>
  </si>
  <si>
    <t>In this article, a holonic manufacturing system to coordinate the activities in a copper concentrate smelting process is designed. The system was developed and compared with a simulation of the current system in use. Four scenarios with different feeding levels of copper concentrate were considered. The results show an increase in the amount of processed ore in the four studied scenarios because of a reduction in the total waiting time and more efficient use of the plant equipment. Thus, the better use of resources and a decrease in idle time because of improved coordination of activities and different components of the system is highlighted.</t>
  </si>
  <si>
    <t>Herrera, Carlos/AAF-9657-2021; Parada, Victor/M-5840-2014</t>
  </si>
  <si>
    <t>Herrera, Carlos/0000-0003-1369-9861</t>
  </si>
  <si>
    <t>1860-949X</t>
  </si>
  <si>
    <t>978-3-319-30337-6; 978-3-319-30335-2</t>
  </si>
  <si>
    <t>10.1007/978-3-319-30337-6_18</t>
  </si>
  <si>
    <t>WOS:000386325800018</t>
  </si>
  <si>
    <t>Sepúlveda-Rojas, JP; Benitez-Fuentes, PA</t>
  </si>
  <si>
    <t>Dzitac, I; Filip, FG; Manolescu, MJ</t>
  </si>
  <si>
    <t>Pedro Sepulveda-Rojas, Juan; Andres Benitez-Fuentes, Paulo</t>
  </si>
  <si>
    <t>Coordination and Return Uncertainties in Closed Loop Supply Chains</t>
  </si>
  <si>
    <t>2016 6TH INTERNATIONAL CONFERENCE ON COMPUTERS COMMUNICATIONS AND CONTROL (ICCCC)</t>
  </si>
  <si>
    <t>6th International Conference on Computers Communications and Control (ICCCC)</t>
  </si>
  <si>
    <t>MAY 10-14, 2016</t>
  </si>
  <si>
    <t>IEEE,IEEE Reg 8,Agora Univ</t>
  </si>
  <si>
    <t>In this article we analyze quantitatively the gains of coordination in a closed loop supply chain context for different levels of uncertainty about returns. The novel characteristic of this study is to evaluate quantitatively the value of coordination for operational decisions (in the context of inventory management decisions). Thus, we find it interesting to verify its validity in the reverse logistics setting. We observe principally that the works in this area, according to some authors, use approaches such as game theory or contracting. This leads us to believe that there is a gap in the studies on the influence of coordination in relation to operational decisions such as inventory management. One of the more important characteristics of the closed loop supply chain context is the addition of uncertainties about returns. This heightens our interests on the analysis of this topic. We show through a numerical experiment the convenience of global coordination in a closed loop supply chain for different levels of uncertainty. Finally, we observe that the value of coordination, as uncertainty increases, slightly decreases.</t>
  </si>
  <si>
    <t>Sepulveda-Rojas, Juan Pedro/C-1799-2013</t>
  </si>
  <si>
    <t>Sepulveda-Rojas, Juan Pedro/0000-0002-6725-7295</t>
  </si>
  <si>
    <t>978-1-5090-1735-5</t>
  </si>
  <si>
    <t>WOS:000391251000029</t>
  </si>
  <si>
    <t>Pizarro, J; Castillo, X; Jara, S; Ortiz, C; Navarro, P; Cid, H; Rioseco, H; Barros, D; Belzile, N</t>
  </si>
  <si>
    <t>Pizarro, Jaime; Castillo, Ximena; Jara, Sebastian; Ortiz, Claudia; Navarro, Patricio; Cid, Hector; Rioseco, Hector; Barros, Daniel; Belzile, Nelson</t>
  </si>
  <si>
    <t>Adsorption of Cu2+ on coal fly ash modified with functionalized mesoporous silica</t>
  </si>
  <si>
    <t>FUEL</t>
  </si>
  <si>
    <t>The surface properties of coal fly ash modified with a mesoporous siliceous material and functionalized with 3-aminopropyl-triethoxysilane were studied to evaluate the adsorption capacity of the new matrix for Cu2+ ions under different pH, initial metal concentrations, number of contacts and times for different adsorbent masses. The synthesized material was characterized chemically and morphologically, showing an increase of active surface and pore uniformity with respect to the initial fly ash. The new material showed great affinity for Cu2+, whose removal was between 98% in the 10-20 mg L-1 initial concentration range, and 95% removal in the 30-45 mg L-1 initial range. At pH &gt; 4, there was an increased adsorption capacity of the matrix, with pH 5 being the optimum working condition. The Freundlich model is the one that best represents the adsorption capacity of the studied matrix. (C) 2015 Elsevier Ltd. All rights reserved.</t>
  </si>
  <si>
    <t>Cid, Héctor/AAH-5471-2020; Belzile, Nelson/J-4607-2019</t>
  </si>
  <si>
    <t>Cid Silva, Hector A./0000-0001-5942-608X</t>
  </si>
  <si>
    <t>0016-2361</t>
  </si>
  <si>
    <t>1873-7153</t>
  </si>
  <si>
    <t>10.1016/j.fuel.2015.04.030</t>
  </si>
  <si>
    <t>WOS:000354571400012</t>
  </si>
  <si>
    <t>Valdes-Badilla, P; Godoy-Cumillaf, A; Herrera-Valenzuela, T; Durán-Agüero, S</t>
  </si>
  <si>
    <t>Valdes-Badilla, Pablo; Godoy-Cumillaf, Andres; Herrera-Valenzuela, Tomas; Duran-Aguero, Samuel</t>
  </si>
  <si>
    <t>THE COMPARISON BETWEEN FOOD HABITS AND PHYSICAL CONDITION AMONG PHYSICAL EDUCATION AND OTHER UNDERGRADUATE STUDENTS</t>
  </si>
  <si>
    <t>Introduction: college students show a great susceptibility to acquire inadequate habits during their university studies, which they could maintain along their life. Objective: compare the dietary habits and physical fitness among physical education students and other university careers at the same university and campus. Methods: the sample included 343 students, mainly men (70%), 212 students from the career of Physical Education (PE) and 131 students of other careers (OC) of the Universidad Autonoma de Chile, Temuco campus. A validated survey about eating habits and physical fitness tests were applied to each student. Results: in comparison with the students from other careers, the men of PE have a lower frequency of consumption of dairy, vegetables, alcohol (p &lt;0.05) and women of PE have higher frequency of consumption of homemade food, biscuits and sweet snacks (p &lt;0.05). Regarding the physical fitness, PE students obtained the best performance as was expected. Conclusion: no major differences were observed among the eating habits of students PE and OC from the same university, while physical fitness is consistent with the greater stimulus that the PE students receive in their academic training, which would serve as a excuse to consume more sugary drinks, junk food, cookies and sweet snacks.</t>
  </si>
  <si>
    <t>Herrera-Valenzuela, Tomas/L-1819-2019; Agüero, Samuel/AAZ-6140-2020</t>
  </si>
  <si>
    <t>DURAN AGUERO, SAMUEL/0000-0002-0548-3676; Valdes-Badilla, Pablo/0000-0002-3948-8280; Herrera-Valenzuela, Tomas/0000-0002-5219-5896</t>
  </si>
  <si>
    <t>10.3305/nh.2015.32.2.9194</t>
  </si>
  <si>
    <t>WOS:000359031000046</t>
  </si>
  <si>
    <t>Chávez, H; Baldick, R; Sharma, S</t>
  </si>
  <si>
    <t>Chavez, Hector; Baldick, Ross; Sharma, Sandip</t>
  </si>
  <si>
    <t>Governor Rate-Constrained OPF for Primary Frequency Control Adequacy</t>
  </si>
  <si>
    <t>IEEE TRANSACTIONS ON POWER SYSTEMS</t>
  </si>
  <si>
    <t>The integration of non-dispatchable generation has led to a change in the dynamics of primary frequency response. This change, mostly driven by the limited contribution of non-dispatchable generation to both total system inertia and governor response, may deteriorate the performance of current practices for determining primary reserves to the extend that real time operation reliability may no longer be ensured. This work establishes sufficient conditions for ensuring primary response adequacy through ex-ante dispatch instructions. A simplified dynamic model of primary frequency response (including system inertia, system governors' ramp rates, and dead bands) is developed to formulate a constraint suitable for an OPF framework. A simulation of ERCOT is presented to test the proposed formulation.</t>
  </si>
  <si>
    <t>0885-8950</t>
  </si>
  <si>
    <t>1558-0679</t>
  </si>
  <si>
    <t>10.1109/TPWRS.2014.2298838</t>
  </si>
  <si>
    <t>WOS:000335399100055</t>
  </si>
  <si>
    <t>Fuentes-Appelgren, P; Opazo, R; Barros, L; Feijoó, CG; Urzúa, V; Romero, J</t>
  </si>
  <si>
    <t>Fuentes-Appelgren, Pamela; Opazo, Rafael; Barros, Luis; Feijoo, Carmen G.; Urzua, Victoria; Romero, Jaime</t>
  </si>
  <si>
    <t>Effect of the Dietary Inclusion of Soybean Components on the Innate Immune System in Zebrafish</t>
  </si>
  <si>
    <t>ZEBRAFISH</t>
  </si>
  <si>
    <t>Some components of plant-based meals, such as saponins and vegetal proteins, have been proposed as inducers of intestinal inflammation in some fish. However, the molecular and cellular bases for this phenomenon have not been reported. In this work, zebrafish were used as a model to evaluate the effects of individual soybean meal components, such as saponins and soy proteins. Zebrafish larvae fed a fish meal feed containing soy components were assessed according to low and high inclusion levels. The granulocytes associated with the digestive tract and the induction of genes related to the immune system were quantitated as markers of the effects of the dietary components. A significant increase in the number of granulocytes was observed after feeding fish diets containing high saponin or soy protein contents. These dietary components also induced the expression of genes related to the innate immune system, including myeloid-specific peroxidase, as well as the complement protein and cytokines. These results reveal the influence of dietary components on the stimulation of the immune system. These observations could be significant to understanding the contributions of saponin and soy protein to the onset of enteritis in aqua-cultured fish, and this knowledge may aid in defining the role of the innate immune system in other inflammatory diseases involving dietary components in mammals.</t>
  </si>
  <si>
    <t>Feijoo, Carmen/AAF-9003-2019; Romero, Jaime/I-2816-2013</t>
  </si>
  <si>
    <t>Romero, Jaime/0000-0001-9614-2393; Feijoo, Carmen G/0000-0003-1128-403X</t>
  </si>
  <si>
    <t>1545-8547</t>
  </si>
  <si>
    <t>1557-8542</t>
  </si>
  <si>
    <t>10.1089/zeb.2013.0934</t>
  </si>
  <si>
    <t>WOS:000333530200006</t>
  </si>
  <si>
    <t>Garcés, L; Vásquez, C; Contreras, E; Urra, J; Diez, MC; Guerrero, L; Palma, C</t>
  </si>
  <si>
    <t>Garces, L.; Vasquez, C.; Contreras, E.; Urra, J.; Diez, M. C.; Guerrero, L.; Palma, C.</t>
  </si>
  <si>
    <t>An alternative, banana peel-based medium used to investigate the catalytic properties of peroxidase from a fungus, Inonotus sp SP2, recently isolated in southern Chile</t>
  </si>
  <si>
    <t>BIOTECHNOLOGY AND BIOPROCESS ENGINEERING</t>
  </si>
  <si>
    <t>Recycling industrial wastes is one of the major goals of bioengineering research. Agricultural wastes are often rich in natural sources of organic and inorganic compounds. The present study investigates the use of banana peel waste as a non-conventional alternative to nitrogen-enriched glucose media for a white rot fungus (WRF), Inonotus sp. SP2, recently isolated in southern Chile. WRF are known to produce biodegrading enzymes, such as peroxidases, that can have industrial and biotechnological applications. To that end, the metabolic characteristics and catalytic properties of peroxidases produced by Inonotus sp. SP2 were compared between glucose and banana peel-based growth mediums. The results establish that this strain of WRF produces high concentrations of a Mn+2-dependent peroxidase, with greater enzymatic activity in extracellular fluid and crude enzyme extracted from fungus grown in banana peel and glucose media, respectively. H2O2 has an inhibiting effect that is greater for enzymes produced in glucose media, and greater biomass can be obtained in banana-peel based media. This demonstrates that banana peel is a suitable and more cost-effective alternative to conventional glucose-based media for the production of biodegradative enzymes, such as peroxidase. Unlike other strains of WRF, the metabolic characteristics of Inonotus sp. SP2 demonstrate that it enters secondary metabolism with the production oxidative enzymes after both carbon and nitrogen sources are depleted. This suggests that with further investigation, this strain of WRF may be useful in industrial applications that require the biodegradation of nitrogen and carbon-based wastes and recalcitrant compounds.</t>
  </si>
  <si>
    <t>Diez, Cristina/C-9130-2015; Toloza, C/H-5501-2015</t>
  </si>
  <si>
    <t>Diez, Maria Cristina/0000-0002-9494-1551</t>
  </si>
  <si>
    <t>1226-8372</t>
  </si>
  <si>
    <t>1976-3816</t>
  </si>
  <si>
    <t>10.1007/s12257-012-0295-8</t>
  </si>
  <si>
    <t>WOS:000310239800010</t>
  </si>
  <si>
    <t>Goya, MC; Lucero, M; Orive, AG; Marín, A; Gimeno, Y; Creus, AH; Aguirre, MJ; Arévalo, MC; Armijo, F</t>
  </si>
  <si>
    <t>Goya, M. C.; Lucero, M.; Gonzalez Orive, A.; Marin, A.; Gimeno, Y.; Hernandez Creus, A.; Aguirre, M. J.; Arevalo, M. C.; Armijo, F.</t>
  </si>
  <si>
    <t>Surface Effect on Fe (III)Poly-(Tetraaminophenyl) Porphyrin Modified Electrodes After Electrocatalytic Reactions. An Electrochemical and Atomic Force Microscopy Study</t>
  </si>
  <si>
    <t>In this work, Fe(III)-poly-m-TAPP and Fe(III)-poly-p-TAPP films were deposited by electropolymerization on different surfaces, e.g. Au(111), Highly Oriented Pyrolytic Graphite (HOPG), glassy carbon and graphite were studied. Atomic force microscopy (AFM) was utilized to monitor the surface generated on the different substrates before and after performing electrochemical reactions at the modified assemblies. To this purpose two electrochemical reactions were studied, namely the electrooxidation of nitrite and electroreduction of oxygen in order to determine porphyrin structural differences and the effect on film morphology when the modified electrode was used as electrocatalyst in redox processes. First, the electropolymerization mechanism depends on the position of the amino group in the porphyrin backbone. The amino group in para position generates a greater amount of oligomers upon the electrode surface, as evidenced by AFM images obtained at HOPG and Au(111). In general all modified electrodes showed electrocatalytic activity toward O-2 electroreduction and NO2. electrooxidation. Fe (III)-poly-p-TAPP modified electrode is better electrocatalysts than Fe (III)-poly-m-TAPP for both reactions in acid and neutral media, respectively. Second, AFM images illustrated how film morphology was affected after being used as electrocatalyst. Fe (III)-poly-mTAPP film is affected to a greater extent and usually forms aggregates on the electrode surface whereas Fe (III)-poly-p-TAPP films exhibited agglomerates and smooth morphology, but in general its deterioration is more homogeneous. Finally, this study showed how both porphyrin polymer films maintain their electrocatalytic properties after successive voltammetric cycles, demonstrating in some degree their stability.</t>
  </si>
  <si>
    <t>Arévalo, M./AAY-1729-2020; Armijo, Francisco/G-3391-2013; Aguirre, Maria/A-3935-2013; Hernandez Creus, Alberto/K-3621-2014; Gonzalez Orive, Alejandro/L-2345-2014</t>
  </si>
  <si>
    <t>Arevalo, M. Carmen/0000-0003-4629-1643; Armijo, Francisco/0000-0002-2479-6280; Hernandez Creus, Alberto/0000-0002-8793-6236; Aguirre, Maria/0000-0003-1134-4469; Gonzalez Orive, Alejandro/0000-0002-9217-5574</t>
  </si>
  <si>
    <t>WOS:000297502500045</t>
  </si>
  <si>
    <t>Vasquez, OC; Sepúlveda, JM; Córdova, F</t>
  </si>
  <si>
    <t>Vasquez, Oscar C.; Sepulveda, Juan M.; Cordova, Felisa</t>
  </si>
  <si>
    <t>Modeling and optimization of vehicle operations in underground copper mining</t>
  </si>
  <si>
    <t>REM-REVISTA ESCOLA DE MINAS</t>
  </si>
  <si>
    <t>In underground mining, daily a fleet of LHDs must be allocated to a haulage network of drifts for extracting ore according to a plan-driven strategy. This plan is hierarchically decided by a higher management level and it contains the number of ore bucketfuls to be extracted from each drawpoint within a drift for each working shift. In this paper, an integer programming (IP) model for minimizing the makespan of drift workload is formulated and a polynomial time optimal algorithm for its resolution is proposed. Next, a set of decision rules obtained from the algorithm above is integrated into the decision-making process (DMP). This DMP is simple to execute for LHD operators, determines the optimal makespan, and whether or not it can be carried out in the working shift. Finally, a comparative analysis between the DMP proposed and the DMP used in El Teniente copper underground Chilean mine is studied. The results show that the cumulative operators experience has converged to solutions near to optimal makespan.</t>
  </si>
  <si>
    <t>CORDOVA, FELISA/S-1093-2019</t>
  </si>
  <si>
    <t>Vasquez, Oscar C./0000-0002-1393-4692; Sepulveda, Juan M./0000-0003-3755-0981; CORDOVA, FELISA/0000-0002-5557-8569</t>
  </si>
  <si>
    <t>0370-4467</t>
  </si>
  <si>
    <t>10.1590/S0370-44672011000300017</t>
  </si>
  <si>
    <t>WOS:000295725100016</t>
  </si>
  <si>
    <t>Dos Santos, JPC; Henríquez, H; Hernández, E</t>
  </si>
  <si>
    <t>Dos Santos, Jose Paulo C.; Henriquez, Hernan; Hernandez, Eduardo</t>
  </si>
  <si>
    <t>EXISTENCE RESULTS FOR NEUTRAL INTEGRO-DIFFERENTIAL EQUATIONS WITH UNBOUNDED DELAY</t>
  </si>
  <si>
    <t>JOURNAL OF INTEGRAL EQUATIONS AND APPLICATIONS</t>
  </si>
  <si>
    <t>In this paper we discuss the existence of mild, strict and classical solutions for a class of abstract integro-differential equations in Banach spaces. Some applications to ordinary and partial integro-differential equations are considered.</t>
  </si>
  <si>
    <t>Hernández, Eduardo/N-4531-2013; Santos, José/F-9905-2012</t>
  </si>
  <si>
    <t>Hernandez, Eduardo/0000-0002-4279-8570; Carvalho dos Santos, Jose Paulo/0000-0002-4161-1786</t>
  </si>
  <si>
    <t>0897-3962</t>
  </si>
  <si>
    <t>1938-2626</t>
  </si>
  <si>
    <t>SUM</t>
  </si>
  <si>
    <t>10.1216/JIE-2011-23-2-289</t>
  </si>
  <si>
    <t>WOS:000293197300005</t>
  </si>
  <si>
    <t>Garnica, JV</t>
  </si>
  <si>
    <t>Vera Garnica, Jose</t>
  </si>
  <si>
    <t>The Salmon Cluster in Chile: Analysis of Competitiveness Factors on an International Scale</t>
  </si>
  <si>
    <t>REVISTA VENEZOLANA DE GERENCIA</t>
  </si>
  <si>
    <t>This study aims to identify and analyze the central factors that determine the international competitiveness of the Salmon Cluster in Chile. The methodology used is descriptive, contrasting theoretical approaches raised by Porter in Determining the Competitive Advantage of Nations and External Economies and Joint Action developed by Schmitz. Results state that factors consisting of natural conditions, low labor costs and the presence of specialized educational centers play an important role in cluster competitiveness. With regard to ancillary and related sectors, the network of suppliers and technology has enhanced its efficiency. The cluster structure has been boosted with the arrival of foreign capital, strengthening innovation and technology transfer. As for collective efficiency, the result of external economies and joint action is determined by a strong network of partnerships. The Salmon Cluster Chile is a case where elements to strengthen its competitiveness in international markets are the product of particular conditions regarding the territory and the ability to produce action.</t>
  </si>
  <si>
    <t>1315-9984</t>
  </si>
  <si>
    <t>WOS:000270789600003</t>
  </si>
  <si>
    <t>Villagrán, M; Muena, JP; Ferraudi, G; Zagal, JH; Costamagna, J</t>
  </si>
  <si>
    <t>Villagran, M.; Muena, J. P.; Ferraudi, G.; Zagal, J. H.; Costamagna, J.</t>
  </si>
  <si>
    <t>Electrochemical reduction of S(IV) species in aqueous medium by glassy carbon electrodes modified with polymeric copper(II)tetra-aza-annulene complexes</t>
  </si>
  <si>
    <t>JOURNAL OF COORDINATION CHEMISTRY</t>
  </si>
  <si>
    <t>The electrocatalytic reduction of SO2 in aqueous media was studied as a function of the pH at a glassy carbon electrode modified with poly[Cu(II)-5,7,12,14-tetramethyldinaphtho[b,i]-1,4,8,11-tetraaza[14]annulene] film. The best amperometric response was obtained at pH = 1 and the activity decreased upon pH increasing. The SO2 reduction potential in this condition was shifted ca. 220 mV in the anodic direction compared to the value observed in bare glassy carbon. The Tafel slope, 278.64 mV dec-1, and the charge transfer coefficient, 0.18, are consistent with some interaction between SO2 and the modified electrode. The amperometric response is linear up to a 0.1 mM SO2 concentration, the detection limit being 0.02 mM under optimized conditions.</t>
  </si>
  <si>
    <t>0095-8972</t>
  </si>
  <si>
    <t>1029-0389</t>
  </si>
  <si>
    <t>PII 905598516</t>
  </si>
  <si>
    <t>10.1080/00958970802474771</t>
  </si>
  <si>
    <t>WOS:000260926100015</t>
  </si>
  <si>
    <t>Hutchinson, M; Raff, U</t>
  </si>
  <si>
    <t>Hutchinson, Michael; Raff, Ulrich</t>
  </si>
  <si>
    <t>On false negatives in MRI studies of Parkinson disease</t>
  </si>
  <si>
    <t>MOVEMENT DISORDERS</t>
  </si>
  <si>
    <t>0885-3185</t>
  </si>
  <si>
    <t>1531-8257</t>
  </si>
  <si>
    <t>10.1002/mds.21515</t>
  </si>
  <si>
    <t>WOS:000248527800034</t>
  </si>
  <si>
    <t>López, R; Moya, SA; Zúñiga, C; Yáñez, M; Bayón, JC; Aguirre, P</t>
  </si>
  <si>
    <t>Lopez, R.; Moya, S. A.; Zuniga, C.; Yanez, M.; Bayon, J. C.; Aguirre, P.</t>
  </si>
  <si>
    <t>Design and spectroscopic study of new ruthenium(II) complexes containing ligands derived from terpyridine and dipyrido[3,2-a:2′,3′-c]phenazine:: {Ru(4′-Rph-tpy)[dppz(COOH)]Cl}PF6 with R=NO2, Br, Cl</t>
  </si>
  <si>
    <t>A series of polypyridine ruthenium complexes of the general formula [Ru(Rph-tpy)[dppz(COOH)]Cl) PF6 with R = Br (1), Cl (2), NO2 (3) where Rph-tpy is 4'-(4-Rphenyl-2,2':6',2-terpyridine and dppz(COOH) is dipyrido[3,2-a:2',3'-c]phenazine-2-carboxylic acid were prepared and characterized. These complexes display intense metal-to-ligand charge-transfer (MLCT) bands centered about 500 nm. The effect of pH on the absorption spectra of these complexes consisting of protonatable ligands has been investigated in water solution by spectrophotometric titration. The electrochemistry shows oxidation potentials for the Ru(II)-Ru(III) couple at +0.881 (1), +0.907 (2) and +0.447 V (3), respectively. Copyright (c) 2006 John Wiley &amp; Sons, Ltd.</t>
  </si>
  <si>
    <t>Zuniga, Cesar/0009-0004-8736-6861</t>
  </si>
  <si>
    <t>10.1002/aoc.1050</t>
  </si>
  <si>
    <t>WOS:000238053000003</t>
  </si>
  <si>
    <t>García, C; Celentano, D; Flores, F; Ponthot, JP; Oliva, O</t>
  </si>
  <si>
    <t>Numerical modelling and experimental validation of steel deep drawing processes -: Part II:: Applications</t>
  </si>
  <si>
    <t>JOURNAL OF MATERIALS PROCESSING TECHNOLOGY</t>
  </si>
  <si>
    <t>This paper presents the modelling and experimental validation of three different deep drawing applications: the Erichsen test, a cylindrical cup test and an industrial sheet metal forming process. The sheet forrning material considered in the study is the EK4 steel characterized in Part I of this work. A finite element analysis of the deformation process is performed with a large strain hyperelastic shell formulation including the Hill-48 associate plasticity model. The experimental validation of the results provided by the simulation encompasses the punch force evolution together with the in-plane principal deformations and thickness distributions of the final deformed part. (c) 2005 Elsevier B.V. All rights reserved.</t>
  </si>
  <si>
    <t>Celentano, Diego/JQW-5027-2023; García-Herrera, Claudio/ABE-8991-2020; Flores, Fernando/O-6756-2014</t>
  </si>
  <si>
    <t>Flores, Fernando/0000-0002-7567-2691; Garcia-Herrera, Claudio/0000-0002-1283-8551</t>
  </si>
  <si>
    <t>0924-0136</t>
  </si>
  <si>
    <t>10.1016/j.jmatprotec.2005.11.016</t>
  </si>
  <si>
    <t>WOS:000236294600020</t>
  </si>
  <si>
    <t>Sepulveda, W; Wong, AE; Gonzalez, R; Vasquez, P; Gutierrez, J</t>
  </si>
  <si>
    <t>Fetal death due to umbilical cord hematoma: A rare complication of umbilical cord cyst</t>
  </si>
  <si>
    <t>JOURNAL OF MATERNAL-FETAL &amp; NEONATAL MEDICINE</t>
  </si>
  <si>
    <t>We report two cases of an umbilical cord cystic mass detected by sonography in otherwise structurally normal second-trimester fetuses, which were later complicated by a cord hematoma and fetal death.</t>
  </si>
  <si>
    <t>1476-7058</t>
  </si>
  <si>
    <t>1476-4954</t>
  </si>
  <si>
    <t>10.1080/14767050500277602</t>
  </si>
  <si>
    <t>WOS:000234532100005</t>
  </si>
  <si>
    <t>Mery, D; Hahn, D; Hitschfeld, N</t>
  </si>
  <si>
    <t>Simulation of defects in aluminium castings using CAD models of flaws and real X-ray images</t>
  </si>
  <si>
    <t>In order to evaluate the sensitivity of defect inspection systems, it is convenient to examine simulated data. This gives the possibility to tune the parameters of the inspection method and to test the performance of the system in cases where the detection is known to be difficult. In this paper, an interactive environment for the simulation of defects in radioscopic images of aluminium castings is presented. The approach simulates only the flaws and not the whole radioscopic image of the object under test. A manifold surface is used to model a flaw with complex geometry, which is projected and superimposed onto real radioscopic images of a homogeneous object according to the exponential attenuation law for X-rays. The new grey value of a pixel, where the 3D flaw is projected, depends only on four parameters: a) the grey value of the original X-ray image without flaw; b) the linear absorption coefficient of the examined material; c) the maximal thickness observable in the radioscopic image; and d) the length of the intersection of the 3D flaw with the modelled X-ray beam, that is projected into the pixel. The approach allows the user the simulation of complex flaws at any position of an aluminium casting. Simulation results of flaws like blow holes and cracks on X-ray images are shown and contrasted with real digital images with real flaws.</t>
  </si>
  <si>
    <t>Mery, Domingo/D-1385-2014; Hitschfeld, Nancy/I-1092-2013</t>
  </si>
  <si>
    <t>Mery, Domingo/0000-0003-4748-3882; Hitschfeld, Nancy/0000-0003-4923-4679</t>
  </si>
  <si>
    <t>10.1784/insi.2005.47.10.618</t>
  </si>
  <si>
    <t>WOS:000232793200010</t>
  </si>
  <si>
    <t>Pardey, AJ; Fernández, M; Rivas, AB; Ortega, MC; Urbina, C; Moronta, D; Longo, C; Mediavilla, M; Baricelli, PJ; Moya, SA</t>
  </si>
  <si>
    <t>Water gas shift reaction and nitrobenzene reduction catalysis by tetracarbonyldi-μ-chlorodirhodium(I) complex immobilized on poly(4-vinylpyridine)</t>
  </si>
  <si>
    <t>The preparation, characterization and catalytic properties of Rh-2(CO)(4)Cl-2 immobilized on poly(4-vinylpyridine) are reported. The polymer-immobilized Rh catalyst in contact with 80% aqueous 2-ethoxyethanol is active for the water gas shift reaction and nitrobenzene reduction to azoxybenzene under carbon monoxide at 100 degreesC. The polymer-immobilized Rh complex was found to be reusable. The Rh complex was coordinatively bonded to the pyridine groups of the organic polymer as suggested by UV-Vis/diffuse reflectance (UV-Vis/DR), Fourier transform infrared (FT-IR), and electron paramagnetic resonance (EPR) spectroscopies. The morphology and the elemental analysis of the immobilized catalyst were studied by scanning electron microscopy-energy dispersive X-ray (SEM-EDX) technique. (C) 2001 Elsevier Science B.V. All rights reserved.</t>
  </si>
  <si>
    <t>FEB 20</t>
  </si>
  <si>
    <t>PII S0020-1693(01)00782-4</t>
  </si>
  <si>
    <t>10.1016/S0020-1693(01)00782-4</t>
  </si>
  <si>
    <t>WOS:000174492500004</t>
  </si>
  <si>
    <t>Aliste, MP; Cárdenas-Jirón, GI</t>
  </si>
  <si>
    <t>Computational studies on the electrophilic bromination of cytisine.</t>
  </si>
  <si>
    <t>57-ORGN</t>
  </si>
  <si>
    <t>U51</t>
  </si>
  <si>
    <t>WOS:000170690100255</t>
  </si>
  <si>
    <t>Velasquez, LA; Maisey, K; Fernandez, R; Valdes, D; Cardenas, H; Imarai, M; Delgado, J; Aguilera, J</t>
  </si>
  <si>
    <t>PAF receptor and PAF acetylhydrolase expression in the endosalpinx of the human Fallopian tube: possible role of embryo-derived PAF in the control of embryo transport to the uterus</t>
  </si>
  <si>
    <t>BACKGROUND: Prostaglandin-E-2 and platelet-activating factor (PAF) are embryonic-derived signals that time embryo passage into the uterus in the mare and hamster respectively. PAF-like activity is detectable in the spent media of preimplantation human embryos and it has been suggested that PAF may be the embryonic signal that controls embryo transport to the uterus in our species. The actions of PAF are regulated at the level of its synthesis and degradation as well as the expression of a specific cell surface receptor (PAFr). The enzyme PAF acetylhydrolase (PAF-AH) degrades PAR This study was undertaken to examine whether or not PAFr and PAF-AH are expressed in the human Fallopian tube and to identify the cell types in which they are expressed. METHODS: The presence of PAFr mRNA in tissue extracts was investigated using reverse transcription-polymerase chain reaction. We amplified the predicted amplicon for PAFr mRNA from RNA samples extracted from Fallopian tubes. The expression of PAF-AH was detected by Western blot and the localization of PAFr and PAF-AH proteins was detected by immunohistochemistry. RESULTS: Utilizing antibodies against PAFr and PAF-AH, co-localization of the two proteins in the epithelium and stromal cells were demonstrated. CONCLUSIONS: These observations show that the human Fallopian tube expresses PAFr and PAF-AH at a location compatible with the proposed paracrine role of early embryo-derived PAF.</t>
  </si>
  <si>
    <t>Maisey, Kevin/AAP-2886-2021; Fernandez, Ricardo/H-3422-2018</t>
  </si>
  <si>
    <t>Maisey, Kevin/0000-0002-7423-6329; Delgado, Juan Luis/0000-0003-1687-0222; Velasquez, Luis/0000-0002-9479-1792; Imarai, Monica/0000-0001-8767-9180; Fernandez, Ricardo/0000-0003-4493-9362</t>
  </si>
  <si>
    <t>1460-2350</t>
  </si>
  <si>
    <t>10.1093/humrep/16.8.1583</t>
  </si>
  <si>
    <t>WOS:000170441100008</t>
  </si>
  <si>
    <t>Zuniga, GE; Alberdi, M; Corcuera, LJ</t>
  </si>
  <si>
    <t>Non-structural carbohydrates in Deschampsia antarctica Desv from South Shetland Islands, Maritime Antarctic</t>
  </si>
  <si>
    <t>ENVIRONMENTAL AND EXPERIMENTAL BOTANY</t>
  </si>
  <si>
    <t>Deschampsia antarctica Desv. (Angiosperm: family Graminaceae) plants were collected from Robert Island, South Shetland Islands, Maritime Antarctic, during February, 1992 and January, 1993, and were extracted with 80% ethanol. Total soluble sugars were analyzed in leaves and roots by colorimetric and HPLC techniques. Compared with other gramineae, the levels of sucrose and fructans were higher. These substances reached their maximum levels by the end of summer. The levels of sucrose and fructans found in February, 1992 were twice the level found in January, 1993. We suggest that the unusually high accumulation of sucrose and fructans may be one of the protective mechanisms against low temperature that has allowed D. antarctica to grow in the Maritime Antarctic.</t>
  </si>
  <si>
    <t>0098-8472</t>
  </si>
  <si>
    <t>10.1016/S0098-8472(96)01026-X</t>
  </si>
  <si>
    <t>WOS:A1996WC14600005</t>
  </si>
  <si>
    <t>MOYA, SA; PASTENE, R; SARTORI, R; DIXNEUF, P; LEBOZEC, H</t>
  </si>
  <si>
    <t>ELECTROCHEMICAL STUDIES OF [BRRE(CO)(3)(L)]-TYPE RHENIUM(I) POLYPYRIDINE COMPLEXES</t>
  </si>
  <si>
    <t>11th Latin-American Congress on Electrochemistry/9th Brazilian Symposium on Electrochemistry and Electroanalysis</t>
  </si>
  <si>
    <t>APR 04-09, 1994</t>
  </si>
  <si>
    <t>AGUAS DE LINDOIA, BRAZIL</t>
  </si>
  <si>
    <t>The electrochemical and spectroscopic properties of several tricarbonyl rhenium(I) complexes containing polypyridine ligands (2,2':6',2''-terpyridine (tpy), 4'-phenyl-2,2':6',2''-terpyridine (ph-tpy), 4'-(4'''-pyridyl)-2,2':6',2''-terpyridin (py-tpy), 2',6'-di-2-quinolylpyridine (dq-py), and 2',6'-di-2-naphthyridylpyridine (dn-py) were determined. A good correlation between the redox potentials and E(abs) was found upon considering the lowest energy transitions of the electronic spectrum for the-prepared complexes. We conclude that the same molecular orbitals are involved in the electrochemical oxidation-reduction and in the metal-ligand charge-transfer absorption process for these species. The understanding of the spectral and redox properties of these complexes and their correlations permit the confirmation of the correct transitions in the UV-vis spectrum.</t>
  </si>
  <si>
    <t>10.5935/0103-5053.19950006</t>
  </si>
  <si>
    <t>WOS:A1995RF70700007</t>
  </si>
  <si>
    <t>DELARCO, M; CARRAZAN, SRG; RIVES, V; GILLLAMBIAS, FJ; MALET, P</t>
  </si>
  <si>
    <t>SURFACE SPECIES FORMED UPON SUPPORTING MOLYBDENA ON ALUMINA BY MECHANICALLY MIXING BOTH OXIDES</t>
  </si>
  <si>
    <t>JOURNAL OF CATALYSIS</t>
  </si>
  <si>
    <t>Malet, Pilar/H-5758-2011; Del Arco, Margarita/A-5102-2017; Rives, Vicente/A-8719-2008; Gonzalez Carrrazan, Silvia/K-7166-2014</t>
  </si>
  <si>
    <t>Del Arco, Margarita/0000-0003-0277-0298; Rives, Vicente/0000-0002-0518-8351; Gonzalez Carrrazan, Silvia/0000-0001-9917-9909</t>
  </si>
  <si>
    <t>0021-9517</t>
  </si>
  <si>
    <t>10.1006/jcat.1993.1117</t>
  </si>
  <si>
    <t>WOS:A1993KZ47200005</t>
  </si>
  <si>
    <t>Herrera-Seda, C; Pantic, N</t>
  </si>
  <si>
    <t>Herrera-Seda, Constanza; Pantic, Natasa</t>
  </si>
  <si>
    <t>Exercising Teacher Agency for Inclusion in Challenging Times: A Multiple Case Study in Chilean Schools</t>
  </si>
  <si>
    <t>Teacher agency has been recognised as a relevant concept for understanding the role of teachers in the current uncertain and changing contexts. However, its study about inclusive education is recent, especially in the Global South. This study analysed how teachers exercised agency for inclusive education during the COVID-19 crisis and the conditions that enabled or inhibited agency. This article explores Chilean schools, where neoliberal policies particularly challenge teachers' agency. A multiple case study was conducted based on mixed methods. Online questionnaires were carried out with 154 teachers from 5 schools. In addition, five teachers from each school participated in in-depth group interviews. The findings show how teachers promoted students' learning and participation in response to the challenges of the pandemic. Teachers mobilised resources to adapt to the context of uncertainty and supported one another. Among the influential factors, education policy constraints and control were reduced during the pandemic, thus creating opportunities to achieve agency for inclusion across the schools. At the same time, leadership, collaboration, and vision influenced agency differently in each school. While not aiming for major transformations, this study shows how teachers develop initiatives to adapt their practices and contribute to building inclusive schools despite contextual constraints.</t>
  </si>
  <si>
    <t>Pantic, Natasa/AAW-6802-2020</t>
  </si>
  <si>
    <t>MAR 4</t>
  </si>
  <si>
    <t>10.3390/educsci15030316</t>
  </si>
  <si>
    <t>WOS:001453849300001</t>
  </si>
  <si>
    <t>Herrera, M; Morales, M</t>
  </si>
  <si>
    <t>Herrera, Mario; Morales, Mauricio</t>
  </si>
  <si>
    <t>Crossing borders, casting votes: examining migrant electoral turnout in Chile (2012-2020)</t>
  </si>
  <si>
    <t>JOURNAL OF ETHNIC AND MIGRATION STUDIES</t>
  </si>
  <si>
    <t>Our analysis focuses on the determinants of electoral participation among migrants, considering individual factors-gender and age-and variables from their countries of origin, such as economic, political, and institutional aspects. We specifically look at Chile, where migrants are allowed to vote in all elections after acquiring five years of permanent residency. Utilizing a comprehensive administrative census covering over 70 million voters, including 1.2 million migrants, from 2012 to 2020, our findings reveal several key patterns: Gender and age significantly influence voting behavior, with higher turnout among women and older migrants. Additionally, migrants from wealthier nations tend to vote less compared to those from poorer countries. Furthermore, the presence of compulsory voting in the origin country significantly increases participation among migrants, especially those from less democratic or non-democratic countries. This study bridges theoretical models that focus on individual variables and those that emphasize the impact of origin country characteristics on migrant electoral behavior.</t>
  </si>
  <si>
    <t>Herrera, Mario/0000-0001-5453-5594; Morales, Mauricio/0000-0001-6010-9604</t>
  </si>
  <si>
    <t>1369-183X</t>
  </si>
  <si>
    <t>1469-9451</t>
  </si>
  <si>
    <t>2024 AUG 7</t>
  </si>
  <si>
    <t>10.1080/1369183X.2024.2385681</t>
  </si>
  <si>
    <t>WOS:001285591300001</t>
  </si>
  <si>
    <t>Delgado, R; Wilson, CAM; Caballero, L; Melo, F; Bacigalupo, J</t>
  </si>
  <si>
    <t>Delgado, Ricardo; Wilson, Christian A. M.; Caballero, Leonardo; Melo, Francisco; Bacigalupo, Juan</t>
  </si>
  <si>
    <t>Mechanical force activates the light-dependent channels TRP and TRPL in excised patches from the rhabdomere of Drosophila photoreceptors</t>
  </si>
  <si>
    <t>NEUROSCIENCE</t>
  </si>
  <si>
    <t>Drosophila phototransduction in light-sensitive microvilli involves a metabotropic signaling cascade. Photoisomerized rhodopsin couples to G-protein, activating phospholipase C, which cleaves phosphatidylinositol bisphosphate (PIP2) into inositol trisphosphate, diacylglycerol (DAG) and a proton. DAG is converted into phosphatidic acid by DAG-kinase and metabolized to L-linoleoyl glycerol (2-LG) by DAG-lipase. This complex enzyme cascade ultimately opens the light-dependent transient receptor potential channels, TRP and TRPL. PIP2, DAG, H+ and 2-LG are possible channel activators, either individually or combined, but their direct participation in channel-gating remains unresolved. Molecular interaction with the channels, modification of the channels' lipid moiety and mechanical force on the channels by changes in the membrane structure derived from lightdependent changes in lipid composition are possible gating agents. In this regard, mechanical activation was suggested, based on a rapid light-dependent contraction of the photoreceptors mediated by the phototransduction cascade. Here, we further examined this possibility by applying force to inside-out patches from the microvilli membrane by changing the pressure in the pipette or pulling the membrane with a magnet through superparamagnetic nanospheres. The channels were opened by mechanical force, while mutant lacking both channels was insensitive to mechanical stimulation. Atomic Force Microscopy showed that the stiffness of an artificial phospholipid bilayer was increased by arachidonic acid and diacylglycerol whereas elaidic acid was ineffective, mirroring their relative effects in channel activity previously observed electrophysiologically. Together, the results are consistent with the notion that light-induced changes in lipid composition alter the membrane structure, generating mechanical force on the channels leading to channel opening.</t>
  </si>
  <si>
    <t>Melo, Francisco/M-3923-2014; Wilson, Christian A.M./L-5124-2016</t>
  </si>
  <si>
    <t>Wilson, Christian A.M./0000-0002-6499-6957</t>
  </si>
  <si>
    <t>0306-4522</t>
  </si>
  <si>
    <t>1873-7544</t>
  </si>
  <si>
    <t>SEP 13</t>
  </si>
  <si>
    <t>10.1016/j.neuroscience.2024.07.024</t>
  </si>
  <si>
    <t>WOS:001281716000001</t>
  </si>
  <si>
    <t>Tapia, PC; Llancaqueo, JLC; Quiroz, FEA</t>
  </si>
  <si>
    <t>Tapia, Pedro Canales; Llancaqueo, Jose Luis Cabrera; Quiroz, Filip Escudero-Aminao</t>
  </si>
  <si>
    <t>Mapuche historiography: the historical operation of Michel de Certeau at the center of the debate</t>
  </si>
  <si>
    <t>This work strives to develop a view from historical research, which articulates the work and proposals of Mapuche historiography and the historical operation of Michel de Certeau: Through the study of scriptural evidence, we delve into the analysis and challenge that Mapuche historiography faces in the process of historical reconstruction of the collective past, from a national and decolonizing perspective. Certeau's proposal gives us the theoretical basis and the historical method allows us to criticize sources and project this debate in other areas of the Social Sciences.</t>
  </si>
  <si>
    <t>WOS:001367372400012</t>
  </si>
  <si>
    <t>Arratia, J; Ferraz, D; Pereira, D; Ubilla, P</t>
  </si>
  <si>
    <t>Arratia, Juan; Ferraz, Diego; Pereira, Denilson; Ubilla, Pedro</t>
  </si>
  <si>
    <t>Semilinear elliptic problems involving a fast increasing diffusion weight</t>
  </si>
  <si>
    <t>NONLINEAR ANALYSIS-REAL WORLD APPLICATIONS</t>
  </si>
  <si>
    <t>In this work we study the existence and multiplicity of positive bounded solutions to a class of problems with a reaction-diffusion equation: { -div(K(x)del u = f(x,u) in R-N, u(x) -&gt; 0 as |x| -&gt; infinity. Using a sublinear hypothesis on the nonlinearity f(x,u) near the origin, we obtain a solution u(1). Furthermore taking K(x) = e(theta(x)) where theta(x) satisfies some fast increasing growth conditions, we find via variational methods, a second solution u(2) in such a way that u(2) &gt; u(1). For this purpose, a new type of compactness is provided for the associated energy functional.</t>
  </si>
  <si>
    <t>Ferraz, Diego/0000-0002-8605-0046</t>
  </si>
  <si>
    <t>1468-1218</t>
  </si>
  <si>
    <t>1878-5719</t>
  </si>
  <si>
    <t>10.1016/j.nonrwa.2024.104128</t>
  </si>
  <si>
    <t>WOS:001235607000001</t>
  </si>
  <si>
    <t>Agudelo-Hernández, F; Botero, HV; Rojas-Andrade, R</t>
  </si>
  <si>
    <t>Agudelo-Hernandez, Felipe; Botero, Helena Velez; Rojas-Andrade, Rodrigo</t>
  </si>
  <si>
    <t>Identification of factors associated with suicidal behavior in Colombian indigenous children and adolescents</t>
  </si>
  <si>
    <t>INTERNATIONAL JOURNAL OF MENTAL HEALTH</t>
  </si>
  <si>
    <t>Suicide among indigenous children and adolescents poses a particularly challenging public health issue for Western healthcare systems. The aim of this study was to identify psychological factors and parent/caregiver attachment-related factors associated with suicide risk in indigenous children and adolescents. A correlational cross-sectional study was conducted, involving 399 children and adolescents and their families from four indigenous communities, with a mean age of 11.93 years. 89% of children and adolescents were found to have some level of self-reported suicide risk, with parents identifying this risk in 21.1% of children and youth. The risk was found to be associated with perceived criticism by caregivers, the use of physical punishment, and the identification of feelings of worthlessness. In addition to highlighting high indicators of suicide risk in the studied population, this study concludes that indicators of distress in children and adolescents are associated with disruptions in the perception of relationships with their parents.</t>
  </si>
  <si>
    <t>AGUDELO HERNANDEZ, ANDRES FELIPE/0000-0002-8356-8878; Velez-Botero, Helena/0000-0002-4950-6438</t>
  </si>
  <si>
    <t>0020-7411</t>
  </si>
  <si>
    <t>1557-9328</t>
  </si>
  <si>
    <t>2024 MAR 29</t>
  </si>
  <si>
    <t>10.1080/00207411.2024.2334479</t>
  </si>
  <si>
    <t>WOS:001194234600001</t>
  </si>
  <si>
    <t>Gutierrez, CA; Fabian-Rodriguez, RA; Castillo-Soria, FR; Azurdia-Meza, CA; Adasme, P</t>
  </si>
  <si>
    <t>Gutierrez, Carlos A.; Fabian-Rodriguez, Raul A.; Castillo-Soria, Francisco R.; Azurdia-Meza, Cesar A.; Adasme, Pablo</t>
  </si>
  <si>
    <t>SOC-Based Simulation of 3D MIMO Mobile-to-Mobile Fading Channels: A Riemann Sum Approach</t>
  </si>
  <si>
    <t>IEEE OPEN JOURNAL OF VEHICULAR TECHNOLOGY</t>
  </si>
  <si>
    <t>The Riemann sum method (RSM) was introduced almost two decades ago as an efficient parameter computation method for the design of narrowband multiple-input multiple-output (MIMO) mobile fading channel simulators based on the sum-of-cisoids (SOC) principle. This method has been shown to be more accurate and less computationally expensive than other methods based on the SOC principle. However, the RSM was formulated by assuming uniform linear antenna arrays and a two-dimensional geometrical propagation environment. These assumptions impose important limitations, as the mobile communication systems are evolving to provide service in a variety of three-dimensional (3D) environments by employing different antenna array configurations. This article presents two generalized versions of the RSM that remove such limitations. One version follows the deterministic approach of the original RSM, which is specific to the design of ergodic SOC-based simulators for wide-sense stationary (WSS) channels. The other version is inspired by a stochastic approach that enables the non-ergodic simulation of WSS channels and which can be extrapolated to the simulation of non-WSS channels. Simulation results presented here demonstrate that both generalizations provide an excellent approximation to the envelope distribution and correlation properties of 3D narrowband MIMO mobile-to-mobile fading channels, regardless of the antenna array configuration and the propagation environment's geometry.</t>
  </si>
  <si>
    <t>Gutierrez, Carlos/A-4556-2013; Meza, Cesar/D-6948-2014; Adasme, Pablo/U-1735-2019; Castillo-Soria, Francisco R./F-5815-2019</t>
  </si>
  <si>
    <t>Adasme, Pablo/0000-0003-2500-3294; Castillo-Soria, Francisco R./0000-0002-5550-8819; Azurdia, Cesar/0000-0003-3461-4484; gutierrez diaz de leon, carlos adrian/0000-0002-6234-7849</t>
  </si>
  <si>
    <t>2644-1330</t>
  </si>
  <si>
    <t>10.1109/OJVT.2023.3331534</t>
  </si>
  <si>
    <t>WOS:001115744600001</t>
  </si>
  <si>
    <t>Ventura, S; Kogan, MJ; Diaz-Espinoza, R</t>
  </si>
  <si>
    <t>Ventura, Salvador; Kogan, Marcelo J.; Diaz-Espinoza, Rodrigo</t>
  </si>
  <si>
    <t>Editorial: Peptide assemblies in nanotechnology</t>
  </si>
  <si>
    <t>FRONTIERS IN MOLECULAR BIOSCIENCES</t>
  </si>
  <si>
    <t>kogan, Marcelo/I-2868-2013; Diaz-Espinoza, Rodrigo/HDM-8819-2022; Ventura, Salvador/C-7021-2008</t>
  </si>
  <si>
    <t>Kogan, Marcelo/0000-0003-0608-5087; Ventura, Salvador/0000-0002-9652-6351</t>
  </si>
  <si>
    <t>2296-889X</t>
  </si>
  <si>
    <t>AUG 30</t>
  </si>
  <si>
    <t>10.3389/fmolb.2023.1281543</t>
  </si>
  <si>
    <t>WOS:001079145500001</t>
  </si>
  <si>
    <t>Agudelo-Hernández, F; Andrade, RR; Botero, HV</t>
  </si>
  <si>
    <t>Agudelo-Hernandez, Felipe; Andrade, Rodrigo Rojas; Botero, Helena Velez</t>
  </si>
  <si>
    <t>PACES: a primary care tool to detect mental health disorders in Indigenous Colombians</t>
  </si>
  <si>
    <t>RURAL AND REMOTE HEALTH</t>
  </si>
  <si>
    <t>Introduction: The aim of this research was to present the process of intercultural creation and validation, in addition to the analysis of the psychometric properties of the Parenting, Behavior, Emotions and Suicide risk scale.Methods: A cross-sectional study, cultural adaptation and validation with an ethnic approach were carried out by expert judges in mental health; subsequently, the instrument was applied, and a factorial analysis was carried out, and it was established that there was agreement between the instrument results and two expert perspectives regarding spiritual disharmony. The sample consisted of 168 families of children and young people (54.8% women, 45.2% men), with a mean age of 11.2 years, in Colombia. Regarding the geographical location, 44% were from Guajira, 44.6% were from Narino and 11.3% were from Vaupes, from the Wayuu, Awa and Embera communities, respectively.Results: The scale showed high reliability (Chronbach's &amp; alpha;=0.911), and in the factorial analysis the following parenting domains were formed from the parents: involvement, monitoring and bond, from boys, girls and young people; suicidal risk perceived by caregivers and perceived by children and young people; in addition to a total mental health risk. The questions that inquired about hallucinations and seizures did not show grouping in any factor, and two questions were eliminated. Similarly, a high inter-rater concordance was shown, with a higher Cohen's K coefficient for all domains. Conclusion: There are few intercultural and early detection studies of parenting and mental health problems in children and youth that have an ethnic approach. It is observed that the instrument serves as a means of monitoring mental health issues in children and adolescents, as well as the parenting practices employed in their socialization, from both the perspective of caregivers and the young individuals themselve. This study indicates that the scale is an adequate tool, quick and easy to administer in first-level care settings.</t>
  </si>
  <si>
    <t>Rojas Andrade, Rodrigo/LQK-6549-2024; Hernandez, Andres/KVA-7010-2024</t>
  </si>
  <si>
    <t>1445-6354</t>
  </si>
  <si>
    <t>10.22605/RRH7851</t>
  </si>
  <si>
    <t>WOS:001055161800001</t>
  </si>
  <si>
    <t>Guarda-Saavedra, P; Muñoz-Quezada, MT; Cortinez-O'Ryan, A; Aguilar-Farías, N; Vargas-Gaete, R</t>
  </si>
  <si>
    <t>Guarda-Saavedra, Paula; Munoz-Quezada, Maria Teresa; Cortinez-O'Ryan, Andrea; Aguilar-Farias, Nicolas; Vargas-Gaete, Rodrigo</t>
  </si>
  <si>
    <t>Benefits of green spaces and physical activity for the well-being and health of people</t>
  </si>
  <si>
    <t>Background: Physical environment can influence well-being, quality of life and health and population health in several ways. Exposure to green spaces improves the physical and mental health of individuals. Chile has privileged conditions for outdoor activities that could benefit millions of people. However, a small percentage of the Chilean population is exposed to green spaces in the recommended amounts to promote health. Aim: To describe the benefits of green spaces on physical and mental health and their relationship with the practice of physical activity. Material and Methods: Review of the scientific literature in English in the Web of Science (WoS) electronic database published between 2006-2019. Results: In addition to the direct benefits of green spaces, there are synergistic effects of performing physical activities in these environments such as feelings of good health, satisfaction with life and pleasure, increased physiological relaxation, positive emotions, mental well-being, restoration of attention, decreased perceived stress and a reduction negative affections. Conclusions: This review supports strategies for improving access to green spaces in urban areas coupled with physical activity promotion in these settings. Health and urban planning stakeholders should consider these aspects in future programs.</t>
  </si>
  <si>
    <t>guarda-saavedra, paula/HKV-2017-2023; C, Andrea/ISB-2574-2023; MuNoz, Maria/KFB-3378-2024; Aguilar-Farias, Nicolas/V-2742-2018; Munoz-Quezada, Maria Teresa/AAQ-4185-2020</t>
  </si>
  <si>
    <t>Munoz-Quezada, Maria Teresa/0000-0002-8008-8625</t>
  </si>
  <si>
    <t>WOS:000968680200014</t>
  </si>
  <si>
    <t>Espinoza, EJ; Vega, MRD; Trejos, CM</t>
  </si>
  <si>
    <t>Espinoza, Ericka Jimenez; Vega, Maria Rocio Deliyore; Trejos, Carol Morales</t>
  </si>
  <si>
    <t>Guiding Function of the Teacher: an Experience in Bribri Indigenous Territory, Canton of Talamanca (Costa Rica) during 2019-2020</t>
  </si>
  <si>
    <t>CUADERNOS INTER C A MBIO SOBRE CENTROAMERICA Y EL CARIBE</t>
  </si>
  <si>
    <t>The results of an action research are presented, as part of the extension project ED-3430: Facilitating learning opportunities with cultural relevance in indigenous communities specifically in Bribri territory, canton of Talamanca during the year 2019-2020. The purpose of the research was to promote the professional updating of teachers in formal education institutions in indigenous territories. A qualitative method was used through two information collection instruments, prioritizing the topics to be addressed in the training in the axis guiding role of the teacher, a participatory observation and a written survey. The topics chosen by the faculty deal with the promotion of personal development and social skills in students. The population participating in the updating process was 15 indigenous teachers and 10 non- indigenous teachers. As achievements is to favor the development of skills for the guiding function of the teacher with the student body, considering assertive communication, conflict resolution and positive self-assessment. The topics addressed in the professional updating projects covered principles of inclusive education and intercultural pedagogy.</t>
  </si>
  <si>
    <t>1659-0139</t>
  </si>
  <si>
    <t>1659-4940</t>
  </si>
  <si>
    <t>e50899</t>
  </si>
  <si>
    <t>10.15517/c.a..v19i2.50899</t>
  </si>
  <si>
    <t>WOS:000795561900002</t>
  </si>
  <si>
    <t>Cid-Jofré, V; Moreno, M; Sotomayor-Zárate, R; Cruz, G; Renard, GM</t>
  </si>
  <si>
    <t>Cid-Jofre, Valeska; Moreno, Macarena; Sotomayor-Zarate, Ramon; Cruz, Gonzalo; Renard, Georgina M.</t>
  </si>
  <si>
    <t>Modafinil Administration to Preadolescent Rat Impairs Non-Selective Attention, Frontal Cortex D2 Expression and Mesolimbic GABA Levels</t>
  </si>
  <si>
    <t>The misuse of psychostimulants is an increasing behavior among young people, highlighting in some countries the abuse of modafinil (MOD) as a neuropotentiator. However, several clinical trials are investigating MOD as an alternative pharmacological treatment for attentional deficit and hyperactivity disorder (ADHD) in children and adolescents. On the other hand, the early use of psychostimulants and the misdiagnosis rates in ADHD make it crucial to investigate the brain effects of this type of drug in young healthy individuals. The aim of this work was to evaluate the effects of chronic MOD treatment on neurochemicals (gamma-aminobutyric acid and glutamate), dopamine receptor 2 (D-2) expression and behavior (non-selective attention NSA) in the mesocorticolimbic system of young healthy Sprague-Dawley rats. Preadolescent male rats were injected with MOD (75 mg/kg, i.p.) or a vehicle for 14 days (from postnatal day 22 to 35). At postnatal day 36, we measured the GLU and GABA contents and their extracellular levels in the nucleus accumbens (NAc). In addition, the GLU and GABA contents were measured in the ventral tegmental area (VTA) and D-2 protein levels in the prefrontal cortex (PFC). Chronic use of MOD during adolescence induces behavioral and neurochemical changes associated with the mesocorticolimbic system, such as a reduction in PFC D-2 expression, VTA GABA levels and NSA. These results contribute to the understanding of the neurological effects of chronic MOD use on a young healthy brain.</t>
  </si>
  <si>
    <t>Cid-Jofré, Valeska/ABE-3761-2021; Cruz, Gonzalo/I-6147-2018</t>
  </si>
  <si>
    <t>Sotomayor-Zarate, Ramon/0000-0002-1239-5367; Cruz, Gonzalo/0000-0002-1458-3599; Moreno Fernandez, Macarena/0000-0001-5954-0675</t>
  </si>
  <si>
    <t>10.3390/ijms23126602</t>
  </si>
  <si>
    <t>WOS:000819626300001</t>
  </si>
  <si>
    <t>Mardones-Herrera, E; Castro-Castillo, C; Nanda, KK; Veloso, N; Leyton, F; Martínez, F; Saez-Pizarro, N; Ruiz-Leon, D; Aguirre, MJ; Armijo, F; Isaacs, M</t>
  </si>
  <si>
    <t>Mardones-Herrera, Elias; Castro-Castillo, Carmen; Nanda, Kamala Kanta; Veloso, Nicolas; Leyton, Felipe; Martinez, Francisco; Saez-Pizarro, Natalia; Ruiz-Leon, Domingo; Jesus Aguirre, Maria; Armijo, Francisco; Isaacs, Mauricio</t>
  </si>
  <si>
    <t>Reduced Graphene Oxide Overlayer on Copper Nanocube Electrodes Steers the Selectivity Towards Ethanol in Electrochemical Reduction of Carbon Dioxide</t>
  </si>
  <si>
    <t>CHEMELECTROCHEM</t>
  </si>
  <si>
    <t>Developing copper-based electrocatalysts that favor high-value multi-carbon oxygenates is desired, given their use as platform chemicals and as a direct fuel for transportation. Combining a CO-selective catalyst with copper shifts the selectivity of CO2 electroreduction toward C-2 products. Herein, we developed a reduced graphene oxide (rGO)-modified copper nanocube electrocatalyst that could shift the selectivity of CO2 electroreduction towards ethanol (Faradaic efficiency 76. 84 % at -0.9 V vs. reversible hydrogen electrode (RHE)). Spectroelectrochemical Raman analysis reveals a higher population of *C2HxOy intermediates at -0.9 V vs. RHE on the rGO-modified copper nanocube electrocatalyst surface, which coincides with the highest faradaic efficiency of ethanol upon CO2 electroreduction at the same potential. Our results demonstrate that the rGO modification can enhance ethanol selectivity through a probable tandem electrocatalysis mechanism and provide insights into controlling electrocatalytic activity and product selectivity in the CO2 electroreduction reaction.</t>
  </si>
  <si>
    <t>Ruiz, Domingo/H-3818-2011; Mardones-Herrera, Elias/LKM-3816-2024; Isaacs, Mauricio/N-3027-2013; Martinez, Francisco/ABE-7092-2020; Armijo, Francisco/G-3391-2013; CastroCastillo, Carmen/KXQ-9408-2024; Aguirre, Maria/A-3935-2013; Veloso, Nicolas/MTE-0045-2025; Nanda, Kamala Kanta/A-2853-2014</t>
  </si>
  <si>
    <t>Veloso, Nicolas/0000-0002-8553-1374; Isaacs Casanova, Mauricio/0000-0003-0503-0949; Armijo, Francisco/0000-0002-2479-6280; Leyton-Soto, Felipe/0000-0003-3404-5592; Mardones-Herrera, Elias/0000-0003-4056-1139; Nanda, Kamala Kanta/0000-0001-9482-8914; Martinez-Rojas, Francisco/0000-0001-9701-0528; Castro, Carmen/0000-0002-0103-155X; Ruiz Leon, Domingo/0000-0002-0950-6919</t>
  </si>
  <si>
    <t>2196-0216</t>
  </si>
  <si>
    <t>e202200259</t>
  </si>
  <si>
    <t>10.1002/celc.202200259</t>
  </si>
  <si>
    <t>WOS:000800859400001</t>
  </si>
  <si>
    <t>Neris, D; Mattiello, L; Zuñiga, G; Purgatto, E; Menossi, M</t>
  </si>
  <si>
    <t>Neris, Daniel; Mattiello, Lucia; Zuniga, Gustavo; Purgatto, Eduardo; Menossi, Marcelo</t>
  </si>
  <si>
    <t>Reduction of ethylene biosynthesis in sugarcane induces growth and investment in the non-enzymatic antioxidant apparatus</t>
  </si>
  <si>
    <t>PLANT CELL REPORTS</t>
  </si>
  <si>
    <t>Key message Lower ethylene production in sugarcane results in plants with higher stature, expression of growth-promoting genes, higher photosynthetic rate, and increased antioxidant compounds. The hormone ethylene is involved in critical processes in sugarcane, such as the growth and accumulation of sucrose. The lack of mutants for ethylene biosynthesis or signaling genes makes it difficult to understand the role of this phytohormone throughout sugarcane development. This study aimed to evaluate the physiology and development of sugarcane plants with low ethylene production. To achieve this goal, we used RNA interference to silence three genes, ScACS1, ScACS2, and ScACS3, encoding 1-aminocyclopropane-1-carboxylic acid synthases (ACS), responsible for a limiting step of the ethylene biosynthesis pathway. Sugarcane plants with reduced ethylene levels presented increased growth, faster germination of lateral gems, and activation of non-enzymatic antioxidant mechanisms. We observed an augmentation in the expression of ScACO5, which encodes the final enzyme regulating ethylene biosynthesis, and ScERF1, encoding a transcription factor, linked to the ethylene response. The increase in plant height was correlated with higher expression of ScPIF3, ScPIF4, and ScPIF5, which encode for transcription factors related to growth induction. Interestingly, there was also an increase in the expression of the ScGAI gene, which encodes a DELLA protein, a growth repressor. The final content of sucrose in the stems was not affected by the low levels of ethylene, although the rate of CO2 assimilation was reduced. This study reports for the first time the impacts of low endogenous production of ethylene in sugarcane and provides helpful insights on the molecular mechanisms behind ethylene responses.</t>
  </si>
  <si>
    <t>Mattiello, Lucia/H-4177-2012; Purgatto, Eduardo/C-7707-2009; Menossi, Marcelo/A-4364-2012; Menossi, Marcelo/C-6305-2014</t>
  </si>
  <si>
    <t>Menossi, Marcelo/0000-0002-9211-3787; Neris, Daniel/0000-0002-0988-0564</t>
  </si>
  <si>
    <t>0721-7714</t>
  </si>
  <si>
    <t>1432-203X</t>
  </si>
  <si>
    <t>10.1007/s00299-022-02832-7</t>
  </si>
  <si>
    <t>WOS:000780167400001</t>
  </si>
  <si>
    <t>Acha, G; Vergara, R; Muñoz, M; Mora, R; Aguirre, C; Muñoz, M; Kalazich, J; Prieto, H</t>
  </si>
  <si>
    <t>Acha, Giovana; Vergara, Ricardo; Munoz, Marisol; Mora, Roxana; Aguirre, Carlos; Munoz, Manuel; Kalazich, Julio; Prieto, Humberto</t>
  </si>
  <si>
    <t>A Traceable DNA-Replicon Derived Vector to Speed Up Gene Editing in Potato: Interrupting Genes Related to Undesirable Postharvest Tuber Traits as an Example</t>
  </si>
  <si>
    <t>PLANTS-BASEL</t>
  </si>
  <si>
    <t>In potato (Solanum tuberosum L.), protoplast techniques are limited to a few genotypes; thus, the use of regular regeneration procedures of multicellular explants causes us to face complexities associated to CRISPR/Cas9 gene editing efficiency and final identification of individuals. Geminivirus-based replicons contained in T-DNAs could provide an improvement to these procedures considering their cargo capability. We built a Bean yellow dwarf virus-derived replicon vector, pGEF-U, that expresses all the editing reagents under a multi-guide RNA condition, and the Green Fluorescent Protein (GFP) marker gene. Agrobacterium-mediated gene transfer experiments were carried out on 'Yagana-INIA', a relevant local variety with no previous regeneration protocol. Assays showed that pGEF-U had GFP transient expression for up to 10 days post-infiltration when leaf explants were used. A dedicated potato genome analysis tool allowed for the design of guide RNA pairs to induce double cuts of genes associated to enzymatic browning (StPPO1 and 2) and to cold-induced sweetening (StvacINV1 and StBAM1). Monitoring GFP at 7 days post-infiltration, explants led to vector validation as well as to selection for regeneration (34.3% of starting explants). Plant sets were evaluated for the targeted deletion, showing individuals edited for StPPO1 and StBAM1 genes (1 and 4 lines, respectively), although with a transgenic condition. While no targeted deletion was seen in StvacINV1 and StPPO2 plant sets, stable GFP-expressing calli were chosen for analysis; we observed different repair alternatives, ranging from the expected loss of large gene fragments to those showing punctual insertions/deletions at both cut sites or incomplete repairs along the target region. Results validate pGEF-U for gene editing coupled to regular regeneration protocols, and both targeted deletion and single site editings encourage further characterization of the set of plants already generated.</t>
  </si>
  <si>
    <t>Prieto, H./B-4400-2008; VERGARA, RICARDO/H-5222-2013; Muñoz, Manuel/AAZ-4751-2021</t>
  </si>
  <si>
    <t>Munoz, Manuel/0000-0002-8736-5613; Acha, Giovana/0000-0002-1561-8335; Prieto, Humberto/0000-0002-9013-1906</t>
  </si>
  <si>
    <t>2223-7747</t>
  </si>
  <si>
    <t>10.3390/plants10091882</t>
  </si>
  <si>
    <t>WOS:000701106500001</t>
  </si>
  <si>
    <t>Gomez, LG; Muñoz-Silva, D; Espinoza, F; Ugarte, G; Peck, L; Bennett, D; Madrid, R; Calvo, M</t>
  </si>
  <si>
    <t>Gonzalez Gomez, Luisa; Munoz-Silva, Daniela; Espinoza, Fernanda; Ugarte, Gonzalo; Peck, Liam; Bennett, David; Madrid, Rodolfo; Calvo, Margarita</t>
  </si>
  <si>
    <t>Contribution of Kv1.6 to modulation of neuropathic pain in vivo and spontaneous activity in vitro</t>
  </si>
  <si>
    <t>JOURNAL OF THE PERIPHERAL NERVOUS SYSTEM</t>
  </si>
  <si>
    <t>Calvo, Margarita/AGE-6129-2022; Madrid, Rodolfo/MCJ-4974-2025</t>
  </si>
  <si>
    <t>1085-9489</t>
  </si>
  <si>
    <t>1529-8027</t>
  </si>
  <si>
    <t>WOS:000696233800240</t>
  </si>
  <si>
    <t>Hàn, H; Kiwi, M; Pavez-Signé, M</t>
  </si>
  <si>
    <t>Han, Hiep; Kiwi, Marcos; Pavez-Signe, Matias</t>
  </si>
  <si>
    <t>Quasi-random words and limits of word sequences</t>
  </si>
  <si>
    <t>EUROPEAN JOURNAL OF COMBINATORICS</t>
  </si>
  <si>
    <t>Words are sequences of letters over a finite alphabet. We study two intimately related topics for this object: quasi-randomness and limit theory. With respect to the first topic we investigate the notion of uniform distribution of letters over intervals, and in the spirit of the famous Chung-Graham-Wilson theorem for graphs we provide a list of word properties which are equivalent to uniformity. In particular, we show that uniformity is equivalent to counting 3-letter subsequences. Inspired by graph limit theory we then investigate limits of convergent word sequences, those in which all subsequence densities converge. We show that convergent word sequences have a natural limit, namely Lebesgue measurable functions of the form f : [0, 1] -&gt; [0, 1]. Via this theory we show that every hereditary word property is testable, address the problem of finite forcibility for word limits and establish as a byproduct a new model of random word sequences. Along the lines of the proof of the existence of word limits, we can also establish the existence of limits for higher dimensional structures. In particular, we obtain an alternative proof of the result by Hoppen, Kohayakawa, Moreira, Rath and Sampaio (Hoppen et al., 2013) establishing the existence of permutons. (c) 2021 Published by Elsevier Ltd.</t>
  </si>
  <si>
    <t>Kiwi, Marcos/H-6709-2013; Han, Hiep/IVV-0527-2023</t>
  </si>
  <si>
    <t>pavez-signe, matias/0000-0001-9418-5058</t>
  </si>
  <si>
    <t>0195-6698</t>
  </si>
  <si>
    <t>1095-9971</t>
  </si>
  <si>
    <t>10.1016/j.ejc.2021.103403</t>
  </si>
  <si>
    <t>WOS:000690737400001</t>
  </si>
  <si>
    <t>Araneda, J; Pinheiro, AC; Pizarro, T</t>
  </si>
  <si>
    <t>Araneda, Jacqueline; Christina Pinheiro, Anna; Pizarro, Tito</t>
  </si>
  <si>
    <t>Effects of COVID-19 pandemic on food insecurity perception in Chilean households</t>
  </si>
  <si>
    <t>Background: The coronavirus 2 pandemic (COVID-19) has caused intense changes in lifestyles, feeding, and nutrition habits. Aim: To analyze food insecurity and eating habits during the period of quarantine in a group of Chilean individuals. Material and Methods: An online survey was conducted in 2,767 households with questions about the sociodemographic composition of the household, household food purchasing habits in the quarantine period for COVID-19, and perception of food insecurity. Results: More than 60% of households (p &lt; 0.01) were worried about not having enough food, especially when children under 18 years of age lived in them. This perception increased in urban households (p &lt;0.01) and those located in the Central-Southern and Southern regions (p &lt; 0.01). During the pandemic, the consumption of healthy products such as milk increased in 50% of households, legumes in 72%, eggs in 79%, fruits in 54%, vegetables in 67% and water in 81%. There was also a lower consumption of unhealthy and ultra-processed foods such as hot-dogs in 90% of households, sausages in 73%, sugary drinks in 79% and ice cream in 83%. Conclusions: The COVID-19 pandemic in Chile increased the perception of food insecurity in households with vulnerable conditions. However, the consumption of healthier foods increased.</t>
  </si>
  <si>
    <t>Araneda, Jacqueline/GVS-8452-2022; FERNANDES, ANNA/AAS-5661-2021; Pizarro, Tito/AAY-2260-2021</t>
  </si>
  <si>
    <t>PINHEIRO FERNANDES, ANNA CHRISTINA/0000-0002-5188-2619; pizarro, tito/0000-0002-2514-0072</t>
  </si>
  <si>
    <t>WOS:000733660600003</t>
  </si>
  <si>
    <t>Weththasinghe, P; Lagos, L; Cortés, M; Hansen, JO; Overland, M</t>
  </si>
  <si>
    <t>Weththasinghe, Pabodha; Lagos, Leidy; Cortes, Marcos; Hansen, Jon Ovrum; Overland, Margareth</t>
  </si>
  <si>
    <t>Dietary Inclusion of Black Soldier Fly (Hermetia Illucens) Larvae Meal and Paste Improved Gut Health but Had Minor Effects on Skin Mucus Proteome and Immune Response in Atlantic Salmon (Salmo Salar)</t>
  </si>
  <si>
    <t>The present study investigated effects of dietary inclusion of black soldier fly larvae (BSFL) (Hermetia illucens) meal and paste on gut health, plasma biochemical parameters, immune response and skin mucus proteome in pre-smolt Atlantic salmon (Salmo salar). The seven-week experiment consisted of seven experimental diets: a control diet based on fishmeal and plant protein (Control-1); three BSFL meal diets, substituting 6.25% (6.25IM), 12.5% (12.5IM) and 25% (25IM) of protein; two BSFL paste diets, substituting 3.7% (3.7IP) and 6.7% (6.7IP) of protein and an extra control diet with 0.88% of formic acid (Control-2). The 6.25IM diet reduced enterocyte steatosis in pyloric caeca, improved distal intestine histology, and reduced IgM in distal intestine. The fish fed 12.5IM diet reduced enterocyte steatosis in pyloric caeca, improved distal intestine histology, had a higher plasma lysozyme content compared to 6.25IM, and tend to increase phagocytic activity in head-kidney macrophages-like cells. On the other hand, 25IM diet improved distal intestine histology, but showed mild-moderate enterocyte steatosis in pyloric caeca, increased IFN gamma and reduced IgM in distal intestine. In the case of BSFL paste diets, 3.7IP diet caused mild inflammatory changes in distal intestine, although it reduced enterocyte steatosis in pyloric caeca. The 6.7IP diet reduced enterocyte steatosis in pyloric caeca and improved distal intestine histology. Increasing level of BSFL meal in the diet linearly decreased plasma C-reactive protein, whereas increasing level of BSFL paste linearly increased plasma antioxidant capacity. Dietary inclusion of BSFL meal and paste had minor effects on the expression profile of proteins in skin mucus and no effects on immune markers in splenocytes. BSFL meal showed no negative effect on liver and muscle health as indicated by plasma alanine aminotranseferase, asparate aminotransferase and creatine kinase. The present study showed that replacing conventional protein sources with low to moderate levels of BSFL meal (6.25% and 12.5%) or paste (3.7% and 6.7%) reduced enterocyte steatosis in pyloric caeca, while replacing up to 25% with BSFL meal or 6.7% with paste improved distal intestine histology. Further, dietary inclusion of BSFL meal and paste had minor effects on skin mucus proteome and immune response in Atlantic salmon.</t>
  </si>
  <si>
    <t>Weththasinghe, Pabodha/AAT-8493-2021</t>
  </si>
  <si>
    <t>Weththasinghe, Pabodha/0000-0003-1880-1837</t>
  </si>
  <si>
    <t>10.3389/fimmu.2021.599530</t>
  </si>
  <si>
    <t>WOS:000627131600001</t>
  </si>
  <si>
    <t>Lillo, J; Rojas, F; Pereda, J; Valdes, D; Cardenas, R</t>
  </si>
  <si>
    <t>Lillo, Jonathan; Rojas, Felix; Pereda, Javier; Valdes, Dario; Cardenas, Roberto</t>
  </si>
  <si>
    <t>Back To Back Modular Multilevel Converter With Dynamic Hybrid Link For High Performance Drive</t>
  </si>
  <si>
    <t>IECON 2021 - 47TH ANNUAL CONFERENCE OF THE IEEE INDUSTRIAL ELECTRONICS SOCIETY</t>
  </si>
  <si>
    <t>IEEE Industrial Electronics Society</t>
  </si>
  <si>
    <t>47th Annual Conference of the IEEE-Industrial-Electronics-Society (IECON)</t>
  </si>
  <si>
    <t>OCT 13-16, 2021</t>
  </si>
  <si>
    <t>IEEE Ind Elect Soc</t>
  </si>
  <si>
    <t>Back-To-Back Modular Multilevel Converter (BTB MMC) was proposed as an attractive alternative for medium-voltage drive application to decrease the inherent problem of high floating capacitor voltage fluctuations produced at low frequency machine operation. Recently the variation of DC-Link reference between the MMC and a control strategy based in control the machine side MMC as a current source was introduced to decrease the mitigation variables using during low frequency operation. However, it does not solve the problem to obtain the minimal capacitor voltage fluctuation during the entire machine operation. This paper propose a new method to obtain the minimum capacitor voltage fluctuation of the MMC modules during the entire machine operation range including an additional AC signal between the system common link. The proposed control strategy and overall performance of the system are verified by computational simulation.</t>
  </si>
  <si>
    <t>Cardenas, Roberto/C-6395-2011; Rojas, Felix/U-3305-2019; Pereda Torres, Javier/F-8244-2013</t>
  </si>
  <si>
    <t>Pereda Torres, Javier/0000-0002-3407-5233</t>
  </si>
  <si>
    <t>1553-572X</t>
  </si>
  <si>
    <t>978-1-6654-3554-3</t>
  </si>
  <si>
    <t>10.1109/IECON48115.2021.9589893</t>
  </si>
  <si>
    <t>WOS:000767230604133</t>
  </si>
  <si>
    <t>Martínez-Ledesma, M; Montoya, FJ</t>
  </si>
  <si>
    <t>Martinez-Ledesma, Miguel; Jaramillo Montoya, Francisco</t>
  </si>
  <si>
    <t>Performance evaluation of the particle swarm optimization algorithm to unambiguously estimate plasma parameters from incoherent scatter radar signals</t>
  </si>
  <si>
    <t>EARTH PLANETS AND SPACE</t>
  </si>
  <si>
    <t>Simultaneously estimating plasma parameters of the ionosphere presents a problem for the incoherent scatter radar (ISR) technique at altitudes between similar to 130 and similar to 300 km. Different mixtures of ion concentrations and temperatures generate almost identical backscattered signals, hindering the discrimination between plasma parameters. This temperature-ion composition ambiguity problem is commonly solved either by using models of ionospheric parameters or by the addition of parameters determined from the plasma line of the radar. Some studies demonstrated that it is also possible to unambiguously estimate ISR signals with very low signal fluctuation using the most frequently used non-linear least squares (NLLS) fitting algorithm. In a previous study, the unambiguous estimation performance of the particle swarm optimization (PSO) algorithm was evaluated, outperforming the standard NLLS algorithm fitting signals with very small fluctuations. Nevertheless, this study considered a confined search range of plasma parameters assuming a priori knowledge of the behavior of the ion composition and signals with very large SNR obtained at the Arecibo Observatory, which are not commonly feasible at other ISR facilities worldwide. In the present study, we conduct Monte Carlo simulations of PSO fittings to evaluate the performance of this algorithm at different signal fluctuation levels. We also determine the effect of adding different combinations of parameters known from the plasma line, different search ranges, and internal configurations of PSO parameters. Results suggest that similar performances are obtained by PSO and NLLS algorithms, but PSO has much larger computational requirements. The PSO algorithm obtains much lower convergences when no a priori information is provided. The a priori knowledge of N-e and Te/Ti\documentclass[12pt]{minimal} \usepackage{amsmath} \usepackage{wasysym} \usepackage{amsfonts} \usepackage{amssymb} \usepackage{amsbsy} \usepackage{mathrsfs} \usepackage{upgreek} \setlength{\oddsidemargin}{-69pt} \begin{document}$${T}_{e}/{T}_{i}$$\end{document} parameters shows better convergences and correct estimations. Also, results demonstrate that the addition of Ne\documentclass[12pt]{minimal} \usepackage{amsmath} \usepackage{wasysym} \usepackage{amsfonts} \usepackage{amssymb} \usepackage{amsbsy} \usepackage{mathrsfs} \usepackage{upgreek} \setlength{\oddsidemargin}{-69pt} \begin{document}$${N}_{e}$$\end{document} and Te\documentclass[12pt]{minimal} \usepackage{amsmath} \usepackage{wasysym} \usepackage{amsfonts} \usepackage{amssymb} \usepackage{amsbsy} \usepackage{mathrsfs} \usepackage{upgreek} \setlength{\oddsidemargin}{-69pt} \begin{document}$${T}_{e}$$\end{document} parameters provides the most information to solve the ambiguity problem using both optimization algorithms.</t>
  </si>
  <si>
    <t>Martinez-Ledesma, Miguel/F-9831-2015</t>
  </si>
  <si>
    <t>Martinez-Ledesma, Miguel/0000-0001-6932-1249; Jaramillo Montoya, Francisco/0000-0002-1087-7311</t>
  </si>
  <si>
    <t>1880-5981</t>
  </si>
  <si>
    <t>NOV 9</t>
  </si>
  <si>
    <t>10.1186/s40623-020-01297-w</t>
  </si>
  <si>
    <t>WOS:000590723400002</t>
  </si>
  <si>
    <t>Hostler, TJ; Berrios, R</t>
  </si>
  <si>
    <t>Hostler, Thomas J.; Berrios, Raul</t>
  </si>
  <si>
    <t>The impact of mixed emotions on judgements: a naturalistic study during the FIFA world cup</t>
  </si>
  <si>
    <t>COGNITION &amp; EMOTION</t>
  </si>
  <si>
    <t>Experiencing mixed emotions, a combination of two oppositely-valenced emotions, has been shown to reduce bias in decision making and improve the accuracy of judgements made. However, most previous research has been limited to laboratory-based experiments. In this pre-registered study, we looked at mixed emotions and judgements in the naturalistic context of watching sport during the FIFA world cup. N = 80 participants reported on mixed emotions before and after each England game during the World Cup, and made score predictions for each game, collecting a total of k = 480 observations. We used a lagged-effect design and multilevel modelling to analyse the data. We found that participants who felt more mixed emotions at the end of a match made significantly more likely score predictions in the following match, indicating that experiencing stronger mixed emotions subsequently predicted more reasonable judgements. This result was supported even after controlling for a number of affective, attitudinal, and socio-demographic variables. This provides evidence that naturally occurring mixed emotions are related to improved real-world judgements. The evidence is discussed through the lens of fantasy realisation theory, and the importance of feeling mixed during decisions involving puzzling or uncertain outcomes is emphasised.</t>
  </si>
  <si>
    <t>Berrios, Raul/G-5167-2019</t>
  </si>
  <si>
    <t>Berrios, Raul/0000-0003-1826-7822; Hostler, Thomas/0000-0002-4658-692X</t>
  </si>
  <si>
    <t>0269-9931</t>
  </si>
  <si>
    <t>1464-0600</t>
  </si>
  <si>
    <t>FEB 17</t>
  </si>
  <si>
    <t>10.1080/02699931.2020.1840965</t>
  </si>
  <si>
    <t>NOV 2020</t>
  </si>
  <si>
    <t>WOS:000586069000001</t>
  </si>
  <si>
    <t>Saiz-Alvarez, JM; Vega-Muñoz, A; Acevedo-Duque, A; Castillo, D</t>
  </si>
  <si>
    <t>Manuel Saiz-Alvarez, Jose; Vega-Munoz, Alejandro; Acevedo-Duque, Angel; Castillo, Dante</t>
  </si>
  <si>
    <t>B Corps: A Socioeconomic Approach for the COVID-19 Post-crisis</t>
  </si>
  <si>
    <t>FRONTIERS IN PSYCHOLOGY</t>
  </si>
  <si>
    <t>The current global health and economic crisis caused by COVID-19 has opened the possibility to adopt the B Corp model and focus more on the person. Based on grounded theory, we have examined 147 organizations from 14 countries listed at the B Corp Directory for Latin America. Latin American B Corps have traits linked to family-related issues that are distinct from other B Corps located in different continents. Our main findings are that B Corps develop a more inclusive and sustainable economy to benefit society, go beyond the notion of CSR, and move away from traditional companies, as B Corps combine social development and economic growth.</t>
  </si>
  <si>
    <t>Acevedo-Duque, Ángel/ABF-9101-2020; Vega-Muñoz, Alejandro/AAX-7468-2021; SAIZ-ALVAREZ, Jose Manuel/D-7200-2013</t>
  </si>
  <si>
    <t>SAIZ-ALVAREZ, Jose Manuel/0000-0001-6435-9600; Vega, Alejandro/0000-0002-9427-2044; Acevedo-Duque, Angel/0000-0002-8774-3282</t>
  </si>
  <si>
    <t>1664-1078</t>
  </si>
  <si>
    <t>JUL 28</t>
  </si>
  <si>
    <t>10.3389/fpsyg.2020.01867</t>
  </si>
  <si>
    <t>WOS:000561198700001</t>
  </si>
  <si>
    <t>de Dicastillo, CL; Vidal, CP; Falcó, I; Sánchez, G; Márquez, P; Escrig, J</t>
  </si>
  <si>
    <t>Lopez de Dicastillo, Carol; Patino Vidal, Cristian; Falco, Irene; Sanchez, Gloria; Marquez, Paulina; Escrig, Juan</t>
  </si>
  <si>
    <t>Antimicrobial Bilayer Nanocomposites Based on the Incorporation of As-Synthetized Hollow Zinc Oxide Nanotubes</t>
  </si>
  <si>
    <t>An antimicrobial polymeric bilayer structure based on the application of an acrylic coating containing hollow zinc oxide nanotubes over a polymeric substrate was developed in this work. Firstly, zinc oxide nanotubes (ZnONT) were obtained by an atomic layer deposition (ALD) process over electrospun polyvinyl alcohol nanofibers followed by polymer removal through calcination with the purpose of obtaining antimicrobial nanostructures with a high specific area. Parameters of electrospinning, ALD, and calcination processes were set in order to obtain successfully hollow zinc oxide nanotubes. Morphological studies through scanning electron microscopy (SEM) and transmission electron microscopy (TEM) microscopies confirmed the morphological structure of ZnONT with an average diameter of 180 nm and thickness of approximately 60 nm. Thermal and X-ray diffraction (XRD) analyses provided evidence that calcination completely removed the polymer, resulting in a crystalline hexagonal wurtzite structure. Subsequently, ZnONT were incorporated into a polymeric coating over a polyethylene extruded film at two concentrations: 0.5 and 1 wt. % with respect to the polymer weight. An antimicrobial analysis of developed antimicrobial materials was performed following JIS Z2801 against Staphylococcus aureus and Escherichia coli. When compared to active materials containing commercial ZnO nanoparticles, materials containing ZnONT presented higher microbial inhibition principally against Gram-negative bacteria, whose reduction was total for films containing 1 wt. % ZnONT. Antiviral studies were also performed, but these materials did not present significant viral reduction.</t>
  </si>
  <si>
    <t>Sanchez, Gloria/C-1307-2009; Patiño Vidal, Cristian Javier/JDM-7961-2023; Lopez-de-Dicastillo, Carol/C-6347-2019; Escrig, Juan/N-4304-2015</t>
  </si>
  <si>
    <t>Lopez-de-Dicastillo, Carol/0000-0003-0067-9765; Sanchez, Gloria/0000-0001-7022-661X; Escrig, Juan/0000-0002-3958-8185; Patino Vidal, Cristian Javier/0000-0002-5633-6908; Marquez, Paulina/0000-0002-8020-6273</t>
  </si>
  <si>
    <t>10.3390/nano10030503</t>
  </si>
  <si>
    <t>WOS:000526090400103</t>
  </si>
  <si>
    <t>Moreno, X; Lera, L; Moreno, F; Albala, C</t>
  </si>
  <si>
    <t>Moreno, Ximena; Lera, Lydia; Moreno, Francisco; Albala, Cecilia</t>
  </si>
  <si>
    <t>Life expectancy with and without cognitive impairment among Chilean older adults: results of the National Survey of Health (2003, 2009 and 2016)</t>
  </si>
  <si>
    <t>BMC GERIATRICS</t>
  </si>
  <si>
    <t>Background: Chile has one of the highest life expectancies within Latin American. This is the first study to determine health expectancies in older populations in Chile, considering cognitive status as a health indicator. Methods: We estimated prevalence of cognitive decline among people aged 60 years and over based on the Mini-mental State Examination and the Pfeffer Functional Activities Questionnaire, with data from the National Survey of Health (2003, 2009, 2016). Life expectancy free of cognitive impairment was calculated using the Sullivan method. Results: At age 60, life expectancy free of cognitive impairment was more than 3 years longer for women, compared to men of the same age. Life expectancy free from cognitive impairment was higher for both men and women aged 60 in 2016 when compared to 2003 (2.1 and 2 years higher, respectively). Conclusions: Longer life expectancy in women was accompanied by more years free of cognitive impairment. Men expected to live a similar proportion of years free of cognitive impairment, compared to women. Common and standardised assessments of health status of older people should be adopted in Latin American studies, to allow for time-trend analyses and international comparisons.</t>
  </si>
  <si>
    <t>; Lera Marques, Lydia/A-8508-2015</t>
  </si>
  <si>
    <t>Moreno, Ximena/0000-0002-0586-4364; Lera Marques, Lydia/0000-0001-7470-2433; Moreno, Francisco/0000-0001-9637-0919</t>
  </si>
  <si>
    <t>1471-2318</t>
  </si>
  <si>
    <t>DEC 26</t>
  </si>
  <si>
    <t>10.1186/s12877-019-1387-5</t>
  </si>
  <si>
    <t>WOS:000511872500002</t>
  </si>
  <si>
    <t>de Oliveira, JF; do O, JM; Ubilla, P</t>
  </si>
  <si>
    <t>de Oliveira, Jose Francisco; do O, Joao Marcos; Ubilla, Pedro</t>
  </si>
  <si>
    <t>HARDY-SOBOLEV TYPE INEQUALITY AND SUPERCRITICAL EXTREMAL PROBLEM</t>
  </si>
  <si>
    <t>This paper deals with Hardy-Sobolev type inequalities involving variable exponents. Our approach also enables us to prove existence results for a wide class of quasilinear elliptic equations with supercritical power-type nonlinearity with variable exponent.</t>
  </si>
  <si>
    <t>Oliveira, José/AAD-1802-2019</t>
  </si>
  <si>
    <t>de Oliveira, Jose Francisco/0000-0003-3038-4052; do O, Joao Marcos/0000-0001-7039-4365</t>
  </si>
  <si>
    <t>10.3934/dcds.2019138</t>
  </si>
  <si>
    <t>WOS:000459954800015</t>
  </si>
  <si>
    <t>Solar, R; Sepulveda, V; Inostrosa-Psijas, A; Rojas, O; Gil-Costa, V; Marin, M</t>
  </si>
  <si>
    <t>Solar, Roberto; Sepulveda, Victor; Inostrosa-Psijas, Alonso; Rojas, Oscar; Gil-Costa, Veronica; Marin, Mauricio</t>
  </si>
  <si>
    <t>A Service-Oriented Platform for Approximate Bayesian Computation in Population Genetics</t>
  </si>
  <si>
    <t>JOURNAL OF COMPUTATIONAL BIOLOGY</t>
  </si>
  <si>
    <t>Approximate Bayesian computation (ABC) is a useful technique developed for solving Bayesian inference without explicitly requiring a likelihood function. In population genetics, it is widely used to extract part of the information about the evolutionary history of genetic data. The ABC compares the summary statistics computed on simulated and observed data sets. Typically, a forward-in-time approach is used to simulate the genetic material of a population starting from an initial ancestral population and following the evolution of the individuals by advancing generation by generation under various demographic and genetic forces. This approach is computationally expensive and requires a large number of computations making the use of high-performance computing crucial for decreasing the overall response times. In this work, we propose a fully distributed web service-oriented platform for ABC that is based on forward-in-time simulations. Our proposal is based on a client-server approach. The client enables users to define simulation scenarios. The server enables efficient and scalable population simulations and can be deployed on a distributed cluster of processors or even in the cloud. It is composed of four services: a workload generator, a simulation controller, a simulation results analyzer, and a result builder. The server performs multithread simulations by executing a simulation kernel encapsulated in a proposed libgdrift library. We present and evaluate three different libgdrift library approaches whose algorithms aim to reduce execution times and memory consumption.</t>
  </si>
  <si>
    <t>Marin, Mauricio/GLR-7700-2022; Gil-Costa, Veronica/GPT-4785-2022; Rojas, Oscar/ABG-3625-2021; Inostrosa-Psijas, Alonso/AAC-7718-2019; Inostrosa-Psijas, Alonso/A-5827-2018</t>
  </si>
  <si>
    <t>Rojas Diaz, Oscar/0000-0002-7754-9996; Inostrosa-Psijas, Alonso/0000-0002-2922-0870; Gil-Costa, Veronica/0000-0003-4637-9725; Marin, Mauricio/0000-0003-0662-7149</t>
  </si>
  <si>
    <t>1066-5277</t>
  </si>
  <si>
    <t>1557-8666</t>
  </si>
  <si>
    <t>10.1089/cmb.2018.0217</t>
  </si>
  <si>
    <t>WOS:000465289300008</t>
  </si>
  <si>
    <t>Manriquez, M; Loor, F; Gil-Costa, V; Mann, M</t>
  </si>
  <si>
    <t>Manriquez, Manuel; Loor, Fernando; Gil-Costa, Veronica; Mann, Mauricio</t>
  </si>
  <si>
    <t>A DIGITAL TV-BASED DISTRIBUTED IMAGE PROCESSING PLATFORM FOR NATURAL DISASTERS</t>
  </si>
  <si>
    <t>2019 WINTER SIMULATION CONFERENCE (WSC)</t>
  </si>
  <si>
    <t>Winter Simulation Conference Proceedings</t>
  </si>
  <si>
    <t>Winter Simulation Conference (WSC)</t>
  </si>
  <si>
    <t>DEC 08-11, 2019</t>
  </si>
  <si>
    <t>National Harbor, MD</t>
  </si>
  <si>
    <t>After a natural disaster strikes people spontaneously respond by self-organizing, providing food and drink to the victims and to emergency response teams. During this process, people also share photos, messages and videos which can be used to improve the general understanding of the situation and to support decision-making. In this context, we propose to use digital television to create a community of digital volunteers who can help to identify objects inside images that cannot be processed automatically. Digital television can help to reach a larger number of digital volunteers because it can be easily used without installing special applications. We present a distributed platform composed of a server, a network of digital volunteers and an internet service provider. Our proposed platform aims to reduce the communication between the server and the digital volunteers and to reduce the workload of the server. We simulate our proposed platform with the peersim tool.</t>
  </si>
  <si>
    <t>Gil-Costa, Veronica/GPT-4785-2022</t>
  </si>
  <si>
    <t>Gil-Costa, Veronica/0000-0003-4637-9725; Marin, Mauricio/0000-0003-0662-7149</t>
  </si>
  <si>
    <t>0891-7736</t>
  </si>
  <si>
    <t>978-1-7281-3283-9</t>
  </si>
  <si>
    <t>WOS:000529791402056</t>
  </si>
  <si>
    <t>Palominos, Fredi E.; Duran, Claudia A.; Cordova, Felisa M.</t>
  </si>
  <si>
    <t>Improve efficiency in multidimensional database queries through the use of additives aggregation functions</t>
  </si>
  <si>
    <t>Frequently queries to multidimensional databases act on considerable amounts of information and their results are not stored for later use. Also, many of the measures stored in the multidimensional variables are not reusable because they represent measures that are only valid at a certain level of aggregation. However, many indicators of different types could be calculated indirectly from expressions based on additive functions, which have the potential to reuse previous results obtained at different levels of aggregation. If besides some results that can be subject to frequent queries to be stored are properly chosen, proper management of them has the potential to significantly reduce the volume of data and computational resources required to respond to a query. This paper presents an extension of a special formulation of the multidimensional model, which incorporates the ability to use and manage transparently for the user different levels of aggregation of a multidimensional variable initial called generator. Also, the operators and structures necessary to achieve this capacity in the model are defined. Initial estimates show that by choosing to store the aggregations frequently required in the consultations, in many cases it will allow to significantly reduce the amount of data and response times in other related consulates, due to the reduction in the volume of data involved. (C) 2020 The Authors. Published by Elsevier B.V.</t>
  </si>
  <si>
    <t>Córdova, Felisa/AAK-4280-2020; Palominos, Fredi/U-4690-2019; Duran, Claudia/S-1175-2019</t>
  </si>
  <si>
    <t>10.1016/j.procs.2019.12.047</t>
  </si>
  <si>
    <t>WOS:000514081500094</t>
  </si>
  <si>
    <t>Cassels, BK; Sáez-Briones, P</t>
  </si>
  <si>
    <t>Cassels, Bruce K.; Saez-Briones, Patricio</t>
  </si>
  <si>
    <t>Dark Classics in Chemical Neuroscience: Mescaline</t>
  </si>
  <si>
    <t>ACS CHEMICAL NEUROSCIENCE</t>
  </si>
  <si>
    <t>Archeological studies in the United States, Mexico, and Peru suggest that mescaline, as a cactus constituent, has been used for more than 6000 years. Although it is a widespread cactus alkaloid, it is present in high concentrations in few species, notably the North American peyote (Lophophora williamsii) and the South American wachuma (Trichocereus pachanoi, T. peruvianus, and T. bridgesii). Spanish 16th century chroniclers considered these cacti diabolic, leading to their prohibition, but their use persisted to our days and has been spreading for the last 150 years. In the late 1800s, peyote attracted scientific attention; mescaline was isolated, and its role in the psychedelic effects of peyote tops or mescal buttons was demonstrated. Its structure was established by synthesis in 1929, and alternative routes were developed, providing larger amounts for pharmacological and biosynthetic research. Although its effects are attributed mainly to its action as a 5-HT2A serotonin receptor agonist, mescaline binds in a similar concentration range to 5-HT1A and alpha(2A) receptors. It is largely excreted unchanged in human urine, and its metabolic products are apparently unrelated to its psychedelic properties. Its low potency is probably responsible for its relative neglect by recreational substance users, as the successful search for structure-activity relationships in the hallucinogen field focused largely on finding more potent analogues. Renewed interest in the possible therapeutic applications of psychedelic drugs may hopefully lead to novel insights regarding the commonalities and differences between the actions of individual classic hallucinogens.</t>
  </si>
  <si>
    <t>Cassels Niven, Bruce Kennedy/H-6937-2013</t>
  </si>
  <si>
    <t>Cassels Niven, Bruce Kennedy/0000-0002-0082-0661</t>
  </si>
  <si>
    <t>1948-7193</t>
  </si>
  <si>
    <t>10.1021/acschemneuro.8b00215</t>
  </si>
  <si>
    <t>WOS:000447954300015</t>
  </si>
  <si>
    <t>Debbouche, A; Lizama, C; Yang, XJ</t>
  </si>
  <si>
    <t>Debbouche, Amar; Lizama, Carlos; Yang, Xiao-Jun</t>
  </si>
  <si>
    <t>Editorial: Modern Fractional Dynamic Systems and Applications, MFDSA 2017</t>
  </si>
  <si>
    <t>JOURNAL OF COMPUTATIONAL AND APPLIED MATHEMATICS</t>
  </si>
  <si>
    <t>Lizama, Carlos/E-5909-2011; Yang, Xiao-Jun/E-8311-2011; Debbouche, Amar/J-7652-2018</t>
  </si>
  <si>
    <t>Yang, Xiao-Jun/0000-0003-0009-4599</t>
  </si>
  <si>
    <t>0377-0427</t>
  </si>
  <si>
    <t>1879-1778</t>
  </si>
  <si>
    <t>10.1016/j.cam.2018.03.008</t>
  </si>
  <si>
    <t>WOS:000432766400001</t>
  </si>
  <si>
    <t>Parraga-Alava, J; Dorn, M; Inostroza-Ponta, M</t>
  </si>
  <si>
    <t>Parraga-Alava, Jorge; Dorn, Marcio; Inostroza-Ponta, Mario</t>
  </si>
  <si>
    <t>A multi-objective gene clustering algorithm guided by apriori biological knowledge with intensification and diversification strategies</t>
  </si>
  <si>
    <t>BIODATA MINING</t>
  </si>
  <si>
    <t>Background: Biologists aim to understand the genetic background of diseases, metabolic disorders or any other genetic condition. Microarrays are one of the main high-throughput technologies for collecting information about the behaviour of genetic information on different conditions. In order to analyse this data, clustering arises as one of the main techniques used, and it aims at finding groups of genes that have some criterion in common, like similar expression profile. However, the problem of finding groups is normally multi dimensional, making necessary to approach the clustering as a multi-objective problem where various cluster validity indexes are simultaneously optimised. They are usually based on criteria like compactness and separation, which may not be sufficient since they can not guarantee the generation of clusters that have both similar expression patterns and biological coherence. Method: We propose a Multi-Objective Clustering algorithm Guided by a-Priori Biological Knowledge (MOC-GaPBK) to find clusters of genes with high levels of co-expression, biological coherence, and also good compactness and separation. Cluster quality indexes are used to optimise simultaneously gene relationships at expression level and biological functionality. Our proposal also includes intensification and diversification strategies to improve the search process. Results: The effectiveness of the proposed algorithm is demonstrated on four publicly available datasets. Comparative studies of the use of different objective functions and other widely used microarray clustering techniques are reported. Statistical, visual and biological significance tests are carried out to show the superiority of the proposed algorithm. Conclusions: Integrating a-priori biological knowledge into a multi-objective approach and using intensification and diversification strategies allow the proposed algorithm to find solutions with higher quality than other microarray clustering techniques available in the literature in terms of co-expression, biological coherence, compactness and separation.</t>
  </si>
  <si>
    <t>Párraga-Alava, Jorge/GZA-8759-2022; Dorn, Marcio/D-3696-2009</t>
  </si>
  <si>
    <t>Dorn, Marcio/0000-0001-8534-3480; Inostroza-Ponta, Mario/0000-0003-1295-8972; Parraga-Alava, Jorge/0000-0001-8558-9122</t>
  </si>
  <si>
    <t>1756-0381</t>
  </si>
  <si>
    <t>AUG 7</t>
  </si>
  <si>
    <t>10.1186/s13040-018-0178-4</t>
  </si>
  <si>
    <t>WOS:000441144500001</t>
  </si>
  <si>
    <t>Adunka, ML; Lacoste, P</t>
  </si>
  <si>
    <t>Lacoste Adunka, Michelle; Lacoste, Pablo</t>
  </si>
  <si>
    <t>Dismantling the commons: the dispute between artisanal fishermen and hacendados in Chile (Boca de Rapel, 1769-1877)</t>
  </si>
  <si>
    <t>HISTORIA AGRARIA</t>
  </si>
  <si>
    <t>This article examines the struggle for control of coastal lands that took place between the artisanal fishermen of the mouth of the Rapel River and the landowners of Bucalemu hacienda, during the transition from the colonial period and the construction of the Chilean state after independence. It also examines the subsequent extension of state control over this territory within the framework of the transition to capitalism. The large-scale landowners or hacendados tried to expel the fishermen and their 'plebeian culture' by various means: burning down their houses, depriving them of their work instruments, shackling them in private jails and putting theme in stocks. Yet the fishermen responded by defending their 'moral economy' peacefully and only employed judicial means. Using original and unpublished documents from the National Archive of Santiago, this article also examines the role of the various actors in the conflict: fishermen, hacendados, judges and institutions. Both the justice system and the Parliament are found to have served the interests of the great haciendas or large-scale landowners, in detriment of artisanal fishermen's rights.</t>
  </si>
  <si>
    <t>1139-1472</t>
  </si>
  <si>
    <t>10.26882/histagrar.075e06a</t>
  </si>
  <si>
    <t>WOS:000436529300006</t>
  </si>
  <si>
    <t>Kunstmann, C; Valdivia, F; De Marinis, A; Ayach, F; Montes, JM; Chana-Cuevas, P</t>
  </si>
  <si>
    <t>Kunstmann, Carolina; Valdivia, Felipe; De Marinis, Alejandro; Ayach, Fredy; Miguel Montes, Jose; Chana-Cuevas, Pedro</t>
  </si>
  <si>
    <t>Deep brain stimulation in Parkinson's disease</t>
  </si>
  <si>
    <t>Background: Deep brain stimulation is an essential therapeutic tool in Parkinson's disease. Aim: To assess the results of a series of patients with Parkinson's disease treated with micro-electrode guided subthalamic nucleus stimulation. Material and Methods: Twenty patients with idiopathic Parkinson's disease were studied (10 males). Three months after surgery, we analyzed the change in motor disturbances, medication need to control symptoms and quality of life. Results: We observed a significant improvement in all the assessed variables. Motor involvement determined as OFF hours and expressed as percentage of the day changed from 30 +/- 15 to 10 +/- 7% in the preoperative and postoperative periods, respectively. ON hours without dyskinesia changed from 17 +/- 16 to 78 +/- 21%. ON hours with dyskinesia changed from 53 +/- 23 to 12 +/- 15%. Medication need changed from 1,505 +/- 499 to 1,214 +/- 528 levodopa equivalents. Parkinson's Disease Questionnaire 39 score changed from 62.9 +/- 22.7 to 34.3 +/- 18.5. During the 5-year follow-up a continuous improvement of symptoms was observed. Conclusions: Micro-electrode guided subthalamic nucleus functional surgery in patients with Parkinson's disease has good immediate and late results.</t>
  </si>
  <si>
    <t>Valdivia, Felipe/HSE-5107-2023; Chana-Cuevas, Pedro/AAM-8215-2020</t>
  </si>
  <si>
    <t>10.4067/s0034-98872018000500562</t>
  </si>
  <si>
    <t>WOS:000440028600003</t>
  </si>
  <si>
    <t>Díaz, MH; Maureira, F; Flores, G; Fuentes, I; García, F; Maertens, P; Muñoz, S; Parra, F; Cordova, F</t>
  </si>
  <si>
    <t>Hernan Diaz, M.; Maureira, Fernando; Flores, Gonzalo; Fuentes, Ignacio; Garcia, Fernando; Maertens, Pablo; Munoz, Sergio; Parra, Felipe; Cordova, Felisa</t>
  </si>
  <si>
    <t>Moving correlations and chaos in the brain during closed eyes basal conditions</t>
  </si>
  <si>
    <t>In this work WC explered the use of linear and nonlinear, statistical appmaches to studying basal EEG brain activity. To do this, We used the Moving Correlation Coefficient (MCC), and the Hurst exponent estimator to visualize short. and long term EEG behavior during 2 minutes of EEG recording in closed eyes basal conditions. The EEG of 8 subjects served as data source for exploring the time series organtzation of the EEG in resting state. We found inter-subjects shared network patterns of high synchronic functional connectivity in frontal and right temporo-occipital regions. We also found a diversity of individual different networks of variable degree of synchronicity, in the range of -0.5&lt;0.5 (Spearinan linear r). The nonlinear approach using Hurst exponent estimator for the chaos/order balance in the EEG time series, gave us averages values of H &gt;0.5 for all channels. The short-term approximation to the chaos oscillation (M-Hurst)revealed several individual differences and a potential tool for subject's characterization. (C) 2018 The Authors. Published by Elsevier B.V.</t>
  </si>
  <si>
    <t>Córdova, Felisa/AAK-4280-2020</t>
  </si>
  <si>
    <t>CORDOVA, FELISA/0000-0002-5557-8569</t>
  </si>
  <si>
    <t>10.1016/j.procs.2018.10.248</t>
  </si>
  <si>
    <t>WOS:000471259200063</t>
  </si>
  <si>
    <t>Celis, F; Garcia, M; Diaz-Fleming, G; Campos-Vallette, M</t>
  </si>
  <si>
    <t>Celis, Freddy; Garcia, Macarena; Diaz-Fleming, Guillermo; Campos-Vallette, Marcelo</t>
  </si>
  <si>
    <t>A REVIEW OF RAMAN, SURFACE-ENHANCED RAMAN SCATTERING (SERS) AND RELATED SPECTROSCOPIC TECHNIQUES APPLIED TO BIOMOLECULES IN BIOMATERIALS</t>
  </si>
  <si>
    <t>The development of new biomaterials has gained increasing attention in the last decade. One of the most important aspects in the development of these new materials is to understand the chemical cues presents in the native niche. Among all the techniques currently available for measuring those interactions, Raman spectroscopy offers a unique and non-invasive tool for exploring the behavior of the components within a given biomaterial and their surrounding microenvironment. This technique exploits the unique molecular vibrational fingerprints for pinpointing those interactions. The vibrational response can be improved to the single molecule level, in the presence of metal nanoparticles (NPs) with plasmonic properties (silver, gold and copper) in the so-called SurfaceEnhanced Raman Scattering (SERS), which can be used for in-situ measurements. Another technique recently developed is the Shell-Isolated Nanoparticle-Enhanced Raman Spectroscopy (SHINERS), which overcomes signal contamination from chemical interactions between biomolecules and the metal surface; it does this by coating the metal surface with an inert layer of alumina or silica. In the present contribution, the role and the applications of Raman, SERS and related spectroscopic techniques in the study of biomolecules in biomaterials are reviewed and discussed.</t>
  </si>
  <si>
    <t>Celis, Freddy/GPT-0287-2022; García, Macarena/GXG-8380-2022</t>
  </si>
  <si>
    <t>Celis, Freddy/0000-0003-3195-3018</t>
  </si>
  <si>
    <t>10.4067/s0717-97072017000303627</t>
  </si>
  <si>
    <t>WOS:000417443500015</t>
  </si>
  <si>
    <t>Espinosa-Méndez, C; Gorigoitía, J; Vieito, J</t>
  </si>
  <si>
    <t>Espinosa-Mendez, Christian; Gorigoitia, Juan; Vieito, Joao</t>
  </si>
  <si>
    <t>Is the Virtual Integration of Financial Markets Beneficial in Emerging Markets? Evidence from MILA</t>
  </si>
  <si>
    <t>EMERGING MARKETS FINANCE AND TRADE</t>
  </si>
  <si>
    <t>This article analyzes whether the Latin American Integrated Market (MILA) has been beneficial for its participants. Using a dynamic conditional correlation (DCC) model proposed by Engle (2002), we found evidence that creating MILA increased the correlation levels in stock returns of member countries. Evidence indicates that this increase occurs mainly due to the increase in traded volume in the country with the least developed stock marketPeru.In short, findings suggest that in an integration process such as MILA, as stock market members differ, in terms of stock market development, the markets will benefit from the integration. However, in the long term these benefits dissipate over time.</t>
  </si>
  <si>
    <t>Espinosa-Méndez, Christian/G-5177-2019; Vieito, João/AAE-1207-2020; Vieito, Joao Paulo/J-5191-2012</t>
  </si>
  <si>
    <t>Espinosa-Mendez, Christian/0000-0001-6499-2414; Vieito, Joao Paulo/0000-0002-0899-4930</t>
  </si>
  <si>
    <t>1540-496X</t>
  </si>
  <si>
    <t>1558-0938</t>
  </si>
  <si>
    <t>10.1080/1540496X.2017.1307101</t>
  </si>
  <si>
    <t>WOS:000410853400009</t>
  </si>
  <si>
    <t>Montejo-Sánchez, S; Azurdia-Meza, C; Bolufé, S; Céspedes, S; Soto, I; Souza, RD</t>
  </si>
  <si>
    <t>Montejo-Sanchez, Samuel; Azurdia-Meza, Cesar; Bolufe, Sandy; Cespedes, Sandra; Soto, Ismael; Souza, Richard Demo</t>
  </si>
  <si>
    <t>Novel Channel Hopping Sequence Approaches to Rendezvous for VANETs</t>
  </si>
  <si>
    <t>2017 CHILEAN CONFERENCE ON ELECTRICAL, ELECTRONICS ENGINEERING, INFORMATION AND COMMUNICATION TECHNOLOGIES (CHILECON)</t>
  </si>
  <si>
    <t>OCT 18-20, 2017</t>
  </si>
  <si>
    <t>Pucon, CHILE</t>
  </si>
  <si>
    <t>IEEE Chile Sect,Asociac Chilena Control Automatico,IEEE Chilean Chapter Control Syst,IEEE Chilean Chapter SMC,Macro Fac Chile,Univ Frontera,Univ Bio Bio,Univ Talca,IEEE Syst, Man, &amp; Cybernet Soc</t>
  </si>
  <si>
    <t>Vehicular ad hoc networks (VANETs) have emerged as a paradigm for sharing information among vehicles and infrastructure that has the potential to provide road safety and travellers comfort. The bandwidth limitation is one of the main challenges of this technology, however, the growing perspectives of applications demand more and more service channels. In this work we propose two novel channel hopping (CH) sequence approaches to rendezvous, in order to allow VANET applications to use unlicensed channels. Besides, practical implementation considerations to reduce the search space and to replace the busy channels are discussed. We evaluate the performance of the proposed strategies in the presence of users competing for the available channels. Our results indicate that with a suitable CH sequence it is possible to increase the number of useful channels for rendezvous and thus decrease the percentage of failed rendezvous.</t>
  </si>
  <si>
    <t>Montejo-Sánchez, Samuel/AAX-4151-2020; Meza, Cesar/D-6948-2014; Souza, Richard/E-7928-2010; Cespedes, Sandra/H-9141-2012</t>
  </si>
  <si>
    <t>Montejo-Sanchez, Samuel/0000-0003-1622-3180; Cespedes, Sandra/0000-0003-1686-2644; Souza, Richard/0000-0002-7389-6245</t>
  </si>
  <si>
    <t>978-1-5386-3123-2</t>
  </si>
  <si>
    <t>WOS:000425925000091</t>
  </si>
  <si>
    <t>Palominos, FE; Palominos, SK; Córdova, FM; Díaz, H</t>
  </si>
  <si>
    <t>Ahuja, V; Shi, Y; Khazanchi, D; Abidi, N; Tian, Y; Berg, D; Tien, JM</t>
  </si>
  <si>
    <t>Palominos, Fredi E.; Palominos, Seomara K.; Cordova, Felisa M.; Diaz, Hernan</t>
  </si>
  <si>
    <t>Study of the achievement of university students and their relationship with the selection process</t>
  </si>
  <si>
    <t>5TH INTERNATIONAL CONFERENCE ON INFORMATION TECHNOLOGY AND QUANTITATIVE MANAGEMENT, ITQM 2017</t>
  </si>
  <si>
    <t>5th International Conference on Information Technology and Quantitative Management (ITQM)</t>
  </si>
  <si>
    <t>DEC 08-10, 2017</t>
  </si>
  <si>
    <t>New Delhi, INDIA</t>
  </si>
  <si>
    <t>Int Acad Informat Technol &amp; Quantitat Management,Jaypee Business Sch,Chinese Acad Sci, Res Ctr Fictitious Econ &amp; Data Sci,Chinese Acad Sci, Key Lab Big Data Min &amp; Knowledge Management,Univ Chinese Acad Sci, Sch Econ &amp; Management,Chinese Acad Sci, Inst Policy &amp; Management,Univ Nebraska Omaha,Chinese Acad Management,Grad Sch Management Technol,Hoseo Univ,Chinese Assoc Artificial Intelligence</t>
  </si>
  <si>
    <t>This paper explores the performance of students from four university careers of scientific orientation, per the qualifications and the effective progress achieved in their corresponding curricula, as well as their relationship with the variables of the admission process and the subsequent performance. Under the assumption that grades are less representative than the progress achieved by the student, the returns are measured mainly in terms of the progress achieved by the student in his / her respective curriculum. The analysis was approached by means of the application of the test of equality of average and the coefficient of correlation of Pearson, in subgroups of students formed per their condition of novices or previous experience in the university, its career and its type of school of origin. The results show little connection between the variables of the selection process and the academic performance, as well as a poor relationship between the indicators related to the secondary education grades and the performance of the students in their respective careers. Finally, a particular conceptual approach for the solution based on neuro-management considerations as a model to conceptually aboard complex dynamic routines that need to be redirected. (C) 2017 The Authors. Published by Elsevier B.V.</t>
  </si>
  <si>
    <t>Palominos, Fredi/U-4690-2019; CORDOVA, FELISA/S-1093-2019</t>
  </si>
  <si>
    <t>CORDOVA, FELISA/0000-0002-5557-8569; Palominos, Fredi/0000-0002-6119-4991</t>
  </si>
  <si>
    <t>10.1016/j.procs.2017.11.464</t>
  </si>
  <si>
    <t>WOS:000426698300131</t>
  </si>
  <si>
    <t>Moreno, RM; Antolin, G; Reyes, AE</t>
  </si>
  <si>
    <t>Heat transfer during forest biomass particles drying in an agitated fluidised bed</t>
  </si>
  <si>
    <t>The phenomenon of convective heat transfer between gas and biomass particles during the drying process of fluidised bed material was analysed in order to obtain the heat transfer coefficients between the gas and the particle surface. In order to promote high homogeneity of the particles suspension, the bed was mechanically stirred, to obtain a uniform temperature inside the bed. The results showed a correlation between, the Nusselt and Reynolds numbers, which predicts the surface heat transfer coefficient with a deviation of +/- 15%, in relation to the experimental data. (C) 2016 IAgrE. Published by Elsevier Ltd. All rights reserved.</t>
  </si>
  <si>
    <t>10.1016/j.biosystemseng.2016.08.002</t>
  </si>
  <si>
    <t>WOS:000389729200006</t>
  </si>
  <si>
    <t>Menendéz, MI; López, R; Yañez, M; Cárdenas-Jirón, G</t>
  </si>
  <si>
    <t>Isabel Menendez, M.; Lopez, Ramon; Yanez, Mauricio; Cardenas-Jiron, Gloria</t>
  </si>
  <si>
    <t>Tautomerization mechanism and spectral properties of porphyrin-glucose complexes as models of antibacterial material</t>
  </si>
  <si>
    <t>We performed a theoretical study, using density functional theory, about the physical-chemical properties of porphyrin-glucose complexes bonded by a triazine ring (TA) as models of the type photosensitizer-cellulose with potential antibacterial applications. Firstly, we explore the tautomerization mechanism (B3LYP/6-31G(d,p)) in the fragment TA considering three porphyrin-glucose complexes that varies in the porphyrin nature (anionic, cationic, neutral). We characterized the tautomers and the transition states connecting them, and found the keto form [-CONH-] as the most stable tautomer (TA-1). In a second stage, we analyze the ability of the porphyrins as photosensitizers in each porphyrin-glucose complexes in its form TA-1. For the calculation of the UV-Vis spectra, we assessed seven functionals (B3LYP, M05, MPWB1K, PBE, CAM-B3LYP, M06-2X, and LC-BLYP) on a porphyrin, some of which we previously have used. The best agreement with experimental data was obtained at the CPCM(UAKS)-M05/6-31G(d, p) level that then we used to calculate the spectra of the complexes. This functional predicts maximum errors of 0.09 eV for the Q bands. It is showed that the glucose unit does not significantly affect the ability of porphyrin as photosensitizer, and the absorption of Q band of the cationic complex (624 nm) is red shifted with respect to other complexes, which favors its action as photosensitizer. Finally, we focus on the energy released from the fully optimized triplet excited states, which straight relates to the formation of active singlet oxygen. We found that all the porphyrins and their complexes fulfill the requirements to be a good photosensitizer, absorb in the visible light region and release the enough energy to yield the more stable excite state (1)Delta(g) for singlet oxygen, which demonstrate that all the systems studied here could be used as antibacterial materials.</t>
  </si>
  <si>
    <t>LOPEZ, RAMON/H-5078-2015; Cardenas-Jiron, Gloria/H-9508-2012; Menendez/B-7698-2009</t>
  </si>
  <si>
    <t>Cardenas-Jiron, Gloria/0000-0003-4305-8088; Menendez/0000-0002-5062-4319</t>
  </si>
  <si>
    <t>10.1007/s00214-016-1878-9</t>
  </si>
  <si>
    <t>WOS:000376492300001</t>
  </si>
  <si>
    <t>Gulppi, MA; Vejar, N; Tamayo, L; Azocar, MI; Vera, C; Silva, C; Zagal, JH; Scholz, F; Páez, MA</t>
  </si>
  <si>
    <t>Gulppi, M. A.; Vejar, N.; Tamayo, L.; Azocar, M. I.; Vera, C.; Silva, C.; Zagal, J. H.; Scholz, F.; Paez, M. A.</t>
  </si>
  <si>
    <t>Stripping voltammetry microprobe (SPV): A new approach in electroanalysis</t>
  </si>
  <si>
    <t>ELECTROCHEMISTRY COMMUNICATIONS</t>
  </si>
  <si>
    <t>This paper describes how electrochemical trace analysis can be performed in micro samples based on the precipitation of a sparingly soluble compound and its immobilization on an electrode surface. Precipitation is performed in a solution droplet put on the electrode in an upside-down position in air. The solvent of the droplet is then evaporated and the immobilized residue is subjected to a voltammetric measurement after introducing the electrode to an electrolyte solution. This methodology can be used for the quantification of dissolved ions (after precipitation) as well as for that of dispersed solids. As example, here the quantification of silver ions following precipitation as AgCl is described. (C) 2014 Elsevier B.V. All rights reserved.</t>
  </si>
  <si>
    <t>Tamayo, Laura/I-8942-2018; zagal, jose/L-9648-2014; Gulppi, Miguel/KTA-6210-2024; Azocar, Manuel/I-1226-2013; Paez, Maritza/M-2010-2014; Vejar, Nelson/M-7784-2017; Silva, Carlos/IQS-5583-2023</t>
  </si>
  <si>
    <t>Vejar, Nelson/0000-0002-9544-2199; Tamayo, Laura/0000-0003-1159-5305; Azocar Guzman, Manuel/0000-0003-1098-4659; Vera Oyarce, Cristian/0000-0001-9972-8904; paez, maritza/0000-0001-5881-884X; Gulppi, Miguel/0000-0001-6099-4463; Silva, Carlos P./0000-0001-5344-042X</t>
  </si>
  <si>
    <t>1388-2481</t>
  </si>
  <si>
    <t>1873-1902</t>
  </si>
  <si>
    <t>10.1016/j.elecom.2014.01.012</t>
  </si>
  <si>
    <t>WOS:000333858100003</t>
  </si>
  <si>
    <t>An Interesting Case Where Water Behaves as a Unique Solvent. 4-Aminophthalimide Emission Profile to Monitor Aqueous Environment</t>
  </si>
  <si>
    <t>The behavior of 4-aminophthalimide (4-AP), a common molecular probe utilized in solvation dynamics experiments, was revisited in polar aprotic and protic solvents using absorption, steady-state, and time-resolved fluorescence (TRES) techniques. Also, the deuterium isotope effect was investigated using D2O as solvent. The absorption spectra of 4-AP consist of two absorption bands with maxima around 300 nm (B2 band) and 370 nm (B1 band) depending on the environment, while the emission feature consists of a single band. In all the solvents investigated (excluding water), the 4-AP photophysics is similar and the emission spectra are independent of the excitation wavelength used. In water the behavior is unique and the emission spectra maximum is different depending on the excitation wavelength used. The emission maximum is 561.7 nm using the excitation wavelength that correspond to the B2 absorption band maximum (lambda(excB2) = 303.4 nm) but is 545.7 nm when the excitation wavelength that correspond to the B1 absorption maximum (lambda(excB1) = 370.0 nm) is used. Moreover, while the fluorescence decays of 4-AP in water exhibit no emission wavelength dependence at lambda(excB2), the situation is quite different when lambda(excB1) is used. In this case, we found a time-dependent emission spectrum that shifts to the blue with time. Our results show that the solvent-mediated proton transfer process displays a fundamental role in the 4-AP emission profile and for the first time a mechanism was proposed that fully explains the 4-AP behavior in every solvent including water. The deuterium isotope effect confirms the assumption because the proton-transfer process is dramatically retarded in this solvent. Consequently, we were able to elucidate not only why in water the emission spectra depend on the excitation wavelength but also why the time-dependent emission spectra shift to the blue with time. Thus, our work reveals the importance that the medium has on the behavior of a widespread dye used as chromophore. This is significant since the use of chromophores without understanding its chemistry can induce artifacts into the interpretation of solvation dynamics in heterogeneous environments, in particular, those provided by aqueous biological systems.</t>
  </si>
  <si>
    <t>Silber, Juana/0000-0001-9395-9939; Falcone, R. Dario/0000-0002-0997-3437; Correa, N. Mariano/0000-0002-1728-3620; Durantini, Andres M./0000-0002-7898-4033</t>
  </si>
  <si>
    <t>FEB 21</t>
  </si>
  <si>
    <t>10.1021/jp310854s</t>
  </si>
  <si>
    <t>WOS:000315432200020</t>
  </si>
  <si>
    <t>Domínguez, ME; Rezende, MC; Márquez, S</t>
  </si>
  <si>
    <t>Elias Dominguez, Moises; Caroli Rezende, Marcos; Marquez, Sebastian</t>
  </si>
  <si>
    <t>Theoretical study of the solvatochromism of a donor-acceptor bithiophene</t>
  </si>
  <si>
    <t>JOURNAL OF MOLECULAR MODELING</t>
  </si>
  <si>
    <t>The solvation and the solvatochromic behavior of the 5-(methylthio)-5'-nitro-2,2'-bithiophene 1 in diethyl ether, dichloromethane, acetonitrile, methanol and formamide was theoretically investigated with an iterative molecular and quantum mechanics (QM/MM) approach. Calculated longest-wavelength solvatochromic absorption band of 1, obtained as averages of statistically uncorrelated configurations, including the solute and explicit solvent molecules of the first and second solvation layer, were in excellent agreement with the experimental results.</t>
  </si>
  <si>
    <t>Domínguez, Moisés/M-3457-2014; Caroli, Marcos/H-3570-2019</t>
  </si>
  <si>
    <t>Dominguez, Moises/0000-0002-8444-3065; Rezende, Marcos/0000-0003-2040-9009</t>
  </si>
  <si>
    <t>1610-2940</t>
  </si>
  <si>
    <t>0948-5023</t>
  </si>
  <si>
    <t>10.1007/s00894-012-1593-y</t>
  </si>
  <si>
    <t>WOS:000314051200019</t>
  </si>
  <si>
    <t>Aspée, A; Alarcon, E; Pino, E; Gorelsky, SI; Scaiano, JC</t>
  </si>
  <si>
    <t>Aspee, Alexis; Alarcon, Emilio; Pino, Eduardo; Gorelsky, Serge I.; Scaiano, Juan C.</t>
  </si>
  <si>
    <t>Coumarin 314 Free Radical Cation: Formation, Properties, and Reactivity toward Phenolic Antioxidants</t>
  </si>
  <si>
    <t>We have explored the photogeneration of the coumarin 314 radical cation by using nanosecond laser excitation at wavelengths longer than 400 nm in benzene, acetonitrile, dichloromethane, and aqueous media. In addition, time-resolved absorption spectroscopy measurements allowed detection of the triplet excited state of coumarin 314 (C-314) with a maximum absorption at 550 rim in benzene. The triplet excited state has a lifetime of 90 mu s in benzene. It is readily quenched by oxygen (k(q) = 5.0 x 10(9) M-1 s(-1)). From triplet-triplet energy transfer quenching experiments, it is shown that the energy of this triplet excited state is higher than 35 kcal/mol, in accord with the relatively large singlet oxygen quantum yield (Phi(Delta) = 0.25). However, in aqueous media, the,coumarin triplet was no longer, observed, and instead of that, a long-lived (160 mu s in air equilibrated solutions) free radical cation with a maximum absorbance at 370 nm was detected. The free radical cation generation, which has a quantum yield of 0.2, occurs by electron photoejection. Moreover, density functional theory (DFT) calculations indicate that at least 40% of the electronic density is placed on the nitrogen atom in aqueous media, Which explains its lack of reactivity toward oxygen. On the Other. hand, rate constant values close to the diffusion rate limit in water (&gt;10(9) M-1 s(-1)) were found for the quenching of the C-314 free radical cation by phenolic antioxidants. The results have been interpreted by an electron transfer reaction between the Phenolic antioxidant and the radical cation where ion pair formation could be involved.</t>
  </si>
  <si>
    <t>Scaiano, Juan/0000-0002-4838-7123; Pino, Eduardo Francisco/0000-0002-7851-3952</t>
  </si>
  <si>
    <t>JAN 12</t>
  </si>
  <si>
    <t>10.1021/jp207100q</t>
  </si>
  <si>
    <t>WOS:000298978000023</t>
  </si>
  <si>
    <t>Muñoz, CA; Mosey, S; Binks, M</t>
  </si>
  <si>
    <t>Munoz C, Cristian A.; Mosey, Simon; Binks, Martin</t>
  </si>
  <si>
    <t>Developing Opportunity-Identification Capabilities in the Classroom: Visual Evidence for Changing Mental Frames</t>
  </si>
  <si>
    <t>ACADEMY OF MANAGEMENT LEARNING &amp; EDUCATION</t>
  </si>
  <si>
    <t>We consider how the development of students' capabilities for identifying business opportunities is underpinned by a change in their opportunity-identification mental frames. We observe that students find it difficult to verbally articulate how their performance has changed, and yet such changes are reflected through radical shifts in their visual representations of entrepreneurship. We conclude that entrepreneurship courses need to change the way students perceive reality and interpret information to enable them to more effectively identify new business opportunities.</t>
  </si>
  <si>
    <t>Mosey, Simon/AAB-4707-2021</t>
  </si>
  <si>
    <t>1537-260X</t>
  </si>
  <si>
    <t>WOS:000292853800007</t>
  </si>
  <si>
    <t>von Bernhardi, R; Tichauer, JE; Eugenín, J</t>
  </si>
  <si>
    <t>von Bernhardi, Rommy; Tichauer, Juan E.; Eugenin, Jaime</t>
  </si>
  <si>
    <t>Aging-dependent changes of microglial cells and their relevance for neurodegenerative disorders</t>
  </si>
  <si>
    <t>P&gt;Among multiple structural and functional brain changes, aging is accompanied by an increase of inflammatory signaling in the nervous system as well as a dysfunction of the immune system elsewhere. Although the long-held view that aging involves neurocognitive impairment is now dismissed, aging is a major risk factor for neurodegenerative diseases such as Alzheimer`s disease, Parkinson`s disease and Huntington's disease, among others. There are many age-related changes affecting the brain, contributing both to certain declining in function and increased frailty, which could singly and collectively affect neuronal viability and vulnerability. Among those changes, both inflammatory responses in aged brains and the altered regulation of toll like receptors, which appears to be relevant for understanding susceptibility to neurodegenerative processes, are linked to pathogenic mechanisms of several diseases. Here, we review how aging and pro-inflammatory environment could modulate microglial phenotype and its reactivity and contribute to the genesis of neurodegenerative processes. Data support our idea that age-related microglial cell changes, by inducing cytotoxicity in contrast to neuroprotection, could contribute to the onset of neurodegenerative changes. This view can have important implications for the development of new therapeutic approaches.</t>
  </si>
  <si>
    <t>10.1111/j.1471-4159.2009.06537.x</t>
  </si>
  <si>
    <t>WOS:000274241900001</t>
  </si>
  <si>
    <t>Cárdenas, R; Peña, R; Wheeler, P; Clare, J</t>
  </si>
  <si>
    <t>Cardenas, Roberto; Pena, Ruben; Wheeler, Pat; Clare, Jon</t>
  </si>
  <si>
    <t>Resonant Controllers for 4-leg Matrix Converters</t>
  </si>
  <si>
    <t>IEEE INTERNATIONAL SYMPOSIUM ON INDUSTRIAL ELECTRONICS (ISIE 2010)</t>
  </si>
  <si>
    <t>Proceedings of the IEEE International Symposium on Industrial Electronics</t>
  </si>
  <si>
    <t>IEEE International Symposium on Industrial Electronics (ISIE)</t>
  </si>
  <si>
    <t>JUL 04-07, 2010</t>
  </si>
  <si>
    <t>Bari, ITALY</t>
  </si>
  <si>
    <t>IEEE,IEEE Ind Elect Soc,IEEE Control Syst Soc,Soc Instrument &amp; Control Engineers (SICE)</t>
  </si>
  <si>
    <t>Variable speed diesel generation is a good alternative to supply electrical energy to stand-alone unbalanced loads. Operating the diesel engine at variable speed reduces the fuel consumption, increases the overall efficiency, reduces the thermal signature of the machine and increases the useful life of the engine. Moreover, to reduce the size and weight of the whole generation system, a Matrix Converter (MC) can be used. However, to interface a MC-based generation system to an unbalanced 3 phi stand-alone load, a four-leg MC is required to provide a path for the zero sequence load current. In order to regulate balanced voltages into the unbalanced load, a closed loop control system is required to compensate for the voltage drops in the output filter inductances and semiconductor devices and to compensate for the non linearities introduced by the commutation method. In this paper the design and implementation of a resonant control system for 4-leg MCs is presented. Simulation and experimental results, obtained from a prototype, are discussed</t>
  </si>
  <si>
    <t>pena, ruben/H-1806-2018; Cardenas, Roberto/C-6395-2011; Clare, Jon/M-2032-2018</t>
  </si>
  <si>
    <t>Wheeler, Patrick/0000-0003-0307-581X; Cardenas, Roberto/0000-0003-3853-7703; Clare, Jon/0000-0001-8243-4280</t>
  </si>
  <si>
    <t>2163-5137</t>
  </si>
  <si>
    <t>978-1-4244-6391-6</t>
  </si>
  <si>
    <t>WOS:000295007801047</t>
  </si>
  <si>
    <t>Navarrete, K; Roa, A; Vaca, I; Espinosa, Y; Navarro, C; Chávez, R</t>
  </si>
  <si>
    <t>Navarrete, Katherinne; Roa, Amanda; Vaca, Inmaculada; Espinosa, Yeison; Navarro, Claudio; Chavez, Renato</t>
  </si>
  <si>
    <t>Molecular characterization of the niaD and pyrG genes from Penicillium camemberti, and their use as transformation markers</t>
  </si>
  <si>
    <t>CELLULAR &amp; MOLECULAR BIOLOGY LETTERS</t>
  </si>
  <si>
    <t>Genetic manipulation of the filamentous fungus Penicillium camemberti has been limited by a lack of suitable genetics tools for this fungus. In particular, there is no available homologous transformation system. In this study, the nitrate reductase (niaD) and orotidine-5'-monophosphate decarboxylase (pyrG) genes from Penicillium camemberti were characterized, and their suitability as metabolic molecular markers for transformation was evaluated. The genes were amplified using PCR-related techniques, and sequenced. The niaD gene is flanked by the nitrite reductase (niiA) gene in a divergent arrangement, being part of the putative nitrate assimilation cluster in P. camemberti. pyrG presents several polymorphisms compared with a previously sequenced pyrG gene from another P. camemberti strain, but almost all are silent mutations. Southern blot assays indicate that one copy of each gene is present in P. camemberti. Northern blot assays showed that the pyrG gene is expressed in minimal and rich media, and the niaD gene is expressed in nitrate, but not in reduced nitrogen sources. The functionality of the two genes as transformation markers was established by transforming A. nidulans pyrG- and niaD-deficient strains. Higher transformation efficiencies were obtained with a pyrG-containing plasmid. This is the first study yielding a molecular and functional characterization of P. camemberti genes that would be useful as molecular markers for transformation, opening the way for the future development of a non-antibiotic genetic transformation system for this fungus.</t>
  </si>
  <si>
    <t>Vaca, Inmaculada/I-2758-2013</t>
  </si>
  <si>
    <t>Vaca, Inmaculada/0000-0002-8952-9036; Chavez, Renato/0000-0003-1754-3610</t>
  </si>
  <si>
    <t>1425-8153</t>
  </si>
  <si>
    <t>1689-1392</t>
  </si>
  <si>
    <t>10.2478/s11658-009-0028-y</t>
  </si>
  <si>
    <t>WOS:000269947600011</t>
  </si>
  <si>
    <t>Fernández, D; Coey, JMD</t>
  </si>
  <si>
    <t>Fernandez, Damaris; Coey, J. M. D.</t>
  </si>
  <si>
    <t>Inhomogeneous electrodeposition of copper in a magnetic field</t>
  </si>
  <si>
    <t>Normally, magnetoconvection driven by the Lorentz force increases the limiting current in the mass-transport limited regime, roughly as the one-third power of the applied magnetic field. Here we show that an applied field can actually diminish the rate of copper electrode position at low overpotentials. The effect is related to the formation of a vortex at the leading edge of the flow. Similar, but weaker effects are due to gravity. (C) 2008 Elsevier B.V. All rights reserved.</t>
  </si>
  <si>
    <t>Coey, John Michael David/0000-0003-0053-8452</t>
  </si>
  <si>
    <t>10.1016/j.elecom.2008.10.057</t>
  </si>
  <si>
    <t>WOS:000263455600036</t>
  </si>
  <si>
    <t>Palma, M; Cárdenas-Jirón, GI; Rodríguez, MIM</t>
  </si>
  <si>
    <t>Palma, Marcela; Cardenas-Jiron, Gloria I.; Menendez Rodriguez, M. Isabel</t>
  </si>
  <si>
    <t>Effect of Chlorin Structure on Theoretical Electronic Absorption Spectra and on the Energy Released by Porphyrin-Based Photosensitizers</t>
  </si>
  <si>
    <t>In this work eight porphyrins (p) and eight chlorins (c) are theoretically characterized [BLYP/6-31G(d)] in their singlet and triplet states. Nine of them (1(p), 1(c), 2(p), 3(p), 4(p), 5(p), 6(c), 7(c), and 8(c)) have already been synthesized and are in trial use in photodynamic therapy (PDT). The seven remaining were built up as chlorins analogous to porphyrins 2(p)-5(p) and porphyrins analogous to chlorins 6(c)-8(c). The aim is to investigate the effect of the chlorin structure on the Q-band of electronic spectra at BLYP/6-31G(d) (gas phase, methanol solution) and at BHANDHLYP/6-31 +G(d) (methanol solution), and on the triplet -&gt; singlet energy emission, as these two factors determine the quality of a good photosensitizer. It is found that meso substituents lead to greater geometry distortions than beta-substituents in both porphyrins and chlorins and in both singlet and triplet states. In methanol solution, chlorin-like structures with substitution present significantly red-shifted Q-bands in comparison with their porphyrin analogues, so they would be better photosensitizers than porphyrins. Concerning to the triplet -&gt; singlet energy emission calculated in methanol solution, three porphyrins (4(p), 6(p), and 8(p)) and all the studied substituted chlorins could be useful to generate active O-1(2). 4(c) Would be the best photosensitizer, as it absorbs the largest wavelength in the therapeutic window (approximately 690 nm) and releases the amount of energy closest to the required one (1.22 eV).</t>
  </si>
  <si>
    <t>Menendez, M. Isabel/B-7698-2009; Cardenas-Jiron, Gloria/H-9508-2012</t>
  </si>
  <si>
    <t>DEC 25</t>
  </si>
  <si>
    <t>10.1021/jp804350n</t>
  </si>
  <si>
    <t>WOS:000262018900040</t>
  </si>
  <si>
    <t>Reyes, PA; Vargas, MF; García, KP; Rubilar, PS; Navarrete, PA; Fuentes, PM; Ríos, MA; Orihuela, PA; Vargas, RH; Rubio, VH; Heckels, J; Christodoulides, M; Cárdenas, H; Velásquez, LA</t>
  </si>
  <si>
    <t>Reyes, Paz A.; Vargas, Macarena F.; Garcia, Katherine P.; Rubilar, Paulina S.; Navarrete, Patricia A.; Fuentes, Pamela M.; Rios, Miguel A.; Orihuela, Pedro A.; Vargas, Renato H.; Rubio, Victor H.; Heckels, John; Christodoulides, Myron; Cardenas, Hugo; Velasquez, Luis A.</t>
  </si>
  <si>
    <t>Apoptosis related genes expressed in cultured Fallopian tube epithelial cells infected in vitro with Neisseria gonorrhoeae</t>
  </si>
  <si>
    <t>Background: Infection of the Fallopian tubes (FT) by Neisseria gonorrhoeae (Ngo) can lead to acute salpingitis, an inflammatory condition resulting in damage primarily to the ciliated cells, with loss of ciliary activity and sloughing of the cells from the epithelium. Recently, we have shown that Ngo infection induced apoptosis in FT epithelium cells by a TNF-alpha dependent mechanism that could contribute to the cell and tissue damage observed in gonococcal salpingitis. Aim: To investigate the apoptosis-related genes expressed during apoptosis induction in cultured FT epithelial cells infected in vitro by Ngo. Materials and Methods: In the current study, we used cDNA macroarrays and real time PCR to identify and determine the expression levels of apoptosis related genes during the in vitro gonococci infection of FT epithelial cells. Results: Significant apoptosis was induced following infection with Ngo. Macroarray analysis identified the expression of multiple genes of the TNF receptor family (TNFRSF1B, -4, -6, -10A, -10B and -10D) and the Bcl-2 family (BAK1, BAX, BLK, HRK and MCL-1) without differences between controls and infected cells. This lack of difference was confirmed by RT-PCR of BAX, Bcl-2, TNFRS1A (TNFR-I) and TNFRSF1B (TNFR-II). Conclusion: Several genes related to apoptosis are expressed in primary cultures of epithelial cells of the human Fallopian tube. Infection with Ngo induces apoptosis without changes in the pattern of gene expression of several apoptosis-related genes. Results strongly suggest that Ngo regulates apoptosis in the FT by post-transcriptional mechanisms that need to be further addressed.</t>
  </si>
  <si>
    <t>; Christodoulides, Myron/C-6699-2011</t>
  </si>
  <si>
    <t>Velasquez, Luis/0000-0002-9479-1792; Garcia, Katherine/0000-0003-0443-604X; Christodoulides, Myron/0000-0002-9663-4731</t>
  </si>
  <si>
    <t>WOS:000254493600006</t>
  </si>
  <si>
    <t>Escrig, J; Landeros, P; Retamal, JC; Altbir, D; Castro, JDE</t>
  </si>
  <si>
    <t>Magnetic behavior of nanoparticles in patterned thin films</t>
  </si>
  <si>
    <t>The magnetic behavior of truncated conical nanoparticles in patterned thin films is investigated as a function of their size and shape. Using a scaling technique, phase diagrams giving the relative stability of characteristic internal magnetic structures of the particles are obtained. The role of the uniaxial anisotropy in determining the magnetic properties of such systems is discussed, and a simple method for establishing its strength is proposed. (C) 2003 American Institute of Physics.</t>
  </si>
  <si>
    <t>Retamal, Juan/G-6425-2010; Landeros, Pedro/B-4603-2012; Altbir, Dora/R-6781-2018; Escrig, Juan/N-4304-2015</t>
  </si>
  <si>
    <t>Retamal Abarzua, Juan Carlos/0000-0002-7174-7879; Landeros, Pedro/0000-0002-0927-1419; Altbir, Dora/0000-0002-2945-4909; Escrig, Juan/0000-0002-3958-8185</t>
  </si>
  <si>
    <t>MAY 19</t>
  </si>
  <si>
    <t>10.1063/1.1573333</t>
  </si>
  <si>
    <t>WOS:000182823300034</t>
  </si>
  <si>
    <t>Baeza, P; Ojeda, J; Escalona, N; Alvez, G; García, R; Cid, R; Llambías, FJG</t>
  </si>
  <si>
    <t>Study about the synergy of Ni-Re system on the catalytic activity on gasoil hydrodesulfuration.</t>
  </si>
  <si>
    <t>BOLETIN DE LA SOCIEDAD CHILENA DE QUIMICA</t>
  </si>
  <si>
    <t>In this work it is shown results of catalytic activity of monometalic and bimetallic NiRe sulphurs of unsupported samples, for the hydrodesulfuration reaction (HDS) of a gasoil, measures under similar conditions to the industrial ones. The results demonstrate the existence of a significant synergetic effect between both sulphurs, to an atomic relationship Ni/(Ni+Re) near to 0,5.</t>
  </si>
  <si>
    <t>Escalona, Nestor/F-3593-2016</t>
  </si>
  <si>
    <t>Escalona Burgos, Nestor/0000-0002-2628-4609</t>
  </si>
  <si>
    <t>0366-1644</t>
  </si>
  <si>
    <t>WOS:000173712000004</t>
  </si>
  <si>
    <t>Aguirre, P; Sariego, R; Moya, SA</t>
  </si>
  <si>
    <t>Ruthenium (II) complexes in catalytic oxidation</t>
  </si>
  <si>
    <t>Ruthenium (II) complexes of the type RuL(CO)(2)Cl-2, [RuL(CO)(2)L-2'](2+) and [RuL(CO)(2)Cl L'](+) [L=bipyridine (bpy), phenanthroline (phen), biquinoline (biq) and L'=pyridine (py), 4-chloropyridine (Cl-py), 4-methoxypyridine (MeO-py)] were synthesized from [Ru(CO)(2)Cl-2](n) and L, to produce the intermediate RuL(CO)(2)Cl-2, followed by hydrolysis and reaction with L'. The catalytic activity of these complexes in epoxidation of olefins with iodosylbenzene under ambient conditions was investigated. A possible mechanism of these reactions, explaining the effects of the ligands on the reaction was explored. At least one carbonyl ligand remained bound to the metal through the reaction. The formation of an oxo intermediate was inferred from spectroscopic detection of bridged oxygen Ru-O-Ru and Ru=O species.</t>
  </si>
  <si>
    <t>10.1080/00958970108022652</t>
  </si>
  <si>
    <t>WOS:000172387600019</t>
  </si>
  <si>
    <t>Escudey, M; Díaz, P; Galindo, G; Chang, AC</t>
  </si>
  <si>
    <t>Differential thermogravimetric analysis of oxalate in hydrogen peroxide-treated allophanic soils</t>
  </si>
  <si>
    <t>COMMUNICATIONS IN SOIL SCIENCE AND PLANT ANALYSIS</t>
  </si>
  <si>
    <t>Soil organic matter destruction by hydrogen peroxide (H2O2) treatment used in clay samples preparation of allophanic soils leads to oxalate formation which can be adsorbed on clay surfaces or precipitated as calcium oxalate (CaC2O4), when calcium (Ca) saturation is involved. Oxalate precipitation is detected through differential thermogravimetric (DTG) analysis. The DTG curves of Vilcun soil, a Chilean Andisol, potassium (K) or Ca ion homoionized show only the characteristic continuous weight loss of allophanic soils. After H2O2 treatment, the Ca homonized sample shows three more peaks attributed to CaC2O4 which remain even after iron oxide removal by the citrate-dithionite-bicarbonate treatment. However, they are not shown if water washings are applied after the H2O2 treatment.</t>
  </si>
  <si>
    <t>0010-3624</t>
  </si>
  <si>
    <t>10.1080/00103629909370258</t>
  </si>
  <si>
    <t>WOS:000080181600004</t>
  </si>
  <si>
    <t>Gloger, S; Puente, J; Arias, P; Fischman, P; Caldumbide, I; Gonzalez, R; Quiroz, J; Echavarri, O; Ramirez, C</t>
  </si>
  <si>
    <t>Modifications in lymphocyte proliferation induced by academic stress in medical students</t>
  </si>
  <si>
    <t>Background: There Is a relationship between stressful situations and the susceptibility towards certain diseases, probably mediated by immune system modifications. Aim: To study T lymphocyte proliferation in medical students during periods of differing academic stress. Subjects and methods: Blood samples were obtained from 42 medical students during a period of moderate academic stress, immediately before a final examination and after their summer vacations. T lymphocyte proliferation in response to 5, 10 and 20 mg/ml phytohemagglutinin was measured by the incorporation of 3H-thymidine, and plasma cortisol was measured by RIA. Results: T lymphocyte stimulation index in response to all phytohemagglutinin concentrations was significatively lower in the period before examination than in the other two periods. There were no differences in the index between the pet-led of moderate stress and after summer vacations. Plasma cortisol levels were 15.6 +/- 4.3, 18.6 +/- 5.8 and 16.7 +/- 5.1 mg/dl during the periods of moderate stress, before the examination and after vacations, respectively (P &lt; 0.05 for the difference between examination and the other two periods). Conclusions: There is a decrease in lymphocyte proliferation and an increase in cortisol levels during a period of acute academic stress in medical students suggesting that, the exposure of thealthy subjects to common stress ful stimuli, may affect their immunocompetance.</t>
  </si>
  <si>
    <t>WOS:A1997XP60600004</t>
  </si>
  <si>
    <t>Muñoz-Nuñez, E; Madrid-Villegas, A; Alarcón-Enos, J; Ferreira-Funes, C; Valdés-Navarro, F; Santander, R; Norambuena-Morales, J; Martínez-Lobos, M</t>
  </si>
  <si>
    <t>Munoz-Nunez, Evelyn; Madrid-Villegas, Alejandro; Alarcon-Enos, Julio; Ferreira-Funes, Catalina; Valdes-Navarro, Francisca; Santander, Rocio; Norambuena-Morales, Javiera; Martinez-Lobos, Manuel</t>
  </si>
  <si>
    <t>Insecticidal Potential of Baccharis macraei Essential Oils: An Ecological Approach to Their Volatile Composition in Insect Management</t>
  </si>
  <si>
    <t>AGRONOMY-BASEL</t>
  </si>
  <si>
    <t>Bioinsecticides based on essential oils (EOs) are promising alternatives for agricultural insect control. In this study, the main compounds of Baccharis macraei EOs from two geographical areas were identified using gas chromatography-mass spectrometry (GC-MS). The insecticidal potential against Drosophila melanogaster, Tenebrio molitor, and Galleria mellonella was evaluated, along with acetylcholinesterase (AChE) inhibition and molecular docking analysis. GC-MS analysis revealed oxygenated sesquiterpenes, such as spathulenol, caryophyllene oxide, and alpha-cadinol. The EO from Site 1 (S1) exhibited insecticidal activity with lethal dose 50 (LD50) values of 46.50, 465.76, and 241.2 mu g/mL for D. melanogaster, T. molitor, and G. mellonella, respectively. The EO from Site 2 (S2) showed LD50 values of 74.81, 385.62, and 195.2 mu g/mL for the same pests. AChE inhibition yielded inhibitory concentration 50 (IC50) values of 12.8 +/- 0.13 mu g/mL for S1 and 11.7 +/- 0.07 mu g/mL for S2. Molecular docking analysis revealed a strong binding energy between alpha-cadinol and AChE. These results highlight that EOs from B. macraei are effective and serve as a natural alternative to traditional insecticides.</t>
  </si>
  <si>
    <t>Santander, Rocio/K-7645-2013; Norambuena, Javiera/MTF-3983-2025</t>
  </si>
  <si>
    <t>Munoz Nunez, Evelyn/0000-0002-4844-2137; Norambuena, Javiera/0000-0002-2992-4907; Ferreira, Catalina/0000-0001-5935-6886</t>
  </si>
  <si>
    <t>2073-4395</t>
  </si>
  <si>
    <t>10.3390/agronomy15030509</t>
  </si>
  <si>
    <t>WOS:001453561000001</t>
  </si>
  <si>
    <t>Ahmadpour, Y; Bahrami, G; Arkan, E; Abbaszadeh, F; Aghaz, F; Fakhri, S; Echeverría, J</t>
  </si>
  <si>
    <t>Ahmadpour, Yasaman; Bahrami, Gholamreza; Arkan, Elham; Abbaszadeh, Fatemeh; Aghaz, Faranak; Fakhri, Sajad; Echeverria, Javier</t>
  </si>
  <si>
    <t>Unveiling the effects of Rosa canina oligosaccharide liposome on neuropathic pain and motor dysfunction following spinal cord injury in rats: relevance to its antioxidative effects</t>
  </si>
  <si>
    <t>Background Spinal cord injury (SCI) is a leading cause of sensorimotor disorders, impacting millions of people globally. The absence of effective treatments and the side effects of existing medications highlight the need for innovative research into new therapeutic compounds.Purpose Given the critical role of oxidative stress in the development of SCI and the antioxidant properties of oligosaccharides in other neurological disorders, this study focuses on the role of oxidative stress in SCI and explores the potential of a novel oligosaccharide nanoformulation derived from Rosa canina (Oligo-L).Materials and methods Oligo-L was formulated using soy lecithin as the phospholipid and the characterization included size, zeta potential, morphology, and drug loading efficiency. Then 35 Wistar male rats were divided into five groups of Sham, SCI, and Oligo-L (10 mu L intrathecal injection of 15, 30, and 45 mg/mL). An aneurysm clip was used to induce compression injury of the SCI and Oligo-L groups. Sensory-motor functions were evaluated weekly for 4 weeks using tests such as the BBB scale, inclined plane, acetone drop, hot plate, von Frey, and monitoring of weight changes. Additionally, oxidative stress markers and histological changes were examined to evaluate changes in nitrite, glutathione, catalase, and neuronal survival.Results and discussion The findings indicated that Oligo-L treatment led to significant improvements in neuropathic pain, and motor function performance and weight of the animals from the first week post-SCI. Oligo-L also enhanced catalase and glutathione levels while reducing serum nitrite levels, contributing to neuronal preservation. Additionally, Oligo-L increased neuronal survival in the both ventral (motor neurons) and dorsal (sensory neurons) horns of the spinal cord.Conclusion Overall, Oligo-L, characterized by its beneficial physicochemical properties, showed promising potential as a neuroprotective agent and facilitated the recovery of sensory and motor functions after SCI.</t>
  </si>
  <si>
    <t>Bahrami, Gholamreza/R-8857-2017; Echeverría, Javier/AAK-3323-2020; Abbaszadeh, Fatemeh/AHB-2484-2022; , faranak/AAV-1990-2021</t>
  </si>
  <si>
    <t>10.3389/fphar.2025.1533025</t>
  </si>
  <si>
    <t>WOS:001433628900001</t>
  </si>
  <si>
    <t>Tapiero, Y; Aravena, Y; Vargas, G; Sánchez, J; Huiliñir, C</t>
  </si>
  <si>
    <t>Tapiero, Yesid; Aravena, Yajaira; Vargas, Gustavo; Sanchez, Julio; Huilinir, Cesar</t>
  </si>
  <si>
    <t>Removal of ammoniacal nitrogen from aqueous medium through ultrafiltration assisted by cation-exchange-water-soluble polymers</t>
  </si>
  <si>
    <t>JOURNAL OF WATER PROCESS ENGINEERING</t>
  </si>
  <si>
    <t>Swine wastewater is recognized as a significant environmental concern due to its high concentrations of ammonium nitrogen (N-NH4+), which typically range from 400 to 4500 mg L- 1. To address this issue, the application of polymer-enhanced ultrafiltration (PEUF) has been proposed as a method for removing N-NH4+ from aqueous media. This study utilized sodium poly(acrylate) (PNaA) and potassium poly(3-sulphopropyl acrylate) (PKSPA) as adsorbents for NH4+ removal. Key operating parameters, including pH, polymer dosage, initial NH4+ concentration, and applied pressure, were analyzed. With PNaA, the presence of divalent cations did not negatively affect the retention performance, which remained at 72 %, nor did it impact the permeate flux. In contrast, when PKSPA was used, the strong competition between NH4+, Ca2+, and Mg2+ ions for the functional groups resulted in a decrease in NH4+ retention, dropping from 71 % to 59 %, along with a lower permeate flux. The enrichment method identified a maximum N-NH4+ removal capacity of 685.7 mg N g- 1 PKSPA when treating simulated wastewater from the swine industry. The observed decrease in permeate flux was attributed to the formation of macromolecular aggregates, which blocked the pores of the ultrafiltration membrane. Thus, PEUF emerges as a promising approach for the removal of N-NH4+ from swine wastewater.</t>
  </si>
  <si>
    <t>2214-7144</t>
  </si>
  <si>
    <t>10.1016/j.jwpe.2025.107148</t>
  </si>
  <si>
    <t>WOS:001426361200001</t>
  </si>
  <si>
    <t>Caro, P; Margarit, D; Armijo, L; Cárdenas, ME</t>
  </si>
  <si>
    <t>Caro, Pamela; Margarit, Daisy; Armijo, Lorena; Cardenas, Maria Elvira</t>
  </si>
  <si>
    <t>Subjective Precariousness and Recognition in the Work Trajectories of Seasonal Fruit Workers in Chile</t>
  </si>
  <si>
    <t>UNIVERSUM-REVISTA DE HUMANIDADES Y CIENCIAS SOCIALES</t>
  </si>
  <si>
    <t>The guiding question of the article is: How subjective labour precariousness is expressed in the individual and collective biographical trajectories of adult and national female seasonal fruit pickers in Chile? This includes understanding the biographies from work, personal and family perspectives. The methodology was qualitative, involving in-depth interviews with rural female fruit pickers in the regions of Maule and O'Higgins. The analyzes focuses on the narratives of 10 Chilean workers with children, organized into 5 categories: 1) work trajectories and link with family itineraries; 2) trajectories crossed by caregiving; 3) invisibility and lack of recognition; 4) humiliation, grievance and discomfort; and 5) normalization of labor unprotection. We conclude that subjective precariousness is expressed in social grievance, perception of injustice and emotional discomfort, derived from experiences of precariousness in the objective working conditions- instability, piece-rate payment, stagnation of deal amounts, poor environmental and sanitary conditions, and hostility from management-thus, both dimensions-being and feeling- shape the fragile work experience. The lack of social recognition transcending the work sphere, adaptation as an expression of symbolic violence and reproductive overload, deepen the normalization of precariousness extended to all aspects of life.</t>
  </si>
  <si>
    <t>Armijo, Lorena/KGK-9834-2024</t>
  </si>
  <si>
    <t>0718-2376</t>
  </si>
  <si>
    <t>0716-498X</t>
  </si>
  <si>
    <t>10.4067/S0718-23762024000200639</t>
  </si>
  <si>
    <t>WOS:001422212000016</t>
  </si>
  <si>
    <t>Scherer, A; Cuadra, J</t>
  </si>
  <si>
    <t>Scherer, Andres; Cuadra, Jorge</t>
  </si>
  <si>
    <t>Multiwavelength Galactic center gamma-ray observations explained by a unified cosmic-ray dynamics model</t>
  </si>
  <si>
    <t>ASTRONOMY &amp; ASTROPHYSICS</t>
  </si>
  <si>
    <t>Context. High-energy (HE) and very high-energy (VHE) gamma-ray observations from the Galactic center (GC) detected extended emission correlated with the morphology of the central molecular zone (CMZ). Emission in both bands is expected to be produced by hadronic interaction between cosmic rays (CRs) and ambient gas. Aims. We examine if our three previously proposed scenarios for the CR sources and dynamics, which are consistent with the VHE gamma-ray data (1-100 TeV), also match the HE gamma-ray observations (10-300 GeV). Additionally, we analyze the effect of the isotropic Galactic CR sea inside the CMZ. Methods. We generated synthetic gamma-ray maps considering a simplified isotropic diffusion, but more realistic dynamics with two diffusion zones (in and out of the CMZ) and polar advection, for mono-energetic particles of 3 TeV. Additionally, we considered two gas distributions for the CMZ (with and without an inner cavity), and CR populations injected from the clusters of young massive stars (the Arches Cluster, the Quintuplet Cluster, and the nuclear star cluster), plus the supernova Sgr A East. Results. Only the combination of more realistic CR dynamics, the CMZ with an inner cavity, CR injection from all proposed sources, and a CR sea similar to that observed in the Solar System reproduced the current HE and VHE gamma-ray detection from the CMZ and was consistent with the observed gamma-rays from Sagittarius A*. Conclusions. The HE and VHE gamma-rays observations of the GC can be reproduced by a unified model for the CRs.</t>
  </si>
  <si>
    <t>Cuadra, Jorge/GYV-4257-2022</t>
  </si>
  <si>
    <t>Cuadra, Jorge/0000-0003-1965-3346</t>
  </si>
  <si>
    <t>0004-6361</t>
  </si>
  <si>
    <t>1432-0746</t>
  </si>
  <si>
    <t>OCT 18</t>
  </si>
  <si>
    <t>L14</t>
  </si>
  <si>
    <t>10.1051/0004-6361/202451678</t>
  </si>
  <si>
    <t>WOS:001339205700023</t>
  </si>
  <si>
    <t>Fathi, M; Olivares, M; Villanueva, JR; Cruz, N</t>
  </si>
  <si>
    <t>Fathi, Mohsen; Olivares, Marco; Villanueva, J. R.; Cruz, Norman</t>
  </si>
  <si>
    <t>Light propagation around a Kerr-like black hole immersed in an inhomogeneous anisotropic plasma in Rastall gravity: analytical solutions to the equations of motion</t>
  </si>
  <si>
    <t>EUROPEAN PHYSICAL JOURNAL PLUS</t>
  </si>
  <si>
    <t>In this paper, we explore the behavior of light ray trajectories in the exterior geometry of a rotating black hole within the Rastall theory of gravity, which is surrounded by an inhomogeneous anisotropic electronic cold plasma. By specifying the plasma's frequency profile, we derive fully analytical solutions for the temporal evolution of spacetime coordinates using elliptic integrals and Jacobi elliptic functions. These solutions illustrate various possible orbits. Throughout the study, we compare the results with those in the vacuum case, emphasizing the influence of plasma. Additionally, we utilize the analytical solutions to establish the lens equation for the considered spacetime. The investigation also addresses the significance of spherical photon orbits on critical trajectories, by presenting several examples.</t>
  </si>
  <si>
    <t>2190-5444</t>
  </si>
  <si>
    <t>10.1140/epjp/s13360-024-05541-0</t>
  </si>
  <si>
    <t>WOS:001295905600002</t>
  </si>
  <si>
    <t>Correa, F; López-Sarrión, J</t>
  </si>
  <si>
    <t>Correa, Francisco; Lopez-Sarrion, Justo</t>
  </si>
  <si>
    <t>Integrability meets the charged relativistic particle</t>
  </si>
  <si>
    <t>We notice an analogy between the motion of a relativistic particle in external homogeneous and time-dependent electromagnetic fields and the Dikii-Eilenberger equation for the Bogoliubov-de Gennes equation. By means of the integrable defocusing nonlinear Schr &amp; ouml;dinger hierarchy and their solitons appearing in the Gross-Neveu and Nambu-Jona-Lasinio models, we construct an infinite family of solutions of the Lorentz equation with non- vanishing curvature and torsion of the worldline trajectory.</t>
  </si>
  <si>
    <t>Correa, Francisco/S-4564-2018</t>
  </si>
  <si>
    <t>Correa, Francisco/0000-0003-1735-2822</t>
  </si>
  <si>
    <t>10.1016/j.physletb.2024.138883</t>
  </si>
  <si>
    <t>WOS:001279487700001</t>
  </si>
  <si>
    <t>Building Power to Shape Labor Policy: Unions, Employer Associations, and Reform in Neoliberal Chile</t>
  </si>
  <si>
    <t>10.1111/blar.13582</t>
  </si>
  <si>
    <t>WOS:001283273500002</t>
  </si>
  <si>
    <t>Rivera, P; Torres, A; Romero, J; Alarcón, A; Martínez, S; Arrieta, MP; Rodríguez-Mercado, F; Galotto, MJ</t>
  </si>
  <si>
    <t>Rivera, Patricia; Torres, Alejandra; Romero, Julio; Alarcon, Alvaro; Martinez, Sara; Arrieta, Marina P.; Rodriguez-Mercado, Francisco; Galotto, Maria Jose</t>
  </si>
  <si>
    <t>Effect of Operational Variables on Supercritical Foaming of Caffeic Acid-Loaded Poly(lactic acid)/Poly(butylene adipate-co-terephthalate) Blends for the Development of Sustainable Materials</t>
  </si>
  <si>
    <t>Expanded polystyrene will account for 5.3% of total global plastic production in 2021 and is widely used for food packaging due to its excellent moisture resistance and thermal insulation. However, some of these packages are often used only once before being discarded, generating large amounts of environmentally harmful plastic waste. A very attractive alternative to the conventional methods used for polymer processing is the use of supercritical carbon dioxide (scCO2) since it has mass-transfer properties adapted to the foam morphology, generating different path lengths for the diffusion of active compounds within its structure and can dissolve a wide range of organic molecules under supercritical conditions. The objective of this research was to evaluate the effect of operational variables on the process of caffeic acid (CA) impregnation and subsequent foaming of polylactic acid (PLA) as well as two PLA/poly(butylene-co-terephthalate-adipate) (PBAT) blends using scCO2. The results showed an increase in the degree of crystallinity of the CA-impregnated samples due to the nucleation effect of the active compound. On the other hand, SEM micrographs of both films and foams showed significant differences due to the presence of PBAT and its low miscibility with PLA. Finally, the results obtained in this work contribute to the knowledge of the important parameters to consider for the implementation of the impregnation and foaming process of PLA and PLA/PBAT blends with potential use in food packaging.</t>
  </si>
  <si>
    <t>Rodríguez, Francisco/I-5283-2018; Romero, Julio/I-6705-2013; Arrieta, Marina Patricia/F-9067-2016</t>
  </si>
  <si>
    <t>Arrieta, Marina Patricia/0000-0003-1816-011X; Rodriguez-Mercado, Francisco/0000-0002-0530-6653; Rivera Fuentealba, Patricia/0000-0003-0621-7166; Romero, Julio/0000-0002-1229-1592</t>
  </si>
  <si>
    <t>10.3390/polym16070948</t>
  </si>
  <si>
    <t>WOS:001200862100001</t>
  </si>
  <si>
    <t>Espoz-Lazo, S; Reyes-Contreras, V; del Val-Martin, P; Hinojosa-Torres, C; Farías-Valenzuela, C</t>
  </si>
  <si>
    <t>Espoz-Lazo, Sebastian; Reyes-Contreras, Victor; del Val-Martin, Pablo; Hinojosa-Torres, Claudio; Farias-Valenzuela, Claudio</t>
  </si>
  <si>
    <t>Transforming defensive teaching in handball: An analysis of applied constraints</t>
  </si>
  <si>
    <t>In the emerging field of sports science, the application of complex dynamic systems theory has opened new perspectives for understanding and improving sports training processes. Particularly in handball, a discipline that requires significant tactical coordination and adaptation, these concepts are ripe for exploration. The aim of this study was to investigate the influence of imposed constraints on defensive efficacy, demonstrating the relationship between defensive disposition and defensive actions in young handball players. The defensive actions of 12 young players were analyzed using a quantitative and observational approach, highlighting the influence of game constraints on tactical and technical formation. The results showed a significant relationship between defensive disposition and defensive actions, underscoring the importance of self-organization and adaptability in the training of young handball players. It reveals that variations in defensive strategies are influenced by imposed constraints, affecting defensive effectiveness. The study highlights the usefulness of applying complex dynamic systems theories in handball teaching and training, particularly in defensive formation, emphasizing the importance of adaptability and self-organization in the training of young players.</t>
  </si>
  <si>
    <t>Espoz-Lazo, Sebastian/AAV-2358-2020</t>
  </si>
  <si>
    <t>WOS:001360797000009</t>
  </si>
  <si>
    <t>Zuñiga, R; Vasconcellos, C; Texier, BD; Melo, F</t>
  </si>
  <si>
    <t>Zuniga, Rene; Vasconcellos, Carlos; Texier, Baptiste Darbois; Melo, Francisco</t>
  </si>
  <si>
    <t>Anisotropic frictional model for an object sliding in a granular media</t>
  </si>
  <si>
    <t>PHYSICS OF FLUIDS</t>
  </si>
  <si>
    <t>Several locomotion strategies are based on the anisotropic nature of the forces experienced by the moving body with its environment. We report experiments on the anisotropy of the frictional force experienced by a cylinder moving in a granular medium as a function of the orientation alpha between the cylinder and its velocity. The component of the force in the direction parallel to the velocity of the cylinder is always higher than the perpendicular component; therefore, the force is anisotropic. While the parallel component increases continuously with the cylinder angle alpha, we observe that the perpendicular component reaches a maximum value for an orientation of a(c )similar or equal to 35 degrees. To rationalize these observations, we have developed a theoretical model, which assumes that the mechanical energy required to move the cylinder is dissipated by friction and establishes a relationship between the parallel and perpendicular force components that is consistent with experiments.</t>
  </si>
  <si>
    <t>Melo, Francisco/M-3923-2014; Zuñiga, Rene/IQX-1430-2023; Darbois Texier, Baptiste/F-2747-2015</t>
  </si>
  <si>
    <t>Melo, Francisco Esteban/0000-0001-6818-5476; Darbois Texier, Baptiste/0000-0002-8772-3433; Zuniga Aguilera, Rene/0000-0003-0862-6326; Vasconcellos, Carlos/0000-0001-8786-4095</t>
  </si>
  <si>
    <t>1070-6631</t>
  </si>
  <si>
    <t>1089-7666</t>
  </si>
  <si>
    <t>10.1063/5.0188244</t>
  </si>
  <si>
    <t>WOS:001153963000006</t>
  </si>
  <si>
    <t>Maldonado, A; Cheuquepan, P; Gutiérrez, S; Gallegos, N; Donoso, M; Hauser, C; Arrieta, MP; Torres, A; Bruna, J; Valenzuela, X; Guarda, A; Galotto, M; Rodríguez-Mercado, F</t>
  </si>
  <si>
    <t>Maldonado, Alba; Cheuquepan, Paulina; Gutierrez, Sofia; Gallegos, Nayareth; Donoso, Makarena; Hauser, Carolin; Arrieta, Marina P.; Torres, Alejandra; Bruna, Julio; Valenzuela, Ximena; Guarda, Abel; Galotto, Maria; Rodriguez-Mercado, Francisco</t>
  </si>
  <si>
    <t>Study of Ethylene-Removing Materials Based on Eco-Friendly Composites with Nano-TiO2</t>
  </si>
  <si>
    <t>Ethylene is a phytohormone that is responsible of fruit and vegetable ripening. TiO2 has been studied as a possible solution to slowing down unwanted ripening processes, due to its photocatalytic capacity which enables it to remove ethylene. Thus, the objective of this study was to develop nanocomposites based on two types of eco-friendly materials: Mater-Bi-(R) (MB) and poly(lactic acid) (PLA) combined with nano-TiO2 for ethylene removal and to determine their ethylene-removal capacity. First, a physical-chemical characterization of nano-TiO2 of different particle sizes (15, 21, 40 and 100 nm) was done through structural and morphological analysis (DRX, FTIR and TEM). Then, its photocatalytic activity and the ethylene-removal capacity were determined, evaluating the effects of time and the type of light irradiation. With respect to the analysis of TiO2 nanoparticles, the whole samples had an anatase structure. According to the photocatalytic activity, nanoparticles of 21 nm showed the highest activity against ethylene (similar to 73%). The results also showed significant differences in ethylene-removal activity when comparing particle size and type and radiation time. Thus, 21 nm nano-TiO2 was used to produce nanocomposites through the melt-extrusion process to simulate industrial processing conditions. With respect to the nanocomposites' ethylene-removing properties, there were significant differences between TiO2 concentrations, with samples with 5% of active showed the highest activity (similar to 57%). The results obtained are promising and new studies are needed to focus on changes in material format and the evaluation in ethylene-sensitive fruits.</t>
  </si>
  <si>
    <t>Torres, Alejandra/LPQ-5664-2024; Rodríguez, Francisco/I-5283-2018; bruna, julio/AAM-6867-2021; gutierrez perez, sofia/KOC-8087-2024; Arrieta, Marina Patricia/F-9067-2016</t>
  </si>
  <si>
    <t>Arrieta, Marina Patricia/0000-0003-1816-011X; Maldonado, Alba/0000-0003-2430-6015; Bruna, Julio E./0000-0001-9656-6022; Rodriguez-Mercado, Francisco/0000-0002-0530-6653; Gutierrez, Sofia/0009-0006-3218-0044</t>
  </si>
  <si>
    <t>10.3390/polym15163369</t>
  </si>
  <si>
    <t>WOS:001056091100001</t>
  </si>
  <si>
    <t>Experimental observations of Scholte waves propagating in an incompressible soft solid</t>
  </si>
  <si>
    <t>JOURNAL OF SOUND AND VIBRATION</t>
  </si>
  <si>
    <t>Due to the heterogeneous structure of the soft biological tissue, such as the brain, surface waves might be important to elucidate the biomechanics of injury formation from impacts. In this context, surface waves generate a wavelength on the order of the centimeter with a typical penetration length of the same order. Therefore, investigating surface waves at depth is crucial for understanding their relationship with the physics of soft tissue injuries. Planar surface waves produce particle motion along two dimensions, the direction of propagation and the depth direction, making them more challenging to measure when compared to polarized shear waves that only produce motion in one direction. This study presents an experimental setup capable of generating Scholte wave propagating in a soft solid-liquid interface. In particular, we studied a tissue-mimicking phantom material, such as gelatin, under a layer of water. Ultrasound imaging techniques, operating at 8600 frames per second, and a one-dimensional cross-correlation algorithm were used to independently estimate the two components of the wave's particle displacement. We conducted experiments sweeping frequencies between 50 and 500 Hz for different gelatin stiffness, finding a surface wave speed of 0.86 times the shear wave speed and a penetration distance of 0.35 times the wavelength. These results agree with the theory of Scholte waves propagating in an incompressible semi-infinite elastic medium covered by an incompressible fluid.</t>
  </si>
  <si>
    <t>0022-460X</t>
  </si>
  <si>
    <t>1095-8568</t>
  </si>
  <si>
    <t>JAN 6</t>
  </si>
  <si>
    <t>10.1016/j.jsv.2023.117955</t>
  </si>
  <si>
    <t>WOS:001051615300001</t>
  </si>
  <si>
    <t>Escobar, J; Hernández, L; González, JL; Salazar-González, R; Calzadilla, W; Guerrero, L; Escalona, N; Huilinir, C</t>
  </si>
  <si>
    <t>Escobar, Jenny; Hernandez, Leslie; Gonzalez, Jorge Leiva; Salazar-Gonzalez, Ricardo; Calzadilla, Wendy; Guerrero, Lorna; Escalona, Nestor; Huilinir, Cesar</t>
  </si>
  <si>
    <t>Removal of Ibuprofen and Diclofenac in Batch Nitrifying Reactors: Effect of Natural Zeolite on the Process</t>
  </si>
  <si>
    <t>WATER</t>
  </si>
  <si>
    <t>Ibuprofen (IBP) and diclofenac (DFC) are two of the most commonly used non-steroidal anti-inflammatory drugs (NSAIDs) to treat inflammation and pain. However, they can impact the environment if not treated adequately before discharge into waterways. Biodegradation through the nitrification process is an alternative to reducing the concentration of these micropollutants (MPs) in wastewater. Thus, this work aimed to evaluate the effect of natural zeolite on IBP and DFC removal in a nitrifying batch reactor. Mini-reactors were set up with 90 mL of inoculum and 110 mL of synthetic wastewater with a concentration of 25 mg total ammonia nitrogen TAN/L, at 25 &amp; DEG;C and 1 vvm (volume of air/volume liquid &amp; BULL;min) of aeration. Two conditions were tested: high concentrations (IBP = 700 &amp; mu;g/L, DFC = 100 &amp; mu;g/L) and low concentrations (IBP = 30 &amp; mu;g/L, DFC = 20 &amp; mu;g/L). The research used a concentration of 5 g/L of the natural zeolite. Results indicated that the zeolite negatively affected the nitrification rate. At high MPs concentration, the natural zeolite negatively affects the removal of IBP and DFC, where biodegradation and sorption are the mechanisms that eliminate both NSAIDs. Conversely, at low DFC and IBP concentrations, the natural zeolite improves the removal of IBP and DFC, wherein biodegradation is the primary removal mechanism.</t>
  </si>
  <si>
    <t>Escalona, Nestor/F-3593-2016; Hernández Vélez, Leslie/MTC-5103-2025; Calzadilla, Wendy/KHY-6999-2024; Salazar, Ricardo/L-7870-2013; Huilinir, Cesar/IYS-6899-2023</t>
  </si>
  <si>
    <t>Escalona Burgos, Nestor/0000-0002-2628-4609; Leiva, Jorge/0000-0003-2001-9027; Calzadilla, Wendy/0000-0002-1082-7875; Hernandez Velez, Leslie/0009-0007-0335-8891; Salazar-Gonzalez, Ricardo/0000-0003-2180-6022</t>
  </si>
  <si>
    <t>2073-4441</t>
  </si>
  <si>
    <t>10.3390/w15142665</t>
  </si>
  <si>
    <t>WOS:001038956800001</t>
  </si>
  <si>
    <t>Menéndez, MI; Montenegro-Pohlhammer, N; Pino-Rios, R; Urzúa-Leiva, R; Morales-Lovera, S; Borges-Martínez, M; Granados-Tavera, K; López, R; Cárdenas-Jirón, G</t>
  </si>
  <si>
    <t>Menendez, Maria Isabel; Montenegro-Pohlhammer, Nicolas; Pino-Rios, Ricardo; Urzua-Leiva, Rodrigo; Morales-Lovera, Simone; Borges-Martinez, Merlys; Granados-Tavera, Kevin; Lopez, Ramon; Cardenas-Jiron, Gloria</t>
  </si>
  <si>
    <t>Near-infrared absorption of fused core-modified expanded porphyrins for dye-sensitized solar cells</t>
  </si>
  <si>
    <t>JOURNAL OF CHEMICAL PHYSICS</t>
  </si>
  <si>
    <t>Photophysical, photovoltaic, and charge transport properties of fused core-modified expanded porphyrins containing two pyrroles, one dithienothiophene (DTT) unit, and 1-4 thiophenes (1-4) were inspected by using density functional theory (DFT) and time-dependent DFT. Compounds 1-3 have been investigated experimentally before, but 4 is a theoretical proposal whose photophysical features match those extrapolated from 1 to 3. They exhibit absorption in the range of 700-970 nm for their Q bands and 500-645 nm for their Soret bands. The rise of thiophene rings placed in front of the DTT unit in the expanded porphyrin ring causes a bathochromic shift of the longest absorption wavelength, leading to near-infrared absorptions, which represent 49% of the solar energy. All the systems show a thermodynamically favorable process for the electron injection from the dye to TiO2 and adsorption on a finite TiO2 model. The electron regeneration of the dye is only thermodynamically feasible for the smallest expanded porphyrins 1 and 2 when I-/I-3(-) electrolyte is used. The charge transport study shows that for voltages lower than 0.4 V, junctions featuring pentaphyrin 1 and octaphyrin 4 are more conductive than those containing hexaphyrin 2 or heptaphyrin 3. The results showed that the four fused core-modified expanded porphyrins investigated are potential dyes for applications in dye-sensitized solar cells, mainly pentaphyrin 1 and hexaphyrin 2. Moreover, increasing the number of thiophene rings in the macrocycle proved fruitful in favoring absorption in the near-infrared region, which is highly desired for dye-sensitized solar cells.</t>
  </si>
  <si>
    <t>Montenegro-Pohlhammer, Nicolas/HJZ-2914-2023; Lopez, Ramon/H-5078-2015; Urzua-Leiva, Rodrigo/Y-9809-2018; Menendez/B-7698-2009</t>
  </si>
  <si>
    <t>Lopez, Ramon/0000-0001-8899-705X; Montenegro-Pohlhammer, Nicolas/0000-0003-3574-2955; Granados-Tavera, Kevin/0000-0002-7585-4022; Urzua-Leiva, Rodrigo/0000-0002-6953-2721; Pino Rios, Ricardo/0000-0003-4756-1115; Menendez/0000-0002-5062-4319; Borges, Merlys/0000-0001-8130-1718</t>
  </si>
  <si>
    <t>0021-9606</t>
  </si>
  <si>
    <t>1089-7690</t>
  </si>
  <si>
    <t>APR 28</t>
  </si>
  <si>
    <t>10.1063/5.0143835</t>
  </si>
  <si>
    <t>WOS:001010676000013</t>
  </si>
  <si>
    <t>Castro, SA; Rojas, P; Vila, I; Jaksic, FM</t>
  </si>
  <si>
    <t>Castro, Sergio A.; Rojas, Pablo; Vila, Irma; Jaksic, Fabian M.</t>
  </si>
  <si>
    <t>Covariation of taxonomic and functional facets of β-diversity in Chilean freshwater fish assemblages: Implications for current and future processes of biotic homogenization</t>
  </si>
  <si>
    <t>The biodiversity of assemblages that experience the introduction and extinction of species may lead to responses in two important facets: The taxonomic and functional diversity. The way in which these facets are associated may reveal important implications and consequences for the conservation of those assemblages. Considering the critical situation of freshwater fishes in continental Chile (30 degrees - 56 degrees S), we analyzed how the taxonomic (TD beta) and functional (FD beta) facets of beta-diversity, and their components of turnover and nestedness, are associated. We evaluated changes in beta-diversity (Delta TD beta and Delta FD beta), turnover (Delta TDtur and Delta FDtur), and nestedness (Delta TDnes and Delta FDnes) in 20 fish assemblages from their historical (pre-European) to current composition. We also simulated future trends of these changes, assuming that native species with conservation issues would become extinct. Our results show that the fish assemblages studied are in a process of loss of beta-diversity, both in taxonomic and functional facets (Delta TD beta = -3.9%; Delta FD beta = -30.4%); also, that these facets are positively correlated in the assemblages studied (r = 0.617; P &lt; 0.05). Both components showed by loss in nestedness (Delta TDnes = -36.9%; Delta FDnes = -60.9%) but gain in turnover (Delta TDtur = 9.2%; Delta FDtur = 12.3%). The functional beta-diversity decreased more than the taxonomic (Delta FD beta &gt; Delta TD beta), which was caused chiefly by six exotic species of Salmonidae, whose geographical spread was wider and that at the same time shared several morpho-functional traits. Our forecasts, assuming an intensification in the extinction of Endangered and Vulnerable native species, indicate that the process of homogenization will continue, though at a lower rate. Our study shows that the freshwater ichthyofauna of continental Chile is undergoing biotic homogenization, and that this process involves the facets of taxonomic and functional beta-diversity, which are show high correlation between historical and current compositions. Both facets show that process is influenced by nestedness, and while turnover contributes to differentiation (both taxonomic and functional), its importance is overshadowed by nestedness.</t>
  </si>
  <si>
    <t>Jaksic, Fabian/G-1705-2014</t>
  </si>
  <si>
    <t>FEB 9</t>
  </si>
  <si>
    <t>e0281483</t>
  </si>
  <si>
    <t>10.1371/journal.pone.0281483</t>
  </si>
  <si>
    <t>WOS:000929724500077</t>
  </si>
  <si>
    <t>Pacheco, DRQ; Castillo, E</t>
  </si>
  <si>
    <t>Pacheco, Douglas R. Q.; Castillo, Ernesto</t>
  </si>
  <si>
    <t>Consistent splitting schemes for incompressible viscoelastic flow problems</t>
  </si>
  <si>
    <t>Viscoelastic fluids are highly challenging from the rheological standpoint, and their discretization demands robust, efficient numerical solvers. Simulating viscoelastic flows requires combining the Navier-Stokes system with a dynamic tensorial equation, increasing mathematical and computational demands. Hence, fractional-step methods decoupling the calculation of the flow quantities are an attractive option. In consistent fractional-step schemes, the splitting of the equations is derived from the continuous level, so that neither mass nor momentum balance is sacrificed. Thus, no corrections or velocity projections are needed, resulting in fewer algorithmic steps than other classical approaches. Moreover, consistency guarantees the absence of both numerical boundary layers and splitting errors, enabling high-order accuracy in space and time. This article introduces the first consistent splitting methods for incompressible flows of viscoelastic fluids, for which arbitrary constitutive laws are allowed. We present the formulation and the algorithm, along with various numerical examples testing their accuracy. First-, second- and third-order backward-differentiation schemes are numerically tested, and optimal convergence is confirmed for several spatial and temporal discretizations. Furthermore, good numerical stability is verified in challenging benchmark problems, including steady and time-dependent solutions.</t>
  </si>
  <si>
    <t>Castillo, Ernesto/D-1612-2015; Pacheco, Douglas/LLM-6995-2024</t>
  </si>
  <si>
    <t>Pacheco, Douglas/0000-0002-3494-7118</t>
  </si>
  <si>
    <t>10.1002/nme.7192</t>
  </si>
  <si>
    <t>WOS:000906369800001</t>
  </si>
  <si>
    <t>Soto-Lagos, R; Cortés-Varas, C; Freire-Arancibia, S; Pozo-Gómez, L</t>
  </si>
  <si>
    <t>Soto-Lagos, Rodrigo; Cortes-Varas, Carolina; Freire-Arancibia, Solange; Pozo-Gomez, Luiz</t>
  </si>
  <si>
    <t>The playground of public, subsidized and private schools as a space to carry out bodily practices: a quasi-ethnographic study</t>
  </si>
  <si>
    <t>The World Health Organization (WHO) and the United Nations Educational, Scientific and Cultural Organization (UNESCO) have declared that physical inactivity is a problem that affects all the countries of the world and the strategic place to solve this problem are schools. The aim of this study was to understand how the school playground can become a space to develop body practices that can reduce physical inactivity. A qualitative study was made following a quasi-ethnographic study on one public, subsidized and private schools in Chile. The results indicate that school recess, Physical Education class and extracurricular activities are relevant moments which express similarities and differences between schools. The discussions propose that there are barriers and opportunities to inhabit the schoolyard. The conclusion express that the school playground is habited culturally and that both management teams, professionals and policy makers have an important role to collaborate in reducing physical inactivity at school.</t>
  </si>
  <si>
    <t>Soto-Lagos, Rodrigo/JSK-1539-2023</t>
  </si>
  <si>
    <t>SOTO-LAGOS, RODRIGO/0000-0002-3564-8419; Freire Arancibia, Solange/0000-0001-6476-0613</t>
  </si>
  <si>
    <t>WOS:001067627400001</t>
  </si>
  <si>
    <t>Vasquez-Tobar, N; Caceres, M; Fuentes, R; Medina, LE</t>
  </si>
  <si>
    <t>Brieva, J; Guevara, P; Lepore, N; Linguraru, MG; Rittner, L; Castro, ER</t>
  </si>
  <si>
    <t>Vasquez-Tobar, Nicolas; Caceres, Mario; Fuentes, Romulo; Medina, Leonel E.</t>
  </si>
  <si>
    <t>An automatic method for detection of evoked events in the brain during spinal cord stimulation</t>
  </si>
  <si>
    <t>18TH INTERNATIONAL SYMPOSIUM ON MEDICAL INFORMATION PROCESSING AND ANALYSIS</t>
  </si>
  <si>
    <t>Proceedings of SPIE</t>
  </si>
  <si>
    <t>18th International Symposium on Medical Information Processing and Analysis</t>
  </si>
  <si>
    <t>NOV 09-11, 2022</t>
  </si>
  <si>
    <t>SIPAIM Fdn,Adv Ctr Elect &amp; Elect Engn,Univ Concepc,Synopsys,Millennium Inst Intelligent Healthcare Engn,Voxel Hlth Care,Univ Tecnica Federico Santa Maria,Pontificia Univ Catolica Chile,Univ Valparaiso,SPIE</t>
  </si>
  <si>
    <t>Parkinson's disease (PD) is a neurodegenerative brain disorder that mainly affects the elderly population and currently has no cure, only palliative treatments. Recently, spinal cord stimulation (SCS) showed great promise in the treatment of certain PD symptoms. In this semi-invasive technique, pulses of current are delivered to the spinal cord via electrodes implanted in the epidural space. However, the effects of SCS in the brain are poorly understood. In this work, we developed a method for detection of electrophysiological events in the brain evoked by SCS pulses, and analyzed the latency of such events under different experimental conditions. We performed in vivo recordings of local field potentials using 64 microelectrodes implanted in different brain areas of a rat model of PD, and during active and inactive states, and with and without administration of L-dopa. The signals were pre-processed and divided into windows centered around the stimulation pulses, in which we detected the evoked events using two approaches: the Hampel identifier and the wavelet transform. Next, we measured the latency of the response evoked in the brain with respect to the applied pulse. The Hampel method detected events in about 31% of trials, and the wavelet method in about 42% of trials. In addition, we found that movement had a statistical significant effect on the measured latency but only when L-dopa was administered to the animal. The differences in latency suggest that there may be a trajectory of neuronal activation in the brain in response of SCS. Our results may have implications in the design of more effective SCS strategies for the treatment of PD.</t>
  </si>
  <si>
    <t>Fuentes, Romulo/AFR-1296-2022; Medina, Leonel E/AAE-2173-2019</t>
  </si>
  <si>
    <t>Medina, Leonel E/0000-0002-4170-9281</t>
  </si>
  <si>
    <t>0277-786X</t>
  </si>
  <si>
    <t>1996-756X</t>
  </si>
  <si>
    <t>978-1-5106-6254-4; 978-1-5106-6255-1</t>
  </si>
  <si>
    <t>10.1117/12.2669787</t>
  </si>
  <si>
    <t>WOS:001002734500044</t>
  </si>
  <si>
    <t>Coss-Mandiola, J; Vanegas-López, J; Rojas, A; Carrasco, R; Dubo, P; Campillay-Campillay, M</t>
  </si>
  <si>
    <t>Coss-Mandiola, Juan; Vanegas-Lopez, Jairo; Rojas, Alejandra; Carrasco, Raul; Dubo, Pablo; Campillay-Campillay, Maggie</t>
  </si>
  <si>
    <t>Characterization of Communes with Quality Accredited Primary Healthcare Centers in Chile</t>
  </si>
  <si>
    <t>The accreditation process of primary healthcare centers in Chile has not had the same progress as in hospitals, which show high levels of compliance. The purpose of this research is to characterize the communes that have accredited family healthcare centers (CESFAMs) through socio-economic, municipal management, clinical management, and population variables by performing a principal components analysis (PCA) with biplot analysis and a grouping of communes through a hierarchical analysis. The biplot analysis and hierarchical analysis yielded the formation of three large groups of communes with accredited CESFAMs, characterized mainly by population size, number of people registered in the municipal health system, socioeconomic indicators, and financial management and clinical management variables. It was found that the communes that have accredited CESFAMs are characterized by dissimilar behavior in relation to the variables analyzed. Through the model used, it was possible to establish at least three groups of communes according to their behavior against these variables. Of these, the variables of a municipal financial nature were not decisive in achieving the accreditation of the CESFAMs of these communes. Therefore, it is possible that there are other variables or factors that could be facilitating the achievement of accreditation processes.</t>
  </si>
  <si>
    <t>Rojas, Alejandra/GXN-3580-2022; Vanegas, Jairo/ACV-6689-2022; Carrasco, Raul/G-5440-2015; Campillay Campillay, Maggie/ADC-6657-2022</t>
  </si>
  <si>
    <t>Carrasco, Raul/0000-0002-5023-9349; Coss Mandiola, Juan/0000-0002-9512-350X; Dubo Araya, Pablo Andres/0000-0001-6918-3659; Rojas, Alejandra/0000-0002-0419-0839; Campillay Campillay, Maggie/0000-0002-4054-1595; Vanegas Lopez, Jairo Javier/0000-0001-5281-483X</t>
  </si>
  <si>
    <t>10.3390/ijerph19159189</t>
  </si>
  <si>
    <t>WOS:000840212500001</t>
  </si>
  <si>
    <t>Castro-Castillo, C; Nanda, KK; Mardones-Herrera, E; Gazzano, V; Ruiz-León, D; Aguirre, MJ; García, G; Armijo, F; Isaacs, M</t>
  </si>
  <si>
    <t>Castro-Castillo, Carmen; Nanda, Kamala Kanta; Mardones-Herrera, Elias; Gazzano, Valeria; Ruiz-Leon, Domingo; Jesus Aguirre, Maria; Garcia, Gonzalo; Armijo, Francisco; Isaacs, Mauricio</t>
  </si>
  <si>
    <t>Growth direction and exposed facets of Cu/Cu2O nanostructures affect product selectivity in CO2 electroreduction</t>
  </si>
  <si>
    <t>The electrochemical reduction of CO2 to fuels and value-added chemicals on metallic copper is an attractive strategy for valorizing CO2 emissions. However, favoring the CO2 reduction over hydrogen evolution and exclusive control of selectivity towards C1 or C2+ products by restructuring the copper surface is a major chal-lenge. Herein, we exploit the differential orientation of the exposed facets in copper nanostructures that can tune the product selectivity in CO2 electroreduction. The Cu nanostructure with predominant {111} orientation produce C1 products only upon CO2 electroreduction at an applied potential of-1.3 V vs. reversible hydrogen electrodes (RHE), with 66.57% Faradaic efficiency (FE) for methane. Whereas the vertically grown copper nanostructures that are oriented in {110} direction have higher dislocation density and show greater CO2 electroreduction activity (&gt;95%) at the same applied potential, with FE towards ethylene 24.39% and that of oxygenates 41.31%. FIA-DEMS analysis provided experimental evidence of selectivity of methane over methanol at higher overpotentials indicating the mechanism of methane formation occurs via *COH intermediate. The ethylene formation at a potential-1.0 V vs. RHE or more negative to it suggests a common intermediate for methane and ethylene on the vertically grown copper nanostructures. This work advances the understanding between the product selectivity and the surface structure of the copper nanostructures in electrochemical CO2 reduction.</t>
  </si>
  <si>
    <t>Isaacs, Mauricio/N-3027-2013; Armijo, Francisco/G-3391-2013; CastroCastillo, Carmen/KXQ-9408-2024; Mardones-Herrera, Elias/LKM-3816-2024; Aguirre, Maria/A-3935-2013; León, Domingo/AAE-7630-2019; GARCIA, GONZALO/AAB-5547-2019; Nanda, Kamala Kanta/A-2853-2014</t>
  </si>
  <si>
    <t>GARCIA, GONZALO/0000-0002-5476-0182; Castro, Carmen/0000-0002-0103-155X; Ruiz Leon, Domingo/0000-0002-0950-6919; Mardones-Herrera, Elias/0000-0003-4056-1139; Gazzano, Valeria/0000-0002-2799-8558; Armijo, Francisco/0000-0002-2479-6280; Nanda, Kamala Kanta/0000-0001-9482-8914; Isaacs Casanova, Mauricio/0000-0003-0503-0949</t>
  </si>
  <si>
    <t>10.1016/j.matchemphys.2021.125650</t>
  </si>
  <si>
    <t>WOS:000764111400006</t>
  </si>
  <si>
    <t>Fuentes, A; Martínez, L; Aedo-Muñoz, E; Brito, C; Miarka, B; Arriagada-Tarifeño, D</t>
  </si>
  <si>
    <t>Fuentes, Andres; Martinez, Luciano; Aedo-Munoz, Esteban; Brito, Ciro; Miarka, Bianca; Arriagada-Tarifeno, David</t>
  </si>
  <si>
    <t>Is there any relation between the position of cycling and the appearance of lower pain? A systematized review</t>
  </si>
  <si>
    <t>This article analyzed the relationship between the flexion position maintained during cycling and the possible relationship with low back pain. A systematic review was carried out through the PRISMA process between 2015-2020, in the PubMed, PEDro, Scopus and Web of Science databases, using the terms; cycling, cyclist, position, positioning, injury from overuse, biomechanics of the spine, lumbar region, olow back pain. Five artides were selected that met all the inclusion criteria. Selected articles showed changes in pelvic tilt, torso flexion angles in medium and low strokes of the handlebars of the road bike and mountain bike, variations of the highest seat or the appropriate backrest according to the groin length, knee position 40 and trunk 35 degrees simultaneously when the pedal is at 180 degrees, while in anatomical position they have been described;The maximum angle of pelvic tilt in anteversion, the maximum angle of pelvic tilt in retroversion and the maximum angle of lumbar flexion are associated with pain or discomfort in the lumbar region. However, it is possible to establish that the association between cycling and low back pain has not been sufficiently studied, which leads us to infer that there is a need to update the information in order to prevent this type of injury associated with the position in cycling.</t>
  </si>
  <si>
    <t>Aedo-Muñoz, Esteban/R-5623-2019; Miarka, Bianca/V-7395-2017; Brito, Ciro/ABH-2245-2020</t>
  </si>
  <si>
    <t>WOS:000685677100001</t>
  </si>
  <si>
    <t>Pizarro, JM; Lagos, AB</t>
  </si>
  <si>
    <t>Matamala Pizarro, Jose; Barrera Lagos, Alba</t>
  </si>
  <si>
    <t>Women who to care victims of violence, women harassed at chilean psychosocial programs</t>
  </si>
  <si>
    <t>REVISTA DE PSICOLOGIA PUCP</t>
  </si>
  <si>
    <t>The results of a qualitative research were exposed, whose objective was to analyze and understand the manifestation of workplace harassment in women of Chilean psychosocial programs that provided care work to victims of violence. Sampling was done intentionally and for convenience. Semi-structured interviews were conducted with 10 women from psychosocial programs of SENAME and SERNAMEG. The content-thematic analysis was carried out for the constructed data. The results showed that the exposure to workplace harassment was stigmatizing, mainly perpetrated by harassment to work, faced preferably with individual defensive strategies. The working conditions were syndicated as the main causes of workplace harassment. It is concluded that it involved damage to mental health and the rights of the workers.</t>
  </si>
  <si>
    <t>0254-9247</t>
  </si>
  <si>
    <t>2223-3733</t>
  </si>
  <si>
    <t>10.18800/psico.202201.012</t>
  </si>
  <si>
    <t>WOS:000731882000013</t>
  </si>
  <si>
    <t>Cardoso, JA; Cerda, P; Pereira, D; Ubilla, P</t>
  </si>
  <si>
    <t>Cardoso, Jose Anderson; Cerda, Patricio; Pereira, Denilson; Ubilla, Pedro</t>
  </si>
  <si>
    <t>SCHRODINGER EQUATIONS WITH VANISHING POTENTIALS INVOLVING BREZIS-KAMIN TYPE PROBLEMS</t>
  </si>
  <si>
    <t>We prove the existence of a bounded positive solution for the following stationary Schrodinger equation -Delta u + V(x)u = f (x, u), x is an element of R-n, n &gt;= 3, where V is a vanishing potential and f has a sublinear growth at the origin (for example if f (x, u) is a concave function near the origen). For this purpose we use a Brezis-Kamin argument included in [6]. In addition, if f has a superlinear growth at infinity, besides the first solution, we obtain a second solution. For this we introduce an auxiliar equation which is variational, however new difficulties appear when handling the compactness. For instance, our approach can be applied for nonlinearities of the type rho(x)f (u) where f is a concave-convex function and rho satisfies the (H) property introduced in [6]. We also note that we do not impose any integrability assumptions on the function rho, which is imposed in most works.</t>
  </si>
  <si>
    <t>Cerda, Patricio/0000-0002-0823-8174</t>
  </si>
  <si>
    <t>10.3934/dcds.2020392</t>
  </si>
  <si>
    <t>WOS:000628833200018</t>
  </si>
  <si>
    <t>Socioeconomic inequalities in life expectancy and disability-free life expectancy among Chilean older adults: evidence from a longitudinal study</t>
  </si>
  <si>
    <t>Background Chile has one of the longest life expectancies of Latin America. The country is characterised by an important macroeconomic growth and persisting socioeconomic inequalities. This study analyses socioeconomic differences in life expectancy (LE) and disability-free life expectancy (DFLE) among Chilean older people. Methods The sample of the Social Protection Survey, a longitudinal study, was analysed. Five waves, from 2004 to 2016, were considered. The indicator was disability, defined as having difficulties to perform at least one basic activity of daily living. Type of health insurance was used to determine socioeconomic position (SEP). Total LE and DFLE were estimated with multistate life table models. Results At age 60, men in the higher SEP could expect to live 3.7 years longer (22.2; 95% CI 19.6-24.8) compared to men of the same age in the medium SEP (18.4; 95% CI 17.4-19.4), and 4.9 years longer than men of the same age in the lower SEP (17.3; 95% CI 16.4-18.2). They also had a DFLE (19.4; 95% CI 17.1-21.7) 4 (15.4; 95% CI 14.6-16.1) and 5.2 (14.2; 95% CI 13.4-14.9) years longer, compared to the same groups. Women aged 60 years in the higher SEP had a LE (27.2; 95% CI 23.7-30.8) 4.6 (22.7; 95% CI 21.9-23.5) and 5.6 (21.6; 20.6-22.6) years longer, compared to women in the medium and the lower SEP. The difference in DFLE, for the same age and groups was 4.9 and 6.1 years, respectively (high: 21.4; 95% CI 19.5-23.3; medium: 16.5; 95% CI 15.8-17.1; low: 15.3; 95% CI 14.6-16.0). Socioeconomic differences in LE and DFLE were observed among both sexes until advanced age. Discussion Socioeconomic inequalities in LE and DFLE were found among Chilean older men and women. Older people in the highest SEP live longer and healthier lives. Conclusion A reform to the Chilean health system should be considered, in order to guarantee timely access to care and benefits for older people who are not in the wealthiest group.</t>
  </si>
  <si>
    <t>Lera Marques, Lydia/A-8508-2015</t>
  </si>
  <si>
    <t>Lera Marques, Lydia/0000-0001-7470-2433; Moreno, Francisco/0000-0001-9637-0919; Moreno, Ximena/0000-0002-0586-4364</t>
  </si>
  <si>
    <t>10.1186/s12877-021-02126-9</t>
  </si>
  <si>
    <t>WOS:000627777500001</t>
  </si>
  <si>
    <t>Cofré-Bolados, C; Barahona, M; Campos-Yanine, F; Ferrada-Fuentes, C; Montejo-Soler, R; Stuardo, JV; Rosemblat, M; Di Santo, M</t>
  </si>
  <si>
    <t>Cofre-Bolados, C.; Barahona, M.; Campos-Yanine, F.; Ferrada-Fuentes, C.; Montejo-Soler, R.; Stuardo, Vasquez J.; Rosemblat, M.; Di Santo, M.</t>
  </si>
  <si>
    <t>PROTOCOL FOR MOTOR DEFICIT ORIENTED TO PREVENTION OF INJURIES IN TRAINING FOOTBALL: MOTOR TRAFFIC LIGHT UMEDEP-USACH</t>
  </si>
  <si>
    <t>JOURNAL OF SPORT AND HEALTH RESEARCH</t>
  </si>
  <si>
    <t>Injuries are a recurring problem in sports and particularly in soccer, with a series of associated problems, their prevention is complex given their multiple causes. The objective of this work is to validate a pro tocol to detect motor deficits associated with risk of injury. The protocol consists of a battery of tests selected from the literature, aimed at determining ranges of motion, muscle activity regimes, and stability. It corresponds to a correlational descriptive study. 34 youth soccer players between the ages of 15 and 19 from a First Division Soccer Club were evaluated. The possible relationship between the score obtained in the Protocol (Traffic Light) and the number of trauma medical consultations, performed for reasons of noncontact injuries, during the year prior to the measurement was analyzed. The results defined a median / IQR 4/2 to 6 in medical care and 37.5 / 35 to 40 as a score on the traffic light (out of a maximum of 48 points) where&gt; 42 points: Green color (low motor deficit); between 41 and 36 points: Yellow color (Medium motor deficit); &lt;35 points: Red color (High motor deficit). The Spearman correlation analysis (rho) determined a negative correlation value rho, -0.74; (p &lt;0.0000). RO of 0.54 (r = -0.71) and r2 = 0.52. This result indicates the existence of a high negative correlation between the score and the number of visits to the sports trauma clinic, validating the possible use of this test in training football.</t>
  </si>
  <si>
    <t>1989-6239</t>
  </si>
  <si>
    <t>WOS:000709411800009</t>
  </si>
  <si>
    <t>Durán, CA; Fernández-Campusano, C; Carrasco, R; Vargas, M; Navarrete, A</t>
  </si>
  <si>
    <t>Duran, Claudia A.; Fernandez-Campusano, Christian; Carrasco, Raul; Vargas, Manuel; Navarrete, Alejandro</t>
  </si>
  <si>
    <t>Boosting the Decision-Making in Smart Ports by Using Blockchain</t>
  </si>
  <si>
    <t>Blockchain technology (BC) offers an innovation platform for decentralized and transparent transactions in the maritime port industry. This technology allows guaranteeing trust, transparency and traceability of cargo and data to be tracked. Today, in the port systems of emerging market countries, BC technology is increasingly being incorporated into information and communication processes. In parallel, the social domain has begun to be explored due to the lack of link between the port and the city it occupies, and the need to incorporate public actors in decision-making at the governance level. In this sense, the present work aims to promote BC technology in order to transform data and information into useful knowledge for effective decision making, through the use of Crowdsourcing. A Crowdsourcing Blockchain CrowdBC conceptual framework and its architecture are generated for a port system in which the cyber-technological, social and cognitive domains (CSTC) of smart ports, the knowledge generation process and Crowdsourcing technology are interrelated. Finally, opportunities are discussed for ports that are in permanent development to reduce the gaps with the smart industry. As a discussion, two possible scenarios and recommendations for future implementations that consider the social and cognitive aspects of Industry 4.0 are presented.</t>
  </si>
  <si>
    <t>vargas, manuel/AAG-4780-2020; Duran, Claudia/S-1175-2019; Fernández-Campusano, Christian/M-8749-2018; Carrasco, Raul/G-5440-2015</t>
  </si>
  <si>
    <t>Duran, Claudia/0000-0002-0903-4333; Fernandez-Campusano, Christian/0000-0001-7033-4178; Vargas Guzman, Manuel Eduardo/0000-0003-4161-6621; Carrasco, Raul/0000-0002-5023-9349</t>
  </si>
  <si>
    <t>10.1109/ACCESS.2021.3112899</t>
  </si>
  <si>
    <t>WOS:000697809200001</t>
  </si>
  <si>
    <t>Díaz-Leiva, MM; Malfitano, APS</t>
  </si>
  <si>
    <t>Matilde Diaz-Leiva, Monica; Serrata Malfitano, Ana Paula</t>
  </si>
  <si>
    <t>Reflections on the idea of Latin America and its contributions to southern occupational therapies</t>
  </si>
  <si>
    <t>CADERNOS BRASILEIROS DE TERAPIA OCUPACIONAL-BRAZILIAN JOURNAL OF OCCUPATIONAL THERAPY</t>
  </si>
  <si>
    <t>It is presented a reflection about the narratives around Latin American concepts and the categories that emerged from these concepts, making the possibility of different readings about our continent. The objective of this article is analyzing these narratives and identifying what they offer to contribute to Southern Occupational Therapies debate. It is considered that their current deployment is directly related to the discussions about them, which have been taking place for several decades in our region. To this end, a reflexive essay is presented based on social theories, including anticolonial, postcolonial, subaltern, and decolonial studies, among others. We have chosen for debates to contribute to the reflection of Southern Occupational Therapies: the contradictory heterogeneity of Latin America, the coloniality as a transgenerational legacy of colonization, politics of representation in the intellectual world and how they have observed, studied, and represented otherness and the internal coloniality, as a starting point for processes of decolonization. It is concluded that the Southern Occupational Therapies have been recognized local-regional narratives and practices, having a great potential to mobilize power relations and asymmetries both locally and globally. The idea of Latin America allows us to identify how the course of the profession has been transformed and new meanings and practices have produced in response to historical contexts and temporalities in this continent.</t>
  </si>
  <si>
    <t>Malfitano, Ana/G-1637-2012</t>
  </si>
  <si>
    <t>Malfitano, Ana/0000-0002-0502-3194; Diaz Leiva, Monica/0000-0001-7235-8077</t>
  </si>
  <si>
    <t>2526-8910</t>
  </si>
  <si>
    <t>e2568</t>
  </si>
  <si>
    <t>10.1590/2526-8910.ctoEN1961</t>
  </si>
  <si>
    <t>WOS:000744200500037</t>
  </si>
  <si>
    <t>Chandra, Y; Flores, EIS; Adhikari, S</t>
  </si>
  <si>
    <t>Chandra, Y.; Flores, E. I. Saavedra; Adhikari, S.</t>
  </si>
  <si>
    <t>Buckling of 2D nano hetero-structures with moire patterns</t>
  </si>
  <si>
    <t>COMPUTATIONAL MATERIALS SCIENCE</t>
  </si>
  <si>
    <t>Moire pattern arises from the lattice mismatch between two different nanosheets. The discovery of the Moire pattern has resulted in breakthrough properties in 2D carbon-based nanostructures such as graphene. Here we investigate the impact of a Moire pattern on mechanical properties of bi-layer 2D nanosheets. In particular, buckling instability of 2D carbon-based nano hetero-structures is investigated using atomistic finite element approaches. Nano hetero-structures considered are graphene-hBN (hexagonal Boron Nitride) and graphene-MoS 2 (Molybdenum disulphide). Bilayer graphene has also been considered in the buckling analysis, by orienting the individual sheets at moire angle. Atomistic simulation methodology uses elastic beams to represent intra-sheet atomic bonds and elastic springs to represent inter-sheet atomic interactions. The influence of different boundary conditions and sheet length on the buckling of nano hetero-structures has been investigated. The bridged nano hetero-structures are found be displaying higher buckling strength as compared to cantilever sheets.</t>
  </si>
  <si>
    <t>Flores, Erick/I-7646-2012; Adhikari, Sondipon/A-9642-2009</t>
  </si>
  <si>
    <t>Adhikari, Sondipon/0000-0003-4181-3457; Chandra, Yatish/0000-0002-3126-1276</t>
  </si>
  <si>
    <t>0927-0256</t>
  </si>
  <si>
    <t>1879-0801</t>
  </si>
  <si>
    <t>10.1016/j.commatsci.2019.109507</t>
  </si>
  <si>
    <t>WOS:000519576300008</t>
  </si>
  <si>
    <t>Casassus, S; Pérez, S</t>
  </si>
  <si>
    <t>Casassus, Simon; Perez, Sebastian</t>
  </si>
  <si>
    <t>Kinematic Detections of Protoplanets: A Doppler Flip in the Disk of HD 100546</t>
  </si>
  <si>
    <t>ASTROPHYSICAL JOURNAL LETTERS</t>
  </si>
  <si>
    <t>Protoplanets and circumplanetary disks are rather elusive in their thermal IR emission. Yet they are cornerstones to the most popular interpretations for the protoplanetary disk structures observed in the gas and dust density fields, even though alternative theories exist. The gaseous velocity field should also bear the imprint of planet?disk interactions, with non-Keplerian fine structure in the molecular-line channel maps. Such kinks or wiggles are affected by the optical depth structure and synthesis imaging limitations, but their detail could in principle be connected to the perturber by comparison with hydrodynamical simulations. These predictions appear to have been observed in HD 163296 and HD 97048, where the most conspicuous wiggles are interpreted in terms of embedded planets. The velocity centroid maps may allow for more robust indirect detections of embedded planets. The non-Keplerian velocity along the planetary wakes undergoes an abrupt sign reversal across the protoplanet. After subtraction of the disk rotation curve, the location of the perturber should be identifiable as a Doppler flip in velocity centroid maps. Here we improve our rotation curves in an extension to disks with intermediate inclinations, which we apply to deep and fine angular resolution CO isotopologue data sets. Trials in HD 163296 and in HD 97048 yield nondetections. However, in HD 100546 we pick up a conspicuous Doppler flip, an important part of which is likely due to radial flows. Its coincidence with a fine ridge crossing an annular groove inside the continuum ring suggests a complex dynamical scenario, in which the putative protoplanet might have recently undergone pebble accretion.</t>
  </si>
  <si>
    <t>Pérez, Sebastián/AAS-5857-2020; Casassus, Simon/I-8609-2016</t>
  </si>
  <si>
    <t>Casassus, Simon/0000-0002-0433-9840; Perez, Sebastian/0000-0003-2953-755X</t>
  </si>
  <si>
    <t>2041-8205</t>
  </si>
  <si>
    <t>2041-8213</t>
  </si>
  <si>
    <t>L41</t>
  </si>
  <si>
    <t>10.3847/2041-8213/ab4425</t>
  </si>
  <si>
    <t>WOS:000498566700001</t>
  </si>
  <si>
    <t>García-Macías, E; Castro-Triguero, R; Flores, EIS; Yanez, SJ; Hinrechsen, K</t>
  </si>
  <si>
    <t>Garcia-Macias, Enrique; Castro-Triguero, Rafael; Saavedra Flores, Erick I.; Yanez, Sergio J.; Hinrechsen, Karen</t>
  </si>
  <si>
    <t>An interactive computational strategy for teaching the analysis of silo structures in civil engineering</t>
  </si>
  <si>
    <t>COMPUTER APPLICATIONS IN ENGINEERING EDUCATION</t>
  </si>
  <si>
    <t>In this article, a Matlab-based software environment called Guide Silo Design (GSD) is proposed to help undergraduate students to better understand the complex phenomena involved in the analysis process of silo structures. The software is integrated with two commercial finite element softwares. These are the Open Application Programming Interface (OAPI) code in SAP2000 and the ANSYS Parametric Design Language (APDL) code in ANSYS. GSD allows civil engineering students to create a virtual simulation environment in which an effective and appropriate teaching-learning process can be experienced. The GSD environment is programmed in Matlab using a finite element-based mathematical framework. Furthermore, as the analysis of silo structures is highly relevant in real engineering projects, students can acquire fundamental knowledge for their future works as engineers. The present interactive virtual environment has great potential to improve the learning process of the analysis of silo structures.</t>
  </si>
  <si>
    <t>Flores, Erick/I-7646-2012; Yanez, Sergio/G-5230-2019; Triguero, Rafael/N-5054-2019; Castro Triguero, Rafael/C-2564-2019; Garcia-Macias, Enrique/L-2005-2015</t>
  </si>
  <si>
    <t>Castro Triguero, Rafael/0000-0002-2937-1118; Garcia-Macias, Enrique/0000-0001-5557-144X; Yanez, Sergio/0000-0002-8856-0955</t>
  </si>
  <si>
    <t>1061-3773</t>
  </si>
  <si>
    <t>1099-0542</t>
  </si>
  <si>
    <t>10.1002/cae.22112</t>
  </si>
  <si>
    <t>WOS:000475477500005</t>
  </si>
  <si>
    <t>Pérez, ATE; Rincón, PCN; Camargo, M; Marchant, MDA</t>
  </si>
  <si>
    <t>Espinoza Perez, Andrea Teresa; Narvaez Rincon, Paulo Cesar; Camargo, Mauricio; Alfaro Marchant, Miguel Domingo</t>
  </si>
  <si>
    <t>Multiobjective optimization for the design of phase III biorefinery sustainable supply chain</t>
  </si>
  <si>
    <t>Narvaez, Paulo/I-4635-2019; CAMARGO, Mauricio/HJP-7111-2023; Espinoza Perez, Andrea Teresa/M-4426-2014</t>
  </si>
  <si>
    <t>Camargo, Mauricio/0000-0003-3867-2438; Espinoza Perez, Andrea Teresa/0000-0002-6362-9100; Narvaez Rincon, Paulo Cesar/0000-0003-4865-4540</t>
  </si>
  <si>
    <t>JUN 20</t>
  </si>
  <si>
    <t>10.1016/j.jclepro.2019.02.268</t>
  </si>
  <si>
    <t>WOS:000466253100017</t>
  </si>
  <si>
    <t>AN INDEFINITE CONCAVE-CONVEX EQUATION UNDER A NEUMANN BOUNDARY CONDITION II</t>
  </si>
  <si>
    <t>TOPOLOGICAL METHODS IN NONLINEAR ANALYSIS</t>
  </si>
  <si>
    <t>We proceed with the investigation of the problem (P-lambda) -Delta u = lambda b(x)vertical bar u vertical bar(q-2)u + a(x)vertical bar u vertical bar(p-2)u in Omega, a partial derivative/partial derivative n = 0 on partial derivative Omega, where Omega is a bounded smooth domain in R-N (N &gt;= 2), 1 &lt; q &lt; 2 &lt; p, lambda is an element of R, and a, b is an element of C-alpha(&lt;(Omega)over bar&gt;) with 0 &lt; alpha &lt; 1. Dealing now with the case b &gt;= 0, b 0, we show the existence (and several properties) of an unbounded subcontinuum of nontrivial nonnegative solutions of (P-lambda). Our approach is based on a priori bounds, a regularisation procedure, and Whyburn's topological method.</t>
  </si>
  <si>
    <t>1230-3429</t>
  </si>
  <si>
    <t>10.12775/TMNA.2017.007</t>
  </si>
  <si>
    <t>WOS:000405254400019</t>
  </si>
  <si>
    <t>Maisey, K; Montero, R; Corripio-Miyar, Y; Toro-Ascuy, D; Valenzuela, B; Reyes-Cerpa, S; Sandino, AM; Zou, J; Wang, TH; Secombes, CJ; Imarai, M</t>
  </si>
  <si>
    <t>Maisey, Kevin; Montero, Ruth; Corripio-Miyar, Yolanda; Toro-Ascuy, Daniela; Valenzuela, Beatriz; Reyes-Cerpa, Sebastian; Maria Sandino, Ana; Zou, Jun; Wang, Tiehui; Secombes, Christopher J.; Imarai, Monica</t>
  </si>
  <si>
    <t>Isolation and Characterization of Salmonid CD4+ T Cells</t>
  </si>
  <si>
    <t>JOURNAL OF IMMUNOLOGY</t>
  </si>
  <si>
    <t>This study reports the isolation and functional characterization of rainbow trout (Oncorhynchus mykiss) CD4-1(+) T cells and the establishment of an IL-15-dependent CD4-1(+) T cell line. By using Abs specific for CD4-1 and CD3 epsilon it was possible to isolate the double-positive T cells in spleen and head kidney. The morphology and the presence of transcripts for T cell markers in the sorted CD4-1(+)CD3 epsilon(+) cells were studied next. Cells were found to express TCR alpha, TCR beta, CD152 (CTLA-4), CD154 (CD40L), T-bet, GATA-3, and STAT-1. The sorted CD4-1(+) T cells also had a distinctive functional attribute of mammalian T lymphocytes, namely they could undergo Ag-specific proliferation, using OVA as a model Ag. The OVA-stimulated cells showed increased expression of several cytokines, including IFN-gamma 1, IL-4/13A, IL-15, IL-17D, IL-10, and TGF-beta 1, perhaps indicating that T cell proliferation led to differentiation into distinct effector phenotypes. Using IL-15 as a growth factor, we have selected a lymphoid cell line derived from rainbow trout head kidney cells. The morphology, cell surface expression of CD4-1, and the presence of transcripts of T cell cytokines and transcription factors indicated that this is a CD4-1(+) T cell line. To our knowledge, this is the first demonstration of the presence of CD4-1(+)CD3 epsilon(+) T cells in salmonids. As in mammals, CD4-1(+) T cells may be the master regulators of immune responses in fish, and therefore these findings and the new model T cell line developed will contribute to a greater understanding of T cell function and immune responses in teleost fish.</t>
  </si>
  <si>
    <t>Maisey, Kevin/AAP-2886-2021; Toro-Ascuy, Daniela/JDC-8224-2023; Zou, Jun/KYQ-8156-2024</t>
  </si>
  <si>
    <t>Maisey, Kevin/0000-0002-7423-6329; Montero, Ruth Tamara/0000-0002-3019-1800; Reyes, Sebastian/0000-0002-7676-1266; Corripio-Miyar, Yolanda/0000-0002-1344-7405; SANDINO, ANA MARIA/0000-0002-3862-3743; Toro-Ascuy, Daniela/0000-0002-2563-9711; Wang, Tiehui/0000-0002-1148-8959; Imarai, Monica/0000-0001-8767-9180</t>
  </si>
  <si>
    <t>0022-1767</t>
  </si>
  <si>
    <t>1550-6606</t>
  </si>
  <si>
    <t>10.4049/jimmunol.1500439</t>
  </si>
  <si>
    <t>WOS:000375831200018</t>
  </si>
  <si>
    <t>Contreras-Bolton, C; Rey, C; Ramos-Cossio, S; Rodríguez, C; Gatica, F; Parada, V</t>
  </si>
  <si>
    <t>Contreras-Bolton, Carlos; Rey, Carlos; Ramos-Cossio, Sergio; Rodriguez, Claudio; Gatica, Felipe; Parada, Victor</t>
  </si>
  <si>
    <t>Automatically Produced Algorithms for the Generalized Minimum Spanning Tree Problem</t>
  </si>
  <si>
    <t>SCIENTIFIC PROGRAMMING</t>
  </si>
  <si>
    <t>The generalized minimum spanning tree problem consists of finding a minimum cost spanning tree in an undirected graph for which the vertices are divided into clusters. Such spanning tree includes only one vertex from each cluster. Despite the diverse practical applications for this problem, the NP-hardness continues to be a computational challenge. Good quality solutions for some instances of the problem have been found by combining specific heuristics or by including them within a metaheuristic. However studied combinations correspond to a subset of all possible combinations. In this study a technique based on a genotype-phenotype genetic algorithm to automatically construct new algorithms for the problem, which contain combinations of heuristics, is presented. The produced algorithms are competitive in terms of the quality of the solution obtained. This emerges from the comparison of the performance with problem-specific heuristics and with metaheuristic approaches.</t>
  </si>
  <si>
    <t>Parada, Victor/M-5840-2014; Contreras-Bolton, Carlos/D-9624-2016</t>
  </si>
  <si>
    <t>Rey, Carlos/0009-0000-0884-7423; Contreras-Bolton, Carlos/0000-0001-9549-4143</t>
  </si>
  <si>
    <t>1058-9244</t>
  </si>
  <si>
    <t>1875-919X</t>
  </si>
  <si>
    <t>10.1155/2016/1682925</t>
  </si>
  <si>
    <t>WOS:000372633000001</t>
  </si>
  <si>
    <t>Escobar, I; Hidalgo, N; Inostroza-Ponta, M; Marin, M; Rosas, E; Dorn, M</t>
  </si>
  <si>
    <t>Escobar, Ivan; Hidalgo, Nicolas; Inostroza-Ponta, Mario; Marin, Mauricio; Rosas, Erika; Dorn, Marcio</t>
  </si>
  <si>
    <t>Evaluation of a combined energy fitness function for a distributed memetic algorithm to tackle the 3D protein structure prediction problem</t>
  </si>
  <si>
    <t>PROCEEDINGS OF THE 2016 35TH INTERNATIONAL CONFERENCE OF THE CHILEAN COMPUTER SCIENCE SOCIETY (SCCC)</t>
  </si>
  <si>
    <t>Proceedings of the International Conference of the Chilean Computer Science Society</t>
  </si>
  <si>
    <t>35th International Conference of the Chilean-Computer-Science-Society (SCCC)</t>
  </si>
  <si>
    <t>OCT 10-14, 2016</t>
  </si>
  <si>
    <t>Chilean Comp Sci Soc,IEEE,Pontificia Univ Catolica Valparaiso, Edificio IBC, Fac Ingn,Univ Tecnica Federico Santa Maria,RYC,Accenture,NIC Chile,Telefonica,Natl Lab High Performance Comp,ALMA,ESO,NAOJ,NRAO,Oracle Acad,ThoughtWorks,IEEE</t>
  </si>
  <si>
    <t>This paper addresses the problem of predicting the tertiary structure of a given amino acid sequence, which has been reported as a NP-Complete class problem. We evaluate how the combination of two weighted energy functions, Talaris and SASA from Rosetta software suite, can improve, in reasonable computational time, the quality of the solutions in a distributed implementation of a knowledge-based memetic algorithm for the protein structure prediction problem. The proposal is evaluated in terms of prediction accuracy and biological significance of the predicted structures. Results reveal that the packing characteristic of the SASA function accelerates the search of good solutions in terms of root-mean-square deviation while a small weighting of the Talaris function helps to maintain the stability of their internal and interactions free energies, allowing the predictions of structures comparable to the experimental results.</t>
  </si>
  <si>
    <t>Inostroza-Ponta, Mario/G-7548-2012; Marin, Mauricio/GLR-7700-2022; Rosas, Erika/AFY-6048-2022; Dorn, Marcio/D-3696-2009</t>
  </si>
  <si>
    <t>Dorn, Marcio/0000-0001-8534-3480</t>
  </si>
  <si>
    <t>1522-4902</t>
  </si>
  <si>
    <t>978-1-5090-3339-3</t>
  </si>
  <si>
    <t>WOS:000401662600026</t>
  </si>
  <si>
    <t>López, V; Ascorra, P; Bilbao, MD; Oyanedel, JC; Moya, I; Morales, M</t>
  </si>
  <si>
    <t>Soriano, E</t>
  </si>
  <si>
    <t>Lopez, Veronica; Ascorra, Paula; de los Angeles Bilbao, Maria; Carlos Oyanedel, Juan; Moya, Ivan; Morales, Macarena</t>
  </si>
  <si>
    <t>QUALITY OF EDUCATION Questioning the Results of the International Standardized Tests with High Consequences</t>
  </si>
  <si>
    <t>REPENSAR LA EDUCACION PARA UN MUNDO GLOBAL Y TRANSCULTURAL</t>
  </si>
  <si>
    <t>Research in Social Education</t>
  </si>
  <si>
    <t>Bilbao, M./K-8367-2014; Oyanedel, Juan/V-2833-2019; López, Verónica/IYS-2269-2023</t>
  </si>
  <si>
    <t>978-1-68123-316-1; 978-1-68123-317-8</t>
  </si>
  <si>
    <t>WOS:000375728600008</t>
  </si>
  <si>
    <t>Escudey, M; Arancibia-Miranda, N; Pizarro, C; Antilén, M</t>
  </si>
  <si>
    <t>Escudey, Mauricio; Arancibia-Miranda, Nicolas; Pizarro, Carmen; Antilen, Monica</t>
  </si>
  <si>
    <t>Effect of ash from forest fires on leaching in volcanic soils</t>
  </si>
  <si>
    <t>CATENA</t>
  </si>
  <si>
    <t>In Chile, significant amounts of native forests as well as pine and eucalyptus plantations are lost yearly as a result of forest fires. Besides the effect of high temperatures on the soil and destruction of the plant cover, the ashes originating from these fires end up spread out over the soil. The effects associated with the distribution of ash produced by burning of native forests, pine plantations, or eucalyptus plantations were studied over five different types of soil of volcanic origin by means of leaching columns. Testing columns 25-cm deep were prepared at each soil bulk density; 30 g of ash was added to the top of the column and irrigated by adding one pore volume of water every week for 12 weeks. Control soil and ash columns were prepared and treated similarly. Leachates were collected weeldy and the pH, organic carbon (OC) content, and concentration of various cations and anions were analyzed (via ICP and HPLC); at the end of the experiments all columns were cut into 5 cm sections and the residual soil was analyzed. In general, Na+, Ca2+, K+, and Mg2+, and Cl-, NO3-, and SO42- were the most significant cations and anions in the leachates respectively, with concentrations on the order of mmol. Most of the PO43- (99%) was retained in the lcolumn. Trace elements (Cu2+, Zn2+, Pb2+, and others) were absent in the leachates in concentrations on the order of jimol; Fe3+ and Al3+ were the most significant metals in the leachates, and their presence was most relevant in Andisols. Dissolved OC in the soil, due to the alkaline nature of the ash, was mostly retained at soil depths of 25 cm. Because of the ashes, an increase in the leachate pH was observed, with the most significant increase occurring in Andisols during the first 1-6 pore volumes of irrigation. At the end of the experiment, soil pH was higher in the ash-treated columns at depths of 0 to 15 cm but similar to the pH of control columns at depths of 20-25 cm, confirming the high buffer capacity of the soils. (C) 2014 Elsevier B.V. All rights reserved.</t>
  </si>
  <si>
    <t>Arancibia-Miranda, Nicolás/I-6743-2013</t>
  </si>
  <si>
    <t>Antilen-Lizana, Monica/0000-0003-0512-4267; Pizarro, Carmen/0000-0003-4927-5681</t>
  </si>
  <si>
    <t>0341-8162</t>
  </si>
  <si>
    <t>1872-6887</t>
  </si>
  <si>
    <t>10.1016/j.catena.2014.08.006</t>
  </si>
  <si>
    <t>WOS:000366225900041</t>
  </si>
  <si>
    <t>Antonova, EE; Stepanova, MV</t>
  </si>
  <si>
    <t>Antonova, E. E.; Stepanova, M. V.</t>
  </si>
  <si>
    <t>The problem of the acceleration of electrons of the outer radiation belt and magnetospheric substorms</t>
  </si>
  <si>
    <t>Predicting of the location of the maximum in high-energy electron fluxes filling a new radiation belt is an endeavor being carried out by physicists studying the magnetosphere. We analyzed the data from the Defense Meteorological Satellite Program (DMSP) satellites and ground-based magnetometers obtained during geomagnetic storm on 8-9 October 2012. The minimum value of the disturbance storm time (Dst) was -111 nT, and the maximum in high-energy electron fluxes that appeared during the recovery phase was observed at L = 4 Re. At the same time, we analyzed the motion of the auroral oval toward lower latitudes and related substorm activity using the data of the low-orbiting DMSP satellites and the IMAGE magnetic meridian network. It was found from the DMSP satellites' measurements that the maximum of the energy density of precipitating ions, the maximum of the plasma pressure, and the most equatorial part of the westward auroral electrojet are all located at the 60 degrees geomagnetic latitude. This value corresponds to L = 4 Re, i.e., it coincides with the location of the maximum in high-energy electron fluxes. This L-value also agrees with the predictions of the Tverskaya relation between the minimum in Dst variation and the location of the maximum of the energetic electron fluxes, filling a new radiation belt. The obtained results show that the location of this maximum could be predicted solely from the data of the auroral particle precipitations and/or ground-based magnetic observations.</t>
  </si>
  <si>
    <t>10.1186/s40623-015-0319-7</t>
  </si>
  <si>
    <t>WOS:000361282000002</t>
  </si>
  <si>
    <t>Munoz, Cristian A.; Mosey, Simon; Binks, Martin</t>
  </si>
  <si>
    <t>The tacit mystery: reconciling different approaches to tacit knowledge</t>
  </si>
  <si>
    <t>KNOWLEDGE MANAGEMENT RESEARCH &amp; PRACTICE</t>
  </si>
  <si>
    <t>In the management literature, tacit knowledge has been conceptualised in partial, divergent, and contradictory ways. This paper reconciles these different approaches by explaining how they address different aspects of the theory of tacit knowing developed through the seminal work of Michael Polanyi. To clarify Polanyi's work, we provide a more inclusive theoretical framework for scholars concerned with the creation and transfer of knowledge. Using this framework, we examine the implications for theory and practice of these different conceptualisations and suggest areas for future research. We conclude by proposing that new insights can be gained by reconsidering the concepts of knowing, tacit integration and indwelling where tacit knowing is developed by practical immersion.</t>
  </si>
  <si>
    <t>1477-8238</t>
  </si>
  <si>
    <t>1477-8246</t>
  </si>
  <si>
    <t>10.1057/kmrp.2013.50</t>
  </si>
  <si>
    <t>WOS:000361070600006</t>
  </si>
  <si>
    <t>Calvez, M; Wiest, B</t>
  </si>
  <si>
    <t>Calvez, Matthieu; Wiest, Bert</t>
  </si>
  <si>
    <t>A fast solution to the conjugacy problem in the four-strand braid group</t>
  </si>
  <si>
    <t>JOURNAL OF GROUP THEORY</t>
  </si>
  <si>
    <t>We present an algorithm for solving the conjugacy search problem in the four-strand braid group. The computational complexity is cubic with respect to the braid length.</t>
  </si>
  <si>
    <t>Calvez, Matthieu/F-8329-2016</t>
  </si>
  <si>
    <t>Calvez, Matthieu/0000-0002-7059-3062</t>
  </si>
  <si>
    <t>1433-5883</t>
  </si>
  <si>
    <t>1435-4446</t>
  </si>
  <si>
    <t>10.1515/jgth-2014-0020</t>
  </si>
  <si>
    <t>WOS:000341809100002</t>
  </si>
  <si>
    <t>Arenas, FA; Leal, CA; Pinto, CA; Arenas-Salinas, MA; Morales, WA; Cornejo, FA; Díaz-Vásquez, WA; Vásquez, CC</t>
  </si>
  <si>
    <t>Arenas, F. A.; Leal, C. A.; Pinto, C. A.; Arenas-Salinas, M. A.; Morales, W. A.; Cornejo, F. A.; Diaz-Vasquez, W. A.; Vasquez, C. C.</t>
  </si>
  <si>
    <t>On the mechanism underlying tellurite reduction by Aeromonas caviae ST dihydrolipoamide dehydrogenase</t>
  </si>
  <si>
    <t>BIOCHIMIE</t>
  </si>
  <si>
    <t>The dihydrolipoamide dehydrogenase (LpdA) from the tellurite-resistant bacterium Aeromonas caviae ST reduces tellurite to elemental tellurium. To characterize this NADH-dependent activity, the A. caviae lpdA gene was subjected to site-directed mutagenesis and genes containing C45A, H322Y and E3541( substitutions were individually transformed into Escherichia coli Delta lpd. Cells expressing the modified genes exhibited decreased pyruvate dehydrogenase, dihydrolipoamide dehydrogenase and TR activity regarding that observed with the wild type A. caviae lpdA gene. In addition, cells expressing the altered lpdA genes showed increased oxidative stress levels and tellurite sensitivity than those carrying the wild type counterpart. The involvement of Cys residues in LpdA's TR activity was analyzed using specific inhibitors that interact with catalytic cysteines and/or disulfide bridges such as aurothiomalate, zinc or nickel. TR activity of purified LpdA was drastically affected by these compounds. Since LpdA belongs to the flavoprotein family, the involvement of the FAD/NAD(P)(+)-binding domain in TR activity was determined. FAD removal from purified LpdA results in loss of TR activity, which was restored with exogenously added FAD. Substitutions in E354, involved in FAD/NADH binding, resulted in low TR activity because of flavin loss. Finally, changing H322 (involved in NAD(+)/NADH binding) by tyrosine also resulted in altered TR activity. (C) 2014 Elsevier Masson SAS. All rights reserved.</t>
  </si>
  <si>
    <t>Arenas, Mauricio/NBW-8966-2025</t>
  </si>
  <si>
    <t>Cornejo, Fabian/0000-0002-6633-392X</t>
  </si>
  <si>
    <t>0300-9084</t>
  </si>
  <si>
    <t>1638-6183</t>
  </si>
  <si>
    <t>10.1016/j.biochi.2014.03.008</t>
  </si>
  <si>
    <t>WOS:000338623600020</t>
  </si>
  <si>
    <t>Development of antifungal packaging for berries extruded from recycled PET</t>
  </si>
  <si>
    <t>In this study an active packaging was developed for marketing fresh berries by extruding recycled PET with potassium sorbate (KS) added as the antifungal agent at two concentrations (2.5 and 4.0 wt.%). The mechanical, thermal and optical properties of the extrudate were characterized using Resistance to dynamic compression, Differential Scanning Calorimeter (DSC), and CIELAb colourimetry, respectively. The structure of the material was visualized using Scanning Electron Microscope (SEM) and its composition was examined using Fourier transform infrared spectroscopy (FTIR). The addition of KS introduced yellow colouration to the extrudate which increased with the concentration added. KS addition also lowered the packaging resistance against compression, but not to such an extent which precluded its application. The antifungal efficacy against Botrytis cinerea was determined by agar diffusion method, and the extent of fungal growth inhibition was found to increase with the concentration of KS. The specific migration of KS was also determined and was found to be well within regulatory compliance limits. (C) 2013 Elsevier Ltd. All rights reserved.</t>
  </si>
  <si>
    <t>10.1016/j.foodcont.2013.03.031</t>
  </si>
  <si>
    <t>WOS:000320286900021</t>
  </si>
  <si>
    <t>Quevedo, R; Valencia, E; Alvarado, F; Ronceros, B; Bastias, JM</t>
  </si>
  <si>
    <t>Quevedo, Roberto; Valencia, Emir; Alvarado, Felipe; Ronceros, Betty; Miguel Bastias, Jose</t>
  </si>
  <si>
    <t>Comparison of Whiteness Index vs. Fractal Fourier in the Determination of Bloom Chocolate Using Image Analysis</t>
  </si>
  <si>
    <t>Modeling of bloom is essential to evaluate the effectiveness of processes in chocolate and to determine its shelf life. Computer vision and the fractal kinetic method were used to quantify bloom in samples of chocolate coating and cocoa chocolate subjected to a 3- or 6-h temperature cycle. Bloom was also determined by classical methods (L* lightness and whiteness index). In the results, the kinetic bloom rate derived by the fractal kinetic method was higher than that obtained with the L* or white index. Fractal method can be used to determine kinetic bloom and to detect differences in chocolate coating affected by 3 or 6 h of temperature cycle. The bloom rate derived by the fractal method was higher that the mean L* value and whiteness index methods; no differences could be registered between the last two methods. In general, the fractal method can be seen as a new means of quantifying bloom in chocolate and allows registering the bloom faster than the L* value and white index methods.</t>
  </si>
  <si>
    <t>Bastias, Jose/AGI-3305-2022; Quevedo, Roberto/AGA-5606-2022</t>
  </si>
  <si>
    <t>10.1007/s11947-011-0729-x</t>
  </si>
  <si>
    <t>WOS:000320695700027</t>
  </si>
  <si>
    <t>von Bernhardi, R; Cornejo, F; Ramirez, G; Eugenin, J</t>
  </si>
  <si>
    <t>von Bernhardi, R.; Cornejo, F.; Ramirez, G.; Eugenin, J.</t>
  </si>
  <si>
    <t>SCAVENGER RECEPTOR A (SRA) IN THE INDUCTION OF INFLAMMATORY ACTIVATION OF MICROGLIA AND ASTROCYTES: ITS RELEVANCE FOR ALZHEIMER'S DISEASE</t>
  </si>
  <si>
    <t>11th European Meeting on Glial Cell Function in Health and Disease</t>
  </si>
  <si>
    <t>JUL 03-06, 2013</t>
  </si>
  <si>
    <t>Berlin, GERMANY</t>
  </si>
  <si>
    <t>S183</t>
  </si>
  <si>
    <t>WOS:000320408400588</t>
  </si>
  <si>
    <t>Donoso, AM; Amar, M; Minassian, M; Salazar, C; Arbulo, D; Slater, J; Schwartz, R; Gómez, L; Lee, K</t>
  </si>
  <si>
    <t>Donoso R, Ana Maria; Amar C, Marcela; Minassian M, Matias; Salazar M, Claudio; Arbulo L, Douglas; Slater M, Jeannie; Schwartz J, Ricardo; Gomez S, Lionel; Lee C, Kuen</t>
  </si>
  <si>
    <t>Quality indicators in breast cancer surgery</t>
  </si>
  <si>
    <t>Introduction: Although clear guidelines for breast cancer management have been developed and widespread, there are many variations between centers and even among breast cancer surgeons, with impact in clinical outcomes. Use of quality indicators to assess surgical care allows comparison with standards and with other centers and monitoring changes post intervention. Objective: To apply quality indicators to breast cancer surgery and evaluate usefulness. Material and Methods: Selected indicators obtained from EUSOMA 2008 workshop were applied to 213 consecutive surgical treatment breast cancer patients from Hospital Militar de Santiago de Chile between 2006 and 2011, comparing results with previously defined standards. Results: Benign/malignant index in surgical biopsies: 1: 2.27 (minimum standard: 1/2; Optimum: 1/4), patients with complete pathologic report percentage: 99,2% (minimum: 95%, optimum: 98%), breast conserving surgery percentage: 80.20% (minimum: 70%, optimum: 80%), patients with sufficient axillary sampling percentage: 92.4% (minimum: 95%, optimum: 98%), correct axillary dissection indication percentage: 100% (minimum: 95%, optimum: 98%) and patients who underwent single surgery percentage: 90.40% (minimum: 80%, optimum: 90%), most of them ranged between established standards. Conclusion: The use of quality indicators allows breast cancer surgery result evaluation, enabling comparison between centers and established standards, giving objective and reproducible information, helpful to plan process optimization. These or similar indicators are useful in all breast cancer treatment steps and for breast cancer unit accreditation processes. Our indicator values that are under the standard reveal that some specific local indicators are required.</t>
  </si>
  <si>
    <t>Marques, Albert/MNO-5994-2025</t>
  </si>
  <si>
    <t>0718-4026</t>
  </si>
  <si>
    <t>10.4067/S0718-40262013000300004</t>
  </si>
  <si>
    <t>WOS:000320483300004</t>
  </si>
  <si>
    <t>Dreyse, P; Quezada, D; Honores, J; Aguirre, MJ; Mendoza, L; Matsuhiro, B; Villagra, D; Isaacs, M</t>
  </si>
  <si>
    <t>Dreyse, Paulina; Quezada, Diego; Honores, Jessica; Jesus Aguirre, Maria; Mendoza, Leonora; Matsuhiro, Betty; Villagra, Diego; Isaacs, Mauricio</t>
  </si>
  <si>
    <t>Determination of S(IV) Oxoanions at Poly[Ru(5-NO2-Phen)2Cl] Tetrapyridylporphyrin Glassy Carbon Modified Electrode</t>
  </si>
  <si>
    <t>Glassy carbon electrodes modified with conducting polymers of Ni(II), Zn(II) and metal free tetraruthenated porphyrin were evaluated for reduction and oxidation processes of S(IV) oxoanions in Na2SO3/water-ethanol at pH 1.0 and 3.5, showing electrocatalytic activity. A Ni(II) film was able to reduce the S(IV) oxoanions selectively in presence of high concentration of gallic acid. The Ni(II) film was also used as an amperometric sensor toward S(IV) oxoanions reduction in white wine samples showing a detection and quantification limit of 1.40 mgL(-1) and 4.68 mgL(-1), respectively. These results are promising for the electrochemical determination of S(IV) using conducting polymers from these macrocycles.</t>
  </si>
  <si>
    <t>Villagra, Diego/H-6694-2013; Aguirre, Maria/A-3935-2013; Dreyse, Paulina/KSM-6016-2024; Isaacs, Mauricio/N-3027-2013</t>
  </si>
  <si>
    <t>Honores Sotelo, Jessica/0000-0003-1172-4728; Dreyse, Paulina/0000-0003-0695-7885; Quezada, Diego/0000-0001-7661-076X; Isaacs Casanova, Mauricio/0000-0003-0503-0949; Aguirre, Maria/0000-0003-1134-4469; Quezada, Diego/0009-0003-0231-5866</t>
  </si>
  <si>
    <t>10.1002/elan.201200038</t>
  </si>
  <si>
    <t>WOS:000308398100004</t>
  </si>
  <si>
    <t>Roussenova, M; Enrione, J; Diaz-Calderon, P; Taylor, AJ; Ubbink, J; Alam, MA</t>
  </si>
  <si>
    <t>Roussenova, M.; Enrione, J.; Diaz-Calderon, P.; Taylor, A. J.; Ubbink, J.; Alam, M. A.</t>
  </si>
  <si>
    <t>A nanostructural investigation of glassy gelatin oligomers: molecular organization and interactions with low molecular weight diluents</t>
  </si>
  <si>
    <t>NEW JOURNAL OF PHYSICS</t>
  </si>
  <si>
    <t>The effects of low molecular weight diluents (namely water and glycerol) on the nanostructure and thermodynamic state of low water content gelatin matrices are explored systematically by combining positron annihilation lifetime spectroscopy (PALS) with calorimetric measurements. Bovine gelatin matrices with a variation in the glycerol content (0-10 wt.%) are equilibrated in a range of water activities (a(w) = 0.11-0.68, T = 298 K). Both water and glycerol reduce the glass transition temperature, T-g, and the temperature of dissociation of the ordered triple helical segments, T-m, while having no significant effect on the level of re-naturation of the gelatin matrices. Our PALS measurements show that over the concentration range studied, glycerol acts as a packing enhancer and in the glassy state it causes a nonlinear decrease in the average hole size, v(h), of the gelatin matrices. Finally, we report complex changes in v(h) for the gelatin matrices as a function of the increasing level of hydration. At low water contents (Q(w) similar to 0.01-0.10), water acts as a plasticizer, causing a systematic increase in v(h). Conversely, for water contents higher than Q(w) similar to 0.10, v(h) is found to decrease, as small clusters of water begin to form between the polypeptide chains. S Online supplementary data available from stacks.iop.org/NJP/14/035016/mmedia</t>
  </si>
  <si>
    <t>Taylor, Andrew/HMV-4064-2023; Enrione, Javier/I-9225-2014</t>
  </si>
  <si>
    <t>Ubbink, Johan Bernard/0000-0003-2296-4161; Enrione, Javier/0000-0002-3916-6775; Diaz-Calderon, Paulo/0000-0002-8375-2210</t>
  </si>
  <si>
    <t>1367-2630</t>
  </si>
  <si>
    <t>10.1088/1367-2630/14/3/035016</t>
  </si>
  <si>
    <t>WOS:000302371100001</t>
  </si>
  <si>
    <t>Guarda, A; Rubilar, JF; Miltz, J; Galotto, MJ</t>
  </si>
  <si>
    <t>Guarda, Abel; Rubilar, Javiera F.; Miltz, Joseph; Jose Galotto, Maria</t>
  </si>
  <si>
    <t>The antimicrobial activity of microencapsulated thymol and carvacrol</t>
  </si>
  <si>
    <t>The aim of the present study was to determine the antimicrobial (AM) properties of plastic flexible films with a coating of microcapsules containing carvacrol and thymol as natural AM agents. Microencapsulation of these agents enables their controlled release and leads to the destruction (or growth inhibition) of a broad spectrum of microorganisms such as. Escherichia coli O157:H7, Staphylococcus aureus, Listeria innocua, Saccharomyces cerevisiae and Aspergillus niger. It was found that the studied AM agents are strong inhibitors to the growth of mycelium, but they were not effective against spore germination of mold. Thymol (T) and carvacrol (C) showed a significant AM activity against the studied microorganisms, with minimal inhibitory concentrations (MIC) of 125-250 ppm and 75-375 ppm for thymol and carvacrol respectively. The synergistic effect of combinations of thymol and carvacrol was also studied and it was found that the highest synergism was achieved at a concentration of 50% T and 50% C. The release of the AM agents was carried out at 4 degrees C during 28 days. The concentration of the microencapsulated AM agents showed a range of zones of inhibition of 4.3-11.3 mm for the microorganisms at 10% of thymol and 10% of carvacrol. At these concentrations the release of the AM agents (within 48 h) was greater than required for the most resistant microorganism (E 0157:H7), as reflected by the relatively large zone of inhibition. The results of the present study confirm the suitability of using microencapsulated thymol and carvacrol incorporated in polymer films for AM food packaging. (C) 2011 Elsevier B.V. All rights reserved.</t>
  </si>
  <si>
    <t>Rubilar, Javiera F/0000-0001-7390-7277</t>
  </si>
  <si>
    <t>10.1016/j.ijfoodmicro.2011.02.011</t>
  </si>
  <si>
    <t>WOS:000290011600006</t>
  </si>
  <si>
    <t>Römer, U; Hahn, IJ; Vergara, PM</t>
  </si>
  <si>
    <t>Roemer, Uwe; Hahn, Ingo J.; Vergara, Pablo M.</t>
  </si>
  <si>
    <t>Description of Dicrossus foirni sp. n. and Dicrossus warzeli sp. n. (Teleostei: Perciformes: Cichlidae), two new cichlid species from the Rio Negro and the Rio Tapajos, Amazon drainage, Brazil</t>
  </si>
  <si>
    <t>VERTEBRATE ZOOLOGY</t>
  </si>
  <si>
    <t>Dicrossus foirni sp. n. and Dicrossus warzeli sp. n. are described from the Brazilian Amazon River system. Both species are differentiated from all other Neotropical cichlids by exhibiting three rows of longitudinal lateral spots. Dicrossus foirni sp. n., which is distributed in the northern Rio Negro drainage, exhibits a pattern of lateral spots formed by the clustering of individual dots. By contrast, Dicrossus warzeli sp. n., which is endemic to the Rio Tapajos, exhibits three longitudinal rows of horizontal dash-like spots on the sides of the body. Furthermore, the two species are distinguished by having different relationships between body height and body length.</t>
  </si>
  <si>
    <t>1864-5755</t>
  </si>
  <si>
    <t>WOS:000283409000004</t>
  </si>
  <si>
    <t>Soto-Arriaza, MA; Sotomayor, CP; Lissi, EA</t>
  </si>
  <si>
    <t>Soto-Arriaza, M. A.; Sotomayor, C. P.; Lissi, E. A.</t>
  </si>
  <si>
    <t>Relationship between lipid peroxidation and rigidity in L-α-phosphatidylcholine-DPPC vesicles</t>
  </si>
  <si>
    <t>DPPC incorporation into egg-PC unilamellar vesicles reduces their oxidation rate beyond that expected from the unsaturated lipid dilution. Addition of the unsaturated lipids produces changes in the physical properties of the inner parts of the lipid bilayer, as sensed by fluorescence anisotropy of DPH, and in the hydrophilic/hydrophobic region, as sensed by the generalized polarization of laurdan. DPPC (30 mol%) incorporation into egg-PC vesicles produces a decrease in alkyl chain mobility in the inner part of the bilayer, evaluated by the increase of DPH fluorescence anisotropy, and a rise of the generalized polarization value of laurdan in the bilayer interface. It also leads to a decrease in the rate of water efflux promoted by a hypertonic shock. Oxidation of PC LUVs, promoted by AAPH, as sensed by oxygen uptake and MDA formation, leads to qualitatively similar results than DPPC addition: rigidification at the inner part and the surface of the liposomes, and a lower rate of water permeation. It is suggested that these changes could contribute to the observed decrease in oxidation rate with conversion. (C) 2008 Elsevier Inc. All rights reserved.</t>
  </si>
  <si>
    <t>Soto-Arriaza, Marco/J-8918-2017</t>
  </si>
  <si>
    <t>Soto-Arriaza, Marco/0000-0003-4502-6960</t>
  </si>
  <si>
    <t>10.1016/j.jcis.2008.04.034</t>
  </si>
  <si>
    <t>WOS:000256646600009</t>
  </si>
  <si>
    <t>Kennedy, BF; Bondarczuk, K; Barry, LP</t>
  </si>
  <si>
    <t>Kennedy, B. F.; Bondarczuk, K.; Barry, L. P.</t>
  </si>
  <si>
    <t>Experimental analysis of phase conjugation properties of four-wave mixing in an SOA after probe broadening due to fibre dispersion</t>
  </si>
  <si>
    <t>Experimental results are presented which analyze the phase conjugation properties of four-wave mixing signals generated due to the beating between probe pulses broadened by a length of fibre and narrow pump pulses. This results in four-wave mixing pulses significantly narrower than the injected probe pulses albeit with reduced phase conjugation properties, which are examined. The pulses are completely characterized using the second-harmonic generation frequency resolved optical gating technique. The probe pulse is initially broadened due to propagation through 40 in of dispersion compensating fibre. This causes the probe pulse to be much wider than the injected pump pulse, in contrast to previously reported results. The four-wave mixing signal is therefore both wavelength converted and compressed, due to the gating properties of four-wave mixing, with respect to the initial probe signal. The phase conjugation properties of the converted signal are discussed and this signal is then passed through a second length of dispersion compensating fibre in order to further compress the pulse and to examine in more detail the phase conjugation properties. (C) 2007 Elsevier B.V. All rights reserved.</t>
  </si>
  <si>
    <t>Barry, Liam/G-7041-2011; Kennedy, Brendan/C-2455-2013</t>
  </si>
  <si>
    <t>Barry, Liam/0000-0001-8366-4790; Kennedy, Brendan/0000-0003-4782-0498</t>
  </si>
  <si>
    <t>10.1016/j.optcom.2007.12.049</t>
  </si>
  <si>
    <t>WOS:000254566000022</t>
  </si>
  <si>
    <t>Gramsch, E; Pchelyakov, OP; Chistokhin, IB; Tishkovsky, EG</t>
  </si>
  <si>
    <t>Gramsch, Ernesto; Pchelyakov, Oleg P.; Chistokhin, Igor B.; Tishkovsky, Eugene G.</t>
  </si>
  <si>
    <t>Evaluation of a junction termination extension avalanche photodiode for X-ray detection</t>
  </si>
  <si>
    <t>IEEE TRANSACTIONS ON ELECTRON DEVICES</t>
  </si>
  <si>
    <t>An avalanche photodiode (APD) with a ring structure around the active area was built. The junction termination extension (JTE) APD has three diffused rings around the main junction to reduce the electric field at the surface. This design has the advantage that it does not need a sharp bevel edge or grooves to avoid early breakdown at the surface. The JTE rings can be obtained by a well-controlled ion-implantation through a single mask. The process uses standard planar technology for silicon devices. Several APDs with 2-mm diameter active area have been built by implantation of boron with a dose of 2, 3, 4, and 5 x 10(12) cm(-2), followed by deep diffusion to 14 mu m. The dark current is strongly dependent on the implantation charge, decreasing with decreasing charge. For the APDs with an implanted dose of 5 x 10(12) cm(-2), a gain of 8 is obtained at 1120 V, indicating that the devices have premature breakdown. The energy resolution from a Cd-1.09 X-ray source (22.16 keV) was measured to be 4.7-keV full-width at half-maximum, which corresponds to 560 rms electrons noise. We have also performed simulations of the gain and breakdown voltage that correlate well with the results up to a gain of 5.</t>
  </si>
  <si>
    <t>Chistokhin, Igor/J-9145-2018; Gramsch, Ernesto/M-5507-2017</t>
  </si>
  <si>
    <t>Chistokhin, Igor/0000-0002-9935-8509; Gramsch, Ernesto/0000-0002-6787-7355</t>
  </si>
  <si>
    <t>0018-9383</t>
  </si>
  <si>
    <t>1557-9646</t>
  </si>
  <si>
    <t>10.1109/TED.2007.904829</t>
  </si>
  <si>
    <t>WOS:000249904100009</t>
  </si>
  <si>
    <t>Alarcón, B; Guíñez, V; Gutierrez, C</t>
  </si>
  <si>
    <t>Alarcon, Begona; Guinez, Victor; Gutierrez, Carlos</t>
  </si>
  <si>
    <t>Hopf bifurcation at infinity for planar vector fields</t>
  </si>
  <si>
    <t>Workshop on Geometric and Ergodic Theory of Dynamical Systems</t>
  </si>
  <si>
    <t>AUG 30-SEP 03, 2004</t>
  </si>
  <si>
    <t>ICMC-USP, Sao Carlos, BRAZIL</t>
  </si>
  <si>
    <t>ICMC-USP</t>
  </si>
  <si>
    <t>We study, from a new point of view, families of planar vector fields without singularities {X-mu : -epsilon &lt; mu &lt; epsilon} defined on the complement of an open ball centered at the origin such that, at mu = 0, infinity changes from repellor to attractor, or vice versa. We also study a sort of local stability of some C-1 planar vector fields around infinity.</t>
  </si>
  <si>
    <t>Alarcon, Begona/KRT-1234-2024</t>
  </si>
  <si>
    <t>Alarcon Cotillas, Begona/0000-0002-1790-3519</t>
  </si>
  <si>
    <t>WOS:000241725600003</t>
  </si>
  <si>
    <t>Pino, J; Celedón, G; González, G; Lissi, EA</t>
  </si>
  <si>
    <t>Erythrocytes band 3 anion transport is inhibited by peroxynitrite</t>
  </si>
  <si>
    <t>PLACENTA</t>
  </si>
  <si>
    <t>Joint Meeting of the 2nd Latinamerican Symposium on Fetal-Mateanal Interaction and Placenta/19th Annual Meeting of the Chilean-Society-of-Physiological-Sciences</t>
  </si>
  <si>
    <t>NOV 06-09, 2005</t>
  </si>
  <si>
    <t>Chilean Soc Physiol Sci</t>
  </si>
  <si>
    <t>0143-4004</t>
  </si>
  <si>
    <t>A40</t>
  </si>
  <si>
    <t>WOS:000233996200138</t>
  </si>
  <si>
    <t>Cifuentes, L; Astete, E; Crisóstomo, G; Simpson, J; Cifuentes, G; Pilleux, M</t>
  </si>
  <si>
    <t>Corrosion and protection of lead anodes in acidic copper sulphate solutions</t>
  </si>
  <si>
    <t>CORROSION ENGINEERING SCIENCE AND TECHNOLOGY</t>
  </si>
  <si>
    <t>It is known that lead anodes used in the industrial extraction of copper by electrolysis ( electrowinning) suffer corrosion as a result of accidental or intended current interruptions. In order to improve understanding of the corrosion and protection of such anodes, the effects of the concentrations of copper, sulphuric acid, cobalt, iron, manganese, chloride and an organic additive ( guar) on the corrosion of lead have been studied by means of weight loss tests and surface analysis techniques (X-ray photoelectron spectroscopy, X-ray diffraction, and wavelength dispersive spectroscopy). The rate of corrosion of lead during current interruptions increases with increasing concentration of sulphuric acid and copper, whereas it decreases markedly in the presence of cobalt and iron and, to a lesser extent, in the presence of chloride and the organic additive. Manganese is the only impurity whose presence does not reduce the rate of corrosion; it is also the only element which precipitates in significant amounts on the lead anode surface under the conditions studied. A method is proposed to establish the optimum anodic protection current density during current interruptions in electrowinning cells. Three current density ranges have been found, of which the 'high' protection range could be caused by the degree of compactness acquired by the PbO2 layer at applied anodic current densities in excess of 60 A m(-2).</t>
  </si>
  <si>
    <t>1478-422X</t>
  </si>
  <si>
    <t>1743-2782</t>
  </si>
  <si>
    <t>10.1179/174327805X79511</t>
  </si>
  <si>
    <t>WOS:000234390300012</t>
  </si>
  <si>
    <t>Pancetti, F; Oyarce, M; Aranda, M; Parodi, J; Aguayo, LG; Morales, B; Westphal, G; Müller, M; Hallier, E; Zeise, ML</t>
  </si>
  <si>
    <t>S-Methylcysteine may be a causal factor in monohalomethane neurotoxicity</t>
  </si>
  <si>
    <t>NEUROTOXICOLOGY</t>
  </si>
  <si>
    <t>S-Methylcysteine (SMC) is formed after exposure to monohalomethanes in rodents as well as in humans. The present study was performed to study whether SMC, directly or indirectly, contributes to the well-known neurotoxicity of monohalomethanes. We have investigated the effects of acute exposure to SMC by means of electrophysiolocal measurements in freshly prepared hippocampal slices and dissociated hippocampal neurons in culture. For longer-term exposures (24 h) we have used organotypic cultures (2 weeks in culture), taking electrophysiologic recordings and assessing membrane integrity with propidium iodide (PI) fluorescence. We found that only high concentrations of SMC (10(-2) M; exposure time 30 min) in freshly isolated slices of adult rats reduce synaptically evoked population spikes in the CA1 region. This effect was at least partially reversible. In organotypic cultures, at 5 x 10(-5) M after 24 h of exposure, SMC compromises membrane integrity as revealed by PI fluorescence, only in the dentate gyrus, spreading to pyramidal cell layers at 5 x 10(-4) M. At 5 x 10(-6) and 2 x 10(-5) M, under the same experimental conditions, no changes were seen with the PI method, but we recorded increased population spike amplitudes, repetitive discharges and frequency potentiation (at a stimulus repetition rate of 0.05 Hz). Using whole-cell patch clamp in hippocampal dissociated neurons we have found that SMC (appliedfor approximately 1 s) reduces GABA-induced currents (IC(50) = 4.4 x 10(-4) M) without having an effect of its own, acting like a competitive antagonist at GABA(A) receptors. Our findings are in line with the view that the ability of monohalomethanes to induce the formation of SMC is an important factor for their neurotoxicity, provided that SMC is allowed to act at least for several hours. The effects exerted by SMC seem to be due, at least in part, to its interaction with GABA receptors. (C) 2004 Elsevier Inc. All rights reserved.</t>
  </si>
  <si>
    <t>Parodi, Jorge/KUD-7777-2024; Castilho-Westphal, Gisela/F-9788-2013; Pancetti, Floria/A-2491-2013; Bustos, Mario/A-6599-2013</t>
  </si>
  <si>
    <t>Pancetti, Floria/0000-0002-6990-9832; Parodi, Jorge/0000-0002-9117-5433</t>
  </si>
  <si>
    <t>0161-813X</t>
  </si>
  <si>
    <t>10.1016/j.neuro.2004.01.008</t>
  </si>
  <si>
    <t>WOS:000223415500007</t>
  </si>
  <si>
    <t>Ureta-Zañartu, MS; Berríos, C; Pavez, J; Zagal, J; Gutiérrez, C; Marco, JF</t>
  </si>
  <si>
    <t>Electrooxidation of 2-chlorophenol on polyNiTSPc-modified glassy carbon electrodes</t>
  </si>
  <si>
    <t>The electrooxidation of 2-chlorophenol (2-CP) on poly-nickel tetrasulfophthalocyanine (polyNiTSPc) modified glassy carbon (GC) and indium tin oxide (ITO) electrodes was studied by cyclic voltammetry and in situ UV-Vis transmission spectroscopy. The polyNiTSPc films were characterized by XPS and AFM, both before and after reaction with 2-CP. The results indicate that NiTSPc polymerizes at both GC and ITO electrodes, apparently retaining its phthalocyanine structure in which the Ni atoms play a role similar to that in Ni(OH)(2) films. In the oxidation of 2-CP at polyNiTSPc-modified electrodes the electrode fouling by a layer of polymerized 2-CP oxidation products (polyCP) is weaker than on the bare GC electrode, probably because the polyCP layer formed on polyNiTSPc-ITO is very rough, as indicated by AFM, thus allowing the passage of CP molecules to the polyNiTSPc film. (C) 2003 Elsevier Science B.V. All rights reserved.</t>
  </si>
  <si>
    <t>Ureta-Zañartu, Maria/G-5239-2019; zagal, jose/L-9648-2014; PAVEZ, JORGE/K-6904-2014; Marco, JF/N-3176-2014</t>
  </si>
  <si>
    <t>PAVEZ, JORGE/0000-0002-5100-6707; Marco, JF/0000-0002-5147-1449</t>
  </si>
  <si>
    <t>10.1016/S0022-0728(03)00309-7</t>
  </si>
  <si>
    <t>WOS:000185368700016</t>
  </si>
  <si>
    <t>Soto-Suazo, M; Abrahamsohn, PA; Pereda, J; San Martin, S; Nader, HB; Sampaio, LO; Zorn, TMT</t>
  </si>
  <si>
    <t>Modulation of hyaluronan in the migratory pathway of mouse primordial germ cells</t>
  </si>
  <si>
    <t>HISTOCHEMISTRY AND CELL BIOLOGY</t>
  </si>
  <si>
    <t>In the present report we followed the distribution of hyaluronan during the phases of separation, migration, and colonization of the primordial germ cell migratory process. Hyaluronan was detected by the use of two cytochemical methods: (1) ruthenium hexammine trichloride (RHT) associated with enzymatic treatment with hyaluronate lyase and (2) a binding specific probe for hyaluronan. After RHT treatment the proteoglycans and/or glycosaminoglycans were observed as a mesh-work formed by electron-dense granules connected by thin filaments. After enzymatic digestion, no filaments could be detected in the migratory pathway. Quantitative analysis showed a close correlation between cell migration and the concentration of RHT-positive filaments. It was also shown that high amounts of hyaluronan were expressed in the separation phase and migration phases whereas during the colonization phase the amount of hyaluronan was clearly diminished. This study showed that the presence of primordial germ cells in each compartment of the migratory pathway was always accompanied by a high expression of hyaluronan. These results indicate that hyaluronan is an important molecule in the migratory process, providing the primordial germ cells with a hydrated environment that facilitates their movement toward the genital ridges.</t>
  </si>
  <si>
    <t>Zorn, Telma/C-4065-2008; Nader, Helena/D-9253-2012; San Martin, Sebastian/S-5268-2019</t>
  </si>
  <si>
    <t>NADER, HELENA BONCIANI/0000-0002-7569-2166; San Martin, Sebastian/0000-0002-2569-1114</t>
  </si>
  <si>
    <t>0948-6143</t>
  </si>
  <si>
    <t>10.1007/s00418-001-0377-8</t>
  </si>
  <si>
    <t>WOS:000174866000009</t>
  </si>
  <si>
    <t>Cataldo, M; del Campo, S</t>
  </si>
  <si>
    <t>Scalar fields in an anisotropic closed universe</t>
  </si>
  <si>
    <t>We study in this article a class of homogeneous, but anisotropic cosmological models in which shear viscosity is included. Within the matter content we consider a component (the quintessence component) determined by the baryotropic equations of state, p = alpha rho, with alpha &lt; 0. We establish conditions under which a closed axisymmetrical cosmological model may look flat at low redshift.</t>
  </si>
  <si>
    <t>1550-7998</t>
  </si>
  <si>
    <t>1550-2368</t>
  </si>
  <si>
    <t>10.1103/PhysRevD.62.023501</t>
  </si>
  <si>
    <t>WOS:000088326100008</t>
  </si>
  <si>
    <t>Del Río, R; Zagal, JH; Andrade, GD; Biaggio, SR</t>
  </si>
  <si>
    <t>Synthesis and characterization of a composite of polyaniline and carbon black</t>
  </si>
  <si>
    <t>JOURNAL OF APPLIED ELECTROCHEMISTRY</t>
  </si>
  <si>
    <t>A method is described for obtaining a composite of polyaniline and carbon black by cycling the potential of a Pt electrode in a solution containing aniline and carbon black suspension. The solution may also contain sodium dodecyl sulphate (SDS) as additive. It is shown that the rate of polymerization is enhanced by the presence of both carbon black and SDS by a factor of 5. The composite was characterized by cyclic voltammetry, scanning electron microscopy and capacity measurements.</t>
  </si>
  <si>
    <t>zagal, jose/L-9648-2014; Del Rio, Rodrigo/B-2440-2008; Biaggio, Sonia R./D-9810-2012</t>
  </si>
  <si>
    <t>Del Rio, Rodrigo/0000-0003-0315-6660; Biaggio, Sonia R./0000-0003-2127-859X</t>
  </si>
  <si>
    <t>0021-891X</t>
  </si>
  <si>
    <t>WOS:000081034200012</t>
  </si>
  <si>
    <t>BARTICEVIC, Z; PACHECHO, M; CLARO, F</t>
  </si>
  <si>
    <t>EXCITON STARK AND LANDAU LADDERS IN A GAAS/ALXGA1-XAS SUPERLATTICE</t>
  </si>
  <si>
    <t>PHYSICAL REVIEW B</t>
  </si>
  <si>
    <t>; Pacheco, Monica/L-9669-2014</t>
  </si>
  <si>
    <t>claro, francisco/0000-0003-2122-6992; Pacheco, Monica/0000-0002-4293-5213</t>
  </si>
  <si>
    <t>0163-1829</t>
  </si>
  <si>
    <t>10.1103/PhysRevB.51.14414</t>
  </si>
  <si>
    <t>WOS:A1995RB21300057</t>
  </si>
  <si>
    <t>LEONSOLIS, L</t>
  </si>
  <si>
    <t>THE ARAUCANOS AND THE FOREIGN THREAT, 1750-1807 + THE ANGLO-ARAUCANO ALLIANCE AND THE SPANISH COLONIAL POLICY IN CHILE</t>
  </si>
  <si>
    <t>WOS:A1994PT56700004</t>
  </si>
  <si>
    <t>LAURIDO, C; LATORRE, R; WOLFF, D</t>
  </si>
  <si>
    <t>EFFECT OF PH IN THE ACTIVATION OF THE CA-ACTIVATED K-CHANNEL FROM RAT SKELETAL-MUSCLE INCORPORATED INTO PLANAR LIPID BILAYERS</t>
  </si>
  <si>
    <t>ARCHIVOS DE BIOLOGIA Y MEDICINA EXPERIMENTALES</t>
  </si>
  <si>
    <t>0004-0533</t>
  </si>
  <si>
    <t>R215</t>
  </si>
  <si>
    <t>WOS:A1987L151200257</t>
  </si>
  <si>
    <t>Badreddine, E; Sadek, BA; Er-Rachid, I; Barbosa, KA</t>
  </si>
  <si>
    <t>Badreddine, El Haiek; Sadek, Belamfedel Alaoui; Er-Rachid, Ismail; Barbosa, Karina A.</t>
  </si>
  <si>
    <t>H∞ Observer-Based Control for a Class of One-Sided Lipschitz Uncertain Systems in Finite Frequency Domain</t>
  </si>
  <si>
    <t>OPTIMAL CONTROL APPLICATIONS &amp; METHODS</t>
  </si>
  <si>
    <t>This paper presents a robust H-infinity observer-based control design for one-sided Lipschitz non-linear systems with finite frequency specifications. The objective is to co-design the observer and controller matrices to achieve asymptotic stability and disturbance attenuation within a specified finite frequency domain, encompassing low, middle, or high frequencies. The proposed approach leverages Finsler's lemma and Parseval's theorem to develop novel sufficient conditions expressed as Linear Matrix Inequalities (LMIs). These conditions ensure effective disturbance rejection in the specified frequency ranges. Notably, the computational approach employs a decoupling technique to linearize the bilinear terms, avoiding the need for additional assumptions on system matrices, and making the bilinear matrix inequalities (BMIs) conditions solvable with standard LMI tools. Two examples illustrate the effectiveness of the suggested control scheme.</t>
  </si>
  <si>
    <t>Belamfedel Alaoui, Sadek/ABF-5643-2020; Barbosa, Karina/A-2236-2014; ER-RACHID, Ismail/AAW-1744-2021</t>
  </si>
  <si>
    <t>0143-2087</t>
  </si>
  <si>
    <t>1099-1514</t>
  </si>
  <si>
    <t>2025 MAR 25</t>
  </si>
  <si>
    <t>10.1002/oca.3286</t>
  </si>
  <si>
    <t>WOS:001451568400001</t>
  </si>
  <si>
    <t>Diez-Cabanes, V; Granados-Tavera, K; Shere, I; Cárdenas-Jirón, G; Maurin, G</t>
  </si>
  <si>
    <t>Diez-Cabanes, Valentin; Granados-Tavera, Kevin; Shere, Inderdip; Cardenas-Jiron, Gloria; Maurin, Guillaume</t>
  </si>
  <si>
    <t>Engineering MOF/carbon nitride heterojunctions for effective dual photocatalytic CO2 conversion and oxygen evolution reactions</t>
  </si>
  <si>
    <t>CHEMICAL SCIENCE</t>
  </si>
  <si>
    <t>Photocatalysis appears as one of the most promising avenues to shift towards sustainable sources of energy, owing to its ability to transform solar light into chemical energy, e.g. production of chemical fuels via oxygen evolution (OER) and CO2 reduction (CO2RR) reactions. Ti metal-organic frameworks (MOFs) and graphitic carbon nitride derivatives, i.e. poly-heptazine imides (PHI) are appealing CO2RR and OER photo-catalysts respectively. Engineering of an innovative Z-scheme heterojunction by assembling a Ti-MOF and PHI offers an unparalleled opportunity to mimick an artificial photosynthesis device for dual CO2RR/OER catalysis. Along this path, understanding of the photophysical processes controlling the MOF/PHI interfacial charge recombination is vital to fine tune the electronic and chemical features of the two components and devise the optimum heterojunction. To address this challenge, we developed a modelling approach integrating force field Molecular Dynamics (MD), Time-Dependent Density Functional Theory (TD-DFT) and Non-Equilibrium Green Function DFT (NEGF-DFT) tools with the aim of systematically exploring the structuring, the opto-electronic and transport properties of MOF/PHI heterojunctions. We revealed that the nature of the MOF/PHI interactions, the interfacial charge transfer directionality and the absorption energy windows of the resulting heterojunctions can be fine tuned by incorporating Cu species in the MOF and/or doping PHI with mono- or divalent cations. Interestingly, we demonstrated that the interfacial charge transfer can be further boosted by engineering MOF/PHI device junctions and application of negative bias. Overall, our generalizable computational methodology unravelled that the performance of CO2RR/OER photoreactors can be optimized by chemical and electronic tuning of the components but also by device design based on reliable structure-property rules, paving the way towards practical exploitation.</t>
  </si>
  <si>
    <t>Shere, Inderdip/AFQ-3969-2022; MAURIN, Guillaume/LKK-2708-2024; MAURIN, Guillaume/G-7435-2015</t>
  </si>
  <si>
    <t>Granados-Tavera, Kevin/0000-0002-7585-4022; MAURIN, Guillaume/0000-0002-2096-0450</t>
  </si>
  <si>
    <t>2041-6520</t>
  </si>
  <si>
    <t>2041-6539</t>
  </si>
  <si>
    <t>10.1039/d4sc03630a</t>
  </si>
  <si>
    <t>WOS:001299172800001</t>
  </si>
  <si>
    <t>Bavandpouri, FSB; Azizi, A; Abbaszadeh, F; Kiani, A; Farzaei, MH; Mohammadi-Noori, E; Fakhri, S; Echeverria, J</t>
  </si>
  <si>
    <t>Bavandpouri, Faezeh Sadat Bagheri; Azizi, Atefeh; Abbaszadeh, Fatemeh; Kiani, Amir; Farzaei, Mohammad Hosein; Mohammadi-Noori, Ehsan; Fakhri, Sajad; Echeverria, Javier</t>
  </si>
  <si>
    <t>Polydatin attenuated neuropathic pain and motor dysfunction following spinal cord injury in rats by employing its anti-inflammatory and antioxidant effects</t>
  </si>
  <si>
    <t>Background Considering the complex pathological mechanisms behind spinal cord injury (SCI) and the adverse effects of present non-approved drugs against SCI, new studies are needed to introduce novel multi-target active ingredients with higher efficacy and lower side effects. Polydatin (PLD) is a naturally occurring stilbenoid glucoside recognized for its antioxidative and anti-inflammatory properties. This study aimed to assess the effects of PLD on sensory-motor function following SCI in rats.Methods Following laminectomy and clip compression injury at the thoracic 8 (T8)-T9 level of the spinal cord, rats were randomly assigned to five groups: Sham, SCI, and three groups receiving different doses of PLD treatment (1, 2, and 3 mg/kg). Over 4 weeks, behavioral tests were done such as von Frey, acetone drop, hot plate, Basso-Beattie-Bresnahan, and inclined plane test. At the end of the study, changes in catalase and glutathione activity, nitrite level, activity of matrix metalloproteinase 2 (MMP2) and MMP9 as well as spinal tissue remyelination/neurogenesis, were evaluated.Results The results revealed that PLD treatment significantly improved the behavioral performance of the animals starting from the first week after SCI. Additionally, PLD increased catalase, and glutathione levels, and MMP2 activity while reduced serum nitrite levels and MMP9. These positive effects were accompanied by a reduction in the size of the lesion and preservation of neuronal count.Conclusion In conclusion, PLD showed neuroprotective effects in SCI rats by employing anti-inflammatory and antioxidant effects, through which improve sensory and motor function.</t>
  </si>
  <si>
    <t>Abbaszadeh, Fatemeh/AHB-2484-2022; Farzaei, Mohammad/M-5779-2017; Echeverría, Javier/AAK-3323-2020</t>
  </si>
  <si>
    <t>AUG 13</t>
  </si>
  <si>
    <t>10.3389/fphar.2024.1452989</t>
  </si>
  <si>
    <t>WOS:001297522400001</t>
  </si>
  <si>
    <t>Ampuero, E; Luarte, A; Flores, FS; Soto, AI; Pino, C; Silva, V; Erlandsen, M; Concha, T; Wyneken, U</t>
  </si>
  <si>
    <t>Ampuero, Estibaliz; Luarte, Alejandro; Flores, Francisca Sofia; Soto, Antonia Ignacia; Pino, Catalina; Silva, Viviana; Erlandsen, Macarena; Concha, Teresita; Wyneken, Ursula</t>
  </si>
  <si>
    <t>The multifaceted effects of fluoxetine treatment on cognitive functions</t>
  </si>
  <si>
    <t>Fluoxetine, the prototypical selective serotonin reuptake inhibitor (SSRI), is widely used to treat major depressive disorder (MDD) and a variety of other central nervous system conditions, primarily due to its established clinical safety profile. Although its efficacy in treating depression is well-recognized, the impact of fluoxetine on cognitive functions remains inconsistent and elusive. In this review, we first examine the well-substantiated biological mechanisms underlying fluoxetine's antidepressant effects, which include serotonin reuptake inhibition and activation of TrkB receptors-key to brain-derived neurotrophic factor (BDNF) signaling. Subsequently, we delve into the cognitive side effects observed in both preclinical and clinical studies, affecting domains such as memory, attention, and executive functions. While certain studies indicate cognitive improvements in patients with underlying disorders, there is also evidence of negative effects, influenced by variables like gender, duration of treatment, age, disease pathology, and the specifics of cognitive testing. Significantly, the negative cognitive outcomes reported in preclinical research often involve healthy, non-diseased animals. This review underscores the necessity for heightened caution in fluoxetine prescription and further investigation into its potentially detrimental cognitive effects, even when used prophylactically.</t>
  </si>
  <si>
    <t>HERRUZO, CARLOS/AGQ-2258-2022</t>
  </si>
  <si>
    <t>Luarte, Alejandro/0000-0001-9138-1854</t>
  </si>
  <si>
    <t>JUL 16</t>
  </si>
  <si>
    <t>10.3389/fphar.2024.1412420</t>
  </si>
  <si>
    <t>WOS:001279074600001</t>
  </si>
  <si>
    <t>Almeida-Naranjo, CE; Frutos, M; Guerrero, VH; Villamar-Ayala, C</t>
  </si>
  <si>
    <t>Almeida-Naranjo, Cristina E.; Frutos, Mayra; Guerrero, Victor H.; Villamar-Ayala, Cristina</t>
  </si>
  <si>
    <t>Characterization and Performance of Peanut Shells in Caffeine and Triclosan Removal in Batch and Fixed-Bed Column Tests</t>
  </si>
  <si>
    <t>Peanut shells' adsorption performance in caffeine and triclosan removal was studied. Peanut shells were analyzed for their chemical composition, morphology, and surface functional groups. Batch adsorption and fixed-bed column experiments were carried out with solutions containing 30 mg/L of caffeine and triclosan. The parameters examined included peanut shell particle size (120-150, 300-600, and 800-2000 mu m), adsorbent dose (0.02-60 g/L), contact time (up to 180 min), bed height (4-8 cm), and hydraulic loading rate (2.0 and 4.0 m3/m2-day). After determining the optimal adsorption conditions, kinetics, isotherm, and breakthrough curve models were applied to analyze the experimental data. Peanut shells showed an irregular surface and consisted mainly of polysaccharides (around 70% lignin, cellulose, and hemicellulose), with a specific surface area of 1.7 m2/g and a pore volume of 0.005 cm3/g. The highest removal efficiencies for caffeine (85.6 +/- 1.4%) and triclosan (89.3 +/- 1.5%) were achieved using the smallest particles and 10.0 and 0.1 g/L doses over 180 and 45 min, respectively. Triclosan showed easier removal compared to caffeine due to its higher lipophilic character. The pseudo-second-order kinetics model provided the best fit with the experimental data, suggesting a chemisorption process between caffeine/triclosan and the adsorbent. Equilibrium data were well-described by the Sips model, with maximum adsorption capacities of 3.3 mg/g and 289.3 mg/g for caffeine and triclosan, respectively. In fixed-bed column adsorption tests, particle size significantly influenced efficiency and hydraulic behavior, with 120-150 mu m particles exhibiting the highest adsorption capacity for caffeine (0.72 mg/g) and triclosan (143.44 mg/g), albeit with clogging issues. The experimental data also showed good agreement with the Bohart-Adams, Thomas, and Yoon-Nelson models. Therefore, the findings of this study highlight not only the effective capability of peanut shells to remove caffeine and triclosan but also their versatility as a promising option for water treatment and sanitation applications in different contexts.</t>
  </si>
  <si>
    <t>Villamar, Cristina-Alejandra/AAB-4154-2019; Guerrero, Victor/AAP-1606-2021</t>
  </si>
  <si>
    <t>Villamar, Cristina Alejandra/0000-0003-4654-0670; Almeida Naranjo, Cristina Elizabeth/0000-0002-1066-6661; Guerrero, Victor/0000-0002-5656-2606</t>
  </si>
  <si>
    <t>10.3390/molecules29122923</t>
  </si>
  <si>
    <t>WOS:001256781600001</t>
  </si>
  <si>
    <t>Gomez, G; Valageas, P</t>
  </si>
  <si>
    <t>Gomez, Gabriel; Valageas, Patrick</t>
  </si>
  <si>
    <t>Constraining self-interacting scalar field dark matter from the black hole shadow of the Event Horizon Telescope</t>
  </si>
  <si>
    <t>An exciting possibility to constrain dark matter (DM) scenarios is to search for their gravitational imprints on black hole (BH) observations. In this paper, we investigate the impact of self-interacting scalar field DM on the shadow radius of a Schwarzschild BH. We implement a self-consistent formulation, paying attention to the enhancement of the DM density due to the BH gravitational influence and the accretion flow onto the BH. First, we calculate the first-order correction to the shadow radius caused by a general DM environment. Then, we apply this perturbative method to the case of self-interacting scalar field DM and derive analytical expressions for the critical impact parameter. We find that self-consistency requirements, involving the lifetime and the mass of the central DM soliton, or the mass and the size of the extended virialized DM halo, ensure that the impact of the DM environment on the shadow radius is below the observational upper bound. This emphasizes the importance of taking into account the self-consistency constraints of the underlying DM scenario, which can strongly limit the range of possible DM density profiles and their impact on the shadow radius.</t>
  </si>
  <si>
    <t>Gomez Diaz, Luis Gabriel/0000-0002-3618-9824; Valageas, Patrick/0000-0002-5540-3320</t>
  </si>
  <si>
    <t>MAY 23</t>
  </si>
  <si>
    <t>10.1103/PhysRevD.109.103038</t>
  </si>
  <si>
    <t>WOS:001238459100004</t>
  </si>
  <si>
    <t>Campos, S; Calzadilla, W; Salazar-González, R; Venegas-Yazigi, D; León, J; Fuentes, S</t>
  </si>
  <si>
    <t>Campos, Sebastian; Calzadilla, Wendy; Salazar-Gonzalez, Ricardo; Venegas-Yazigi, Diego; Leon, Jennifer; Fuentes, Sandra</t>
  </si>
  <si>
    <t>Photocatalytic activity of barium titanate composites with zinc oxide doped with lanthanide ions for sulfamethoxazole degradation</t>
  </si>
  <si>
    <t>This comprehensive study delves into the structural and optical characteristics of barium titanate (BT) and zinc oxide (ZnO) heterostructures doped with europium (Eu), erbium (Er), and ytterbium (Yb), alongside their application in the photodegradation of sulfamethoxazole antibiotic (SMX). The heterostructures, prepared via a hydrothermal process, exhibit a heterogeneous connection between doped ZnO nanoparticles and the BT dielectric material with crystalline nature and chemical composition. Moreover, a significant reduction in the bandgap of the doped BT@ZnO:Ln heterostructures compared to undoped counterparts, indicating successful dopant incorporation and the creation of new sub-bands within the bandgap. A minimal adsorption interaction between SMX and the nanomaterials was observed. While BT alone exhibited limited photocatalytic activity, doping with ZnO significantly enhanced performance. Notably, the BT@ZnO:Yb heterostructure exhibited exceptional SMX degradation (99%) within 60 minutes. Incorporation of rare-earth ions (Eu, Er, Yb) not only improved photocatalytic activity but also acted as electron scavengers, mitigating electron-hole recombination. Furthermore, the investigation into the reuse of BT@ZnO:Yb 5%mol showed sustained high efficiency over three cycles. Mechanistic insights into SMX degradation pathways highlight the predominant role of hydroxyl radicals and electron-hole processes. Overall, these findings contribute significantly to the advancement of photocatalytic materials based on composites doped with lanthanide ions for applications in environmental wastewater treatment.</t>
  </si>
  <si>
    <t>Fuentes, Sandra/LLL-2264-2024; Calzadilla, Wendy/KHY-6999-2024; Salazar, Ricardo/L-7870-2013</t>
  </si>
  <si>
    <t>10.1016/j.jece.2024.112938</t>
  </si>
  <si>
    <t>WOS:001241150700001</t>
  </si>
  <si>
    <t>de Mauricio, CD; Pierantozzi, E; Goncalves, AF; Vieira, V; Pedreiro, RCD; Teixeira, RPA; Brito, CJ; Perez, DIV; Munoz, EA; Miarka, B</t>
  </si>
  <si>
    <t>de Mauricio, Clovis de Albuquerque; Pierantozzi, Emanuela; Goncalves, Aleksandro Ferreira; Vieira, Victor; Pedreiro, Rodrigo Cunha de Mello; Teixeira, Rafael Pereira Azevedo; Brito, Ciro Jose; Perez, Diego Ignacio Vanenzuela; Munoz, Esteban Aedo; Miarka, Bianca</t>
  </si>
  <si>
    <t>Evaluation of the BJJFitness test: differences between competitors and non-competitors in Brazilian jiu-jitsu</t>
  </si>
  <si>
    <t>This study introduces the BJJFitness Test, a novel tool designed to evaluate the physical and technical performance of Brazilian Jiu-Jitsu (BJJ) practitioners, distinguishing between competitors and non-competitors. The test demonstrated high internal consistency (Cronbach's alpha = 0.992) and strong test-retest reliability (ICC = 0.894). Key variables such as resting heart rate, heart rate during the test, number of takedowns, and rate of perceived exertion (RPE) were critical in differentiating the two groups. Competitors exhibited superior cardiovascular fitness, technical proficiency, and lower perceived exertion compared to non-competitors. The BJJFitness Test mimics real-match conditions, providing a practical and comprehensive assessment method that reflects the unique demands of BJJ. These findings underscore the importance of specific conditioning and technical skills for competitive success in BJJ. The study also highlights the potential of the BJJFitness Test as a valuable tool for coaches and athletes to identify strengths and areas for improvement, guiding targeted training interventions.</t>
  </si>
  <si>
    <t>Pierantozzi, Emanuela/HJZ-2091-2023; Brito, Ciro/ABH-2245-2020; Miarka, Bianca/V-7395-2017; Pedreiro, Rodrigo/K-8142-2018; Aedo-Muñoz, Esteban/R-5623-2019</t>
  </si>
  <si>
    <t>WOS:001330547100001</t>
  </si>
  <si>
    <t>Izquierdo-Fiallo, K; Muñoz-Villagrán, C; Orellana, O; Sjoberg, R; Levicán, G</t>
  </si>
  <si>
    <t>Izquierdo-Fiallo, Katherin; Munoz-Villagran, Claudia; Orellana, Omar; Sjoberg, Rachid; Levican, Gloria</t>
  </si>
  <si>
    <t>Comparative genomics of the proteostasis network in extreme acidophiles</t>
  </si>
  <si>
    <t>Extreme acidophiles thrive in harsh environments characterized by acidic pH, high concentrations of dissolved metals and high osmolarity. Most of these microorganisms are chemolithoautotrophs that obtain energy from low redox potential sources, such as the oxidation of ferrous ions. Under these conditions, the mechanisms that maintain homeostasis of proteins (proteostasis), as the main organic components of the cells, are of utmost importance. Thus, the analysis of protein chaperones is critical for understanding how these organisms deal with proteostasis under such environmental conditions. In this work, using a bioinformatics approach, we performed a comparative genomic analysis of the genes encoding classical, periplasmic and stress chaperones, and the protease systems. The analysis included 35 genomes from iron- or sulfur-oxidizing autotrophic, heterotrophic, and mixotrophic acidophilic bacteria. The results showed that classical ATP-dependent chaperones, mostly folding chaperones, are widely distributed, although they are sub-represented in some groups. Acidophilic bacteria showed redundancy of genes coding for the ATP-independent holdase chaperones RidA and Hsp20. In addition, a systematically high redundancy of genes encoding periplasmic chaperones like HtrA and YidC was also detected. In the same way, the proteolytic ATPase complexes ClpPX and Lon presented redundancy and broad distribution. The presence of genes that encoded protein variants was noticeable. In addition, genes for chaperones and protease systems were clustered within the genomes, suggesting common regulation of these activities. Finally, some genes were differentially distributed between bacteria as a function of the autotrophic or heterotrophic character of their metabolism. These results suggest that acidophiles possess an abundant and flexible proteostasis network that protects proteins in organisms living in energy-limiting and extreme environmental conditions. Therefore, our results provide a means for understanding the diversity and significance of proteostasis mechanisms in extreme acidophilic bacteria.</t>
  </si>
  <si>
    <t>Levican, Gloria/0000-0002-1275-7399; Sjoberg Tala, Rachid Emil/0009-0002-5671-1744; Izquierdo, Katherin/0000-0003-1487-174X</t>
  </si>
  <si>
    <t>SEP 8</t>
  </si>
  <si>
    <t>e0291164</t>
  </si>
  <si>
    <t>10.1371/journal.pone.0291164</t>
  </si>
  <si>
    <t>WOS:001091871500110</t>
  </si>
  <si>
    <t>Mcsherry, JP; Lowy, M</t>
  </si>
  <si>
    <t>Mcsherry, J. Patrice; Lowy, Maxine</t>
  </si>
  <si>
    <t>Latent Memory: Human Rights and Jewish Identity in Chile</t>
  </si>
  <si>
    <t>10.1111/blar.13520</t>
  </si>
  <si>
    <t>WOS:001104836200011</t>
  </si>
  <si>
    <t>Tang, JL; Barrios, GA; Solano, E; Albarrán-Arriagada, F</t>
  </si>
  <si>
    <t>Tang, Jia-Liang; Barrios, Gabriel Alvarado; Solano, Enrique; Albarran-Arriagada, Francisco</t>
  </si>
  <si>
    <t>Tunable Non-Markovianity for Bosonic Quantum Memristors</t>
  </si>
  <si>
    <t>ENTROPY</t>
  </si>
  <si>
    <t>We studied the tunable control of the non-Markovianity of a bosonic mode due to its coupling to a set of auxiliary qubits, both embedded in a thermal reservoir. Specifically, we considered a single cavity mode coupled to auxiliary qubits described by the Tavis-Cummings model. As a figure of merit, we define the dynamical non-Markovianity as the tendency of a system to return to its initial state, instead of evolving monotonically to its steady state. We studied how this dynamical non-Markovianity can be manipulated in terms of the qubit frequency. We found that the control of the auxiliary systems affects the cavity dynamics as an effective time-dependent decay rate. Finally, we show how this tunable time-dependent decay rate can be tuned to engineer bosonic quantum memristors, involving memory effects that are fundamental for developing neuromorphic quantum technologies.</t>
  </si>
  <si>
    <t>Alvarado, Gabriel/GLS-6513-2022; Solano, Enrique/C-2895-2017</t>
  </si>
  <si>
    <t>Albarran-Arriagada, Francisco/0000-0001-8899-3673; SOLANO VILLANUEVA, ENRIQUE LEONIDAS/0000-0002-8602-1181; TANG, JIALIANG/0009-0001-6420-6492</t>
  </si>
  <si>
    <t>1099-4300</t>
  </si>
  <si>
    <t>MAY 6</t>
  </si>
  <si>
    <t>10.3390/e25050756</t>
  </si>
  <si>
    <t>WOS:000998088600001</t>
  </si>
  <si>
    <t>Basaure, M; Vera, C; Díaz, A; Cantillán, R</t>
  </si>
  <si>
    <t>Basaure, Mauro; Vera, Camilo; Diaz, Andres; Cantillan, Roberto</t>
  </si>
  <si>
    <t>Leisure Time Satisfaction Profiles in Chile</t>
  </si>
  <si>
    <t>PAPERS-REVISTA DE SOCIOLOGIA</t>
  </si>
  <si>
    <t>We explore patterns of leisure time satisfaction among Chilean adults using innovative methods. Through latent class analysis, we identified four different satisfaction patterns. Using multinomial logistic regression, we examined the sociodemographic factors that determine the probability of belonging to one or another of these patterns. The results showed that age was the main factor defining this probability, with those over 56 years of age as more likely to belong to the highest satisfaction class. This finding is consistent with empirical data on objective time availability. Regarding income, individuals in quintile 4 were less likely to be in the highest satisfaction group. We did not observe differences when comparing men and women. However, we observed differences when evaluating the intersection between sex and the conditions of living with a partner and having children aged 0-4 years. Our findings explore patterns of parenthood in heterosexual couples in Chile and suggest that women in such conditions are less likely to belong to the highest satisfaction class.</t>
  </si>
  <si>
    <t>0210-2862</t>
  </si>
  <si>
    <t>2013-9004</t>
  </si>
  <si>
    <t>e3178</t>
  </si>
  <si>
    <t>10.5565/rev/papers.3178</t>
  </si>
  <si>
    <t>WOS:001138038900002</t>
  </si>
  <si>
    <t>Vergara, JI; Legües, DL; Sepúlveda, GL; Peixoto, CT; Galeas, MS; Del Solar, AV</t>
  </si>
  <si>
    <t>Ivan Vergara, Jorge; Leyton Legues, Daniela; Lagos Sepulveda, German; Tavares Peixoto, Carolina; Sepulveda Galeas, Mauricio; Vergara Del Solar, Ana</t>
  </si>
  <si>
    <t>Imaginaries of the Pandemic in Chile: A Conceptual-Empirical Discussion</t>
  </si>
  <si>
    <t>This article aims to reconstruct the social imaginaries of Coronavirus disease 2019 (COVID-19) in Chile. We seek to understand how families interpret their experience confronting the pandemic by identifying four main aspects: (a) the COVID-19 pandemic, (b) working and learning, (c) health and (d) family life. Following Habermas' distinction between lifeworld and social systems, we consider these issues as constituting the social imaginary of lifeworld, different but related to the imaginaries of social systems. The qualitative empirical data was gathered through a sample of 38 families interviewed online between September 2020 and January 2021 in four Chilean cities: Iquique, Valparaiso, Santiago and Concepcion. Other complementary sources of information are multimodal ethnography (digital diaries), press articles and state reports.</t>
  </si>
  <si>
    <t>VERGARA, Ana/ABV-0851-2022</t>
  </si>
  <si>
    <t>Lagos Sepulveda, German Eduardo/0000-0002-9970-2752; Vergara del Solar, Jorge Ivan/0000-0002-3639-8562; Leyton Legues, Daniela/0000-0001-6618-0444</t>
  </si>
  <si>
    <t>10.1111/blar.13381</t>
  </si>
  <si>
    <t>WOS:000857134100001</t>
  </si>
  <si>
    <t>Weber, P; Casassus, S; Pérez, S</t>
  </si>
  <si>
    <t>Weber, Philipp; Casassus, Simon; Perez, Sebastian</t>
  </si>
  <si>
    <t>The steady-state hydrodynamics of a long-lived disc: planetary system architecture and prospects of observing a circumplanetary disc shadow in V4046 Sgr</t>
  </si>
  <si>
    <t>MONTHLY NOTICES OF THE ROYAL ASTRONOMICAL SOCIETY</t>
  </si>
  <si>
    <t>Recent imaging of the disc around the V4046 Sgr spectroscopic binary revealed concentric regions of dust rings and gaps. The object's proximity and expected equilibrated state due to its old age (&gt;20 Myr) make it a superb testbed for hydrodynamical studies in direct comparison to observations. We employ two-dimensional hydrodynamical simulations of gas and multiple dust species to test whether the observed structure conforms with the presence of giant planets embedded in the disc. We then perform radiative transfer (RT) calculations of sky images, which we filter for the telescope response for comparison with near-infrared (NIR) and millimetre observations. We find that the existing data are in excellent agreement with a flared disc and the presence of two giant planets, at 9 and 20 au, respectively. The different ring widths are recovered by diffusion-balanced dust trapping within the gas pressure maxima. In our RT model, the diffusion in vertical direction is reduced in comparison to the radial value by a factor of 5 to recover the spectral energy distribution. Further, we report a previously unaddressed, azimuthally confined intensity decrement on the bright inner ring in the NIR scattered light observation. Our model shows that this decrement can be explained by a shadow cast by a circumplanetary disc around the same giant planet that creates the inner cavity in the hydrodynamical simulations. We examine the shape of the intensity indentation and discuss the potential characterization of a giant planet and its associated disc by its projected shadow in scattered light observations.</t>
  </si>
  <si>
    <t>Weber, Philipp/HLX-1365-2023; Pérez, Sebastián/AAS-5857-2020; Casassus, Simon/I-8609-2016</t>
  </si>
  <si>
    <t>Casassus, Simon/0000-0002-0433-9840; Perez, Sebastian/0000-0003-2953-755X; Weber, Philipp/0000-0002-3354-6654</t>
  </si>
  <si>
    <t>0035-8711</t>
  </si>
  <si>
    <t>1365-2966</t>
  </si>
  <si>
    <t>10.1093/mnras/stab3438</t>
  </si>
  <si>
    <t>WOS:000744576900004</t>
  </si>
  <si>
    <t>Fakhri, S; Pour, PM; Piri, S; Farzaei, MH; Echeverría, J</t>
  </si>
  <si>
    <t>Fakhri, Sajad; Pour, Pardis Mohammadi; Piri, Sana; Farzaei, Mohammad Hosein; Echeverria, Javier</t>
  </si>
  <si>
    <t>Modulating Neurological Complications of Emerging Infectious Diseases: Mechanistic Approaches to Candidate Phytochemicals</t>
  </si>
  <si>
    <t>Growing studies are revealing the critical manifestations of influenza, dengue virus (DENV) infection, Zika virus (ZIKV) disease, and Ebola virus disease (EVD) as emerging infectious diseases. However, their corresponding mechanisms of major complications headed for neuronal dysfunction are not entirely understood. From the mechanistic point of view, inflammatory/oxidative mediators are activated during emerging infectious diseases towards less cell migration, neurogenesis impairment, and neuronal death. Accordingly, the virus life cycle and associated enzymes, as well as host receptors, cytokine storm, and multiple signaling mediators, are the leading players of emerging infectious diseases. Consequently, chemokines, interleukins, interferons, carbohydrate molecules, toll-like receptors (TLRs), and tyrosine kinases are leading orchestrates of peripheral and central complications which are in near interconnections. Some of the resulting neuronal manifestations have attracted much attention, including inflammatory polyneuropathy, encephalopathy, meningitis, myelitis, stroke, Guillain-Barre syndrome (GBS), radiculomyelitis, meningoencephalitis, memory loss, headaches, cranial nerve abnormalities, tremor, and seizure. The complex pathophysiological mechanism behind the aforementioned complications urges the need for finding multi-target agents with higher efficacy and lower side effects. In recent decades, the natural kingdom has been highlighted as promising neuroprotective natural products in modulating several dysregulated signaling pathways/mediators. The present study provides neuronal manifestations of some emerging infectious diseases and underlying pathophysiological mechanisms. Besides, a mechanistic-based strategy is developed to introduce candidate natural products as promising multi-target agents in combating major dysregulated pathways towards neuroprotection in influenza, DENV infection, ZIKV disease, and EVD.</t>
  </si>
  <si>
    <t>Echeverría, Javier/AAK-3323-2020; pour, pardis/I-8404-2019; piri, sana/AAN-3239-2021; Farzaei, Mohammad/M-5779-2017</t>
  </si>
  <si>
    <t>Echeverria, Javier/0000-0002-1688-968X; Mohammadi Pour, Pardis/0000-0002-2493-8293</t>
  </si>
  <si>
    <t>10.3389/fphar.2021.742146</t>
  </si>
  <si>
    <t>WOS:000726188800001</t>
  </si>
  <si>
    <t>Martinez, WA; Reyes, EG; Ronco, M</t>
  </si>
  <si>
    <t>Arley Martinez, Wilson; Reyes, Enrique G.; Ronco, Maria</t>
  </si>
  <si>
    <t>Generalizing dendriform algebras: Dyckm-algebras, Rotam-algebras, and Rota-Baxter operators</t>
  </si>
  <si>
    <t>INTERNATIONAL JOURNAL OF GEOMETRIC METHODS IN MODERN PHYSICS</t>
  </si>
  <si>
    <t>We review the notion of a Dyck(m)-algebra, an algebraic structure introduced recently by Lopez, Preville-Ratelle and Ronco during their work on the splitting of associativity via m-Dyck paths, and we also introduce Rota(m)-algebras: both structures can be considered as generalizations of dendriform structures. We obtain examples of Dyckm-algebras in terms of planar rooted binary trees equipped with a particular type of Rota-Baxter operator, and we present examples of Rota(m)-algebras using left averaging morphisms. As an application, we observe that the structures presented here allow us to introduce quite naturally a non-associative version of the Kadomtsev-Petviashvili hierarchy.</t>
  </si>
  <si>
    <t>0219-8878</t>
  </si>
  <si>
    <t>1793-6977</t>
  </si>
  <si>
    <t>10.1142/S0219887821501760</t>
  </si>
  <si>
    <t>WOS:000695875800014</t>
  </si>
  <si>
    <t>Fediakova, E; Espinoza, V; Fernández, V</t>
  </si>
  <si>
    <t>Fediakova, Evguenia; Espinoza, Vicente; Fernandez, Victor</t>
  </si>
  <si>
    <t>Challenging Social Capital Theory: What Is the Correlation Between Religious Involvement and Civic/Political Engagement? A Case for Chilean Evangelicals</t>
  </si>
  <si>
    <t>GOSUDARSTVO RELIGIYA TSERKOV V ROSSII I ZA RUBEZHOM</t>
  </si>
  <si>
    <t>This article analyzes the role of Chilean Evangelical and Pentecostal churches in the building social capital, considering its form, and its effects on the socio-political development of civil society and the quality of democratic life. The diversity of the Evangelical field in Chile demands a thorough review of Evangelicals' interaction with politics and society. Our results show that Evangelicals and Pentecostals, compared to the Catholic population, havehigher involvement in voluntary associations and lower interest in politics. Evangelicals expect their religious authorities to play an active role in the political field while overall, en masse, they are less involved in politics and less concerned in defining their political identity than their Catholic compatriots. This finding, to some extent, goes against the theory of social capital, which assumes that involvement in religious activities results in increased civic participation in general. Data for the study come from a national sample of Evangelicals (n=754).</t>
  </si>
  <si>
    <t>Fernandez-Gonzalez, Victor/GQP-2953-2022; Espinoza, Vicente/EAY-3744-2022</t>
  </si>
  <si>
    <t>Espinoza, Vicente/0000-0002-2943-4430; Fernandez-Gonzalez, Victor/0000-0003-1692-0998</t>
  </si>
  <si>
    <t>2073-7203</t>
  </si>
  <si>
    <t>2073-7211</t>
  </si>
  <si>
    <t>10.22394/2073-7203-2021-39-4-247-278</t>
  </si>
  <si>
    <t>WOS:000751643900013</t>
  </si>
  <si>
    <t>Ferrari, G; Rezende, LFM; Wagner, GA; Florindo, AA; Peres, MFT</t>
  </si>
  <si>
    <t>Ferrari, Gerson; Rezende, Leandro F. M.; Wagner, Gabriela Arantes; Florindo, Alex A.; Peres, Maria Fernanda Tourinho</t>
  </si>
  <si>
    <t>Physical activity patterns in a representative sample of adolescents from the largest city in Latin America: a cross-sectional study in Sao Paulo</t>
  </si>
  <si>
    <t>BMJ OPEN</t>
  </si>
  <si>
    <t>Objectives We examined the patterns of total and domain-specific physical activity (PA) by sex, socioeconomic status and maternal education level in adolescents from Sao Paulo city, Brazil. Design Cross-sectional study. Participants We included a representative sample of 2682 (52.2% boys) adolescents aged 14-15 years from public and private schools in Sao Paulo, 2017. Socioeconomic status was assessed using a wealth index derived from principal component analysis. Descriptive analyses evaluated differences in total and domain-specific PA by sex, socioeconomic status and maternal education level. Outcome measures We collected data on the frequency and duration that adolescents spent in each PA domain (active transportation, leisure PA and physical education classes) through a self-report questionnaire. Results On average, adolescents spent 197.7 min/week (95% CI 190.6-204.8) in total PA. The proportion of adolescents achieving at least 60 min/day (&gt;= 420 min/week) was 12.7% (95% CI 11.4-14.1), with a higher prevalence in boys (18.3%) and in those with higher socioeconomic status (17.4%). Similar patterns were observed for leisure PA and physical education classes. Active transportation was higher in girls (46.0 min/week; 95% CI 42.6-49.6) than in boys (43.4 min/week, 95% CI 39.9-46.6). Boys and adolescents with higher socioeconomic status and higher maternal education level had higher levels of total PA. Conclusions We found a variation in patterns of total and domain-specific PA by sex, socioeconomic status and maternal education level in adolescents from Sao Paulo. Initiatives for promoting PA in adolescents should take these findings into account.</t>
  </si>
  <si>
    <t>Florindo, Alex/K-1870-2013; Peres, Maria/F-9561-2012; Ferrari, Gerson/ABG-6635-2021; Rezende, Leandro/C-1724-2012; Ferrari, Gerson/P-1152-2014</t>
  </si>
  <si>
    <t>Rezende, Leandro/0000-0002-7469-1399; Ferrari, Gerson/0000-0003-3177-6576</t>
  </si>
  <si>
    <t>2044-6055</t>
  </si>
  <si>
    <t>e037290</t>
  </si>
  <si>
    <t>10.1136/bmjopen-2020-037290</t>
  </si>
  <si>
    <t>WOS:000570963700024</t>
  </si>
  <si>
    <t>Hidalgo, N; Rosas, E; Vasquez, C; Wladdimiro, D</t>
  </si>
  <si>
    <t>Hidalgo, Nicolas; Rosas, Erika; Vasquez, Cristobal; Wladdimiro, Daniel</t>
  </si>
  <si>
    <t>Measuring stream processing systems adaptability under dynamic workloads</t>
  </si>
  <si>
    <t>FUTURE GENERATION COMPUTER SYSTEMS-THE INTERNATIONAL JOURNAL OF ESCIENCE</t>
  </si>
  <si>
    <t>Data streaming belongs to the Big Data ecosystem, which generates high-frequency data streams featuring time-varying characteristics that challenge the traditional stream processing systems capacities. To deal with this problem, many self-adaptive stream processing systems have been proposed. Despite the evolution of self-adaptive systems, there is still a lack of standardized benchmarking systems to enable scientists to evaluate the autonomic capacities of their solutions. In this work, we propose an index called Al-SPS inspired by the human cerebral auto-regulation process. The index quantifies the capacity of an adaptive stream processing systems to self-adapt in the presence of highly dynamic workloads. An index of this nature will help the scientific community generate fair comparisons among literature with the aim of creating better solutions. We validate our proposal by evaluating the adaptive behavior of two state of the art self-adaptive stream processing systems. Tests were performed using real traffic datasets adapted specifically to stress the processing system. Results show that the proposed index quantifies the adaptation capacity of self-adaptive stream processing systems effectively. (C) 2018 Elsevier B.V. All rights reserved.</t>
  </si>
  <si>
    <t>Wladdimiro, Daniel/0000-0002-4958-2246; Vasquez, Cristobal/0000-0001-9044-2504</t>
  </si>
  <si>
    <t>0167-739X</t>
  </si>
  <si>
    <t>1872-7115</t>
  </si>
  <si>
    <t>10.1016/j.future.2018.05.084</t>
  </si>
  <si>
    <t>WOS:000444360400038</t>
  </si>
  <si>
    <t>Maldonado, M; Gomez, CO</t>
  </si>
  <si>
    <t>Maldonado, M.; Gomez, C. O.</t>
  </si>
  <si>
    <t>A new approach to measure gas holdup in industrial flotation machines part I: Demonstration of working principle</t>
  </si>
  <si>
    <t>A new approach for continuous measurement of gas holdup, based on the generation and measurement of a bubble-free pulp flow using a gas-exclusion cell immersed in the collection zone of industrial flotation machines is introduced and demonstrated. The gas-exclusion cell, a device that works exclusively on hydrodynamics effects caused by its design, prevents the entrance of bubbles and fills continuously only with mineral pulp; the higher density of the fluid inside the cell originates a circulating pulp flow through the unit that is proportional to the gas holdup. Continuous tracking of the pulp flow velocity, using a magnetic flowmeter connected to the gas-exclusion cell, allows online calculation of the gas holdup using an equation derived from a mechanical energy balance. Design constraints and results of the hydrodynamic characterization of demonstration units are discussed. The results of two-phase prototype testing demonstrated that the approach is robust and provides reliable gas holdup measurements and tracking.</t>
  </si>
  <si>
    <t>10.1016/j.mineng.2018.01.001</t>
  </si>
  <si>
    <t>WOS:000427335600001</t>
  </si>
  <si>
    <t>Espinosa-Méndez, C; Jara-Bertín, M; Maquieira, C</t>
  </si>
  <si>
    <t>Espinosa-Mendez, Christian; Jara-Bertin, Mauricio; Maquieira, Carlos</t>
  </si>
  <si>
    <t>The influence of family and pyramidal ownership on corporate diversification in Chile</t>
  </si>
  <si>
    <t>NORTH AMERICAN JOURNAL OF ECONOMICS AND FINANCE</t>
  </si>
  <si>
    <t>In this paper we analyse the moderating effects of family nature and pyramidal ownership on the relationship between corporate diversification and performance in Chilean companies. Using a sample of 104 companies listed on the Santiago Stock Exchange between 2005 and 2016, we report a diversification discount. Second, we find that when firms are owned by a family, the relationship between performance and diversification is positive. However, when family ownership is pyramidal, the relationship between performance and diversification becomes negative.</t>
  </si>
  <si>
    <t>Jara, Mauricio/HHN-5573-2022; Maquieira, Carlos/ISB-9473-2023; Espinosa-Méndez, Christian/G-5177-2019</t>
  </si>
  <si>
    <t>Espinosa-Mendez, Christian/0000-0001-6499-2414; Jara, Mauricio/0000-0001-6339-3794; Maquieira, Carlos/0000-0001-5710-4669</t>
  </si>
  <si>
    <t>1062-9408</t>
  </si>
  <si>
    <t>1879-0860</t>
  </si>
  <si>
    <t>10.1016/j.najef.2017.10.012</t>
  </si>
  <si>
    <t>WOS:000427341900011</t>
  </si>
  <si>
    <t>Alegría, A; Caro, S; Bevilacqua, M; Porcu, E; Clarke, J</t>
  </si>
  <si>
    <t>Alegria, A.; Caro, S.; Bevilacqua, M.; Porcu, E.; Clarke, J.</t>
  </si>
  <si>
    <t>Estimating covariance functions of multivariate skew-Gaussian random fields on the sphere</t>
  </si>
  <si>
    <t>SPATIAL STATISTICS</t>
  </si>
  <si>
    <t>This paper considers a multivariate spatial random field, with each component having univariate marginal distributions of the skewGaussian type. We assume that the field is defined spatially on the unit sphere embedded in R-3, allowing for modeling data available over large portions of planet Earth. This model admits explicit expressions for the marginal and cross covariances. However, the n-dimensional distributions of the field are difficult to evaluate, because it requires the sum of 2n terms involving the cumulative and probability density functions of a n-dimensional Gaussian distribution. Since in this case inference based on the full likelihood is computationally unfeasible, we propose a composite likelihood approach based on pairs of spatial observations. This last being possible thanks to the fact that we have a closed form expression for the bivariate distribution. We illustrate the effectiveness of the method through simulation experiments and the analysis of a real data set of minimum and maximum surface air temperatures. (C) 2017 Elsevier B.V. All rights reserved.</t>
  </si>
  <si>
    <t>Alegria, Alfredo/0000-0001-9720-7697; Bevilacqua, Moreno/0000-0001-8384-840X</t>
  </si>
  <si>
    <t>2211-6753</t>
  </si>
  <si>
    <t>10.1016/j.spasta.2017.07.009</t>
  </si>
  <si>
    <t>WOS:000417466000011</t>
  </si>
  <si>
    <t>Morales, P; Cáceres, M; Scott, F; Díaz-Robles, L; Aroca, G; Vergara-Fernández, A</t>
  </si>
  <si>
    <t>Morales, Paulina; Caceres, Manuel; Scott, Felipe; Diaz-Robles, Luis; Aroca, German; Vergara-Fernandez, Alberto</t>
  </si>
  <si>
    <t>Biodegradation of benzo[α]pyrene, toluene, and formaldehyde from the gas phase by a consortium of Rhodococcus erythropolis and Fusarium solani</t>
  </si>
  <si>
    <t>APPLIED MICROBIOLOGY AND BIOTECHNOLOGY</t>
  </si>
  <si>
    <t>Polycyclic aromatic hydrocarbons (PAHs) and volatile organic compounds (VOCs) are important indoor contaminants. Their hydrophobic nature hinders the possibility of biological abatement using biofiltration. Our aim was to establish whether the use of a consortium of Fusarium solani and Rhodococcus erythropolis shows an improved performance (in terms of mineralization rate and extent) towards the degradation of formaldehyde, as a slightly polar VOC; toluene, as hydrophobic VOC; and benzo[alpha]pyrene (BaP) as PAH at low concentrations compared to a single-species biofilm in serum bottles with vermiculite as solid support to mimic a biofilter and to relate the possible improvements with the surface hydrophobicity and partition coefficient of the biomass at three different temperatures. Results showed that the hydrophobicity of the surface of the biofilms was affected by the hydrophobicity of the carbon source in F. solani but it did not change in R. erythropolis. Similarly, the partition coefficients of toluene and BaP in F. solani biomass (both as pure culture and consortium) show a reduction of up to 38 times compared to its value in water, whereas this reduction was only 1.5 times in presence of R. erythropolis. Despite that increments in the accumulated CO2 and its production rate were found when F. solani or the consortium was used, the mineralization extent of toluene was below 25%. Regarding BaP degradation, the higher CO2 production rates and percent yields were obtained when a consortium of F. solani and R. erythropolis was used, despite a pure culture of R. erythropolis exhibits poor mineralization of BaP.</t>
  </si>
  <si>
    <t>Aroca, German/ABG-6714-2020; Vergara-Fernández, Alberto/D-1770-2011; Scott, Felipe/K-4193-2016; Aroca, German/B-3798-2011</t>
  </si>
  <si>
    <t>Vergara-Fernandez, Alberto/0000-0002-6075-9137; Scott, Felipe/0000-0003-2041-4641; Aroca, German/0000-0003-1376-7940</t>
  </si>
  <si>
    <t>0175-7598</t>
  </si>
  <si>
    <t>1432-0614</t>
  </si>
  <si>
    <t>10.1007/s00253-017-8400-8</t>
  </si>
  <si>
    <t>WOS:000407563000018</t>
  </si>
  <si>
    <t>Rodriguez, N; Lagos, C; Cabrera, E; Cañete, L</t>
  </si>
  <si>
    <t>Rodriguez, Nibaldo; Lagos, Carolina; Cabrera, Enrique; Canete, Lucio</t>
  </si>
  <si>
    <t>Extreme Learning Machine Based on Stationary Wavelet Singular Values for Bearing Failure Diagnosis</t>
  </si>
  <si>
    <t>STUDIES IN INFORMATICS AND CONTROL</t>
  </si>
  <si>
    <t>Intelligence condition monitoring based on vibration signal analysis plays a key role in improving rolling bearings failure diagnosis in mechanical transmission systems. Unexpected failures in the bearings may cause machine breakdowns that are very expensive for the industry. Hence, this study proposes a method to the rolling element bearing failure diagnosis which is based on an extreme learning machine (ELM) algorithm combined with stationary wavelet transform (SWT) and singular value decomposition (SVD). The SWT is used to separate the vibration signals into a series of wavelet component signals. Then, the obtained wavelet components matrix is decomposed by means of a SVD method to obtain a set of wavelet singular values. Finally, the wavelet singular values are used as input to the extreme learning machine for classification among ten different bearing failure types. Obtained results using the proposed model shown high accuracy of diagnosis under variable speed condition.</t>
  </si>
  <si>
    <t>Arratia, Lucio/AAV-6112-2020</t>
  </si>
  <si>
    <t>Canete Arratia, Lucio/0000-0002-1191-8728</t>
  </si>
  <si>
    <t>1220-1766</t>
  </si>
  <si>
    <t>10.24846/v26i3y201704</t>
  </si>
  <si>
    <t>WOS:000412715700004</t>
  </si>
  <si>
    <t>Barles, G; Ley, O; Topp, E</t>
  </si>
  <si>
    <t>Barles, Guy; Ley, Olivier; Topp, Erwin</t>
  </si>
  <si>
    <t>Lipschitz regularity for integro-differential equations with coercive Hamiltonians and application to large time behavior</t>
  </si>
  <si>
    <t>NONLINEARITY</t>
  </si>
  <si>
    <t>In this paper, we provide suitable adaptations of the 'weak version of Bernstein method' introduced by the first author in 1991, in order to obtain Lipschitz regularity results and Lipschitz estimates for nonlinear integro-differential elliptic and parabolic equations set in the whole space. Our interest is to obtain such Lipschitz results to possibly degenerate equations, or to equations which are indeed 'uniformly elliptic' (maybe in the nonlocal sense) but which do not satisfy the usual 'growth condition' on the gradient term allowing to use (for example) the Ishii-Lions' method. We treat the case of a model equation with a superlinear coercivity on the gradient term which has a leading role in the equation. This regularity result together with comparison principle provided for the problem allow to obtain the ergodic large time behavior of the evolution problem in the periodic setting.</t>
  </si>
  <si>
    <t>Ley, Olivier/0009-0000-4579-3698; Barles, Guy/0000-0001-9381-4676</t>
  </si>
  <si>
    <t>0951-7715</t>
  </si>
  <si>
    <t>1361-6544</t>
  </si>
  <si>
    <t>10.1088/1361-6544/aa527f</t>
  </si>
  <si>
    <t>WOS:000393774300004</t>
  </si>
  <si>
    <t>Aguirre, D; Navarrete, R; Soto, I; Gutierrez, S</t>
  </si>
  <si>
    <t>Aguirre, D.; Navarrete, R.; Soto, I.; Gutierrez, S.</t>
  </si>
  <si>
    <t>Implementation of an emitting LED circuit in a Visible Light Communications positioning system</t>
  </si>
  <si>
    <t>2017 FIRST SOUTH AMERICAN COLLOQUIUM ON VISIBLE LIGHT COMMUNICATIONS (SACVLC)</t>
  </si>
  <si>
    <t>1st South American Colloquium on Visible Light Communications (IEEE SACVLC)</t>
  </si>
  <si>
    <t>NOV 13, 2017</t>
  </si>
  <si>
    <t>IEEE Chile Sect,Univ Santiago Chile,Telefonica Fundac,Movistar</t>
  </si>
  <si>
    <t>In this paper, two LED emitting circuits are implemented in a VLC positioning system, a regular Bias-Tee and a circuit proposed by Ghassemlooy, aiming to provide the system with portability and functionality. For this, an Arduino Nano is used in the emitting circuit together with an AD9850 signal generator circuit. For the receiver circuit a Thorlabs PDA36-EC photodetector, an XMOS for data acquisition and a Raspberry Pi for data processing are used. Subsequently a brief comparison is made between the two emitting circuits, comparing the power received by the photodetector as a function of the emitter-receiver distance.</t>
  </si>
  <si>
    <t>navarrete, ricardo/AAT-7489-2020</t>
  </si>
  <si>
    <t>Soto, Ismael/0000-0002-5501-5651; Gutierrez Lillo, Sebastian/0000-0003-3714-0632</t>
  </si>
  <si>
    <t>978-1-5386-1782-3</t>
  </si>
  <si>
    <t>WOS:000428142700003</t>
  </si>
  <si>
    <t>Baiges, J; Codina, R; Pont, A; Castillo, E</t>
  </si>
  <si>
    <t>Baiges, Joan; Codina, Ramon; Pont, Arnau; Castillo, Ernesto</t>
  </si>
  <si>
    <t>An adaptive Fixed-Mesh ALE method for free surface flows</t>
  </si>
  <si>
    <t>In this work we present a Fixed-Mesh ALE method for the numerical simulation of free surface flows capable of using an adaptive finite element mesh covering a background domain. This mesh is successively refined and unrefined at each time step in order to focus the computational effort on the spatial regions where it is required. Some of the main ingredients of the formulation are the use of an Arbitrary-Lagrangian Eulerian formulation for computing temporal derivatives, the use of stabilization terms for stabilizing convection, stabilizing the lack of compatibility between velocity and pressure interpolation spaces, and stabilizing the ill-conditioning introduced by the cuts on the background finite element mesh, and the coupling of the algorithm with an adaptive mesh refinement procedure suitable for running on distributed memory environments. Algorithmic steps for the projection between meshes are presented together with the algebraic fractional step approach used for improving the condition number of the linear systems to be solved. The method is tested in several numerical examples. The expected convergence rates both in space and time are observed. Smooth solution fields for both velocity and pressure are obtained (as a result of the contribution of the stabilization terms). Finally, a good agreement between the numerical results and the reference experimental data is obtained. (C) 2016 Elsevier B.V. All rights reserved.</t>
  </si>
  <si>
    <t>Castillo, Ernesto/D-1612-2015; Baiges, Joan/D-3433-2014; Codina, Ramon/I-2311-2014</t>
  </si>
  <si>
    <t>Castillo, Ernesto/0000-0001-7013-6008; Baiges, Joan/0000-0002-3940-5887; Pont Ribas, Arnau/0000-0001-8358-2111; Codina, Ramon/0000-0002-7412-778X</t>
  </si>
  <si>
    <t>10.1016/j.cma.2016.09.041</t>
  </si>
  <si>
    <t>WOS:000390740900007</t>
  </si>
  <si>
    <t>Carrión, J; Franco, D; Gil-Costa, V; Marin, M; Luque, E</t>
  </si>
  <si>
    <t>Rivera, FF; Pena, TF; Cabaleiro, JC</t>
  </si>
  <si>
    <t>Carrion, Joe; Franco, Daniel; Gil-Costa, Veronica; Marin, Mauricio; Luque, Emilio</t>
  </si>
  <si>
    <t>Improving the Network of Search Engine Services Through Application-Driven Routing</t>
  </si>
  <si>
    <t>EURO-PAR 2017: PARALLEL PROCESSING</t>
  </si>
  <si>
    <t>23rd International Conference on Parallel and Distributed Computing (Euro-Par)</t>
  </si>
  <si>
    <t>AUG 28-SEP 01, 2017</t>
  </si>
  <si>
    <t>Santiago de Compostela, SPAIN</t>
  </si>
  <si>
    <t>Univ Santiago Compostela, Centro Investigac Tecnoloxias Informac</t>
  </si>
  <si>
    <t>We studied a search engine service in order to evaluate the impact of the traffic pattern on network performance. This paper focuses on how the routing algorithm can improve the query latency of a search engine. The architecture of the service includes three main components: Front Service, Cache Service and Index Service. This service receives queries from users, and after a process of seeking in a cluster, a set of results are returned to users. This workload produces unbalanced traffic throughout the network. As a result, this behavior impacts the network performance in terms of latency and throughput and increases the user timeout. This paper proposes an application-driven routing policy based on the application architecture which merges a set of criteria and prioritizes the Cache Service messages. We evaluated the performance using real traces and simulation techniques. The experiment results show a reduction of network latency and throughput when we apply the application-driven routing policy.</t>
  </si>
  <si>
    <t>Gil-Costa, Veronica/GPT-4785-2022; Carrión Jumbo, Joe/AAZ-1459-2020; luque, Emilio/B-6638-2014; Marin, Mauricio/GLR-7700-2022; Franco, Daniel/M-1130-2014</t>
  </si>
  <si>
    <t>Marin, Mauricio/0000-0003-0662-7149; Gil-Costa, Veronica/0000-0003-4637-9725; Carrion Jumbo, Joe/0000-0003-3632-5352</t>
  </si>
  <si>
    <t>978-3-319-64203-1; 978-3-319-64202-4</t>
  </si>
  <si>
    <t>10.1007/978-3-319-64203-1_46</t>
  </si>
  <si>
    <t>WOS:000851032800046</t>
  </si>
  <si>
    <t>González, A; Herrera, G; Ugarte, G; Restrepo, C; Piña, R; Pertusa, M; Orio, P; Madrid, R</t>
  </si>
  <si>
    <t>VonBernhardi, R; Eugenin, J; Muller, KJ</t>
  </si>
  <si>
    <t>Gonzalez, Alejandro; Herrera, Gaspar; Ugarte, Gonzalo; Restrepo, Carlos; Pina, Ricardo; Pertusa, Maria; Orio, Patricio; Madrid, Rodolfo</t>
  </si>
  <si>
    <t>IKD Current in Cold Transduction and Damage-Triggered Cold Hypersensitivity</t>
  </si>
  <si>
    <t>PLASTIC BRAIN</t>
  </si>
  <si>
    <t>Advances in Experimental Medicine and Biology</t>
  </si>
  <si>
    <t>In primary sensory neurons of the spinal and trigeminal somatosensory system, cold-sensitivity is strongly dependent on the functional balance between TRPM8 channels, the main molecular entity responsible for the cold-activated excitatory current, and Shaker-like Kv1.1-1.2 potassium channels, the molecular counterpart underlying the excitability brake current I-KD. This slow-inactivating outward K+ current reduces the excitability of cold thermoreceptor neurons increasing their thermal threshold, and prevents unspecific activation by cold of neurons of other somatosensory modalities. Here we examine the main biophysical properties of this current in primary sensory neurons, its central role in cold thermotransduction, and its contribution to alterations in cold sensitivity triggered by peripheral nerve damage.</t>
  </si>
  <si>
    <t>Madrid, Rodolfo/MCJ-4974-2025; Muñoz, Ricardo/AAO-5249-2020; Gonzalez, Alejandro/MFI-1717-2025; Orio, Patricio/F-6207-2010</t>
  </si>
  <si>
    <t>Madrid, Rodolfo/0000-0002-8623-5761; Pina, Ricardo/0000-0002-2316-8952; Orio, Patricio/0000-0003-0332-8098; Pertusa, Maria/0000-0003-3856-9019; Gonzalez, Alejandro/0000-0001-7513-2516; Restrepo Bravo, Carlos Anibal/0000-0003-3097-4925</t>
  </si>
  <si>
    <t>0065-2598</t>
  </si>
  <si>
    <t>2214-8019</t>
  </si>
  <si>
    <t>978-3-319-62817-2; 978-3-319-62815-8</t>
  </si>
  <si>
    <t>10.1007/978-3-319-62817-2_14</t>
  </si>
  <si>
    <t>10.1007/978-3-319-62817-2</t>
  </si>
  <si>
    <t>WOS:000438289100014</t>
  </si>
  <si>
    <t>Laporte, D; Valdés, N; González, A; Sáez, CA; Zúñiga, A; Navarrete, A; Meneses, C; Moenne, A</t>
  </si>
  <si>
    <t>Laporte, Daniel; Valdes, Natalia; Gonzalez, Alberto; Saez, Claudio A.; Zuniga, Antonio; Navarrete, Axel; Meneses, Claudio; Moenne, Alejandra</t>
  </si>
  <si>
    <t>Copper-induced overexpression of genes encoding antioxidant system enzymes and metallothioneins involve the activation of CaMs, CDPKs and MEK1/2 in the marine alga Ulva compressa</t>
  </si>
  <si>
    <t>AQUATIC TOXICOLOGY</t>
  </si>
  <si>
    <t>Transcriptomic analyses were performed in the green macroalga Ulva compressa cultivated with 10 mu M copper for 24 h. Nucleotide sequences encoding antioxidant enzymes, ascorbate peroxidase (ap), dehydroascorbate reductase (dhar) and glutathione reductase (gr), enzymes involved in ascorbate (ASC) synthesis L-galactose dehydrogenase (l-gdh) and L-galactono lactone dehydrogenase (l-gldh), in glutathione (GSH) synthesis,gamma-glutamate-cysteine ligase (gamma-gcl) and glutathione synthase (gs), and metal-chelating proteins metallothioneins (mt) were identified. Amino acid sequences encoded by transcripts identified in U. compressa corresponding to antioxidant system enzymes showed homology mainly to plant and green alga enzymes but those corresponding to MTs displayed homology to animal and plant MTs. Level of transcripts encoding the latter proteins were quantified in the alga cultivated with 10 mu M copper for 0-12 days. Transcripts encoding enzymes of the antioxidant system increased with maximal levels at day 7, 9 or 12, and for MTs at day 3, 7 or 12. In addition, the involvement of calmodulins (CaMs), calcium-dependent protein kinases (CDPKs), and the mitogen-activated protein kinase kinase (MEK1/2) in the increase of the level of the latter transcripts was analyzed using inhibitors. Transcript levels decreased with inhibitors of CaMs, CDPKs and MEK1/2. Thus, copper induces overexpression of genes encoding antioxidant enzymes, enzymes involved in ASC and GSH syntheses and MTs. The increase in transcript levels may involve the activation of CaMs, CDPKs and MEK1/2 in U. compressa. (C) 2016 Elsevier B.V. All rights reserved.</t>
  </si>
  <si>
    <t>Sáez, Claudio/AAP-6923-2021; González, Alberto/IYJ-8593-2023; Zúñiga, Antonio/AAG-2749-2019; Valdes, Natalia/AAI-8151-2021</t>
  </si>
  <si>
    <t>Gonzalez Figueroa, Alberto/0000-0002-5777-9022; Saez, Claudio/0000-0002-5037-3484; Zuniga-Thayer, Antonio/0000-0001-5371-6895; Moenne, Alejandra/0000-0002-7309-9713; Meneses, Claudio/0000-0002-6452-8950; Navarrete, Axel/0000-0001-8292-3367; valdes parra, Natalia/0000-0002-6884-7799; Laporte, Daniel/0000-0003-0883-0917</t>
  </si>
  <si>
    <t>0166-445X</t>
  </si>
  <si>
    <t>1879-1514</t>
  </si>
  <si>
    <t>10.1016/j.aquatox.2016.06.017</t>
  </si>
  <si>
    <t>WOS:000381529700043</t>
  </si>
  <si>
    <t>Vallejo, G; Ato, M; García, PF; Rojas, PEL; Herrero, ET</t>
  </si>
  <si>
    <t>Vallejo, Guillermo; Ato, Manuel; Fernandez Garcia, Paula; Livacic Rojas, Pablo E.; Tuero Herrero, Ellian</t>
  </si>
  <si>
    <t>Power analysis to detect treatment effect in longitudinal studies with heterogeneous errors and incomplete data</t>
  </si>
  <si>
    <t>PSICOTHEMA</t>
  </si>
  <si>
    <t>Background: S. Usami (2014) describes a method to realistically determine sample size in longitudinal research using a multilevel model. The present research extends the aforementioned work to situations where it is likely that the assumption of homogeneity of the errors across groups is not met and the error term does not follow a scaled identity covariance structure. Method: For this purpose, we followed a procedure based on transforming the variance components of the linear growth model and the parameter related to the treatment effect into specific and easily understandable indices. At the same time, we provide the appropriate statistical machinery for researchers to use when data loss is unavoidable, and changes in the expected value of the observed responses are not linear. Results: the empirical powers based on unknown variance components were virtually the same as the theoretical powers derived from the use of statistically processed indexes. Conclusions: The main conclusion of the study is the accuracy of the proposed method to calculate sample size in the described situations with the stipulated power criteria.</t>
  </si>
  <si>
    <t>Herrero, Ellián/AAA-4397-2019; Vallejo, Guillermo/B-8233-2011; Fernandez, Paula/I-1881-2015</t>
  </si>
  <si>
    <t>Vallejo, Guillermo/0000-0002-8010-6854; Fernandez, Paula/0000-0003-0140-7702</t>
  </si>
  <si>
    <t>0214-9915</t>
  </si>
  <si>
    <t>1886-144X</t>
  </si>
  <si>
    <t>10.7334/psicothema2016.92</t>
  </si>
  <si>
    <t>WOS:000380180200017</t>
  </si>
  <si>
    <t>Wang, ZQ; Ye, N; Malekian, R; Wang, RC; Li, P</t>
  </si>
  <si>
    <t>Wang, Zhongqin; Ye, Ning; Malekian, Reza; Wang, Ruchuan; Li, Peng</t>
  </si>
  <si>
    <t>TMicroscope: Behavior Perception Based on the Slightest RFID Tag Motion</t>
  </si>
  <si>
    <t>ELEKTRONIKA IR ELEKTROTECHNIKA</t>
  </si>
  <si>
    <t>Behavior perception with fine granularity can offer much more valuable information, e.g. which and why products people are often interested in will not be purchased in shopping. In this paper, we propose a RFID-based method to perceive slight motion of a target product with RFID tag for mining customer's behaviors. However, the interference from human movements in the reading zone is a challenge to result in false positives. To address this problem, we first compute virtual displacements of the target RFID tag and then adopt Support Vector Machines to recognize absence or presence of human motion near the tag. Next, we divide the surveillance region into mm-level grids to construct similarity matrixes of the tracked tag before and after human motion, which can accurately distinguish absence or presence of tag motion. Indeed, the optimization method based on phase-ambiguity is introduced to reduce computations. The results show that our method can achieve the average scenario classification accuracy of 96.3 % and the average slight tag motion perception accuracy of 100 % with the hypersensitivity of 1 mm.</t>
  </si>
  <si>
    <t>1392-1215</t>
  </si>
  <si>
    <t>10.5755/j01.eie.22.2.14603</t>
  </si>
  <si>
    <t>WOS:000377541700020</t>
  </si>
  <si>
    <t>Bran, C; Espejo, AP; Palmero, EM; Escrig, J; Vázquez, M</t>
  </si>
  <si>
    <t>Bran, C.; Espejo, A. P.; Palmero, E. M.; Escrig, J.; Vazquez, M.</t>
  </si>
  <si>
    <t>Angular dependence of coercivity with temperature in Co-based nanowires</t>
  </si>
  <si>
    <t>The magnetic behavior of arrays of Co and CoFe nanowire arrays has been measured in the temperature range between 100 and 300 K. We have paid particular attention to the angular dependence of magnetic properties on the applied magnetic field orientation. The experimental angular dependence of coercivity has been modeled according to micromagnetic analytical calculations, and we found that the propagation of a transversal domain wall mode gives the best fitting with experimental observations. That reversal mode holds in the whole measuring temperature range, for nanowires with different diameters and crystalline structure. Moreover, the quantitative strength of the magnetocrystall ne anisotropy and its magnetization easy axis are determined to depend on the crystalline structure and nanowires diameter. The evolution of the magnetocrystalline anisotropy with temperature for nanowires with different composition gives rise to an opposite evolution of coercivity with increasing temperature: it decreases for CoFe while it increases for Co nanowire arrays. (C) 2015 Elsevier B.V. All rights reserved</t>
  </si>
  <si>
    <t>Vázquez, Manuel/A-6370-2011; Palmero, Ester M./L-6777-2017; Bran, Cristina/AAT-3404-2020; Escrig, Juan/N-4304-2015</t>
  </si>
  <si>
    <t>Palmero, Ester M./0000-0001-8223-3200; Vazquez Villalabeitia, Manuel/0000-0001-5591-0157; Bran, Cristina/0000-0001-8571-5846; Escrig, Juan/0000-0002-3958-8185</t>
  </si>
  <si>
    <t>DEC 15</t>
  </si>
  <si>
    <t>10.1016/j.jmmm.2015.08.056</t>
  </si>
  <si>
    <t>WOS:000360652700051</t>
  </si>
  <si>
    <t>Cortés-Arriagada, D; Oyarzún, MP; Sanhueza, L; Toro-Labbé, A</t>
  </si>
  <si>
    <t>Cortes-Arriagada, Diego; Paz Oyarzun, Maria; Sanhueza, Luis; Toro-Labbe, Alejandro</t>
  </si>
  <si>
    <t>Binding of Trivalent Arsenic onto the Tetrahedral Au20 and Au19Pt Clusters: Implications in Adsorption and Sensing</t>
  </si>
  <si>
    <t>The interaction of arsenic(III) onto the tetrahedral Au-20 cluster was studied computationally to get insights into the interaction of arsenic traces (presented in polluted waters) onto embedded electrodes with gold nanostructures. Pollutant interactions onto the vertex, edge, or inner gold atoms of Au-20, were observed to have a covalent character by forming metal-arsenic or metal-oxygen bonding, with adsorption energies ranging from 0.5 to 0.8 eV, even with a stable physisorption; however, in aqueous media, the Au-vertex-pollutant interaction was found to be disadvantageous. The substituent effect of a platinum atom onto the Au-20 cluster was evaluated to get insights into the changes in the adsorption and electronic properties of the adsorbent-adsorbate systems due to chemical doping. It was found that the dopant atom increases both the metal-pollutant adsorption energy and stability onto the support in a water media for all interaction modes; adsorption energies were found to be in a range of 0.6 to 1.8 eV. All interactions were determined to be accompanied by electron transfer as well as changes in the local reactivity that determine the amount of transferred charge and a decrease in the HOMO-LUMO energy gap with respect to the isolated substrate.</t>
  </si>
  <si>
    <t>Cortés-Arriagada, Diego/J-5940-2019; Toro-Labbe, Alejandro/J-5026-2013</t>
  </si>
  <si>
    <t>Sanhueza Vega, Luis/0000-0002-3763-6948; Oyarzun, Maria Paz/0000-0001-6477-3385; Cortes-Arriagada, Diego/0000-0002-6709-1723; Toro-Labbe, Alejandro/0000-0001-9906-2153</t>
  </si>
  <si>
    <t>JUL 2</t>
  </si>
  <si>
    <t>10.1021/acs.jpca.5b03832</t>
  </si>
  <si>
    <t>WOS:000357623600016</t>
  </si>
  <si>
    <t>Torres-Avilés, F; Martinez-Beneito, MA</t>
  </si>
  <si>
    <t>Torres-Aviles, Francisco; Martinez-Beneito, Miguel A.</t>
  </si>
  <si>
    <t>STANOVA: a smoothed-ANOVA-based model for spatio-temporal disease mapping</t>
  </si>
  <si>
    <t>STOCHASTIC ENVIRONMENTAL RESEARCH AND RISK ASSESSMENT</t>
  </si>
  <si>
    <t>Spatio-temporal disease mapping can be viewed as a multivariate disease mapping problem with a given order of the geographic patterns to be studied. As a consequence, some of the techniques in multivariate literature could also be used to build spatio-temporal models. In this paper we propose using the smoothed ANOVA multivariate model for spatio-temporal problems. Under our approach the time trend for each geographic unit is modeled parametrically, projecting it on a preset orthogonal basis of functions (the contrasts in the smoothed ANOVA nomenclature), while the coefficients of these projections are considered to be spatially dependent random effects. Despite the parametric temporal nature of our proposal, we show with both simulated and real datasets that it may be as flexible as other spatio-temporal smoothing models proposed in the literature and may model spatio-temporal data with several sources of variability.</t>
  </si>
  <si>
    <t>Martinez-Beneito, Miguel A./M-8616-2014; Torres-Aviles, Francisco/J-8269-2013</t>
  </si>
  <si>
    <t>Martinez-Beneito, Miguel A./0000-0001-8406-8050; Torres-Aviles, Francisco/0000-0001-7973-4709</t>
  </si>
  <si>
    <t>1436-3240</t>
  </si>
  <si>
    <t>1436-3259</t>
  </si>
  <si>
    <t>10.1007/s00477-014-0888-1</t>
  </si>
  <si>
    <t>WOS:000345335400011</t>
  </si>
  <si>
    <t>Linares-Flores, C; Espinoza-Vergara, J; Zagal, JH; Arratia-Perez, R</t>
  </si>
  <si>
    <t>Linares-Flores, C.; Espinoza-Vergara, J.; Zagal, J. H.; Arratia-Perez, R.</t>
  </si>
  <si>
    <t>Reactivity trends of Fe phthalocyanines confined on graphite electrodes in terms of donor-acceptor intermolecular hardness: Linear versus volcano correlations</t>
  </si>
  <si>
    <t>In this work, we have studied the interaction between the hydrazine N2H4 molecule with several FeN4 macrocyclic complexes (FePc's). In order to modulate the electron density located on the metal center using iron-phthalocyanine (FePc) as the reference, we used substituted iron-phthalocyanines with different types of substituents electron-donating groups such as iron-tetraamino-phthalocyanine (4 beta(NH2)FePc) and iron-octamethoxyphthalocyanine (8 beta(OCH3)FePc), and with electron-withdrawing groups such as iron-tetranitrophthalocyanine(4 beta(NO2)FePc) and iron-hexadecachlorophthalocyanine (16(Cl)FePc), respectively. We have found that the energy of interaction between hydrazine and the Fe center in the macrocycle increases as the electron-withdrawing power of the substituents increases. When rate constants instead of currents are compared in a semilog plot versus Delta epsilon(D-A), a linear correlation is found where log k increases as the intermolecular hardness of the systems decreases. (C) 2014 Elsevier B.V. All rights reserved.</t>
  </si>
  <si>
    <t>zagal, jose/L-9648-2014; Arratia-Perez, Ramiro/AAG-2648-2019</t>
  </si>
  <si>
    <t>Linares-Flores, Cristian/0000-0002-2967-0388</t>
  </si>
  <si>
    <t>10.1016/j.cplett.2014.09.033</t>
  </si>
  <si>
    <t>WOS:000344429200035</t>
  </si>
  <si>
    <t>González, A; Restrepo, C; Ugarte, G; Piña, R; Herrera, G; Pertusa, M; Orio, P; Madrid, R</t>
  </si>
  <si>
    <t>Gonzalez, A.; Restrepo, C.; Ugarte, G.; Pina, R.; Herrera, G.; Pertusa, M.; Orio, P.; Madrid, R.</t>
  </si>
  <si>
    <t>IKD CURRENT AS A DETERMINANT FOR PAINFUL HYPERSENSITIVITY TO COLD AFTER CHRONIC PERIPHERAL NERVE INJURY</t>
  </si>
  <si>
    <t>ACTA PHYSIOLOGICA</t>
  </si>
  <si>
    <t>Muñoz, Ricardo/AAO-5249-2020; Orio, Patricio/F-6207-2010</t>
  </si>
  <si>
    <t>Orio, Patricio/0000-0003-0332-8098</t>
  </si>
  <si>
    <t>1748-1708</t>
  </si>
  <si>
    <t>1748-1716</t>
  </si>
  <si>
    <t>O27</t>
  </si>
  <si>
    <t>WOS:000342750000063</t>
  </si>
  <si>
    <t>Cordero, RR; Seckmeyer, G; Riechelmann, S; Damiani, A; Labbe, F</t>
  </si>
  <si>
    <t>Cordero, Raul R.; Seckmeyer, Gunther; Riechelmann, Stefan; Damiani, Alessandro; Labbe, Fernando</t>
  </si>
  <si>
    <t>Monte Carlo-based uncertainty analysis of UV array spectroradiometers</t>
  </si>
  <si>
    <t>METROLOGIA</t>
  </si>
  <si>
    <t>Recent efforts (including effective ex-post stray light corrections) have allowed significant improvement in the performance (tested by intercomparison) of low-cost array spectroradiometers. However, the problem of uncertainty evaluation of UV measurements by these instruments has not been comprehensibly addressed mainly because of the difficulties involved in the uncertainty propagation. We have applied a Monte Carlo-based approach that allowed us to overcome those difficulties and to evaluate the uncertainty associated with spectral measurements carried out using a 12-bit CCD array of 2048 pixels, model SD2000, manufactured by Ocean Optics (R). In the UV-A part of the spectrum the standard uncertainty was found to be roughly constant (about 5%). However, mostly due to the noise affecting the readings, a sharp increment was observed at wavelengths shorter than 315 nm; indeed, the driving factor determining the UV-B uncertainty (and in turn the UV index uncertainty) was the signal-to-noise ratio (SNR). Low SNRs lead to standard uncertainties greater than 20% for irradiances at 300 nm and greater than 10% for UV index values. Although each instrument has an individual character, comparable figures are expected in the case of instruments whose measurements undergo similar quality assurance activities (i.e. similar stray light correction methods). Our uncertainty figures provide a frame to assess the significance of differences when intercomparing, and in turn to check the quality of the measurements. The applied uncertainty evaluation methodology is general and agrees with recommendations of the ISO Guide to the Expression of Uncertainty in Measurement.</t>
  </si>
  <si>
    <t>Damiani, Alessandro/X-4677-2019; Cordero, Raul/M-7979-2017</t>
  </si>
  <si>
    <t>Damiani, Alessandro/0000-0003-3014-6193; Cordero, Raul R./0000-0001-7607-7993; Riechelmann, Stefan/0000-0001-8292-0668</t>
  </si>
  <si>
    <t>0026-1394</t>
  </si>
  <si>
    <t>1681-7575</t>
  </si>
  <si>
    <t>10.1088/0026-1394/49/6/745</t>
  </si>
  <si>
    <t>WOS:000311439100016</t>
  </si>
  <si>
    <t>Reinoso, CA; Auger, C; Appanna, VD; Vásquez, CC</t>
  </si>
  <si>
    <t>Reinoso, Claudia A.; Auger, Christopher; Appanna, Vasu D.; Vasquez, Claudio C.</t>
  </si>
  <si>
    <t>Tellurite-exposed Escherichia coli exhibits increased intracellular α-ketoglutarate</t>
  </si>
  <si>
    <t>BIOCHEMICAL AND BIOPHYSICAL RESEARCH COMMUNICATIONS</t>
  </si>
  <si>
    <t>The tellurium oxyanion tellurite is toxic to most organisms because of its ability to generate oxidative stress. However, the detailed mechanism(s) how this toxicant interferes with cellular processes have yet to be fully understood. As part of our effort to decipher the molecular interactions of tellurite with living systems, we have evaluated the global metabolism of alpha-ketoglutarate a known antioxidant in Escherichia coli. Tellurite-exposed cells displayed reduced activity of the KG dehydrogenase complex (KGDHc), resulting in increased intracellular KG content. This complex's reduced activity seems to be due to decreased transcription in the stressed cells of sucA, a gene that encodes the E1 component of KGDHc. Furthermore, it was demonstrated that the increase in total reactive oxygen species and superoxide observed upon tellurite exposure was more evident in wild type cells than in E. colt with impaired KGDHc activity. These results indicate that KG may be playing a pivotal role in combating tellurite-mediated oxidative damage. (C) 2012 Elsevier Inc. All rights reserved.</t>
  </si>
  <si>
    <t>Auger, Christopher/AAF-5757-2019</t>
  </si>
  <si>
    <t>0006-291X</t>
  </si>
  <si>
    <t>MAY 18</t>
  </si>
  <si>
    <t>10.1016/j.bbrc.2012.04.069</t>
  </si>
  <si>
    <t>WOS:000305168600015</t>
  </si>
  <si>
    <t>Noguera, JD; Pecchenino, RA</t>
  </si>
  <si>
    <t>De Jesus Noguera, Jose; Pecchenino, Rowena A.</t>
  </si>
  <si>
    <t>FDI versus Exports in a General Equilibrium Ricardian Model</t>
  </si>
  <si>
    <t>ECONOMIC RECORD</t>
  </si>
  <si>
    <t>In a two-country general equilibrium Ricardian model, we propose a model in which countries compete in the same sectors via exports or foreign direct investment (FDI). Factor endowments are important in that they affect relative wages and the range of goods countries produce. Effects of factor endowments on FDI depend on the interaction of FDI and trade barriers. Transportation costs do favour FDI at the expense of exports, but reduce trade and investment. Finally, in contrast to the new trade theory, across industries, it is the relatively less productive firms that engage in FDI while the relatively more productive firms export.</t>
  </si>
  <si>
    <t>0013-0249</t>
  </si>
  <si>
    <t>10.1111/j.1475-4932.2010.00693.x</t>
  </si>
  <si>
    <t>WOS:000294108500007</t>
  </si>
  <si>
    <t>Górka, P; Prado, H; Reyes, EG</t>
  </si>
  <si>
    <t>Gorka, P.; Prado, H.; Reyes, E. G.</t>
  </si>
  <si>
    <t>Nonlinear Equations with Infinitely many Derivatives</t>
  </si>
  <si>
    <t>COMPLEX ANALYSIS AND OPERATOR THEORY</t>
  </si>
  <si>
    <t>We study the generalized bosonic string equation Delta e(-c) (Delta)phi = U(x, phi), c &gt; 0 on Euclidean space R-n. First, we interpret the nonlocal operator Delta e(-c) (Delta) using entire vectors of Delta in L-2(R-n), and we show that if U(x, phi) = phi(x) + f (x), in which f is an element of L-2(R-n), then there exists a unique real-analytic solution to the Euclidean bosonic string in a Hilbert space H-c,H- (infinity) (R-n) we define precisely below. Second, we consider the case in which the potential U(x, phi) in the generalized bosonic string equation depends nonlinearly on phi, and we show that this equation admits real-analytic solutions in H-c,H-infinity(R-n) under some symmetry and growth assumptions on U. Finally, we show that the above given equation admits real-analytic solutions in H-c,H-infinity(R-n) if U(x, phi) is suitably near U-0(x, phi) = phi, even if no symmetry assumptions are imposed.</t>
  </si>
  <si>
    <t>1661-8254</t>
  </si>
  <si>
    <t>1661-8262</t>
  </si>
  <si>
    <t>10.1007/s11785-009-0043-z</t>
  </si>
  <si>
    <t>WOS:000287509500015</t>
  </si>
  <si>
    <t>Functional calculus via Laplace transform and equations with infinitely many derivatives</t>
  </si>
  <si>
    <t>We study nonlocal linear equations of the form f(partial derivative(t))phi = J(t), t &gt;= 0, in which f is an entire function. We develop an appropriate functional calculus via Laplace transform, we solve the aforementioned equation completely in the space of exponentially bounded functions, and we analyze the delicate issue of the formulation of initial value problems for nonlocal equations. (C) 2010 American Institute of Physics. [doi: 10.1063/1.3496396]</t>
  </si>
  <si>
    <t>Reyes, Enrique G./0000-0001-8460-444X; Gorka, Przemyslaw/0000-0002-1943-383X</t>
  </si>
  <si>
    <t>10.1063/1.3496396</t>
  </si>
  <si>
    <t>WOS:000283750800041</t>
  </si>
  <si>
    <t>Acevedo, CA; Skurtys, O; Young, ME; Enrione, J; Pedreschi, F; Osorio, F</t>
  </si>
  <si>
    <t>Acevedo, Cristian A.; Skurtys, Olivier; Young, Manuel E.; Enrione, Javier; Pedreschi, Franco; Osorio, Fernando</t>
  </si>
  <si>
    <t>A non-destructive digital imaging method to predict immobilized yeast-biomass</t>
  </si>
  <si>
    <t>In food fermentation, many types of immobilization systems are used, such as hydrogel entrapment, where alginate is the main biopolymer. one of the important problems in industrial processes is the quantifications of biomass, since the traditional system of direct cell counting cannot be used. In this study, a simple digital imaging method to determine the biomass of yeasts immobilized into alginate capsules was developed. Important evidence of the yeasts growing inside the alginate was the change in the surface color of the capsule. Digital images were taken with different biomass concentration, and the RGB-analysis showed significant differences in the blue field. The histogram of the blue channel was used to develop a PLS multivariate calibration to predict biomass concentration. The method was validated in primary beer fermentation with good efficiency. (C) 2009 Elsevier Ltd. All rights reserved.</t>
  </si>
  <si>
    <t>Enrione, Javier/I-9225-2014; Acevedo, Cristian/D-5133-2011; pedreschi, franco/F-8844-2013; skurtys, olivier/HNS-4835-2023; osorio, fernando/AAY-7304-2021</t>
  </si>
  <si>
    <t>osorio, fernando/0000-0001-7206-0924; skurtys, olivier/0000-0003-1432-7242; Enrione, Javier/0000-0002-3916-6775</t>
  </si>
  <si>
    <t>10.1016/j.lwt.2009.03.013</t>
  </si>
  <si>
    <t>WOS:000266964000019</t>
  </si>
  <si>
    <t>Rodríguez, J; Fernández, AM; Hernández, E; Valdés, M; Villalón, M; Ramírez, S; Ramírez, R; Valenzuela, C; Cardemil, S</t>
  </si>
  <si>
    <t>Rodriguez, Jorge; Maria Fernandez, Ana; Hernandez, Enrique; Valdes, Macarena; Villalon, Marcelo; Ramirez, Sergio; Ramirez, Rafael; Valenzuela, Catalina; Cardemil, Sebastian</t>
  </si>
  <si>
    <t>Prevalence of drug abuse among children in basic schools</t>
  </si>
  <si>
    <t>Background: Peer methodology (PM) is an adaptation of the privileged access interviewer methodology and is used for prevalence studies. PM estimates higher drug consumption frequencies among school and college students that self reports, since it minimizes underreporting. Aim: To assess drug abuse among students using PM. Material and methods: A random sample of 234 school students of middle and low-middle socioeconomic status, aged 9 to 14 years (53% women) were interviewed using PM about drug consumption. Results: The frequency of licit drug consumption during the last year was 29% and 15% during the last month (current consumption). The consumption of tobacco and alchohol was 20% and 18% respectively during the last year. The figures for the last month were 11% and 8% respectively. The beginning age for smoking and alchohol consumption were 11.1+/-1.5 and 11.3+/-1.8 years respectively. The frequency of illicit drug consumption was 3.5%. Illicit drug users began licit drug consumption at earlier ages their non user peers. Conclusions: There is a high frequency of illicit drug consumption among school age children (Rev Med Chile 2009; 137: 774-84).</t>
  </si>
  <si>
    <t>Ramirez, Rafael/AAB-2711-2019; Villalón, Marcelo/I-2414-2018; Fernandez, Ana Maria/E-6429-2011</t>
  </si>
  <si>
    <t>WOS:000268501400007</t>
  </si>
  <si>
    <t>Mahn, AV; Toledo, HM; Ruz, MH</t>
  </si>
  <si>
    <t>Mahn, Andrea V.; Toledo, Hector M.; Ruz, Manuel H.</t>
  </si>
  <si>
    <t>Organic and inorganic selenium compounds produce different protein patterns in the blood plasma of rats</t>
  </si>
  <si>
    <t>Some selenium compounds offer important health benefits when administered at supranutritional doses, such as improvement of the immune system and of male fertility, and the prevention of some types of Cancer. The traditional selenium indexes do not account for the metabolic status of this element among replete individuals. As a consequence there is a need for new indexes that distinguish between repletion statuses selenium. The aim of this work was to identify some plasmatic proteins that respond to supranutritional doses of selenium Which could be proposed as new protein markers of selenium intake. The effect oil rats of dietary supplementation with either selenomethylselenocysteine (SMSeC) or sodium-selenate oil some blood plasma proteins was investigated. Two experimental groups consisting of six rats each were fed a basic diet supplemented with either SMSeC or sodium-selenate at 1.9 mu g-Se / g-diet for ten weeks. The control group was fed a diet that contained the recommended selenium dose (0.15 mu g-Se / g-diet). The changes ill the abundance of a group of plasmatic proteins were quantified and analysed statistically. Haptoglobin, apolipoprotein E and transthyretin increased their abundance after diet supplementation with either form of selenium. HNF6 was responsive only to SMSeC. whereas fibrinogen responded only to sodium-selenate. We postulate that the protein patterns observed ill this work could be proposed as new molecular biology-based markers of selenium intake.</t>
  </si>
  <si>
    <t>Ruz, Manuel/0000-0001-6010-8409</t>
  </si>
  <si>
    <t>WOS:000268130600004</t>
  </si>
  <si>
    <t>Cruchaga, MA; Celentano, DJ; Tezduyar, TE</t>
  </si>
  <si>
    <t>Cruchaga, Marcela A.; Celentano, Diego J.; Tezduyar, Tayfun E.</t>
  </si>
  <si>
    <t>A Numerical model based on the mixed interface-tracking/interface-capturing technique (MITICT) for flows with fluid-solid and fluid-fluid interfaces</t>
  </si>
  <si>
    <t>MiniSymposium on Stabilized, Multiscale and Multiphysics Methods</t>
  </si>
  <si>
    <t>JUL 16-22, 2006</t>
  </si>
  <si>
    <t>We propose a numerical model for computation of flow problems that involve both fluid-solid and fluid-fluid interfaces. The model is based on the mixed interface-tracking/interface-capturing technique (MITICT), which was introduced earlier for problems that involve both fluid-solid interfaces that are accurately tracked with a moving mesh method and fluid-fluid interfaces that are too complex to track and therefore treated with an interface-capturing technique. In our numerical model, fluid-solid interfaces are handled with the moving Lagrangian interface technique (MLIT) and fluid-fluid interfaces with the edge-tracked interface locator technique (ETILT). The mixed technique is tested in computation of a fluid-particle interaction problem in the presence of a fluid-fluid interface impacted by the particle. Copyright (c) 2007 John Wiley &amp; Sons, Ltd.</t>
  </si>
  <si>
    <t>Celentano, Diego/JQW-5027-2023; Cruchaga, Marcela/M-7522-2014; Tezduyar, Tayfun/F-6134-2012</t>
  </si>
  <si>
    <t>Cruchaga, Marcela/0000-0002-8708-2402; Tezduyar, Tayfun/0000-0001-8707-3162</t>
  </si>
  <si>
    <t>6-8</t>
  </si>
  <si>
    <t>10.1002/fld.1498</t>
  </si>
  <si>
    <t>WOS:000247639000023</t>
  </si>
  <si>
    <t>Bahiana, M; Amaral, FS; Allende, S; Altbir, D</t>
  </si>
  <si>
    <t>Bahiana, M.; Amaral, F. S.; Allende, S.; Altbir, D.</t>
  </si>
  <si>
    <t>Reversal modes in arrays of interacting magnetic Ni nanowires: Monte Carlo simulations and scaling technique</t>
  </si>
  <si>
    <t>The effect of dipolar interactions in hexagonal arrays of Ni nanowires has been investigated by means of Monte Carlo simulations combined with a scaling technique, which allows the investigation of the internal structure of the wires. A strong dependence of the coercivity and remanence on the distance between wires has been observed. At intermediate packing densities the coercivity exhibits a maximum, higher than the noninteracting value. This behavior, experimentally observed, has been explained on grounds of the interwire dipolar interactions. Also, different reversal modes of the magnetization have been identified.</t>
  </si>
  <si>
    <t>Altbir, Dora/R-6781-2018</t>
  </si>
  <si>
    <t>Altbir, Dora/0000-0002-2945-4909</t>
  </si>
  <si>
    <t>2469-9950</t>
  </si>
  <si>
    <t>2469-9969</t>
  </si>
  <si>
    <t>10.1103/PhysRevB.74.174412</t>
  </si>
  <si>
    <t>WOS:000242409000083</t>
  </si>
  <si>
    <t>Armijo, F; Ferraudi, G; Isaacs, F; Aguirre, MJ; Costamagna, J</t>
  </si>
  <si>
    <t>On the photo- and electro-induced polymerization of M(tetrakis(x-aminophenyl)porphyrin), where x=2,3 or 4 and M = Zn(II) or Ni(II)</t>
  </si>
  <si>
    <t>Reactions of photochemically or radiolytically generated radicals with tetrakis(x-aminophenyl)porphyrin, tapp(2-),initiate the polymerization of the porphyrin complexes Mtapp, where M = Ni or Zn. In the photochemical process, the porphyrin-centered excited state of Mtapp reacts with the ground state to generate oxidized and reduced radical species. The cationic radical, M(tapp(+)), appears to be the initiator of the porphyrin polymerization. An electron transfer reaction between the excited state of Mtapp and a Co(III) complex generates also the cation radical and initiates the polymerization process. Pulse radiolytically generated Cl-2(-) and OH- radicals were also able to initiate the polymerization of the porphyrin complexes. (c) 2006 Elsevier B.V. All rights reserved.</t>
  </si>
  <si>
    <t>Armijo, Francisco/G-3391-2013; Aguirre, Maria/A-3935-2013</t>
  </si>
  <si>
    <t>Armijo, Francisco/0000-0002-2479-6280; Aguirre, Maria/0000-0003-1134-4469</t>
  </si>
  <si>
    <t>APR 25</t>
  </si>
  <si>
    <t>10.1016/j.ica.2005.08.036</t>
  </si>
  <si>
    <t>WOS:000236960800041</t>
  </si>
  <si>
    <t>On a semilinear parabolic system of reaction-diffusion with absorption</t>
  </si>
  <si>
    <t>ASYMPTOTIC ANALYSIS</t>
  </si>
  <si>
    <t>We consider the semilinear parabolic system with absorption terms in a bounded domain Omega of R-N (GRAPHICS) where p, q&gt;0 and k, lgreater than or equal to0, with Dirichlet or Neuman conditions on partial derivativeOmega x (0,infinity). We study the existence and uniqueness of the Cauchy problem when the initial data are L-1 functions or bounded measures. We find invariant regions when u(0), v(0) are nonnegative, and give sufficient conditions for positivity or extinction in finite time.</t>
  </si>
  <si>
    <t>0921-7134</t>
  </si>
  <si>
    <t>WOS:000186449500003</t>
  </si>
  <si>
    <t>Antonova, EE; Ermakova, NO; Stepanova, MV; Teltzov, MV</t>
  </si>
  <si>
    <t>Sibeck, DG; Zastenker, GN</t>
  </si>
  <si>
    <t>The influence of the energetic tails of ion distribution function on the main parameter of the theory of field-aligned current splitting and Intercosmos-Bulgaria-1300 observations</t>
  </si>
  <si>
    <t>PLASMA PROCESSES IN THE NEAR-EARTH SPACE: INTERBALL AND BEYOND</t>
  </si>
  <si>
    <t>COSPAR Colloquium on Plasma Processes in the Near-Earth Space</t>
  </si>
  <si>
    <t>FEB 05-10, 2002</t>
  </si>
  <si>
    <t>SOFIA, BULGARIA</t>
  </si>
  <si>
    <t>Bulgarian Acad Sci,Finnish Meteorol Inst</t>
  </si>
  <si>
    <t>The theory of hot plasma stratification in the region of upward field-aligned current suggests the condition of the magnetostatic equilibrium and plasma pressure variation directly related to magnetospheric potential variation. This theory was developed using a Maxwellian shape for the plasma distribution function and the assumption of a definite temperature. Such an approximation underestimate the contribution of energetic particles to the plasma pressure. The use of kappa distributions, alternatively, results in a more correct value of the main parameter of the theory of hot plasma splitting. The theoretical analysis is compared with the results of experimental observations published by Antonova et al., 1998. (C) 2003 COSPAR. Published by Elsevier Science Ltd. All rights reserved.</t>
  </si>
  <si>
    <t>10.1016/S0273-1177(02)00935-3</t>
  </si>
  <si>
    <t>WOS:000184540900010</t>
  </si>
  <si>
    <t>Pizarro, M; Lissi, EA; Marshall, G; San Martin, A; Leighton, F</t>
  </si>
  <si>
    <t>Spontaneous urinary chemiluminescence and diet. An intervention study in humans</t>
  </si>
  <si>
    <t>LUMINESCENCE</t>
  </si>
  <si>
    <t>Spontaneous urinary visible chemiluminiscence has been measured in samples from a diet intervention study in humans. For a month, two groups, each of 21 male volunteers, received either a Mediterranean-type diet or an occidental (high-fat) diet. Urinary chemiluminescence levels (in 10(3) cpm) were 8.5 +/- 3.1 and 6.0 +/- 2.0 for the high-fat and Mediterranean-type diets, respectively. The differences obtained were statistically significant. These results reflect differences in the oxidative stress associate to both diets and support the proposal that spontaneous urinary chemiluminiscence constitutes a complementary index of systemic oxidative stress. Copyright (C) 2001 John Wiley &amp; Sons, Ltd.</t>
  </si>
  <si>
    <t>San Martin, Alejandra/HDN-0012-2022; Marshall, Guillermo/F-2302-2011</t>
  </si>
  <si>
    <t>San Martin, Alejandra/0000-0002-4620-1591</t>
  </si>
  <si>
    <t>1522-7235</t>
  </si>
  <si>
    <t>1522-7243</t>
  </si>
  <si>
    <t>10.1002/bio.662</t>
  </si>
  <si>
    <t>WOS:000171848100005</t>
  </si>
  <si>
    <t>Delgado, A; Klimov, AB; Retamal, JC; Saavedra, C</t>
  </si>
  <si>
    <t>Macroscopic field superpositions from collective interactions</t>
  </si>
  <si>
    <t>We study the generation of both coherent superpositions and mixtures of field states through the interaction of an initially coherent field state with a collection of two-level atoms. The proposed scheme to build up a given superposition is based on effective dispersive interactions which arise from both the large detuning limit and the strong-field limit. The coherent superposition is obtained by interacting with a classical field after the cluster leaves the cavity followed by a measurement of the atomic population.</t>
  </si>
  <si>
    <t>Retamal, Juan/G-6425-2010; Klimov, Andrei/I-5785-2015; Saavedra, Carlos/C-4262-2008; Delgado, Aldo/M-1707-2014</t>
  </si>
  <si>
    <t>Retamal Abarzua, Juan Carlos/0000-0002-7174-7879; Klimov, Andrei/0000-0001-8493-721X; Saavedra, Carlos/0000-0003-3156-3853; Delgado, Aldo/0000-0002-8968-5733</t>
  </si>
  <si>
    <t>10.1103/PhysRevA.58.655</t>
  </si>
  <si>
    <t>WOS:000074790500084</t>
  </si>
  <si>
    <t>Mujica, N; Melo, F</t>
  </si>
  <si>
    <t>Solid-liquid transition and hydrodynamic surface waves in vibrated granular layers</t>
  </si>
  <si>
    <t>Experiments on thin layers of granular material subjected to vertical vibration have revealed a series of subharmonic bifurcations from flat surface to standing wave patterns. From pressure and surface dilation measurements we show that a solid-liquid-type transition precedes surface wave bifurcation, indicating that these waves are associated with the fluidlike behavior of the layer. Also, we show that depending on the excitation frequency two kinds of waves can be distinguished: hydrodynamic waves which involve lateral transfer of grains within the layer, and dilation waves for which the layer slightly dilates and compacts alternatively in time and space.</t>
  </si>
  <si>
    <t>Melo, Francisco/M-3923-2014; Mujica, Nicolas/J-3646-2014</t>
  </si>
  <si>
    <t>Melo, Francisco Esteban/0000-0001-6818-5476; Mujica, Nicolas/0000-0003-4724-6246</t>
  </si>
  <si>
    <t>10.1103/PhysRevLett.80.5121</t>
  </si>
  <si>
    <t>WOS:000074011900024</t>
  </si>
  <si>
    <t>Encinas, MV; Previtali, CM; Gehlen, MH; Neumann, MG</t>
  </si>
  <si>
    <t>The interaction of aliphatic amines with safranine T in aqueous solution</t>
  </si>
  <si>
    <t>JOURNAL OF PHOTOCHEMISTRY AND PHOTOBIOLOGY A-CHEMISTRY</t>
  </si>
  <si>
    <t>The photophysics of the excited states of safranine T and its reactions with aliphatic amines were studied in aqueous solution. The fluorescence lifetime of the singlet state was found to be 1.3 ns at 20 degrees C in water, and increases in non-hydroxylic solvents. This state is quenched by trialkylamines with nearly diffusional rate constants. In addition to the intense absorption of the monoprotonated form of the triplet state at 820 nm, a weaker absorption at 420 nm was detected. The non-protonated form also has a residual absorption at 820 nm. The lifetime of the non-protonated triplet was found to be around 15 mu s. The monoprotonated triplet state of the dye is quenched by amines with rate constants of about 1 X 10(9) M(-1) s(-1), too high to be ascribed to a charge transfer mechanism. Similar to the reaction in organic solvents, this reaction proceeds by a proton transfer mechanism, leading to the non-protonated form of the triplet state. This form is then quenched by another amine molecule to give the corresponding semireduced species.</t>
  </si>
  <si>
    <t>Encinas, Maria/L-9686-2014; Neumann, Miguel/AAM-1395-2021; Gehlen, Marcelo/I-7311-2013</t>
  </si>
  <si>
    <t>Gehlen, Marcelo/0000-0001-9698-8284</t>
  </si>
  <si>
    <t>1010-6030</t>
  </si>
  <si>
    <t>MAR 8</t>
  </si>
  <si>
    <t>10.1016/1010-6030(95)04218-0</t>
  </si>
  <si>
    <t>WOS:A1996UE06400022</t>
  </si>
  <si>
    <t>BAZAES, S; GOLDIE, H; CARDEMIL, E; JABALQUINTO, AM</t>
  </si>
  <si>
    <t>IDENTIFICATION OF REACTIVE LYSINES IN PHOSPHOENOLPYRUVATE CARBOXYKINASES FROM ESCHERICHIA-COLI AND SACCHAROMYCES-CEREVISIAE</t>
  </si>
  <si>
    <t>FEBS LETTERS</t>
  </si>
  <si>
    <t>Escherichia coli and Saccharomyces cerevisiae phosphoenolpyruvate carboxykinases (PEPCKs), were inactivated by pyridoxal 5'-phosphate followed by reduction with sodium borohydride, Concomitantly with the inactivation, one pyridoxyl group was incorporated in each enzyme monomer. The modification and loss of activity was prevented in the presence of ADP plus Mn2+. After digestion of the modified protein with trypsin plus protease V-8, the labeled peptides were isolated by reverse-phase high-performance liquid chromatography and sequenced by gas-phase automatic Edman degradation. Lys(286) of bacterial PEPCK and Lys(289) of the yeast enzyme were identified as the reactive amino acid residues, The modified lysine residues are conserved in all ATP-dependent phosphoenolpyruvate carboxykinases described so far.</t>
  </si>
  <si>
    <t>0014-5793</t>
  </si>
  <si>
    <t>1873-3468</t>
  </si>
  <si>
    <t>FEB 27</t>
  </si>
  <si>
    <t>10.1016/0014-5793(95)00107-K</t>
  </si>
  <si>
    <t>WOS:A1995QK56700023</t>
  </si>
  <si>
    <t>HELLERLING, N; POILLERAT, G; KOENIG, JF; GAUTIER, JL; CHARTIER, P</t>
  </si>
  <si>
    <t>DOUBLE-CHANNEL ELECTRODE FLOW CELL (DCEFC) - APPLICATION TO THE ELECTROCATALYSIS OF THE OXYGEN REDUCTION ON OXIDE-FILMS</t>
  </si>
  <si>
    <t>International Symposium on Progress in Electrocatalysis: Theory and Practice</t>
  </si>
  <si>
    <t>SEP 13-15, 1993</t>
  </si>
  <si>
    <t>FERRARA, ITALY</t>
  </si>
  <si>
    <t>The design of a DCEFC with an exchangeable generator electrode made of a thin film of a pure oxide deposited on a conductive substrate is described. The cell was tested with Pt, and applied to the investigation of the oxygen reduction reaction (err) on film or pure copper manganite Cu1+xMn2-xO4 (0 &lt; x &lt; 0.4) spray deposited on nickel. The kinetics depends on the copper content, but is invariant with the electrode potential.</t>
  </si>
  <si>
    <t>König, Julia/GVS-7641-2022</t>
  </si>
  <si>
    <t>11-12</t>
  </si>
  <si>
    <t>10.1016/0013-4686(94)85152-2</t>
  </si>
  <si>
    <t>WOS:A1994PC03400031</t>
  </si>
  <si>
    <t>COSTAMAGNA, J; VARGAS, J; LATORRE, R; ALVARADO, A; MENA, G</t>
  </si>
  <si>
    <t>COORDINATION-COMPOUNDS OF COPPER, NICKEL AND IRON WITH SCHIFF-BASES DERIVED FROM HYDROXYNAPHTHALDEHYDES AND SALICYLALDEHYDES</t>
  </si>
  <si>
    <t>COORDINATION CHEMISTRY REVIEWS</t>
  </si>
  <si>
    <t>0010-8545</t>
  </si>
  <si>
    <t>10.1016/0010-8545(92)80030-U</t>
  </si>
  <si>
    <t>WOS:A1992JU43200003</t>
  </si>
  <si>
    <t>Cifuentes-Silva, E; Inostroza-Mondaca, M; Cabello-Verrugio, C; Retamal-Espinoza, M; Cancino-Jiménez, J</t>
  </si>
  <si>
    <t>Cifuentes-Silva, Eduardo; Inostroza-Mondaca, Mauricio; Cabello-Verrugio, Claudio; Retamal-Espinoza, Manuel; Cancino-Jimenez, Jorge</t>
  </si>
  <si>
    <t>A narrative review of multidisciplinary rehabilitation in juvenile idiopathic arthritis</t>
  </si>
  <si>
    <t>CLINICAL RHEUMATOLOGY</t>
  </si>
  <si>
    <t>Juvenile idiopathic arthritis (JIA) is a chronic condition affecting children, marked by persistent joint inflammation driven by innate and adaptive immune responses involving macrophages and T and B lymphocytes. These responses promote tissue damage and inflammation via elevated pro-inflammatory cytokines, while anti-inflammatory cytokines are also present, but without a clear linear relationship. JIA can result in long-term physical disabilities, making a multidisciplinary rehabilitation approach essential to enhance patients' quality of life. This approach includes a collaborative team addressing pain reduction, joint and muscle function improvement, and patient autonomy. Key interventions involve physical therapy to maintain and enhance joint mobility and muscle strength. Evidence suggests that physical exercise may modulate immune responses and pro-inflammatory cascades, critical in JIA pathogenesis. However, further studies are required to determine the most effective exercise protocols for this population and their specific immunomodulatory benefits. A narrative literature review was conducted using PubMed (2014-2024) with the terms juvenile idiopathic arthritis, rehabilitation, and exercise, supplemented by references from systematic reviews and meta-analyses, and additional historical data from Google Scholar. The search yielded 52 relevant articles, primarily involving pediatric subjects under 18 years. These studies highlight the multifaceted benefits of multidisciplinary management in JIA, including improved physical and functional outcomes. Despite promising evidence, further research is warranted to refine exercise protocols tailored to JIA, ensuring optimal therapeutic impact on inflammation and disease progression.</t>
  </si>
  <si>
    <t>Cabello-Verrugio, Claudio/AAD-1454-2020</t>
  </si>
  <si>
    <t>Inostroza Mondaca, Mauricio Angelo/0000-0002-9128-2079; Cancino Jimenez, Jorge Ivan/0000-0002-5183-6129</t>
  </si>
  <si>
    <t>0770-3198</t>
  </si>
  <si>
    <t>1434-9949</t>
  </si>
  <si>
    <t>10.1007/s10067-025-07407-x</t>
  </si>
  <si>
    <t>WOS:001451399200001</t>
  </si>
  <si>
    <t>Rivera, P; Torres, A; Pacheco, M; Romero, J; Arrieta, MP; Rodríguez-Mercado, F; Bruna, J</t>
  </si>
  <si>
    <t>Rivera, Patricia; Torres, Alejandra; Pacheco, Miguel; Romero, Julio; Arrieta, Marina P.; Rodriguez-Mercado, Francisco; Bruna, Julio</t>
  </si>
  <si>
    <t>Integration of Complexed Caffeic Acid into Poly(Lactic Acid)-Based Biopolymer Blends by Supercritical CO2-Assisted Impregnation and Foaming: Processing, Structural and Thermal Characterization</t>
  </si>
  <si>
    <t>Conventional techniques for incorporating active ingredients into polymeric matrices are accompanied by certain disadvantages, primarily attributable to the inherent characteristics of the active ingredient itself, including its sensitivity to temperature. A potential solution to these challenges lies in the utilization of supercritical carbon dioxide (scCO2) for the formation of polymeric foam and the incorporation of active ingredients, in conjunction with the encapsulation of inclusion complexes (ICs), to ensure physical stability and augmented bioactivity. The objective of this study was to assess the impact of IC impregnation and subsequent foam formation on PLA films and PLA/PBAT blends that had been previously impregnated. The study's methodology encompassed the formation and characterization of ICs with caffeic acid (CA) and beta-cyclodextrin (beta-CD), along with the thermal, structural, and morphological properties of the resulting materials. Higher incorporation of impregnated IC into the PLA(42)/PBAT(58) blend was observed at 12 MPa pressure and a depressurization rate of 1 MPa/min. The presence of IC, in addition to a lower rate of expansion, contributed to the formation of homogeneous cells with a size range of 4-44 um. On the other hand, the incorporation of IC caused a decrease in the crystallinity of the PLA fraction due to the interaction of the complex with the polymer. This study makes a significant contribution to the advancement of knowledge on the incorporation of compounds encapsulated in beta-CD by scCO2, as well as to the development of active materials with potential applications in food packaging.</t>
  </si>
  <si>
    <t>bruna, julio/AAM-6867-2021; Arrieta Dillon, Marina/F-9067-2016; Rodríguez, Francisco/I-5283-2018</t>
  </si>
  <si>
    <t>Romero, Julio/0000-0002-1229-1592</t>
  </si>
  <si>
    <t>MAR 18</t>
  </si>
  <si>
    <t>10.3390/polym17060803</t>
  </si>
  <si>
    <t>WOS:001452258500001</t>
  </si>
  <si>
    <t>Sottolichio, AJ; Ponce, HR; Cabezas, GR</t>
  </si>
  <si>
    <t>Sottolichio, Alejandro J.; Ponce, Hector R.; Cabezas, German Rojas</t>
  </si>
  <si>
    <t>Negative emotions' impact on consumer satisfaction and loyalty due to failures in financial services: application of the affective-cognitive model</t>
  </si>
  <si>
    <t>ACADEMIA-REVISTA LATINOAMERICANA DE ADMINISTRACION</t>
  </si>
  <si>
    <t>PurposeWe examine negative emotions' influence on consumer satisfaction and loyalty when repurchasing a product or service after experiencing failures in the financial services sector.Design/methodology/approachThe sample comprised 735 valid surveys of customers who encountered such service failures. An initial model incorporating 14 negative emotions was narrowed down to the most robust one, comprising three emotions, after data collection and statistical validation.FindingsConsumer dissatisfaction is explained by affective (pleasure) rather than cognitive factors (disconfirmation) in the financial services context. Loyalty is influenced only by affective (pleasure and activation) rather than cognitive elements (disconfirmation) in the dissatisfaction generation process, indicating that loyalty is not a cognitive but an affective one. Finally, an affective judgment (activation) rather than a cognitive one (disconfirmation) explains consumer's recommendation of a product or service despite encountering failures.Originality/valueThis is the first study to focus exclusively on negative emotions, revealing that the pleasure dimension is a significant antecedent of dissatisfaction. By demonstrating that emotional factors rather than cognitive assessments dominate both satisfaction and loyalty responses, this study offers a unique contribution to understanding consumer behavior after service failures in financial services, with practical implications for service recovery strategies. Prop &amp; oacute;sitoEste estudio examina el impacto de las emociones negativas en la satisfacci &amp; oacute;n y lealtad del consumidor al volver a adquirir un producto o servicio despu &amp; eacute;s de experimentar fallas en el sector de servicios financieros.Dise &amp; ntilde;o/metodolog &amp; iacute;a/enfoqueLa muestra incluy &amp; oacute; 735 encuestas v &amp; aacute;lidas de clientes que enfrentaron dichas fallas en el servicio. Un modelo inicial que incorporaba 14 emociones negativas se redujo, tras la recolecci &amp; oacute;n de datos y la validaci &amp; oacute;n estad &amp; iacute;stica, a un modelo m &amp; aacute;s robusto que comprende tres emociones.HallazgosLa insatisfacci &amp; oacute;n del consumidor se explica por factores afectivos (agrado) en lugar de cognitivos (desconfirmaci &amp; oacute;n) en el contexto de servicios financieros. La lealtad est &amp; aacute; influenciada &amp; uacute;nicamente por elementos afectivos (agrado y activaci &amp; oacute;n) y no por elementos cognitivos (desconfirmaci &amp; oacute;n) en el proceso de generaci &amp; oacute;n de insatisfacci &amp; oacute;n, lo que indica que la lealtad no es de naturaleza cognitiva, sino afectiva. Finalmente, un juicio afectivo (activaci &amp; oacute;n), m &amp; aacute;s que uno cognitivo (desconfirmaci &amp; oacute;n), explica la recomendaci &amp; oacute;n de un producto o servicio por parte del consumidor, incluso tras haber enfrentado fallas.Originalidad/valorEste es el primer estudio que se enfoca exclusivamente en las emociones negativas, revelando que la dimensi &amp; oacute;n de agrado es un antecedente significativo de la insatisfacci &amp; oacute;n. Al demostrar que los factores emocionales, m &amp; aacute;s que las evaluaciones cognitivas, dominan tanto las respuestas de satisfacci &amp; oacute;n como de lealtad, este estudio ofrece una contribuci &amp; oacute;n &amp; uacute;nica para comprender el comportamiento del consumidor tras fallas en los servicios financieros, con implicaciones pr &amp; aacute;cticas para las estrategias de recuperaci &amp; oacute;n del servicio.</t>
  </si>
  <si>
    <t>Ponce, Hector/H-9545-2019</t>
  </si>
  <si>
    <t>Rojas Cabezas, German/0000-0003-4038-1592; SOTTOLICHIO, ALEJANDRO/0009-0008-8999-0958; Ponce, Hector R./0000-0002-7984-3945</t>
  </si>
  <si>
    <t>1012-8255</t>
  </si>
  <si>
    <t>2056-5127</t>
  </si>
  <si>
    <t>2025 JAN 9</t>
  </si>
  <si>
    <t>10.1108/ARLA-04-2024-0056</t>
  </si>
  <si>
    <t>JAN 2025</t>
  </si>
  <si>
    <t>WOS:001390608400001</t>
  </si>
  <si>
    <t>Perez, E</t>
  </si>
  <si>
    <t>Perez, Eva</t>
  </si>
  <si>
    <t>Unintended pregnancy and college dropout in Chile: An unequal relationship in the construction of human capital in the absence of parental support</t>
  </si>
  <si>
    <t>PUNTO GENERO</t>
  </si>
  <si>
    <t>University dropout rates in Chile are highest during the first and second years of undergraduate studies, varying according to program, gender, and financial resources. This qualitative study explores institutional dynamics in the construction of human capital among women who are mothers, focusing on dropout in the absence of parental support policies. The study was conducted with female university students in the Metropolitan Region who experienced unintended pregnancies. These women, due to cultural constructions that subordinate the feminine, assumed primary responsibility for childcare, facing tensions between family life and personal development. After childbirth, change in time management and increased financial costs were observed, revealing institutional barriers that hindered academic progress towards timely graduation. The research underscores the need for an intersectional approach to understand how the lack of formal parental support measures reproduce inequalities within the educational system.</t>
  </si>
  <si>
    <t>0719-0417</t>
  </si>
  <si>
    <t>10.5354/2735-7473.2024.77301</t>
  </si>
  <si>
    <t>WOS:001395518300010</t>
  </si>
  <si>
    <t>Zambrano-Angulo, M; Cárdenas-Jirón, G</t>
  </si>
  <si>
    <t>Zambrano-Angulo, Michael; Cardenas-Jiron, Gloria</t>
  </si>
  <si>
    <t>Understanding the nature of the adsorption of Zn(II)/Si(IV) phthalocyanines on anatase TiO2 and rutile SnO2</t>
  </si>
  <si>
    <t>Context The zinc (II) and silicon (IV) phthalocyanine adsorption on a TiO2 and SnO2 semiconductor surface was investigated using the density functional theory. Several effects were studied: the semiconductor (TiO2, SnO2), the central metal atom in the phthalocyanine (Zn, Si), the substituent groups in the phthalocyanine, and the anchor group (anhydrous, carboxyl) connecting the phthalocyanine with the semiconductor. The application of methodologies to study the intermolecular interactions predicted a stronger zinc and silicon phthalocyanine adsorption with carboxyl than anhydrous. Adsorption energies for phthalocyanines anchored by a carboxyl group indicate a stronger adsorption for TiO2 than for SnO2 with energy differences of up to 7 eV. The presence of coordinative and more van der Waals interactions in TiO2 can explain this. This work is carried out to understand the interaction between phthalocyanines and the semiconductor surface, a crucial aspect of the efficient performance of solar cells. Methods We modeled two semiconductor surfaces in extended configuration (TiO2 and SnO2), which were optimized with the GGA-PBE exchange-correlation functional for solids, including the Grimme's correction dispersion (D3). The meta-GGA TB09LDA exchange-correlation functional was employed to calculate the band gap energy of the semiconductors. The adsorption energies of the phthalocyanines adsorbed on the semiconductors were determined with GGA-PBE-D3 and corrected by the counterpoise method. The nature of the intermolecular interactions in the adsorption was analyzed using the non-covalent interactions (NCI) based on the promolecular approximation of electron density. These interactions were quantifiable by employing the intrinsic bond strength index (IBSI). We used the QuantumATK and the Multiwfn packages for all the calculations.</t>
  </si>
  <si>
    <t>10.1007/s00894-024-06211-9</t>
  </si>
  <si>
    <t>WOS:001359095100003</t>
  </si>
  <si>
    <t>Espinosa-Méndez, C; Maquieira, C; Arias, JT</t>
  </si>
  <si>
    <t>Espinosa-Mendez, Christian; Maquieira, Carlos; Arias, Jose Tomas</t>
  </si>
  <si>
    <t>ESG performance on the value of family firms: international evidence during Covid-19</t>
  </si>
  <si>
    <t>HUMANITIES &amp; SOCIAL SCIENCES COMMUNICATIONS</t>
  </si>
  <si>
    <t>The link between the financial success of family companies during COVID-19 and their environmental, social, and governance (ESG) performance is examined for the first time in this research. We have a natural setting in the COVID-19 era to see if the market rewards family-run firms that integrate social and environmental concerns into their goals during uncertain times. Since they can enhance their image and reputation, which the market values, these companies are likely to pursue broader social objectives, such as environmental improvement (socioemotional wealth perspective); alternatively, managers can act as stewards of the family's interests by using these initiatives to increase the company's value (stewardship perspective). However, it is also possible that in this type of companies economic interests prevail over social wellness (amoral familism). Therefore, family-owned firms could be reluctant to implement ESG practices unless they yield certain socioemotional benefits, including enhancing or maintaining their reputation in the public eye. In light of the above, we use an international display of the 500 biggest family firms in the world from 2015 to 2021. Taking into account an endogenous relationship between ESG performance and family business value, the study uses generalized moments to construct a dynamic panel (GMM). The primary conclusion is that there is a positive correlation between corporate valuation and ESG performance. Nonetheless, it has been noted that the performance of the companies is negatively impacted during the COVID-19 period. However, for firms with superior ESG performance, this negative impact did not exist over this period, supporting the idea that investors view better ESG performance as a prediction of future good stock performance. The results have a variety of implications. To begin with, this study adds to the body of knowledge on the environmentally friendly and sustainable expansion of family companies by providing recommendations for investors and businesses to better understand the influence of ESG on the profitability of family businesses. Furthermore, managers have to concentrate on enhancing the ESG performance of their organizations as it has the potential to increase value, draw in investments, encourage sustainability, control risks, affect earnings, and interact with the ownership structure. Additionally, managers need to consider how important it is to have a strong ESG performance in order to mitigate the negative effects of external crises like the COVID-19 epidemic. It's crucial to remember that the precise impact might change based on the sector and other aspects unique to each company.</t>
  </si>
  <si>
    <t>Arias, Jose/0000-0001-8126-5948; Maquieira, Carlos/0000-0001-5710-4669</t>
  </si>
  <si>
    <t>2662-9992</t>
  </si>
  <si>
    <t>MAY 8</t>
  </si>
  <si>
    <t>10.1057/s41599-024-03074-6</t>
  </si>
  <si>
    <t>WOS:001216163100008</t>
  </si>
  <si>
    <t>Conejero, J; Garibo-i-Orts, O; Lizama, C</t>
  </si>
  <si>
    <t>Alberto Conejero, J.; Garibo-i-Orts, Oscar; Lizama, Carlos</t>
  </si>
  <si>
    <t>A new paradigm in the logistic and similar maps: time stepping schemes</t>
  </si>
  <si>
    <t>REVISTA DE LA REAL ACADEMIA DE CIENCIAS EXACTAS FISICAS Y NATURALES SERIE A-MATEMATICAS</t>
  </si>
  <si>
    <t>We propose the qualitative mathematical analysis of discrete models by replacing the classical Euler scheme of order 1 with Lubich quadrature time-stepping schemes. As the first study with this new paradigm, we compare the bifurcation diagrams for the logistic and sine maps obtained from discretizations of orders 1, 2, and 1/2.</t>
  </si>
  <si>
    <t>Conejero, J. Alberto/0000-0003-3681-7533; Garibo i Orts, Oscar/0000-0001-8089-1904</t>
  </si>
  <si>
    <t>1578-7303</t>
  </si>
  <si>
    <t>1579-1505</t>
  </si>
  <si>
    <t>10.1007/s13398-024-01578-z</t>
  </si>
  <si>
    <t>WOS:001189236100002</t>
  </si>
  <si>
    <t>Lizama, C; Warma, M</t>
  </si>
  <si>
    <t>Lizama, Carlos; Warma, Mahamadi</t>
  </si>
  <si>
    <t>The semi-discrete diffusion convection equation with decay</t>
  </si>
  <si>
    <t>APPLIED MATHEMATICS LETTERS</t>
  </si>
  <si>
    <t>In this paper we find the fundamental solution of the semi-discrete diffusion convection equation with decay, and we show that under a certain combination of the parameters of the equation said fundamental solution constitutes a uniformly continuous semigroup of operators in the Lebesgue spaces l(p) (Z),1 &lt;= p &lt;= infinity</t>
  </si>
  <si>
    <t>0893-9659</t>
  </si>
  <si>
    <t>1873-5452</t>
  </si>
  <si>
    <t>10.1016/j.aml.2023.108979</t>
  </si>
  <si>
    <t>WOS:001155853700001</t>
  </si>
  <si>
    <t>Yañez, JO; Paillán, IP; Melín, AI</t>
  </si>
  <si>
    <t>Yanez, Jose Orellana; Paillan, Ignacio Pozo; Melin, Anita Ika</t>
  </si>
  <si>
    <t>Rapa Nui and Law 21.070. An Interpretative Analysis from the Chilean Geopolitical Claim</t>
  </si>
  <si>
    <t>ESTUDIOS AVANZADOS</t>
  </si>
  <si>
    <t>Infrastructure is a requirement for global economic competitiveness. In Latin America, in recent decades, this requirement has given rise to multiple projects influenced by foreign investment and finance models and international development organizations. However, these projects also generated disputes around resource appropriation, land use changes, and their environmental and social impacts. To reduce social friction, technocratic models of environmental governance have been implemented, such as Environmental Impact Assessment. Far from resolving the conflicts, these models became the object of political and ethical struggles. What are the peculiarities of these struggles? How do they impact project planning and implementation? Our analysis focuses on two infrastructure projects in Mexico and Argentina: An international airport and a hydroelectric dam. We revisit ethnographic observations and interviews with different actors involved with the projects. We also analyze documents, resolutions issued by environmental authorities, and critical reports on them. The forms of inclusion and exclusion that we detect in these documents constitute a political logic that helps to explain the form and content of the technical disputes that arise from infrastructure projects in Latin America.</t>
  </si>
  <si>
    <t>0718-5022</t>
  </si>
  <si>
    <t>0718-5014</t>
  </si>
  <si>
    <t>10.35588/estudav.v0i38.5793</t>
  </si>
  <si>
    <t>WOS:001026183000003</t>
  </si>
  <si>
    <t>de Carvalho, JB; Giannichi, B; Ferrari, G; Tomita, LY; Paiva, LD; Adami, F; Rezende, LFM</t>
  </si>
  <si>
    <t>de Carvalho, Joana Brant; Giannichi, Beatriz; Ferrari, Gerson; Tomita, Luciana Yuki; Paiva, Laercio da Silva; Adami, Fernando; Rezende, Leandro F. M.</t>
  </si>
  <si>
    <t>Economic burden of cancer attributable to overweight in the Brazilian Unified Health System</t>
  </si>
  <si>
    <t>JOURNAL OF CANCER POLICY</t>
  </si>
  <si>
    <t>Background: Alongside the rising prevalence of overweight and obesity in Brazil, there is expected to be increased direct healthcare costs of cancers. Herein, we estimated the economic costs of cancer attributable to overweight in the Brazilian Unified Health System (SUS), according to sex, type of cancer and geographic location (Federative Units). Methods: The population attributable fraction (PAF) of fifteen types of cancer were estimated using body mass index (BMI) data of 85,715 adults (&gt;= 20 years) involved in the 2019 National Health Survey and relative risks of cancers from a meta-analysis. Inpatients and outpatient procedures and costs of cancer treatment were obtained from the SUS systems. Results: Costs of cancers included in this study were Int$ 1 billion in 2019, of which 9 % or Int$ 95 million were attributable to overweight and obesity. PAFs were higher in men (11 %) than in women (8 %), while the attributable cancer costs were higher in women (Int$ 55 million) than in men (Int$ 40 million). Cancers with the highest PAFs were endometrial cancer (40 %) and esophageal cancer (26 %), whereas cancers with the highest attributable costs were colorectal cancer (Int$ 25 million) and breast cancer (Int$ 24 million). Conclusion: Overweight was responsible for approximately Int$ 95 million (9 %) cancer direct healthcare cost in Brazil. Public policies and programs aimed at encouraging healthy diets and physical activity may decrease the economic burden of cancer in Brazil.</t>
  </si>
  <si>
    <t>Tomita, Luciana/O-5505-2018; Ferrari, Gerson/HHM-6173-2022; Ferrari, Gerson/P-1152-2014; TOMITA, LUCIANA/O-4713-2016; Rezende, Leandro/C-1724-2012</t>
  </si>
  <si>
    <t>Ferrari, Gerson/0000-0003-3177-6576; TOMITA, LUCIANA/0000-0002-9652-038X; Rezende, Leandro/0000-0002-7469-1399</t>
  </si>
  <si>
    <t>2213-5383</t>
  </si>
  <si>
    <t>10.1016/j.jcpo.2022.100345</t>
  </si>
  <si>
    <t>WOS:000836449400004</t>
  </si>
  <si>
    <t>Gil, Y; Castro-Alvarez, A; Fuentealba, P; Spodine, E; Aravena, D</t>
  </si>
  <si>
    <t>Gil, Yolimar; Castro-Alvarez, Alejandro; Fuentealba, Pablo; Spodine, Evgenia; Aravena, Daniel</t>
  </si>
  <si>
    <t>Lanthanide SMMs Based on Belt Macrocycles: Recent Advances and General Trends</t>
  </si>
  <si>
    <t>CHEMISTRY-A EUROPEAN JOURNAL</t>
  </si>
  <si>
    <t>Enhancement of axial magnetic anisotropy is the central objective to push forward the performance of Single-Molecule Magnet (SMM) complexes. In the case of mononuclear lanthanide complexes, the chemical environment around the paramagnetic ion must be tuned to place strongly interacting ligands along either the axial positions or the equatorial plane, depending on the oblate or prolate preference of the selected lanthanide. One classical strategy to achieve a precise chemical environment for a metal centre is using highly structured, chelating ligands. A natural approach for axial-equatorial control is the employment of macrocycles acting in a belt conformation, providing the equatorial coordination environment, and leaving room for axial ligands. In this review, we present a survey of SMMs based on the macrocycle belt motif. Literature systems are divided in three families (crown ether, Schiff-base and metallacrown) and their general properties in terms of structural stability and SMM performance are briefly discussed.</t>
  </si>
  <si>
    <t>Castro, Alejandro/HSH-9849-2023; Aravena, Daniel/F-2174-2011</t>
  </si>
  <si>
    <t>Castro-Alvarez, Alejandro/0000-0001-8360-8027; Aravena, Daniel/0000-0003-3140-4852; Fuentealba, Pablo/0000-0003-0581-1243; Gil Sanchez, Yolimar/0000-0002-1756-2726</t>
  </si>
  <si>
    <t>0947-6539</t>
  </si>
  <si>
    <t>1521-3765</t>
  </si>
  <si>
    <t>AUG 26</t>
  </si>
  <si>
    <t>e202200336</t>
  </si>
  <si>
    <t>10.1002/chem.202200336</t>
  </si>
  <si>
    <t>WOS:000818303900001</t>
  </si>
  <si>
    <t>Plens, JA; Valente, JY; Mari, JJ; Ferrari, G; Sanchez, ZM; Rezende, LFM</t>
  </si>
  <si>
    <t>Plens, Juliana A.; Valente, Juliana Y.; Mari, Jair J.; Ferrari, Gerson; Sanchez, Zila M.; Rezende, Leandro F. M.</t>
  </si>
  <si>
    <t>Patterns of alcohol consumption in Brazilian adults</t>
  </si>
  <si>
    <t>In this study, we aimed to describe the patterns of alcohol consumption in Brazilian adults by sociodemographic characteristics and states according to sex. Cross-sectional study including 87,555 adults from the 2019 Brazilian National Health Survey who responded to a questionnaire on alcohol consumption and were classified as non-drinkers (0 g/day), light (1-12.5 g/day), moderate (12.6-49.9 g/day), and heavy drinkers (&gt;= 50 g/day). Of the Brazilian adults, 73.5% were non-drinkers. Among the drinkers, 14.8% were light drinkers. 82.6% of heavy drinkers were men. White participants drank more than non-white participants, except black women who were 38% more likely to be moderate drinkers than white women (ROR 1.38, 95% CI 1.09 to 1.76). Unmarried were more likely to be drinkers. Women over 55 and men over 65 years old were less likely to be drinkers. Compared to participants with none or incomplete primary education, both men and women with higher educational attainment were more likely to be light and moderate drinkers. The largest consumption of alcohol was found in Sergipe and Mato Grosso for men, and Mato Grosso do Sul and Bahia for women. Our findings may be useful to inform policies for reducing alcohol consumption in Brazil.</t>
  </si>
  <si>
    <t>MARI, JAIR DE/A-7309-2008; Sanchez, Zila/AAA-2369-2019; Valente, Juliana/I-8042-2016; Ferrari, Gerson/HHM-6173-2022; Rezende, Leandro/C-1724-2012; Sanchez, Zila/F-7994-2010; Ferrari, Gerson/P-1152-2014</t>
  </si>
  <si>
    <t>Rezende, Leandro/0000-0002-7469-1399; Sanchez, Zila/0000-0002-7427-7956; Ferrari, Gerson/0000-0003-3177-6576; Y. Valente, Juliana/0000-0003-4408-2952</t>
  </si>
  <si>
    <t>MAY 21</t>
  </si>
  <si>
    <t>10.1038/s41598-022-12127-2</t>
  </si>
  <si>
    <t>WOS:000798485300008</t>
  </si>
  <si>
    <t>Falcón, WK; Melgar, MS; Silva, RM</t>
  </si>
  <si>
    <t>Falcon, Werther Kern; Melgar, Marco Schwartz; Silva, Ricardo Marchant</t>
  </si>
  <si>
    <t>Reduction of negative externalities due to the use of waste in product development: circular economy in the Chilean olive industry</t>
  </si>
  <si>
    <t>SCIENTIA AGROPECUARIA</t>
  </si>
  <si>
    <t>The circular economy, as a factor of sustainable development, is an innovative practice of resource allocation that considers the production of goods and the reuse of their waste. Society values the circular economy, since it contributes to the reduction of negative externalities arising from the operation of certain industries that generate waste that is harmful to the environment. In this work, the magnitude of the negative externality represented by the accumulation of the waste called 'alperujo' in the olive sector in Chile is evaluated, identifying, and validating new businesses developed from its reuse. For this purpose, a portfolio of viable options for the valorization of alperujo was constituted, based on a contextual analysis, the application of Product-Market Fit and the participation of a focus group, which allowed estimating the reduction of the negative externality, because of the use of alperujo. This industry externality comes from the generation of 120,000 t/year of waste, with an estimated value of USD 10.48 million. The alperujo, in the form of paste or extract, can be incorporated in the production of snacks, antioxidant drinks and yogurt. The sum of the NPV of the three businesses reaches USD 11.63 million, which allows compensating the estimated negative externality with a favorable margin, using 1.8% of the alperujo generated annually in Chile. This study contributes to the validation of the circular business model in a relevant sector of the Chilean export economy.</t>
  </si>
  <si>
    <t>Silva, Ricardo/AAM-7614-2020; Melgar, Marco/LKN-1993-2024</t>
  </si>
  <si>
    <t>Kern Falcon, Werther/0000-0002-3943-9702; Schwartz, Marco/0000-0001-9998-545X; Marchant, RICARDO/0000-0003-1494-5091</t>
  </si>
  <si>
    <t>2077-9917</t>
  </si>
  <si>
    <t>2306-6741</t>
  </si>
  <si>
    <t>10.17268/sci.agropecu.2022.002</t>
  </si>
  <si>
    <t>WOS:000788200600002</t>
  </si>
  <si>
    <t>Valentova, JV; Varella, MAC; Stravogiannis, ALD; Fernandez, AM; Saxton, T</t>
  </si>
  <si>
    <t>Shackelford, TK</t>
  </si>
  <si>
    <t>Valentova, Jaroslava Varella; Correa Varella, Marco Antonio; da Costa Stravogiannis, Andrea Lorena; Maria Fernandez, Ana; Saxton, Tamsin</t>
  </si>
  <si>
    <t>Female Sexual Jealousy</t>
  </si>
  <si>
    <t>CAMBRIDGE HANDBOOK OF EVOLUTIONARY PERSPECTIVES ON SEXUAL PSYCHOLOGY, VOL. 3: Female Sexual Adaptations</t>
  </si>
  <si>
    <t>Cambridge Handbooks in Psychology</t>
  </si>
  <si>
    <t>Varella, Marco/S-5492-2016; Varella Valentova, Jaroslava/K-8765-2012</t>
  </si>
  <si>
    <t>Varella Valentova, Jaroslava/0000-0002-2113-3385</t>
  </si>
  <si>
    <t>978-1-108-94800-5; 978-1-108-84429-1</t>
  </si>
  <si>
    <t>10.1017/9781108943567</t>
  </si>
  <si>
    <t>WOS:001064360200017</t>
  </si>
  <si>
    <t>Muñoz, C; González-Lorca, J; Parra, M; Soto, S; Valdes, N; Sandino, AM; Vargas, R; González, A; Tello, M</t>
  </si>
  <si>
    <t>Munoz, Carlos; Gonzalez-Lorca, Josue; Parra, Mick; Soto, Sarita; Valdes, Natalia; Maria Sandino, Ana; Vargas, Rodrigo; Gonzalez, Alex; Tello, Mario</t>
  </si>
  <si>
    <t>Lactococcus lactis Expressing Type I Interferon From Atlantic Salmon Enhances the Innate Antiviral Immune Response In Vivo and In Vitro</t>
  </si>
  <si>
    <t>In salmon farming, viruses are responsible for outbreaks that produce significant economic losses for which there is a lack of control tools other than vaccines. Type I interferon has been successfully used for treating some chronic viral infections in humans. However, its application in salmonids depends on the proper design of a vehicle that allows its massive administration, ideally orally. In mammals, administration of recombinant probiotics capable of expressing cytokines has shown local and systemic therapeutic effects. In this work, we evaluate the use of Lactococcus lactis as a type I Interferon expression system in Atlantic salmon, and we analyze its ability to stimulate the antiviral immune response against IPNV, in vivo and in vitro. The interferon expressed in L. lactis, even though it was located mainly in the bacterial cytoplasm, was functional, stimulating Mx and PKR expression in CHSE-214 cells, and reducing the IPNV viral load in SHK-1 cells. In vivo, the oral administration of this L. lactis producer of Interferon I increases Mx and PKR expression, mainly in the spleen, and to a lesser extent, in the head kidney. The oral administration of this strain also reduces the IPNV viral load in Atlantic salmon specimens challenged with this pathogen. Our results show that oral administration of L. lactis producing Interferon I induces systemic effects in Atlantic salmon, allowing to stimulate the antiviral immune response. This probiotic could have effects against a wide variety of viruses that infect Atlantic salmon and also be effective in other salmonids due to the high identity among their type I interferons.</t>
  </si>
  <si>
    <t>Tello, Mario/N-4198-2019; Valdes, Natalia/AAI-8151-2021; Vargas, Rodrigo/C-4720-2008; muñoz, carlos/AAN-9317-2020; González, Alex/GYU-3220-2022</t>
  </si>
  <si>
    <t>Gonzalez, Alex/0000-0001-9968-8623; valdes parra, Natalia/0000-0002-6884-7799; Tello, Mario/0000-0003-4573-6460</t>
  </si>
  <si>
    <t>AUG 12</t>
  </si>
  <si>
    <t>10.3389/fimmu.2021.696781</t>
  </si>
  <si>
    <t>WOS:000693838200001</t>
  </si>
  <si>
    <t>Pino-Rios, R; Solà, M</t>
  </si>
  <si>
    <t>Pino-Rios, Ricardo; Sola, Miquel</t>
  </si>
  <si>
    <t>The Relative Stability of Indole Isomers Is a Consequence of the Glidewell-Lloyd Rule</t>
  </si>
  <si>
    <t>Indole (1) is a heterocyclic aromatic compound consisting of a pyrrole ring (5MR) fused with a benzene ring (6MR). This compound is highly stable, found in several natural products, and is used as a building block for the synthesis of novel organic compounds. On the other hand, its isomers isoindole (2) and indolizine (3) are much less stable and are normally isolated when bonded to other stable compounds. The stability of these compounds has been analyzed in terms of local aromaticity using magnetic, geometric, and delocalization criteria. All criteria used indicate that there is a continuing reduction in aromaticity of the 6MR, whereas for the 5MR the aromaticity increases when going from 1 to 3. This is confirmed by Natural Resonance theory calculations indicating that the resonant structures which retain the aromaticity of the 5MR are the ones having the largest contribution. The results obtained suggest that the relative stability of indole isomers is a consequence of the Glidewell-Lloyd rule.</t>
  </si>
  <si>
    <t>; Sola, Miquel/A-6155-2009</t>
  </si>
  <si>
    <t>Pino Rios, Ricardo/0000-0003-4756-1115; Sola, Miquel/0000-0002-1917-7450</t>
  </si>
  <si>
    <t>JAN 14</t>
  </si>
  <si>
    <t>10.1021/acs.jpca.0c09549</t>
  </si>
  <si>
    <t>WOS:000611410000025</t>
  </si>
  <si>
    <t>Llorca-Jaña, M; Navarrete-Montalvo, J; Araya-Valenzuela, R; Droller, F; Allende, M; Rivas, J</t>
  </si>
  <si>
    <t>Llorca-Jana, Manuel; Navarrete-Montalvo, Juan; Araya-Valenzuela, Roberto; Droller, Federico; Allende, Martina; Rivas, Javier</t>
  </si>
  <si>
    <t>Height in twentieth-century Chilean men: growth with divergence</t>
  </si>
  <si>
    <t>CLIOMETRICA</t>
  </si>
  <si>
    <t>This article provides the first series of Chilean adult male height for the whole of the twentieth century. The height of adult males increased by about 5.5 cm during the twentieth century, primarily during the second half of this period. This is the greatest improvement in biological welfare in Chilean history; Chilean males have never been as tall as they are today. Using a sample of around 36,371 individuals, we document the evolution of the average height of Chilean soldiers (male) born from the 1900s to the 1990s. This sample can be safely taken as a good proxy of the average height of Chilean male population for the period under study. We provide an explanation of both the main determinants of physical stature and the rapid increase in height in Chile over this period.</t>
  </si>
  <si>
    <t>Droller, Federico/S-7630-2019; Rivas, Francisco/IUM-3499-2023; Llorca-Jaña, Manuel/AAB-9317-2020</t>
  </si>
  <si>
    <t>Llorca-Jana, Manuel/0000-0002-3937-6035</t>
  </si>
  <si>
    <t>1863-2505</t>
  </si>
  <si>
    <t>1863-2513</t>
  </si>
  <si>
    <t>10.1007/s11698-020-00205-2</t>
  </si>
  <si>
    <t>APR 2020</t>
  </si>
  <si>
    <t>WOS:000558452800001</t>
  </si>
  <si>
    <t>Gidi, L; Honores, J; Ibarra, J; Arce, R; Aguirre, MJ; Ramírez, G</t>
  </si>
  <si>
    <t>Gidi, Leyla; Honores, Jessica; Ibarra, Jose; Arce, Roxana; Aguirre, M. J.; Ramirez, Galo</t>
  </si>
  <si>
    <t>Study of the Hydrogen Evolution Reaction Using Ionic Liquid/Cobalt Porphyrin Systems as Electro and Photoelectrocatalysts</t>
  </si>
  <si>
    <t>CATALYSTS</t>
  </si>
  <si>
    <t>In this work, the design and manufacture of graphite paste (Gr) electrodes is carried out, including N-octylpyridinium hexafluorophosphate (OPyPF6) ionic liquid (IL) as binder and modification with Co-octaethylporphyrin (Co), in order to study the hydrogen evolution reaction (HER) in the absence and presence of light. The system is characterized by XRD and FESEM-EDX (Field Emission Scanning Electron Microscopy with Energy Dispersive X-Ray Spectroscopy), confirming the presence of all the components of the system in the electrode surface. The studies carried out in this investigation confirm that a photoelectrocatalytic system towards HER is obtained. The system is stable, efficient and easy to prepare. Through cyclic voltammetry and electrochemical impedance spectroscopy, was determined that these electrodes improve their electrochemical and electrical properties upon the addition of OPyPF6. These effects improve even more when the systems are modified with Co porphyrin. It is also observed that when the systems are irradiated at 395 nm, the redox process is favored in energy terms, as well as in its electrical properties. Through gas chromatography, it was determined that the graphite paste electrode in the presence of ionic liquid and porphyrin (Gr/IL/Co) presents a high turnover number (TON) value (6342 and 6827 in presence of light) in comparison to similar systems reported.</t>
  </si>
  <si>
    <t>Arce, Roxana/V-8140-2019; Aguirre, Maria/A-3935-2013</t>
  </si>
  <si>
    <t>Ramirez, Galo/0000-0002-6217-4730; Aguirre, Maria/0000-0003-1134-4469; , Jose Fernando Ibarra Ibarra/0009-0001-7426-1815; Honores Sotelo, Jessica/0000-0003-1172-4728; ARCE, ROXANA/0000-0002-1387-9232</t>
  </si>
  <si>
    <t>2073-4344</t>
  </si>
  <si>
    <t>10.3390/catal10020239</t>
  </si>
  <si>
    <t>WOS:000519998900097</t>
  </si>
  <si>
    <t>Araujo, K; Martuccelli, D</t>
  </si>
  <si>
    <t>Araujo, Kathya; Martuccelli, Danilo</t>
  </si>
  <si>
    <t>Problematizations of individualism in Latin America</t>
  </si>
  <si>
    <t>PERFILES LATINOAMERICANOS</t>
  </si>
  <si>
    <t>This paper addresses the question of why, despite a widespread recognition of the existence of an important set of individualistic manifestations in Latin America, there is a strong reluctance in these societies to interpret themselves from the framework of individualism. It argues that understanding this paradox demands to take into account the vicissitudes of the tension between a specific process of individuation (agentic individuation) and a political and juridical individualism in its liberal version. To develop this argument five major problematizations are established and discussed.</t>
  </si>
  <si>
    <t>Araujo, Kathya/B-5520-2014</t>
  </si>
  <si>
    <t>Araujo, Kathya/0000-0002-7314-3577</t>
  </si>
  <si>
    <t>0188-7653</t>
  </si>
  <si>
    <t>10.18504/pl2855-001-2020</t>
  </si>
  <si>
    <t>WOS:000503510700001</t>
  </si>
  <si>
    <t>Moreno, L; Codina, R; Baiges, J; Castillo, E</t>
  </si>
  <si>
    <t>Moreno, Laura; Codina, Ramon; Baiges, Joan; Castillo, Ernesto</t>
  </si>
  <si>
    <t>Logarithmic conformation reformulation in viscoelastic flow problems approximated by a VMS-type stabilized finite element formulation</t>
  </si>
  <si>
    <t>The log-conformation reformulation, originally proposed by Fattal and Kupferman (2004), allows computing incompressible viscoelastic problems with high Weissenberg numbers which are impossible to solve with the typical three-field formulation. By following this approach, in this work we develop a new stabilized finite element formulation based on the logarithmic reformulation using the Variational Multiscale (VMS) method as stabilization technique, together with a modified log-conformation formulation. Our approach follows the term-by-term stabilization proposed by Castillo and Codina (2014) for the standard formulation, which is more effective when there are stress singularities. The formulation can be used when the relaxation parameter is set to zero, and permits a direct steady numerical resolution. The formulation is validated in the classical benchmark flow past a cylinder and in the well-known planar contraction 4:1, achieving very accurate, stable and mesh independent results for highly elastic fluids. (C) 2019 Elsevier B.V. All rights reserved.</t>
  </si>
  <si>
    <t>Moreno Martínez, Laura/AFX-6764-2022; Baiges, Joan/D-3433-2014; Castillo, Ernesto/D-1612-2015; Codina, Ramon/I-2311-2014</t>
  </si>
  <si>
    <t>Castillo, Ernesto/0000-0001-7013-6008; Codina, Ramon/0000-0002-7412-778X; Moreno Martinez, Laura/0000-0002-8163-0877</t>
  </si>
  <si>
    <t>10.1016/j.cma.2019.06.001</t>
  </si>
  <si>
    <t>WOS:000474690000029</t>
  </si>
  <si>
    <t>Improved photoelectrocatalytic effect of Co(ii) and Fe(iii) mixed porphyrins on graphite paste electrodes towards hydrogen evolution reaction</t>
  </si>
  <si>
    <t>NEW JOURNAL OF CHEMISTRY</t>
  </si>
  <si>
    <t>The use of light in metallic complexes has been widely studied in the photoelectrocatalytic performance of the hydrogen evolution reaction (HER). This reaction produces gaseous hydrogen with potential use as a fuel in clean energy conversion systems, such as fuel cells. In this context, metalloporphyrins have shown remarkable activity in the catalysis of HER, which directly depends on the metallic center of the complex. In order to analyze the electrocatalytic effect of materials composed by a mixture of cobalt and iron octaethylporphyrins over graphite paste electrodes in the study of HER, in the absence and in the presence of light, we use voltammetric techniques to analyze the potential shift. In addition, a characterization of the electrodes by electrochemical impedance spectroscopy is carried out, showing a decrease in the charge transfer resistance of the modified electrodes when they are exposed to light. A determination of gaseous hydrogen produced through the use of this material was carried out by gas chromatography. In this research, the mixture of metalloporphyrins over the graphite paste electrode is more active than the independent complexes and it also improves the electric properties in the presence of light, obtaining gaseous hydrogen in an energy-efficient way. The TON found in this research (8100) is higher than in works performed with other systems, having as advantages stability and easy preparation.</t>
  </si>
  <si>
    <t>Aguirre, Maria/A-3935-2013; Arce, Roxana/V-8140-2019</t>
  </si>
  <si>
    <t>Ramirez, Galo/0000-0002-6217-4730; Honores Sotelo, Jessica/0000-0003-1172-4728; ARCE, ROXANA/0000-0002-1387-9232</t>
  </si>
  <si>
    <t>1144-0546</t>
  </si>
  <si>
    <t>1369-9261</t>
  </si>
  <si>
    <t>10.1039/c9nj02430a</t>
  </si>
  <si>
    <t>WOS:000482832200025</t>
  </si>
  <si>
    <t>Borges-Martínez, M; Alvarez, D; Montenegro-Pohlhammer, N; Menéndez, MI; López, R; Cárdenas-Jirón, G</t>
  </si>
  <si>
    <t>Borges-Martinez, Merlys; Alvarez, Daniel; Montenegro-Pohlhammer, Nicolas; Isabel Menendez, M.; Lopez, Ramon; Cardenas-Jiron, Gloria</t>
  </si>
  <si>
    <t>Assessment of BODIPY-Oxasmaragdyrin Dyads for Dye-Sensitized Solar Cells: Aromaticity, Photosensitization Capability, and Charge Transport</t>
  </si>
  <si>
    <t>Dye-sensitized solar cells (DSSC) are presented as an alternative among renewable energies where the dye plays an important role to obtain an effective device. Our goal in this work is to examine the influence of several bridging functional groups between the BODIPY and oxasmaragdyrin systems forming dyads (D), as potential components of DSSC, on the aromatic, photophysical, and charge transport properties. A set of 11 dyads made of the oxasmaragdyrin with 2,6-dimethoxyphenyl and methylamine groups in two of their meso carbons (S) and the 4,4-difluoro-4-bora-3a,4a-diaza-s-indacene (BODIPY, B) moieties that differ in the binding bridge between them has been analyzed with density functional theory (DFT). The geometries were optimized with the B3LYP/6-311G(d,p) level of theory employing D3 Grimme's correction, and a set of six functionals (B3LYP, BHandHLYP, CAM-B3LYP, PBE0, wB97X, TPSSh) was evaluated for reference systems in time-dependent DFT calculations. We found that TPSSh presents the best agreement with the available data of UV-vis spectra, so it was used for calculation of the electronic absorption spectra of the 11 oxasmaragdyrins and 11 dyads. When the bridge between S and B consists of one (D3), two (D5), or three acetylene units (D6), a strong absorption band in the infrared region around 1000 nm can be achieved. These bands correspond to charge-separated excited states that favor a panchromatic absorption in that region. The aromaticity index NICS(0) computed at the macrocycle center ring critical point using the GIAO/B3LYP/6-311G(d,p) level of theory shows in all these systems an aromatic character for the oxasmaragdyrin macrocycle (from -10.7 to -12.4 ppm). We also found that all dyads present a favorable electron injection toward the semiconductor TiO2 because the LUMO energy of the dyad is higher than the conduction band of the semiconductor (-4.3 eV) used in a solar cell. Besides, the HOMO energy of the dyads D3, D5, and D6 is lower than the redox potential (-4.8 eV) of a mediator as the I-/I3(-) system used to recover it after circulation of electrons. Nonequilibrium Green's function-based calculations performed for a couple of dyads, with (D6) and without (D4) a significant charge transfer band, connected to Au electrodes show that D6 was to be a better conductor, in agreement with the charge transfer results obtained from the photophysical properties. Finally, the Gibbs free energy for the formation of the dyads here investigated is calculated. All of them are shown to be exergonic reactions (Delta G(solution) &lt; 0), which suggests that these systems could be synthesized.</t>
  </si>
  <si>
    <t>Montenegro-Pohlhammer, Nicolas/HJZ-2914-2023; Alvarez Lorenzo, Daniel/KDO-5531-2024; Menendez/B-7698-2009; Cardenas-Jiron, Gloria/H-9508-2012; Lopez, Ramon/H-5078-2015</t>
  </si>
  <si>
    <t>Alvarez Lorenzo, Daniel/0000-0002-8918-9916; Menendez/0000-0002-5062-4319; Cardenas-Jiron, Gloria/0000-0003-4305-8088; Borges, Merlys/0000-0001-8130-1718; Montenegro-Pohlhammer, Nicolas/0000-0003-3574-2955; Lopez, Ramon/0000-0001-8899-705X</t>
  </si>
  <si>
    <t>10.1021/acs.jpcc.9b05136</t>
  </si>
  <si>
    <t>WOS:000481568900014</t>
  </si>
  <si>
    <t>Banguera, LA; Sepúlveda, JM; Ternero, R; Vargas, M; Vásquez, OC</t>
  </si>
  <si>
    <t>Banguera, Leonardo A.; Sepulveda, Juan M.; Ternero, Rodrigo; Vargas, Manuel; Vasquez, Oscar C.</t>
  </si>
  <si>
    <t>Reverse logistics network design under extended producer responsibility: The case of out-of-use tires in the Gran Santiago city of Chile</t>
  </si>
  <si>
    <t>INTERNATIONAL JOURNAL OF PRODUCTION ECONOMICS</t>
  </si>
  <si>
    <t>This paper seeks to describe several features of the reverse logistics network design under extended producer responsibility, in which the collection goals and penalties for the management system are established by a regulatory legal framework. To address this design network challenge, the paper develops a mixed integer linear programming model for capacitated facility location, which meets recycling targets and minimize the cost of fines in case of infeasibility, through relaxation of constraints. Consequently, the optimal flows, the configuration of collection, reprocessing and recycling facilities, and the estimation of the monetary transfers necessary for the feasible operation of the optimal management system are computed. To illustrate the usefulness of the proposed model, a numerical example based on the case of out-of-use tires (OUT) in the Gran Santiago city of Chile is considered. Forty-two scenarios are defined by a specific offer of OUT for the year 2020 and a possible ratio of OUT to be collected in the reverse logistic network imposed by the authorities. The obtained results show the optimal sets of service center, collection centers and reprocessing plants for each scenario, allowing to study the maximum benefit/minimum investment to develop a management system under the EPR national law.</t>
  </si>
  <si>
    <t>vargas, manuel/AAG-4780-2020</t>
  </si>
  <si>
    <t>Vasquez, Oscar C./0000-0002-1393-4692; Vargas Guzman, Manuel Eduardo/0000-0003-4161-6621; Sepulveda, Juan M./0000-0003-3755-0981</t>
  </si>
  <si>
    <t>0925-5273</t>
  </si>
  <si>
    <t>1873-7579</t>
  </si>
  <si>
    <t>10.1016/j.ijpe.2018.09.006</t>
  </si>
  <si>
    <t>WOS:000449241000016</t>
  </si>
  <si>
    <t>Lizama, C; Murillo-Arcila, M</t>
  </si>
  <si>
    <t>Lizama, Carlos; Murillo-Arcila, Marina</t>
  </si>
  <si>
    <t>Well posedness for semidiscrete fractional Cauchy problems with finite delay</t>
  </si>
  <si>
    <t>We address the study of well posedness on Lebesgue spaces of sequences for the following fractional semidiscrete model with finite delay Delta(alpha)u(n) = Tu(n) + beta u(n - tau) + f(n), n is an element of N, 0 &lt; alpha &lt;= 1, beta is an element of R, tau is an element of N-0, (0.1) where T is a bounded linear operator defined on a Banach space X (typically a space of functions like L-P(Omega), 1 &lt; p &lt; infinity) and Delta(alpha) corresponds to the time discretization of the continuous Riemann-Liouville fractional derivative by means of the Poisson distribution. We characterize the existence and uniqueness of solutions in vector-valued Lebesgue spaces of sequences of the model (0.1) in terms of boundedness of the operator-valued symbol ((z - 1)(alpha) z(1-alpha) I - beta z(-tau) - T)(-1), vertical bar z vertical bar = 1, z not equal 1, whenever 0 &lt; alpha &lt;= 1 and X satisfies a geometrical condition. For this purpose, we use methods from operator-valued Fourier multipliers and resolvent operator families associated to the homogeneous problem. We apply this result to show a practical and computational criterion in the context of Hilbert spaces. (C) 2017 Elsevier B.V. All rights reserved.</t>
  </si>
  <si>
    <t>Murillo, Marina/ABI-7284-2020; Lizama, Carlos/E-5909-2011</t>
  </si>
  <si>
    <t>Lizama, Carlos/0000-0002-9807-1100; murillo arcila, marina/0000-0001-6589-0452</t>
  </si>
  <si>
    <t>10.1016/j.cam.2017.07.027</t>
  </si>
  <si>
    <t>WOS:000432766400028</t>
  </si>
  <si>
    <t>Maldonado, M; Pinto, A; Magne, L; Gomez, CO; Finch, JA</t>
  </si>
  <si>
    <t>Maldonado, M.; Pinto, A.; Magne, L.; Gomez, C. O.; Finch, J. A.</t>
  </si>
  <si>
    <t>Gas holdup estimation using Maxwell equation in flotation systems: Revisited</t>
  </si>
  <si>
    <t>Estimation of gas holdup from electrical conductivity measurements has been used in lab and industrial installations. The approach is based on the application of Maxwell's model, which relates the concentration of a dispersed phase in a continuous medium to measurements of the electrical conductivity of the dispersed phase, continuous medium and the resulting mixture (dispersion). When applied to inferring the collection zone gas holdup in a three phase system and to facilitate real-time on-line measurement, the slurry is assumed to behave as the continuous medium and gas bubbles as a non-conducting dispersed phase. This article derives an equation for estimating gas holdup in a three phase system, eliminating the assumption that the slurry behaves as a continuous medium but rather as a dispersion of non-conducting solid particles in water. In this formulation only water behaves as the continuous medium in the sense of Maxwell, and gas holdup in a three phase system is then calculated from the application of the Maxwell model twice: (1) to determine solid content in a two-phase system, and (2) to determine solid plus gas holdup in a three phase system. To validate the new equation and quantify the errors incurred by assuming slurry is the continuous phase a laboratory flotation cell was instrumented to continuously measure the conductivity of two and three phase dispersions with known solids contents. As the amount of gas in a lab flotation machine is difficult to measure directly or by another indirect technique such as using pressure signals, 2.5 mm dielectric plastic spheres having a density of ca. 1.3 g/cm(3) were used instead of air bubbles for validation. Experimental results demonstrated that the continuous medium assumption underestimates gas holdup and that the resulting bias error increases linearly with the solid content and decreases with the magnitude of gas holdup. (C) 2016 Elsevier Ltd. All rights reserved.</t>
  </si>
  <si>
    <t>Magne, Luis/AAF-3890-2021</t>
  </si>
  <si>
    <t>10.1016/j.mineng.2016.04.005</t>
  </si>
  <si>
    <t>WOS:000385603200002</t>
  </si>
  <si>
    <t>Reyes-Cerpa, S; Reyes-López, F; Toro-Ascuy, D; Montero, R; Maisey, K; Acuña-Castillo, C; Sunyer, JO; Parra, D; Sandino, AM; Imarai, M</t>
  </si>
  <si>
    <t>Reyes-Cerpa, Sebastian; Reyes-Lopez, Felipe; Toro-Ascuy, Daniela; Montero, Ruth; Maisey, Kevin; Acuna-Castillo, Claudio; Oriol Sunyer, J.; Parra, David; Maria Sandino, Ana; Imarai, Monica</t>
  </si>
  <si>
    <t>Induction of anti-inflammatory cytokine expression by IPNV in persistent infection</t>
  </si>
  <si>
    <t>Infectious Pancreatic Necrosis Virus (IPNV) is the agent of a well-characterized acute disease that produces a systemic infection and high mortality in farmed fish species but also persistent infection in surviving fish after outbreaks. Because viral persistence of susceptible mammal hosts appears to be associated with the modulation of anti-inflammatory cytokine expression, in this study we examined the expression levels of key pro- and anti-inflammatory cytokines in kidney and spleen of trout, as well as humoral immune response (IgM and IgT) during experimental persistent viral infection and in the acute phase of infection as a comparison. IPNV infection in rainbow trout resulted in a distinct profile of cytokine expression depending on the type of infection, acute or persistent. Levels of early proinflammatory cytokines, IL-1 beta and IL-8, did not increase in the head kidney of the fish with persistent asymptomatic infection but increased in some of the symptomatic infected fish. The antiviral cytokine IFN proportional to was not significantly induced in any of the infected fish 'groups. The level of expression of the Thlrelated cytokine IL-12 was significantly higher in trout with persistent asymptomatic infection than in symptomatic fish. This was also accompanied by an increase in IFN gamma. The anti-inflammatory cytokines IL-10 and TGF-beta 1 had distinct expression profiles. While IL-10 expression increased in all infected fish, TGF-beta 1 was only up-regulated in fish with persistent infection. All infected fish had significantly lower total IgM levels than the non-infected fish whereas IgT levels did not change. Specific and neutralizing antibodies against IPNV were not observed in acute and persistent infection except in the group of fish with the lowest degree of clinical signs. Interestingly, the lack of humoral immune response could be associated with the high expression of anti-inflammatory cytokines, which might inhibit antibody production. The balance between pro-inflammatory Thl type cytokines and the regulatory cytokines could explain the high percentage of survival and the resolution of the inflammatory response in the IPNV infected fish but also the establishment of viral persistence. (C) 2014 Elsevier Ltd. All rights reserved.</t>
  </si>
  <si>
    <t>Maisey, Kevin/AAP-2886-2021; Acuña-Castillo, Claudio/AAI-7090-2021; Toro-Ascuy, Daniela/JDC-8224-2023; Reyes-López, Felipe/S-1760-2018; Parra, David/J-6234-2014</t>
  </si>
  <si>
    <t>Maisey, Kevin/0000-0002-7423-6329; Parra, David/0000-0002-3634-7087; Reyes, Sebastian/0000-0002-7676-1266; Acuna-Castillo, Claudio/0000-0003-3607-6077; Imarai, Monica/0000-0001-8767-9180; Montero, Ruth Tamara/0000-0002-3019-1800; Toro-Ascuy, Daniela/0000-0002-2563-9711; Reyes-Lopez, Felipe E./0000-0002-5001-457X; SANDINO, ANA MARIA/0000-0002-3862-3743</t>
  </si>
  <si>
    <t>10.1016/j.fsi.2014.08.029</t>
  </si>
  <si>
    <t>WOS:000347017500008</t>
  </si>
  <si>
    <t>Díaz-Calderón, P; Caballero, L; Melo, F; Enrione, J</t>
  </si>
  <si>
    <t>Diaz-Calderon, Paulo; Caballero, Leonardo; Melo, Francisco; Enrione, Javier</t>
  </si>
  <si>
    <t>Molecular configuration of gelatin-water suspensions at low concentration</t>
  </si>
  <si>
    <t>FOOD HYDROCOLLOIDS</t>
  </si>
  <si>
    <t>Direct assessment of gelatin molecular configuration has been difficult due the complexity of the molecule and limitations of analytical techniques. The objective of this work was the molecular characterization of bovine gelatin as a function of temperature, concentration and time. Diluted suspensions were prepared at different concentrations (7.5 x 10(-5) to 1.5 g/l) and kept at temperatures above (S1) (40 degrees C) and below (S2) (5 degrees C) the gelling point as determined by Differential Scanning Calorimetry. Circular dichroism measurements showed the secondary structure of a polyproline II like spectra similar to native collagen at S1 and a denaturated configuration at S2 conditioning. Atomic Force Microscopy (AFM) at S1, using a HOPG substrate, showed single strands segments with two marked distributions in heights, similar to 0.6 nm and similar to 1.6 nm, indicating possible helical configurations even at high temperatures. At S2, AFM showed only one height distribution in the range of similar to 0.9 nm but wider (0.3-1.6 nm range). At increasing gelatin concentration (12 g/l) and annealing time (48 h), a well-defined network was detected with narrow height distribution (similar to 1.0 nm) featuring aggregates and highly ordered structure zones. An analysis of gelatin strand interactions, showed a network linked by knots with a coordination number Z = 3 (strands) with a bond length of similar to 50 nm. The gel network formation and aggregation was consistent with molecular size increase observed by Dynamic Light Scattering, showing variations in hydrodynamic dimensions from similar to 10 nm (S1) to similar to 100 nm (S2). This experimental approach has allowed to pinpoint differences in molecular configuration of gelatin, which may be applied in the study the structuring pathway of other biopolymers and the association kinetics during storage for a wide range of temperatures. (C) 2013 Elsevier Ltd. All rights reserved.</t>
  </si>
  <si>
    <t>Enrione, Javier/I-9225-2014; Melo, Francisco/M-3923-2014</t>
  </si>
  <si>
    <t>Diaz-Calderon, Paulo/0000-0002-8375-2210; Melo, Francisco Esteban/0000-0001-6818-5476; Enrione, Javier/0000-0002-3916-6775</t>
  </si>
  <si>
    <t>0268-005X</t>
  </si>
  <si>
    <t>1873-7137</t>
  </si>
  <si>
    <t>10.1016/j.foodhyd.2013.12.019</t>
  </si>
  <si>
    <t>WOS:000334848400021</t>
  </si>
  <si>
    <t>Baldo, B; Cruz, C; Venegas-Yazigi, D; Vega, A; Paredes-García, V</t>
  </si>
  <si>
    <t>Baldo, Bianca; Cruz, Carlos; Venegas-Yazigi, Diego; Vega, Andres; Paredes-Garcia, Veronica</t>
  </si>
  <si>
    <t>catena-Poly[tris(3-acetylacetonato)nickelate(II)sodium(I)]</t>
  </si>
  <si>
    <t>ACTA CRYSTALLOGRAPHICA SECTION C-STRUCTURAL CHEMISTRY</t>
  </si>
  <si>
    <t>The title complex, [NaNi(C5H7O2)3]n, contains an anionic tris(acetylacetonato)nickelate(II) unit, [Ni(acac)3] (acac is acetylacetonate), with a highly regular octahedral coordination geometry. The NiII cation lies on a Wyckoff a site, resulting in D3 symmetry of the anion. Charge balance is provided by sodium cations, which occupy Wyckoff type b sites. Each sodium cation is surrounded by two [Ni(acac)3] anions, each of which is connected to the alkali metal through three O atoms, in a fac configuration. This arrangement leads to the formation of linear [Na{Ni(acac)3}]n chains along the c axis. The Ni...Na distance is 2.9211(10)angstrom. The title complex is one of the few examples of heterometallic systems based on alkali and transition metal cations bridged by acetylacetonate ligands.</t>
  </si>
  <si>
    <t>Vega, Andres/B-2122-2010; Paredes-Garcia, Veronica/C-4415-2011; Cruz, Carlos/KIG-8993-2024; Venegas-Yazigi, Diego/C-5022-2009</t>
  </si>
  <si>
    <t>Cruz Herrera, Carlos/0000-0002-2644-4297; Baldo Hurtado, Bianca Virginia/0000-0003-2474-228X; Venegas-Yazigi, Diego/0000-0001-7816-2841; Vega, Andres/0000-0001-6501-4161</t>
  </si>
  <si>
    <t>2053-2296</t>
  </si>
  <si>
    <t>10.1107/S0108270113009797</t>
  </si>
  <si>
    <t>WOS:000318300300014</t>
  </si>
  <si>
    <t>Singh, DP; Srivastava, ON</t>
  </si>
  <si>
    <t>Singh, Dinesh Pratap; Srivastava, Onkar Nath</t>
  </si>
  <si>
    <t>Synthesis of Micron-sized Hexagonal and Flower-like Nanostructures of Lead Oxide (PbO2) by Anodic Oxidation of Lead</t>
  </si>
  <si>
    <t>NANO-MICRO LETTERS</t>
  </si>
  <si>
    <t>Micron sized hexagon- and flower-like nanostructures of lead oxide (alpha-PbO2) have been synthesized by very simple and cost effective route of anodic oxidation of lead sheet. These structures were easily obtained by the simple variation of applied voltage from 2-6 V between the electrodes. Lead sheet was used as an anode and platinum sheet served as a cathode. Anodic oxidation at 2 V resulted in the variable edge sized (1-2 mu m) hexagon-like structures in the electrolyte. When the applied potential was increased to 4 V a structure of distorted hexagons consisting of some flower-like structures were obtained. Further increment of potential up to 6 V resulted in flower like structures of alpha-PbO2 having six petals. The diameter of the flower-like structures was similar to 200-500 rim and the size of a petal was similar to 100-200 nm.</t>
  </si>
  <si>
    <t>SINGH, DINESH/A-2509-2011</t>
  </si>
  <si>
    <t>SINGH, DINESH/0000-0002-2893-7749</t>
  </si>
  <si>
    <t>2311-6706</t>
  </si>
  <si>
    <t>2150-5551</t>
  </si>
  <si>
    <t>10.1007/BF03353676</t>
  </si>
  <si>
    <t>WOS:000307057600003</t>
  </si>
  <si>
    <t>Lizama, C; Miana, PJ</t>
  </si>
  <si>
    <t>Lizama, Carlos; Miana, Pedro J.</t>
  </si>
  <si>
    <t>A Landau-Kolmogorov inequality for generators of families of bounded operators</t>
  </si>
  <si>
    <t>A Landau-Kolmogorov type inequality for generators of a wide class of strongly continuous families of bounded and linear operators defined on a Banach space is shown Our approach allows us to recover (in a unified way) known results about uniformly bounded C-0-semigroups and cosine functions as well as to prove new results for other families of operators. In particular, if A is the generator of an alpha-times integrated family of bounded and linear operators arising from the well-posedness of fractional differential equations of order beta+ 1 then, we prove that the inequality parallel to Ax parallel to(2) &lt;= 8M(2) Gamma(alpha+beta+2)(2)/Gamma(alpha+1)Gamma(a + 2 beta + 3) parallel to x parallel to parallel to A(2)x parallel to holds for all x is an element of D(A(2)) (C) 2010 Elsevier Inc. All rights reserved</t>
  </si>
  <si>
    <t>; Lizama, Carlos/E-5909-2011</t>
  </si>
  <si>
    <t>Miana Sanz, Pedro Jose/0000-0001-9430-343X; Lizama, Carlos/0000-0002-9807-1100</t>
  </si>
  <si>
    <t>10.1016/j.jmaa.2010.05.065</t>
  </si>
  <si>
    <t>WOS:000280566900020</t>
  </si>
  <si>
    <t>Pelissier, T; Infante, C; Constandil, L; Espinosa, J; De Lapeyra, C; Hernández, A</t>
  </si>
  <si>
    <t>Pelissier, Teresa; Infante, Claudio; Constandil, Luis; Espinosa, Jeannette; De lapeyra, Carolina; Hernandez, Alejandro</t>
  </si>
  <si>
    <t>Antinociceptive effect and interaction of uncompetitive and competitive NMDA receptor antagonists upon capsaicin and paw pressure testing in normal and monoarthritic rats</t>
  </si>
  <si>
    <t>PAIN</t>
  </si>
  <si>
    <t>We assessed whether intrathecal administration of the uncompetitive and competitive NMDA receptor antagonists ketamine and (+/-)CPP, respectively, could produce differential modulation on chemical and mechanical nociception in normal and monoarthritic rats. In addition, the antinociceptive interaction of ketamine and (+/-)CPP on monoarthritic pain was also studied using isobolographic analysis. Monoarthritis was produced by intra-articular injection of complete Freund's adjuvant into the tibio-tarsal joint. Four weeks later, the antinociceptive effect of intrathecal administration of the drugs alone or combined was evaluated by using the intraplantar capsaicin and the paw pressure tests. Ketamine (0.1, 1, 10, 30, 100, 300 and 1000 mu g i.t.) and (+/-)CPP (0.125, 2.5, 7.5, 12.5, 25 and 50 mu g i.t.) produced significantly greater dose-dependent antinociception in the capsaicin than in the paw pressure test. Irrespective of the nociceptive test employed, both antagonists showed greater antinociceptive activity in monoarthritic than in healthy rats. Combinations produced synergy of a supra-additive nature in the capsaicin test, but only additive antinociception in paw pressure testing. The efficacy of the drugs, alone or combined, is likely to depend on the differential sensitivity of tonic versus phasic pain and/or chemical versus mechanical pain to NMDA antagonists. (c) 2007 International Association for the Study of Pain. Published by Elsevier B.V. All rights reserved.</t>
  </si>
  <si>
    <t>0304-3959</t>
  </si>
  <si>
    <t>1872-6623</t>
  </si>
  <si>
    <t>10.1016/j.pain.2007.04.011</t>
  </si>
  <si>
    <t>WOS:000252693400016</t>
  </si>
  <si>
    <t>Zambrano, P; Guerrero-Mata, MP; de la Fuente, MIG; Artigas, A; Monsalve, A; Colás, R</t>
  </si>
  <si>
    <t>Zambrano, P.; Guerrero-Mata, M. P.; de la Fuente, M. I. Gomez; Artigas, A.; Monsalve, A.; Colas, R.</t>
  </si>
  <si>
    <t>Modelling metallurgical and interfacial phenomena during hot rolling of carbon steel</t>
  </si>
  <si>
    <t>Modelling of hot rolling of steel strip involves metallurgical phenomena such as restoration of deformed structures, transformation to ferrite and growth of the oxide layer on top of the steel strip. The effect of composition is taken into account when restoration and phase transformation is considered, whereas it is assumed that the chemical composition of the steel substrate does not affect the oxide crust, being common place to consider the oxide just as a thermal barrier and to assume sticking conditions within the roll-gap. Observations indicate that elements such as silicon and manganese, more susceptible to oxidize than iron, affect the growth kinetics, adhesion and the behaviour during deformation of the oxide layer. This work deals with the way used to model various superficial and metallurgical phenomena, and how this knowledge is used to simulate hot rolling of steel strip.</t>
  </si>
  <si>
    <t>Zambrano, Patricia/AAE-6323-2019; Artigas, Alfredo/Y-1185-2019; Zambrano, Patricia/F-9008-2018</t>
  </si>
  <si>
    <t>Zambrano, Patricia/0000-0002-9491-0069; Colas, Rafael/0000-0001-6017-7244; Monsalve, Alberto/0000-0002-5772-8815; Guerrero Mata, Martha P./0000-0002-8337-298X</t>
  </si>
  <si>
    <t>1988-4222</t>
  </si>
  <si>
    <t>WOS:000254543600008</t>
  </si>
  <si>
    <t>Campomanes, P; Menédez, MI; Cádenas-Jiró, GI; Sordo, TL</t>
  </si>
  <si>
    <t>Campomanes, Pablo; Isabel Menendez, Maria; Ines Cardenas-Jiron, Gloria; Luis Sordo, Tomas</t>
  </si>
  <si>
    <t>Molecular magnetic properties of heteroporphyrins:: a theoretical analysis</t>
  </si>
  <si>
    <t>B3LYP/ 6-31G( d) optimization of porphyrin, tetraphenylporphyrin and their 21,23-diheteroatom substituted derivatives with O, S, and Se heteroatoms was performed. A planar macrocycle was found in all cases except 21,23-dioxatetraphenylporphyrin which presents only slight deviations from planarity. A Bader analysis uncovers the presence of S-S and Se-Se interactions in the four corresponding heteroporphyrins, which appreciably distort the original unsubstituted macrocycles. In the minimum energy structures of heterotetraphenylporphyrins the four meso phenyl groups slant alternatively to right or left so that the two pairs of opposite phenyls present a staggered conformation. The pi current induced by a perpendicular magnetic field in porphyrin bifurcates across both types of pyrrole subunits but the presence of O, S and Se heteroatoms in 21,23-diheteroporphyrins causes a diminution of the current density through the inner section of the two heterorings and, consequently, the current path goes then through the outer section of these rings. The NICS values at the ring critical points of the heterorings are much larger ( in absolute value) than those at the pyrrole ring critical points but appreciably smaller than that at the ring critical point of a pyrrole molecule. In agreement with experimental data the 1 H NMR present appreciable down field shifts for the beta H atoms of the heterorings in the 21,23-heterosubstituted molecules.</t>
  </si>
  <si>
    <t>10.1039/b709198b</t>
  </si>
  <si>
    <t>WOS:000250399500002</t>
  </si>
  <si>
    <t>Escobar-Jeria, VH; Martín-Bautista, MJ; Sánchez, D; Vila, MA</t>
  </si>
  <si>
    <t>Okuno, HG; Ali, M</t>
  </si>
  <si>
    <t>Escobar-Jeria, Victor H.; Martin-Bautista, Maria J.; Sanchez, Daniel; Vila, Maria-Amparo</t>
  </si>
  <si>
    <t>Analysis of log files applying mining techniques and fuzzy logic</t>
  </si>
  <si>
    <t>NEW TRENDS IN APPLIED ARTIFICIAL INTELLIGENCE, PROCEEDINGS</t>
  </si>
  <si>
    <t>Lecture Notes in Artificial Intelligence</t>
  </si>
  <si>
    <t>20th International Conference on Industrial, Engineering and Other Applications of Applied Intelligent Systems</t>
  </si>
  <si>
    <t>JUN 26-29, 2007</t>
  </si>
  <si>
    <t>Kyoto, JAPAN</t>
  </si>
  <si>
    <t>Int Soc Appl Intelligence,Kyoto Univ, Grad Sch Informat,AAAI,ACM SIGART,CSCSI, SCEIO,ENNS,HIS,IEICE,INNS,IPSJ,JSAI,RSJ,TAAI,Texas State Univ, San Marcos</t>
  </si>
  <si>
    <t>With the explosive growth of data available on the Internet, a recent area of investigation called Web Mining has arise. In this paper, we will study general aspects of this area, principally the process of Web Usage Mining where log files are analyzed. These files register the activity of the user when interact with the Web. In the Web Usage Mining, different techniques of mining to discover usage patterns from web data can be applied. We will also study applications of Fuzzy Logic in this area. Specially, we analyze fuzzy techniques such as fuzzy association rules or fuzzy clustering, featuring their functionality and advantages when examining a data set of logs from a web server. Finally, we give initial traces about the application of Fuzzy Logic to personalization and user profile construction.</t>
  </si>
  <si>
    <t>Martin-Bautista, Maria/H-7754-2015; Sanchez, Daniel/E-1028-2012; Vila Miranda, Amparo/B-1840-2012</t>
  </si>
  <si>
    <t>Martin-Bautista, Maria J./0000-0002-6973-477X; Escobar-Jeria, Victor/0000-0003-2158-225X; Sanchez, Daniel/0000-0002-6048-3994; Vila Miranda, Amparo/0000-0002-2773-3306</t>
  </si>
  <si>
    <t>978-3-540-73322-5</t>
  </si>
  <si>
    <t>WOS:000248621400048</t>
  </si>
  <si>
    <t>Pardey, AJ; Uzcátegui, GC; Hung-Low, F; Rivas, AB; Yánez, JE; Ortega, MC; Longo, C; Aguirre, P; Moya, SA</t>
  </si>
  <si>
    <t>Hydroesterification versus hydroformylation-acetalization of 1-hexene catalyzed by soluble carbonylrhodium complexes of pyridine ligands</t>
  </si>
  <si>
    <t>JOURNAL OF MOLECULAR CATALYSIS A-CHEMICAL</t>
  </si>
  <si>
    <t>The rhodium(l) complexes, cis-[Rh(CO)(2)(amine)(2)] (PF6) (amine = pyridine, 2-picoline, 3-picoline, 4-picoline, 3,5-lutidine or 2,6-lutidine) dissolved in methanol under carbon monoxide atmosphere are effective catalysts for the hydroesterification and hydroformylation-acetalization of 1-hexene. In the presence of these soluble complexes, 1-hexene, CO and methanol give methyl-heptanoate and 1, 1-dimethoxy-heptane as major products, and minor amounts of heptanal. The acetal product comes from the nucleophilic addition reaction of the methanol with the formed heptanal. Gaseous by-products (H-2 and CO2) from the catalysis of the water-gas shift reaction (WGSR) are also observed. The reaction products distribution depends on the nature of the coordinated amine to the rhodium center. The effects of the reaction variables such as CO pressure, temperature, catalyst concentration, 1-hexene/Rh molar ratio and reaction medium, were also examined. These data are discussed in terms of catalytic cycles, and it is concluded that common Rh-H catalytic species are involved. (c) 2005 Published by Elsevier B.V.</t>
  </si>
  <si>
    <t>1381-1169</t>
  </si>
  <si>
    <t>1873-314X</t>
  </si>
  <si>
    <t>10.1016/j.molcata.2005.06.015</t>
  </si>
  <si>
    <t>WOS:000231401000031</t>
  </si>
  <si>
    <t>Pavez, J; Páez, M; Ringuedé, A; Bedioui, F; Zagal, JH</t>
  </si>
  <si>
    <t>Effect of film thickness on the electro-reduction of molecular oxygen on electropolymerized cobalt tetra-aminophthalocyanine films</t>
  </si>
  <si>
    <t>JOURNAL OF SOLID STATE ELECTROCHEMISTRY</t>
  </si>
  <si>
    <t>We studied the electrocatalytic activity of cobalt tetra-aminophthalocyanine (CoTAPc) for the reduction of molecular oxygen (O-2) on adsorbed monomeric and on electropolymerized films of different thicknesses on glassy carbon (GC) electrode. The polymeric films, denoted poly-CoTAPc, were first characterized by electrochemical impedance spectroscopy and it appears that the types of phenomena revealed to be occurring depend less on the film thickness in basic than in acid media. For O-2 reduction, the results showed that poly-CoTAPc is more active than the monomeric CoTAPc adsorbed on GC. Indeed, rotating ring-disk electrode data showed that polymeric CoTAPc promotes the four-electron reduction of O-2 to water in parallel to a two-electron reduction to give peroxide. On monomeric and thin films of poly-CoTAPc, a two-electron reduction mechanism predominates. In basic media the activity increases very slightly with thickness, whereas in acid media this increase is more pronounced. This parallels the observed behavior revealed by electrochemical impedance spectroscopy.</t>
  </si>
  <si>
    <t>Ringuede, Armelle/AAH-4478-2019; zagal, jose/L-9648-2014; Paez, Maritza/M-2010-2014; PAVEZ, JORGE/K-6904-2014; Bedioui, Fethi/N-3507-2014</t>
  </si>
  <si>
    <t>paez, maritza/0000-0001-5881-884X; PAVEZ, JORGE/0000-0002-5100-6707; Bedioui, Fethi/0000-0002-0063-4412</t>
  </si>
  <si>
    <t>1432-8488</t>
  </si>
  <si>
    <t>1433-0768</t>
  </si>
  <si>
    <t>10.1007/s10008-004-0522-0</t>
  </si>
  <si>
    <t>WOS:000225410600003</t>
  </si>
  <si>
    <t>Pedreschi, F; Moyano, P; Kaack, K; Granby, K</t>
  </si>
  <si>
    <t>Color changes and acrylamide formation in fried potato slices</t>
  </si>
  <si>
    <t>The objective of this work was to study the kinetics of browning during deep-fat frying of blanched and unblanched potato chips by using the dynamic method and to find a relationship between browning development and acrylamide formation. Prior to frying, potato slices were blanched in hot water at 85degreesC for 3.5 min. Unblanched slices were used as the control. Control and blanched potato slices (Panda variety, diameter: 37 mm, width: 2.2 mm) were fried at 120, 150 and 180degreesC until reaching moisture contents of similar to1.8% (total basis) and their acrylamide content and final color were measured. Color changes were recorded at different sampling times during frying at the three mentioned temperatures using the chromatic redness parameter a(*). Experimental data of surface temperature, moisture content and color change in potato chips during frying were fit to empirical relationship with correlation coefficients greater than 90%. A first-order rate equation was used to model the kinetics of color change. In all case the Arrhenius activation energy decreases alongside with decreasing chip moisture content. Blanching reduced acrylamide formation in potato chips in similar to64% (average value) in comparison with control chips at the three oil temperatures tested. For the two pre-treatments studied, average acrylamide content increased -58 times as the frying temperature increased from 120 to 180degreesC. There was a linear correlation between acrylamide content of potato chips and their color represented by the redness component a(*) in the range of the temperatures studied. (C) 2004 Elsevier Ltd. All rights reserved.</t>
  </si>
  <si>
    <t>pedreschi, franco/F-8844-2013; Granby, Kit/J-7271-2016</t>
  </si>
  <si>
    <t>Granby, Kit/0000-0002-5264-1577</t>
  </si>
  <si>
    <t>10.1016/j.foodres.2004.07.002</t>
  </si>
  <si>
    <t>WOS:000226445900001</t>
  </si>
  <si>
    <t>Armijo, F; Isaacs, M; Ramírez, G; Trollund, E; Canales, J; Aguirre, MJ</t>
  </si>
  <si>
    <t>Electrocatalytic reduction of nitrate ion on Cu and Ni poly-tetraaminophenylporphyrin-modified electrodes</t>
  </si>
  <si>
    <t>In this study, six polymer-modified electrodes were used to electrocatalyze the reduction of nitrate in two aqueous media: 0.5 M HClO4 and 0.1 M NaClO4. These six polymers were prepared from the electropolymerization of tetrakis(x-aminophenyl)porphyrin (where x = o,p), and their Cu(II) and Ni(II) complexes in HCl solution on the surface of a conducting glass electrode. The results indicate that the catalytic response depends on the position of the amino group, the metal and the pH of the solution. In HClO4, the modified electrodes show two reduction processes. The voltammetric responses of the modified electrodes show a reduction process that takes place during the negative scan and another reduction process occurring during the return potential sweep. Indeed, there is a change in the number of reduction processes depending on the direction of the scan at low scan rate (5 mV s(-1)). In HClO4, the products of electrolysis are nitrite and nitrous oxide for Cu and Ni-ortho-polymers and nitrite for the others polymers. In NaClO4, only one reduction process takes place, independently of the direction of the scan, giving nitrite and nitrous oxide for the Ni and Cuortho systems and only nitrite for the other systems. In both cases, HClO4 and NaClO4, the best polymers are poly Cu(II) and Ni(II)tetrakis(o-aminophenyl)porphyrin as electrocatalysts. (C) 2003 Elsevier B.V. All rights reserved.</t>
  </si>
  <si>
    <t>Aguirre, Maria/A-3935-2013; Armijo, Francisco/G-3391-2013; Isaacs, Mauricio/N-3027-2013</t>
  </si>
  <si>
    <t>Isaacs Casanova, Mauricio/0000-0003-0503-0949; Aguirre, Maria/0000-0003-1134-4469; Ramirez, Galo/0000-0002-6217-4730; Armijo, Francisco/0000-0002-2479-6280</t>
  </si>
  <si>
    <t>10.1016/j.jelechem.2003.11.043</t>
  </si>
  <si>
    <t>WOS:000221209900009</t>
  </si>
  <si>
    <t>Jiménez, RF; Torres, P; Günther, B; Morgado, E; Jiménez, CA</t>
  </si>
  <si>
    <t>Wavelet and Fourier analysis of ventricular and main arteries pulsations in anesthetized dogs</t>
  </si>
  <si>
    <t>The purpose of this study was to characterize time-frequency behavior using the Continuous Wavelet Transform (CWT) and Fast Fourier Transform (FFT) to analyze ventricular and arterial pressure signals from anesthetized mongrel dogs. Both ventricular and arterial pressure pulsations were recorded using catheter-tip manometers and the CWT was applied to these signals to obtain module coefficients, associated contours, and the 3-D representation of these modules. FFT was applied to obtain the Fourier spectrum. The mathematical analysis of the cardiovascular pressure pulsations permitted the identification of the evolution of the frequency components for the aortic and pulmonary valve functions as well as the intra-ventricular and respiratory influences on the cardiovascular dynamics. The CWT is a very sensitive and reliable procedure for determining the three-dimensional (tithe-frequency-amplitude) of the oscillatory phenomena during each cardiac cycle, providing snore, although complementary, information than the spectral analysis obtained with the FFT. Thanks to the FFT, exact values in Hz could be found for the different events produced in each cycle, and thus the information provided by CWT could be related to the information provided by FFT. The combination of both mathematical methodologies permitted identification of each component of the analyzed signals. The 3D representation allowed an easy comparison of the relative importance of the complex magnitudes in frequency for the different components of the pulsatile waves.</t>
  </si>
  <si>
    <t>Jiménez, Carlos/D-2153-2019</t>
  </si>
  <si>
    <t>WOS:000224665500008</t>
  </si>
  <si>
    <t>Valdés-González, H; Flaus, JM; Acuña, G</t>
  </si>
  <si>
    <t>Moving horizon state estimation with global convergence using interval techniques:: application to biotechnological processes</t>
  </si>
  <si>
    <t>JOURNAL OF PROCESS CONTROL</t>
  </si>
  <si>
    <t>This work proposes an original method to estimate states in non-linear discrete-time systems with global convergence properties. The approach is based on the minimisation of a criterion (non-linear function, differentiable or not) that is the Euclidean norm of the difference between the estimated output and the measured output of the system over a considered time horizon. This method is based on an interval moving horizon state estimation method, called IMHSE, which is coupled to a technique of global optimisation of non-linear functions that uses interval arithmetic. The system states are described using a representation by interval numbers. The proposed technique is applied to biotechnological complex process models (solid substrate fermentation), and the results obtained through experimental and computer simulation demonstrate that this kind of estimator offers advantages over other observers and filters and can be easily implemented in an industrial context. (C) 2002 Elsevier Science Ltd. All rights reserved.</t>
  </si>
  <si>
    <t>Acuna Leiva, Gonzalo Pedro/0000-0002-0519-7792; Valdes Gonzalez, Hector/0009-0007-2010-886X</t>
  </si>
  <si>
    <t>0959-1524</t>
  </si>
  <si>
    <t>1873-2771</t>
  </si>
  <si>
    <t>PII S0959-1524(02)00060-4</t>
  </si>
  <si>
    <t>10.1016/S0959-1524(02)00060-4</t>
  </si>
  <si>
    <t>WOS:000181778400004</t>
  </si>
  <si>
    <t>Haz, AM; Castillo, RD</t>
  </si>
  <si>
    <t>Psychosocial variables which differenciate adults that physically abuse their children from those that do not abuse theirs, at the present time, and that have similar history of having been physically abused in their childhood</t>
  </si>
  <si>
    <t>REVISTA LATINOAMERICANA DE PSICOLOGIA</t>
  </si>
  <si>
    <t>The psychosocial variables that differenciate adults with a personal history of child maltreatment, who also abuse their own children, with those with similar personal history who do not abuse their children, were investigated. A secondary analysis was carried out of the study with the Child Abuse Potencial Inventory. Participants were 127 persons with a personal history of child maltreatment, 53 who abuse their children and 74 who did not. A number of risk variables were studied. Results showed significant differences in the following variables: maltreatment by the mother of the participant, leaving the home in childhood or adolescence, disease of the participant, addiction in the couple.</t>
  </si>
  <si>
    <t>Castillo, Ramon/A-3161-2008</t>
  </si>
  <si>
    <t>0120-0534</t>
  </si>
  <si>
    <t>WOS:000178302100002</t>
  </si>
  <si>
    <t>Hernández, A; Soto-Movano, R; Laurido, C; Mondaca, M; Pelissier, T</t>
  </si>
  <si>
    <t>Effect of clomipramine on spinal nociceptive transmission of normal and monoarthritic rats.</t>
  </si>
  <si>
    <t>EUROPEAN JOURNAL OF NEUROSCIENCE</t>
  </si>
  <si>
    <t>0953-816X</t>
  </si>
  <si>
    <t>WOS:000074749400466</t>
  </si>
  <si>
    <t>Torres, R; Modak, B; Villarroel, L; Urzua, A; DelleMonache, F; SanchezFerrando, F</t>
  </si>
  <si>
    <t>Flavonoids from the resinous exudate of Heliotropium sinuatim</t>
  </si>
  <si>
    <t>From the resinous exudate of Heliotropium sinuatum eight flavonoids were isolated: 5,7,4'-trihydroxyflavanone (naringenin) 1, 5,3',4'-trihydroxy-7-methoxyflavanone (7-O-methyleriodictyol) 2, 3-acetoxy-5,7-dihydroxyflavanone (pinobanksin-3-acetate) 3, 5,7-dihydroxyflavanone (pinocembrin) 4, 5,7,3'-trihydroxy-4'-methoxyflavanone (hesperetin) 5, 5,7-dihydroxy-3-methoxyflavone (3-O-methylgalangin) 6, 5,7,4'-trihydroxy-3-3'-dimethoxyflavone (3-O-methylisorbamnetin) 7 and 5,4'-dihydroxy-3,7,3'-trimethoxyflavone (pachypodol) 8. Geranyl phenolic compounds were not found in the resinous exudate.</t>
  </si>
  <si>
    <t>WOS:A1996UX54900013</t>
  </si>
  <si>
    <t>Encinas, MV; Rufs, AM; Neumann, MG; Previtali, CM</t>
  </si>
  <si>
    <t>Photoinitiated vinyl polymerization by safranine T/triethanolamine in aqueous solution</t>
  </si>
  <si>
    <t>POLYMER</t>
  </si>
  <si>
    <t>The photolysis of safranine T in the presence of triethanolamine has been used as a source of free radicals in the polymerization of 2-hydroxyethyl methacrylate in aqueous solution. The polymerization rate was measured at several amine and dye concentrations. Flash photolysis studies of safranine in basic aqueous solutions indicate that the photoinitiation proceeds by the amine radicals formed in the interaction of the unprotonated form of the dye triplet with the hydroxyl amine. Primary radical termination does not play a significant role. Copyright (C) 1996 Published by Elsevier Science Ltd.</t>
  </si>
  <si>
    <t>Neumann, Miguel/AAM-1395-2021; Encinas, Maria/L-9686-2014</t>
  </si>
  <si>
    <t>0032-3861</t>
  </si>
  <si>
    <t>10.1016/0032-3861(96)81137-2</t>
  </si>
  <si>
    <t>WOS:A1996UF99400014</t>
  </si>
  <si>
    <t>LLORENTE, JMM; RIVES, V; MALET, P; GILLLAMBIAS, FJ</t>
  </si>
  <si>
    <t>MOO3/MGO SYSTEMS - EFFECT OF PREPARATION METHOD ON THEIR PHYSICOCHEMICAL PROPERTIES</t>
  </si>
  <si>
    <t>Malet, Pilar/H-5758-2011; Álvarez Llorente, Jesús María/KHU-7511-2024; Rives, Vicente/A-8719-2008</t>
  </si>
  <si>
    <t>Rives, Vicente/0000-0002-0518-8351</t>
  </si>
  <si>
    <t>10.1016/0021-9517(92)90264-I</t>
  </si>
  <si>
    <t>WOS:A1992HP04700001</t>
  </si>
  <si>
    <t>Romero-Gilbert, S; Díaz-Chamorro, H; Marambio, OG; Sánchez, J; Martin-Trasancos, R; Inostroza, M; García-Herrera, C; Pizarro, GD</t>
  </si>
  <si>
    <t>Romero-Gilbert, Sebastian; Diaz-Chamorro, Hector; Marambio, Oscar G.; Sanchez, Julio; Martin-Trasancos, Rudy; Inostroza, Matias; Garcia-Herrera, Claudio; Pizarro, Guadalupe del C.</t>
  </si>
  <si>
    <t>Influence of different experimental conditions on bond strength of self-adhesive synthetic polymer system hydrogels for biological applications</t>
  </si>
  <si>
    <t>REACTIVE &amp; FUNCTIONAL POLYMERS</t>
  </si>
  <si>
    <t>Poly(2-hydroxyethyl methacrylate) P(HEMA) is a biocompatible and hydrophilic polymer with significant potential for drug delivery and various biomedical applications. The main goal is to adapt these materials for biological applications. This work contributes to designing an adhesive polymeric system based on hydrophilic polymers using vinyl monomers via radical polymerization. The hydrogels were produced via free radical polymerization in an aqueous environment, with variations in the initial experimental conditions, including different ratios of initial monomers and the cross-linking agent. This was done to analyze the strength of the selfadhesive bond of synthetic hydrogels for potential biological applications. The functional groups of the hydrophilic monomers were employed to explore possible chemical modifications in the environment (adhesive properties) through physical interactions, such as hydrogen bonding and van der Waals forces between the polymer chains. This could allow for the incorporation of active biomolecules, potentially enhancing physical bonding through hydrogen bridges between polymer chains. These hydrogels have been characterized by their thermal stability, swelling behavior, and adhesive strength in a wet medium. The hydrogel demonstrated the highest adhesive strength at a 2:1 feed monomer ratio with 0.5 mol-% of N'N-methylene bisacrylamide (MBA) in a damp medium, indicating significantly improved adhesive properties compared to other MBA percentages. Moreover, a reduction in hydrogel swelling correlated with enhanced adhesion, showing more than a 6.5-fold increase in adhesion compared to the 1:1 feed monomer ratio at 0.5 mol-% MBA and an 18-fold increase compared to the 1:1 feed monomer ratio at 0.1 mol-% MBA.</t>
  </si>
  <si>
    <t>García-Herrera, Claudio/ABE-8991-2020; PIZARRO, GUADALUPE/V-3353-2017; Martin Trasancos, Rudy/ITV-2921-2023</t>
  </si>
  <si>
    <t>1381-5148</t>
  </si>
  <si>
    <t>1873-166X</t>
  </si>
  <si>
    <t>10.1016/j.reactfunctpolym.2025.106264</t>
  </si>
  <si>
    <t>WOS:001453218000001</t>
  </si>
  <si>
    <t>Dittus, R</t>
  </si>
  <si>
    <t>Dittus, Ruben</t>
  </si>
  <si>
    <t>The Contemporary in the Film My Imaginary Country</t>
  </si>
  <si>
    <t>DESIGNIS</t>
  </si>
  <si>
    <t>. For the philosopher Giorgio Agamben, contemporaneity moves away from what is untimely or extraordinarily current. To be contemporary would be to have a unique relationship with one's own time, which consists of accepting it and, at the same time, distancing oneself: something like a temporal consciousness, but that shares a voluntary and rational distancing. This work analyzes the application of this notion to the documentary My imaginary country (2022), by director Patricio Guzman. The film records the consequences of the citizen revolt that occurred in the weeks after October 2019, where one and a half million people demonstrated in the streets of Santiago, Chile, with demands that questioned the neoliberal economic model and Pinochet's Constitution. Through a semiotic reading of its story and politic discourse, a film that seeks to be more than a mere record is dissected, and where the death of the author appears highly improbable.</t>
  </si>
  <si>
    <t>1578-4223</t>
  </si>
  <si>
    <t>2462-7259</t>
  </si>
  <si>
    <t>10.35659/designis.i42p89-97</t>
  </si>
  <si>
    <t>WOS:001391404500009</t>
  </si>
  <si>
    <t>Cruz, M; Cruz, N; Lepe, S</t>
  </si>
  <si>
    <t>Cruz, Miguel; Cruz, Norman; Lepe, Samuel</t>
  </si>
  <si>
    <t>Exploring thermodynamics inconsistencies in unimodular gravity: a comparative study of two energy diffusion functions</t>
  </si>
  <si>
    <t>In this work we study the thermodynamics formulation for unimodular gravity under the election of two different models for the energy diffusion function. Such function encodes the current for the non-conservation of the energy-momentum tensor and is usually termed as Q(t). In analogy to the cosmological scenario where the cosmic expansion is influenced by Q(t), the thermodynamics implications in this scheme are also determined by the choice of the function Q(t), as we discuss in the work. Specifically, we consider the barotropic and the continuous spontaneous localization models as energy diffusion functions, commonly used in the literature as viable candidates to face the well-known H0 tension. The consistency conditions demanded for the entropy of the system in terms of the cosmological parameters of the model: positive production (dS/dt&gt;0) and convexity condition (d(2)S/dt(2)&lt;0), are investigated. We show that these conditions strongly constraint the viability of both models. Additionally, we comment about our results and compare with those obtained in recent works where the restriction of the parameters for these two diffusion models was implemented with the use of cosmological data.</t>
  </si>
  <si>
    <t>Cruz, Miguel/0000-0003-3826-1321</t>
  </si>
  <si>
    <t>10.1140/epjc/s10052-024-13523-w</t>
  </si>
  <si>
    <t>WOS:001360970800003</t>
  </si>
  <si>
    <t>Oyarce, E; Diaz, H; Boulett, A; Roa, K; Sánchez, J; Marambio, OG; Pizarro, GD</t>
  </si>
  <si>
    <t>Oyarce, Estefania; Diaz, Hector; Boulett, Andres; Roa, Karina; Sanchez, Julio; Marambio, Oscar G.; Pizarro, Guadalupe del C.</t>
  </si>
  <si>
    <t>Copolymeric hydrogels with high capacities of hydration and methylene blue adsorption in water</t>
  </si>
  <si>
    <t>Copolymers based on monomethyl hydrogen itaconate (beta HI) with 2-hydroxyethyl methacrylate (HEMA) and beta HI with 2-hydroxypropyl methacrylate (HPMA) were prepared in different monomer molar ratios. The reactivity parameters of copolymerization (r1 and r2) were determined. The values obtained for r1 and r2 indicate that P (beta HI-co-HEMA) exhibits a high tendency towards alternate copolymerization. Structural characterization of the copolymeric hydrogels was carried out using Fourier transform infrared (FTIR) and 1H NMR spectroscopies, where the characteristic signals of the constituent functional groups were observed. The typical thermal stability of the polymeric systems was observed by thermogravimetric analysis (TGA). In addition, the swelling capacity in water was evaluated, and a swelling percentage over 655 % and 1249 % presented P(beta HI-co-HEMA) and P (beta HI-co-HPMA) respectively, in a period of 15 days at pH 10, and presence of 0.05 M NaNO3. Additionally, methylene blue (MB) adsorption capacity was studied in batch mode by varying different experimental parameters. MB adsorption capacity of 122.79 mg g- 1 and 112.24 mg g- 1 were achieved for P(beta HIco-HEMA) and P(beta HI-co-HPMA), respectively. The data obtained were fitted to the Elovich kinetic model and to a Redlich-Peterson isotherm. The thermodynamic parameters indicated that the adsorption phenomenon is spontaneous, endothermic and with a high probability of occurrence. The adsorption efficiency decreases by approximately 60 % in the presence of interfering ions (Na+, K+, Ca2+ and Cl-). The adsorbents are reusable and achieve high MB adsorption efficiency (90 % and 80 % for P(beta HI-co-HEMA) and P(beta HI-co-HPMA) respectively) in a textile-simulated wastewater. Based on the results obtained, it is concluded that P(beta HI-co-HEMA) and P(beta HI-coHPMA) show great potential for use in adsorption of water molecules, for MB retention and purification of simulated effluents from the textile industry.</t>
  </si>
  <si>
    <t>PIZARRO, GUADALUPE/V-3353-2017; Sanchez, Julio/AEO-4360-2022</t>
  </si>
  <si>
    <t>1873-2291</t>
  </si>
  <si>
    <t>DEC 17</t>
  </si>
  <si>
    <t>10.1016/j.polymer.2024.127761</t>
  </si>
  <si>
    <t>NOV 2024</t>
  </si>
  <si>
    <t>WOS:001355839700001</t>
  </si>
  <si>
    <t>Leiva, NV; Montenegro, D; Orrego, R; Vidal, R; González, MT</t>
  </si>
  <si>
    <t>Leiva, Natalia V.; Montenegro, Diana; Orrego, Rodrigo; Vidal, Rodrigo; Gonzalez, M. Teresa</t>
  </si>
  <si>
    <t>Tolerance of free-living larval stage of a parasite from coastal mining areas in northern Humboldt Current to copper pollution at low and high temperatures</t>
  </si>
  <si>
    <t>Metal pollution is a worldwide problem and one of the greatest threats to ecosystem integrity due to its toxicity, persistence, and bioaccumulation in biological systems. Anthropogenic pollution impacts marine organisms and host-parasite dynamics, with the northern Chilean coast experiencing elevated copper levels in marine waters and sediments due to mining activities. In this study, we assessed the effects of exposure to copper concentrations at low and high-water temperatures on the survival and longevity of the marine parasite Himasthla sp. cercariae (Trematoda: Digenea) using the snail Echinolittorina peruviana as its first intermediate host. Snails were collected from intertidal rocky pools in northern Chile (23 degrees S). To assess parasite survival and longevity, cercariae were collected from a pool of infected snails, and their mortality was recorded every 6 hours until all cercariae were dead. In a preliminary experiment conducted at 19 degrees C, cercariae were exposed to different copper concentrations (0.2, 1.5, 3.0, and 6.0 mg/L) for 78 hours. Cercariae showed tolerance to copper. However, at the higher copper concentration (6 mg/L), survival was negatively impacted (50%) at 54 hours. In contrast, at the lower concentration (0.2 mg/L) and in the control group, cercariae sustained a 73-90% survival rate even after 54 hours. Based on these findings, we conducted subsequent experiments involving two copper treatments (0.2 and 3.0 mg/L) and two temperatures (14 and 22 degrees C). Survival and longevity were significantly higher at lower temperature and copper concentration (14 degrees C and 0.2 mg/L). Conversely, at higher temperature and copper concentration (22 degrees C and 3 mg/L), survival and longevity decreased to only 66 hours. Our results show that Himasthla sp. cercariae tolerated most copper concentrations, with vulnerability observed primarily in high water temperatures, indicating an adverse effect on cercariae performance. This study contributes valuable insights into how parasites respond to environmental pollution, in marine ecosystems influenced by anthropogenic activities.</t>
  </si>
  <si>
    <t>Orrego, Rodrigo/AAK-9926-2021; Orrego, Rodrigo/U-9077-2018</t>
  </si>
  <si>
    <t>Orrego, Rodrigo/0000-0002-7606-2828</t>
  </si>
  <si>
    <t>NOV 5</t>
  </si>
  <si>
    <t>e0310473</t>
  </si>
  <si>
    <t>10.1371/journal.pone.0310473</t>
  </si>
  <si>
    <t>WOS:001349526900032</t>
  </si>
  <si>
    <t>Maiztegi-Kortabarria, J; Arribas-Galarraga, S; Luis-de Cos, I; Espoz-Lazo, S; Valdivia-Moral, P</t>
  </si>
  <si>
    <t>Maiztegi-Kortabarria, Julen; Arribas-Galarraga, Silvia; Luis-de Cos, Izaskun; Espoz-Lazo, Sebastian; Valdivia-Moral, Pedro</t>
  </si>
  <si>
    <t>Effect of an Active Break Intervention on Attention, Concentration, Academic Performance, and Self-Concept in Compulsory Secondary Education</t>
  </si>
  <si>
    <t>EUROPEAN JOURNAL OF INVESTIGATION IN HEALTH PSYCHOLOGY AND EDUCATION</t>
  </si>
  <si>
    <t>(1) Background: Society's shift to a tech-focused era and has created a hyper-connected, sedentary lifestyle. The purpose of this study is to address two objectives: firstly, to describe and analyze the effects of an active breaks program associated with the learning of curricular content (CF-AB) on levels of attention, concentration, and academic performance (AP); secondly, to examine the relationship between intense physical activity (PA), attention, concentration, academic self-concept, basic psychological needs, and academic performance in schoolchildren who practice CF-ABs. (2) Method: A randomized controlled trial quasi-experimental pre-test/post-test study with a non-probabilistic sample included 313 secondary school students divided into intervention and control groups. The intervention, a curricular-focused academic break (CF-AB) (8 weeks, 5-10 min/session), is taken in the middle of the class and linked with the subject content. Measuring instruments: Attention Test D2, ad hoc test for the AP, self-concept AF5, Basic Psychological Needs Satisfaction Scale in General (BNSG-S), and the Global PA Questionnaire (GPAC.V2). (3) Results: Attention and concentration improved in both groups, with no significant differences. There were no significant differences in academic self-concept, but the intervention group showed higher scores in basic psychological needs. AP correlated positively with concentration, academic self-concept, and physical activity. A proportion of 20% of the variance of AP in spelling is explained by the regression model. Students who improved the most in AP practiced intense PA outside school, with good self-concept and satisfactory social relationships. Although concentration was related to AP, it did not explain the improvement. (4) Conclusion: CF-ABs may have a positive impact on attention and AP, with socioemotional factors and PA playing an important role in this effect. (5) Limitations and Future Research: The relationship between PA performed in class and AP should be considered with caution due to the multifactorial nature of AP. Future research should consider the number of sessions per week, the prolongation of the same during the school year, the intensity and duration of the activity, and the intervention type of active breaks. In addition, attention should be paid to possible incident factors in AP related to personal and social variables.</t>
  </si>
  <si>
    <t>Arribas-Galarraga, Silvia/R-1257-2019; Espoz-Lazo, Sebastian/AAV-2358-2020; de Cos, Izaskun/AAB-2687-2019; ARRIBAS GALARRAGA, SILVIA/K-8948-2017; Valdivia-Moral, Pedro/J-7490-2013</t>
  </si>
  <si>
    <t>ARRIBAS GALARRAGA, SILVIA/0000-0001-5086-4075; Espoz-Lazo, Sebastian/0000-0002-8513-4977; Valdivia-Moral, Pedro/0000-0002-1905-3247; Luis de Cos, Izaskun/0000-0002-6567-4749</t>
  </si>
  <si>
    <t>2254-9625</t>
  </si>
  <si>
    <t>10.3390/ejihpe14030030</t>
  </si>
  <si>
    <t>WOS:001191586400001</t>
  </si>
  <si>
    <t>Sabioncello, IZ; Vergara, FC; Galdames, S; Perez, MJO</t>
  </si>
  <si>
    <t>Sabioncello, Isabel Zett; Vergara, Fabian Campos; Galdames, Sergio; Perez, Maria Jose Opazo</t>
  </si>
  <si>
    <t>Leadership Practices in Kindergartens: A Debate between Capabilities, Importance and Urgency</t>
  </si>
  <si>
    <t>INTERNATIONAL JOURNAL OF EDUCATIONAL LEADERSHIP AND MANAGEMENT</t>
  </si>
  <si>
    <t>Leadership has been identified as one of the most important variables for the success of any educational organization. Previous investigations have focused on the school world, paying less attention to the direction of educational units of preschool education. Considering the recent interest at the international level and in Chile, to develop kindergarten directors as leaders, it is essential to know how the directors understand and implement their role. Inspired by the work of Aubrey et al. (2013) and developed in the context of public gardens managed by the National Board of Kindergartens in Chile, this study seeks to explore the conceptions and practices present in the managerial role. A questionnaire was applied to 86 directors of gardens, inviting them to organize a series of 18 key practices according to three independent dimensions: importance, frequency and capacity. The results show an emphasis on those related to the protection of community rights, a greater capacity to take care of the team and a greater frequency of practices related to establishing direction, evidencing tensions in what is identified as a priority, what they implement and the capacities they perceive to lead. Implications for research, development and policy are discussed.</t>
  </si>
  <si>
    <t>galdames, sergio/P-5604-2019</t>
  </si>
  <si>
    <t>Zett Sabioncello, Isabel/0000-0002-9837-5403</t>
  </si>
  <si>
    <t>2014-9018</t>
  </si>
  <si>
    <t>10.17583/ijelm.11181</t>
  </si>
  <si>
    <t>WOS:001165028400002</t>
  </si>
  <si>
    <t>Marcano, Y; Montanares, M; Gil-Durán, C; González, K; Levicán, G; Vaca, I; Chávez, R</t>
  </si>
  <si>
    <t>Marcano, Yudethzi; Montanares, Mariana; Gil-Duran, Carlos; Gonzalez, Kathia; Levican, Gloria; Vaca, Inmaculada; Chavez, Renato</t>
  </si>
  <si>
    <t>PrlaeA Affects the Production of Roquefortine C, Mycophenolic Acid, and Andrastin A in Penicillium roqueforti, but It Has Little Impact on Asexual Development</t>
  </si>
  <si>
    <t>The regulation of fungal specialized metabolism is a complex process involving various regulators. Among these regulators, LaeA, a methyltransferase protein originally discovered in Aspergillus spp., plays a crucial role. Although the role of LaeA in specialized metabolism has been studied in different fungi, its function in Penicillium roqueforti remains unknown. In this study, we employed CRISPR-Cas9 technology to disrupt the laeA gene in P. roqueforti (PrlaeA) aiming to investigate its impact on the production of the specialized metabolites roquefortine C, mycophenolic acid, and andrastin A, as well as on asexual development, because they are processes that occur in the same temporal stages within the physiology of the fungus. Our results demonstrate a substantial reduction in the production of the three metabolites upon disruption of PrlaeA, suggesting a positive regulatory role of LaeA in their biosynthesis. These findings were further supported by qRT-PCR analysis, which revealed significant downregulation in the expression of genes associated with the biosynthetic gene clusters (BGCs) responsible for producing roquefortine C, mycophenolic acid, and andrastin A in the Delta PrlaeA strains compared with the wild-type P. roqueforti. Regarding asexual development, the disruption of PrlaeA led to a slight decrease in colony growth rate, while conidiation and conidial germination remained unaffected. Taken together, our results suggest that LaeA positively regulates the expression of the analyzed BGCs and the production of their corresponding metabolites in P. roqueforti, but it has little impact on asexual development.</t>
  </si>
  <si>
    <t>Chavez, Renato/0000-0003-1754-3610; Gil-Duran, Carlos Andres/0000-0001-9638-6902; Montanares, Mariana/0009-0005-0599-1880; Levican, Gloria/0000-0002-1275-7399</t>
  </si>
  <si>
    <t>10.3390/jof9100954</t>
  </si>
  <si>
    <t>WOS:001099435300001</t>
  </si>
  <si>
    <t>Sadeghzadeh, S; Yang, J; Toffoletto, F; Wolf, R; Mousavi, A; Espinoza, CM</t>
  </si>
  <si>
    <t>Sadeghzadeh, Sina; Yang, Jian; Toffoletto, Frank; Wolf, Richard; Mousavi, Ameneh; Espinoza, C. M.</t>
  </si>
  <si>
    <t>RCM Modeling of Bubble Injections Into the Inner Magnetosphere: Spectral Properties of Plasma Sheet Particles</t>
  </si>
  <si>
    <t>Collisionless astrophysical plasmas are correlated systems in which particles are often not in thermal equilibrium and can be characterized by power-law distributions. The kappa distribution function, which is a more generalized form of the power-law function, is often used to describe acceleration and production of high-energy particles in different space plasma environments. The spectra of particles in the Earth's plasma sheet constructed using Time History of Events and Mesoscale Interactions during Substorms data show that the kappa index exhibits a strong dawn-dusk asymmetry and a clear dependence on both geocentric distance and magnetic local time. Furthermore, statistics indicate that spectrum hardening, or softening is expected during geomagnetically disturbed periods. To understand how the shape of the particle distribution function evolves and what factors affect the kappa index, we simulate earthward plasma transport using a kinetic drift model. In the simulations, the plasma distribution is initially considered to be a kappa function with k = 6 . However, with time, both protons and electrons' distribution functions evolve and deviate from their initial shapes. We demonstrate that by implementing transient low-entropy plasma injections, the Rice Convection Model average distribution functions can reasonably agree with observations. We also discuss the relative impact of gradient/curvature drift, particle loss, and bubble injections, based on controlled numerical experiments.</t>
  </si>
  <si>
    <t>Mousavi, Ameneh/IRZ-9540-2023; Sadeghzadeh, Sina/ISB-6339-2023; Yang, Jian/S-7950-2019; Espinoza, Cristobal/U-4428-2017</t>
  </si>
  <si>
    <t>Toffoletto, Frank/0000-0001-7789-2615; Espinoza, Cristobal/0000-0003-2481-2348; Sadeghzadeh, Sina/0000-0001-5748-477X</t>
  </si>
  <si>
    <t>e2022JA030673</t>
  </si>
  <si>
    <t>10.1029/2022JA030673</t>
  </si>
  <si>
    <t>WOS:000965046900001</t>
  </si>
  <si>
    <t>Choque, S; Zuñiga, C; González, A; Moenne, A; Antiochia, R; Gorton, L; Tasca, F</t>
  </si>
  <si>
    <t>Choque, Sergio; Zuniga, Cesar; Gonzalez, Alberto; Moenne, Alejandra; Antiochia, Riccarda; Gorton, Lo; Tasca, Federico</t>
  </si>
  <si>
    <t>Development of biophoto anodes using Ulvophyceae macroalgae</t>
  </si>
  <si>
    <t>JOURNAL OF MATERIALS CHEMISTRY A</t>
  </si>
  <si>
    <t>Three different macroalgae, i.e., U. lactuca, U. linza, and U. compressa, have been studied for biological photovoltaic energy system (BPVE) using edge plane pyrolytic graphite as the supporting working electrode. The studied biophotoanodes were evaluated in terms of direct electron transfer (DET) and mediated electron transfer (MET) processes. Ferrocyanide (FeCN), p-benzoquinone (BQ), and 1,4-naphthoquinone (NQ) were used as a mediator during biophotovoltaic experiments in the presence and absence of applied light. The electrochemical characterization was performed by cyclic voltammetry (CV) and chronoamperometry. The results show that using BQ during the MET process, the electron transfer to the graphite electrode drastically increases during light conditions, where the most promising biophotoanode was in the presence of BQ and U. linza with a current density of 72.1 +/- 9.1 mu A cm(-2), which represents an increase of almost 2000 times over DET results. Similar results were obtained with U. lactuca and U. compressa. The high performance in the presence of BQ for the three macroalgae has been attributed to the favorable penetration of the quinone molecule to the cytoplasmic membrane, allowing the direct exchange of electrons with photosystem II in the thylakoid structure.</t>
  </si>
  <si>
    <t>Zúñiga-Loyola, César/AAN-5621-2021; Tasca, Federico/J-4134-2015; Figueroa, Alberto/AAA-7911-2020</t>
  </si>
  <si>
    <t>Tasca, Federico/0000-0002-4111-4624; Gorton, Lo/0000-0002-7278-0478; Zuniga-Loyola, Cesar/0000-0002-0894-3383</t>
  </si>
  <si>
    <t>2050-7488</t>
  </si>
  <si>
    <t>2050-7496</t>
  </si>
  <si>
    <t>10.1039/d2ta07046d</t>
  </si>
  <si>
    <t>WOS:000910933500001</t>
  </si>
  <si>
    <t>Fierro, A; Vergara, PM; Elgueta, M; Carvajal, MA; Alaniz, AJ</t>
  </si>
  <si>
    <t>Fierro, Andres; Vergara, Pablo M.; Elgueta, Mario; Carvajal, Mario A.; Alaniz, Alberto J.</t>
  </si>
  <si>
    <t>A saproxylic weevil acts as an ecosystem engineer: Impacts across multiple trophic levels</t>
  </si>
  <si>
    <t>Although the degradation of dead trees plays an important role in biodiversity maintenance, only a few species of pioneer saproxylic beetles trigger their early degradation, thus acting as ecosystem engineers. Pioneer saproxylic beetles may be functionally more important when the properties of dead wood hinder its decay. In Patagonian rainforests, recently dead evergreen trees are massively colonized by a unique pit weevil species (Psepholax dentipes), while Nothofagus tree species host several pioneer beetle species. We evaluated if P. dentipes acts as an ecosystem engineer in evergreen trees only, positively affecting saproxylophagous beetles and Magellanic woodpeckers. We compared P. dentipes abundance between dead trees of evergreen and Nothofagus species. A causal model was used to test P. dentipes facilitation on woodpeckers and saproxylophagous beetles, while the foraging preferences of woodpeckers for trees colonized by P. dentipes were evaluated with zero-inflated models. Psepholax dentipes were more abundant in evergreen trees than in Nothofagus trees, in both cases affecting positively foraging woodpeckers. However, the positive P. dentipes effect on woodpeckers was stronger in evergreen trees than in Nothofagus trees, while a positive P. dentipes effect on saproxylophagous beetles was found only in evergreen trees. Woodpeckers selected trees with more holes of P. dentipes, but this effect weakened as trees became more decayed. Our results support the role of P. dentipes as ecosystem engineers in dead ever-green trees as they improve microhabitat conditions for saproxylophagous beetles and foraging woodpeckers, while serving as prey for woodpeckers.</t>
  </si>
  <si>
    <t>Alaniz, Alberto/J-3104-2019; Vergara, Pablo/F-2519-2010; Carvajal, Mario/GYU-2659-2022</t>
  </si>
  <si>
    <t>10.1016/j.foreco.2022.120603</t>
  </si>
  <si>
    <t>WOS:000885975400005</t>
  </si>
  <si>
    <t>Bordone, M; Monsalve, A; Ipiña, JP</t>
  </si>
  <si>
    <t>Bordone, M.; Monsalve, A.; Perez Ipina, J.</t>
  </si>
  <si>
    <t>Fracture toughness of High-Manganese steels with TWIP/ TRIP effects</t>
  </si>
  <si>
    <t>ENGINEERING FRACTURE MECHANICS</t>
  </si>
  <si>
    <t>Three high-manganese steels with different carbon contents were investigated in this work, aiming to explore their elastoplastic fracture toughness, fracture micro-mechanisms and micro -structural features. J-R curves were obtained according to ASTM E1820-20 by testing C(T) specimens, applying the unloading compliance method to measure crack extension. The TWIP effect (mechanical twinning + dislocation gliding) developed in Steel A and Steel B with carbon contents of 0.84 wt% and 0.54 wt% respectively. On the other hand, Steel C (carbon content of 0.28 wt%), showed strain-induced gamma FCC -&gt; epsilon HCP transformation associated with the TRIP effect. The three steels presented smooth load (P) vs load-line displacement (v) records; i.e., no insta-bility was observed, which allowed the characterization of fracture toughness by means of J-R curves. Fully dimpled fracture surfaces were observed in Steel A and Steel B, whilst Steel C showed small cleavage facets in some sectors that had not indication in the P vs v records. Best performance in terms of fracture behavior was obtained in Steel B and the poorest in Steel C. In addition to the above, the microstructural analysis of the stable crack growth zones in the frac-tured specimens allowed the identification of several characteristics.</t>
  </si>
  <si>
    <t>Perez Ipiña, Juan/IZE-2438-2023; Perez Ipina, Juan E./N-2620-2016</t>
  </si>
  <si>
    <t>Perez Ipina, Juan E./0000-0002-0934-477X; Monsalve, Alberto/0000-0002-5772-8815</t>
  </si>
  <si>
    <t>0013-7944</t>
  </si>
  <si>
    <t>1873-7315</t>
  </si>
  <si>
    <t>10.1016/j.engfracmech.2022.108837</t>
  </si>
  <si>
    <t>WOS:000876832700003</t>
  </si>
  <si>
    <t>Gonzalez-Coloma, A; Andrés, MF; Contreras, R; Zúñiga, GE; Díaz, CE</t>
  </si>
  <si>
    <t>Gonzalez-Coloma, Azucena; Andres, Maria Fe; Contreras, Rodrigo; Zuniga, Gustavo E.; Diaz, Carmen Elisa</t>
  </si>
  <si>
    <t>Sustainable Production of Insecticidal Compounds from Persea indica</t>
  </si>
  <si>
    <t>In this work, we have investigated the accumulation of ryanoids in different plant parts (leaves, stems and roots) of aeroponically grown Persea indica cloned trees (one-year-old cloned individuals) and a selected mature, wild tree. We tested the insect antifeedant (against Spodoptera littoralis, Myzus persicae and Rhopalosiphum padi) and nematicidal (against Meloidogyne javanica) effects of ethanolic extracts from these different plant parts. The HPLC-MS analysis of P. indica extracts showed that mature tree (wild) leaves had two times more chemical diversity than stems. Aeroponic plants showed fewer differences in chemical diversity between leaves and stems, with the lowest diversity found in the roots. Ryanodane epiryanodol (1) was present in all the plant parts, with the mature stems (wild) containing the highest amount. The aeroponic stems also accumulated ryanoids including 1, cinnzeylanol (2) and cinnzeylanone (4). The insect Spodoptera littoralis was strongly affected by the stem extracts, while leaf extracts were moderately active. Based on predicted vs. real antifeedant values, we concluded that the ryanoid content (1 or a combination of 2, 4 and 1) explained the antifeedant effects of the stem extracts, while additional components contributed to the activity of the leaf extracts. Therefore, careful individual selection of P. indica seedlings should be carried out prior to proceeding with aeroponic cultivation in order to obtain ryanodane-rich stem or leaf extracts with strong antifeedant effects on S. littoralis.</t>
  </si>
  <si>
    <t>Contreras, Rodrigo/I-1871-2013; Zuñiga, Gustavo/P-8306-2015; ANDRES, MARIA FE/H-1221-2015; Diaz Hernandez, Carmen Elisa/H-9419-2015; GONZALEZ-COLOMA, AZUCENA/G-8781-2015</t>
  </si>
  <si>
    <t>Contreras, Rodrigo/0000-0001-9970-3125; ANDRES, MARIA FE/0000-0002-8729-5053; Diaz Hernandez, Carmen Elisa/0000-0003-1992-3545; GONZALEZ-COLOMA, AZUCENA/0000-0001-5124-664X</t>
  </si>
  <si>
    <t>10.3390/plants11030418</t>
  </si>
  <si>
    <t>WOS:000754785400001</t>
  </si>
  <si>
    <t>Zapata, R; Müller, JM; Vasquez, JE; Ravera, F; Lago, G; Cañón, E; Castañeda, D; Pradenas, M; Ramírez-Santana, M</t>
  </si>
  <si>
    <t>Zapata B, Rodrigo; Miguel Muller, Jose; Enrique Vasquez, Juan; Ravera, Franco; Lago, Gustavo; Canon, Eduardo; Castaneda, Daniella; Pradenas, Madelaine; Ramirez-Santana, Muriel</t>
  </si>
  <si>
    <t>Omega-3 Index and Clinical Outcomes of Severe COVID-19: Preliminary Results of a Cross-Sectional Study</t>
  </si>
  <si>
    <t>The potentially detrimental effects of the worldwide deficiency of Omega-3 fatty acids on the COVID-19 pandemic have been underestimated. The Omega-3 Index (O3I), clinical variables, biometric indices, and nutritional information were directly determined for 74 patients with severe COVID-19 and 10 healthy quality-control subjects. The relationships between the OI3 and mechanical ventilation (MV) and death were analyzed. Results: Patients with COVID-19 exhibited low O3I (mean: 4.15%; range: 3.06-6.14%)-consistent with insufficient fish and Omega-3 supplement consumption, and markedly lower than the healthy control subjects (mean: 7.84%; range: 4.65-10.71%). Inverse associations were observed between O3I and MV (OR = 0.459; C.I.: 0.211-0.997) and death (OR = 0.28; C.I.: 0.08-0.985) in severe COVID-19, even after adjusting for sex, age, and well-known risk factors. Conclusion: We present preliminary evidence to support the hypothesis that the risk of severe COVID-19 can be stratified by the O3I quartile. Further investigations are needed to assess the value of the O3I as a blood marker for COVID-19.</t>
  </si>
  <si>
    <t>Ramirez-Santana, Muriel/L-3644-2013</t>
  </si>
  <si>
    <t>Ramirez-Santana, Muriel/0000-0002-3642-6965</t>
  </si>
  <si>
    <t>10.3390/ijerph18157722</t>
  </si>
  <si>
    <t>WOS:000681844600001</t>
  </si>
  <si>
    <t>Ponce, I; Garrido, N; Tobar, N; Melo, F; Smith, PC; Martínez, J</t>
  </si>
  <si>
    <t>Ponce, Ivan; Garrido, Nelson; Tobar, Nicolas; Melo, Francisco; Smith, Patricio C.; Martinez, Jorge</t>
  </si>
  <si>
    <t>Matrix Stiffness Modulates Metabolic Interaction between Human Stromal and Breast Cancer Cells to Stimulate Epithelial Motility</t>
  </si>
  <si>
    <t>METABOLITES</t>
  </si>
  <si>
    <t>Breast tumors belong to the type of desmoplastic lesion in which a stiffer tissue structure is a determinant of breast cancer progression and constitutes a risk factor for breast cancer development. It has been proposed that cancer-associated stromal cells (responsible for this fibrotic phenomenon) are able to metabolize glucose via lactate production, which supports the catabolic metabolism of cancer cells. The aim of this work was to investigate the possible functional link between these two processes. To measure the effect of matrix rigidity on metabolic determinations, we used compliant elastic polyacrylamide gels as a substrate material, to which matrix molecules were covalently linked. We evaluated metabolite transport in stromal cells using two different FRET (Fluorescence Resonance Energy Transfer) nanosensors specific for glucose and lactate. Cell migration/invasion was evaluated using Transwell devices. We show that increased stiffness stimulates lactate production and glucose uptake by mammary fibroblasts. This response was correlated with the expression of stromal glucose transporter Glut1 and monocarboxylate transporters MCT4. Moreover, mammary stromal cells cultured on stiff matrices generated soluble factors that stimulated epithelial breast migration in a stiffness-dependent manner. Using a normal breast stromal cell line, we found that a stiffer extracellular matrix favors the acquisition mechanistical properties that promote metabolic reprograming and also constitute a stimulus for epithelial motility. This new knowledge will help us to better understand the complex relationship between fibrosis, metabolic reprogramming, and cancer malignancy.</t>
  </si>
  <si>
    <t>MARTINEZ, JORGE/I-2517-2013; Melo, Francisco/M-3923-2014; Tobar Bachler, Nicolas/L-1031-2018; Smith, Patricio/I-5897-2014</t>
  </si>
  <si>
    <t>Melo, Francisco Esteban/0000-0001-6818-5476; MARTINEZ, JORGE/0000-0002-2078-7918; Tobar Bachler, Nicolas/0000-0003-2395-9014; Smith, Patricio/0000-0001-7314-621X</t>
  </si>
  <si>
    <t>2218-1989</t>
  </si>
  <si>
    <t>10.3390/metabo11070432</t>
  </si>
  <si>
    <t>WOS:000676365400001</t>
  </si>
  <si>
    <t>Gaete, J; Molina, L; Valenzuela, F; Basualto, C</t>
  </si>
  <si>
    <t>Gaete, Jose; Molina, Lorena; Valenzuela, Fernando; Basualto, Carlos</t>
  </si>
  <si>
    <t>Recovery of lanthanum, praseodymium and samarium by adsorption using magnetic nanoparticles functionalized with a phosphonic group</t>
  </si>
  <si>
    <t>HYDROMETALLURGY</t>
  </si>
  <si>
    <t>In this work, the synthesis and application of a promising magnetic adsorbent for the recovery of lanthanum, praseodymium, and samarium was studied. To obtain the magnetic adsorbent, magnetite nanoparticles were functionalized with a phosphonic acid group (PA-MNPs) by an efficient and reproducible method. Based on HR-TEM analysis, PA-MNPs present an average diameter of 6.8 nm, have a spherical shape, and a certain degree of agglomeration at approximately 20 to 40 nm. The nanoparticles' magnetic saturation was found to be approximately 55 emu/g, enough to provoke their complete separation from an aqueous raffinate using a common magnet. The XPS and FTIR analyses provided evidence for a phosphonic acid group on the surface of the magnetite nanoparticles. The effect of the pH and the initial concentration of lanthanide ions in the aqueous feed solution and the adsorbent dose on REE adsorption was studied. Maximum lanthanide ion loading capacities in the range of 20-24 mg (lanthanide)/g (adsorbent )were measured close to pH 4 (contact time: 5 min.; mass of adsorbent: 200 mg). The PA-MNPs adsorbent presented high mechanical and chemical stability in aqueous solutions with initial pH between 3 and 7. The more efficient desorption (75-100%) of lanthanide ions from the adsorbent was achieved using H2SO4 0.1 M solution. The feasibility of regenerating and reusing functionalized magnetic nanoparticles in five cycles of adsorption/desorption was verified. Freundlich and Langmuir adsorption isotherms fit the experimental equilibrium data well, which would be indicating that the adsorption process would be ruled by a hybrid model. The results of kinetic experiments were well explained by a pseudosecond-order kinetic model, and a very fast initial adsorption rate was observed.</t>
  </si>
  <si>
    <t>Molina-Calderon, Lorena/0000-0002-4087-4306; Gaete, Jose/0000-0002-6914-6193</t>
  </si>
  <si>
    <t>0304-386X</t>
  </si>
  <si>
    <t>1879-1158</t>
  </si>
  <si>
    <t>10.1016/j.hydromet.2021.105698</t>
  </si>
  <si>
    <t>WOS:000670150400004</t>
  </si>
  <si>
    <t>Arrué, L; Pino-Rios, R</t>
  </si>
  <si>
    <t>Arrue, Lily; Pino-Rios, Ricardo</t>
  </si>
  <si>
    <t>Boron-noble gas covalent bonds in borenium and boronium compounds</t>
  </si>
  <si>
    <t>The capability of the BH2+ parent cation to bind noble gases (Ng) has been evaluated. The results show its potential to form borenium (BH(2)Ng(+)) and boronium (BH(2)Ng(2)(+)) cations. Conformational search using the recently developed AUTOMATON program and Coalescence Kick method, in addition to thermochemical and Born-Oppenheimer molecular dynamics (BOMD) calculations, were performed. Results show that compounds containing Ng = Ar-Rn are thermodynamically and kinetically stable. Furthermore, it was found that the B-Ng bond has high dissociation energy values at both DFT and CCSD(T) levels suggesting a strong interaction. The nature of the chemical bond has been assessed according to the Quantum Theory of Atoms in Molecules (QTAIM), Natural Bond Orbital Theory (NBO) and Energy decomposition Analysis (EDA). Negative values of local energy density H(r(c)) and high values of the Wiberg bond Index (WBI) reveal its covalent nature that is confirmed by localized natural bond orbitals with 2.0 |e| occupations. Additionally, it could be observed that the orbital term (Delta E-orb) is the most important component (84.6-90.1%) of the interaction energy between the parent BH2+ and Ng atoms, supporting the polar covalent nature of the B-Ng bond.</t>
  </si>
  <si>
    <t>Arrue, Lily/AAJ-8465-2021</t>
  </si>
  <si>
    <t>Pino Rios, Ricardo/0000-0003-4756-1115; Arrue, Lily/0000-0003-0916-6077</t>
  </si>
  <si>
    <t>10.1039/d0cp05177b</t>
  </si>
  <si>
    <t>WOS:000632849700054</t>
  </si>
  <si>
    <t>Olguín, CF; Agurto, N; Silva, CP; Candia, CP; Santander-Nelli, M; Oyarzo, J; Gómez, A; Silva, JF; Pavez, J</t>
  </si>
  <si>
    <t>Olguin, Camila F.; Agurto, Nicolas; Silva, Carlos P.; Candia, Carolina P.; Santander-Nelli, Mireya; Oyarzo, Juan; Gomez, Alejandra; Silva, Juan F.; Pavez, Jorge</t>
  </si>
  <si>
    <t>Tuning the Covering on Gold Surfaces by Grafting Amino-Aryl Films Functionalized with Fe(II) Phthalocyanine: Performance on the Electrocatalysis of Oxygen Reduction</t>
  </si>
  <si>
    <t>Current selective modification methods, coupled with functionalization through organic or inorganic molecules, are crucial for designing and constructing custom-made molecular materials that act as electroactive interfaces. A versatile method for derivatizing surfaces is through an aryl diazonium salt reduction reaction (DSRR). A prominent feature of this strategy is that it can be carried out on various materials. Using the DSRR, we modified gold surface electrodes with 4-aminebenzene from 4-nitrobenzenediazonium tetrafluoroborate (NBTF), regulating the deposited mass of the aryl film to achieve covering control on the electrode surface. We got different degrees of covering: monolayer, intermediate, and multilayer. Afterwards, the ArNO2 end groups were electrochemically reduced to ArNH2 and functionalized with Fe(II)-Phthalocyanine to study the catalytic performance for the oxygen reduction reaction (ORR). The thickness of the electrode covering determines its response in front of ORR. Interestingly, the experimental results showed that an intermediate covering film presents a better electrocatalytic response for ORR, driving the reaction by a four-electron pathway.</t>
  </si>
  <si>
    <t>PAVEZ, JORGE/0000-0002-5100-6707; Silva, Carlos P./0000-0001-5344-042X; Oyarzo Montalvan, Juan Ignacio/0000-0002-1778-3051; Agurto, Nicolas/0000-0002-8316-3555</t>
  </si>
  <si>
    <t>10.3390/molecules26061631</t>
  </si>
  <si>
    <t>WOS:000645399600001</t>
  </si>
  <si>
    <t>Galar, IA; Díaz, CR</t>
  </si>
  <si>
    <t>Gonzalez, RS; Barraza, GM; Magana, FI; Calquin, DC; Castillo, D</t>
  </si>
  <si>
    <t>Alzueta Galar, Igor; Rodriguez Diaz, Claudio</t>
  </si>
  <si>
    <t>Pandemic, public policies and the dispute around the state. The comparative case of Chile and Spain</t>
  </si>
  <si>
    <t>CHILE EN EL VERTICE DE LA TRANSFORMACION SOCIAL: (Re) Planteamientos Psicosociales en Tiempos de Crisis Global. Aportes y Miradas Con-movedoras sobre Conflictividad Social y Pandemia. (Re) Psychosocial Approaches in Times of Global Crisis. Contributions and Con-moving Looks on Social Conflict and Pandemic</t>
  </si>
  <si>
    <t>Alzueta-Galar, Igor/LFV-6594-2024</t>
  </si>
  <si>
    <t>Alzueta-Galar, Igor/0000-0001-7246-8970</t>
  </si>
  <si>
    <t>978-956-303-478-3</t>
  </si>
  <si>
    <t>WOS:000651158400010</t>
  </si>
  <si>
    <t>de Melo, CEA; Domínguez, M; Rezende, MC; Machado, VG</t>
  </si>
  <si>
    <t>de Melo, Carlos E. A.; Dominguez, Moises; Rezende, Marcos C.; Machado, Vanderlei G.</t>
  </si>
  <si>
    <t>Solvatochromism of dyes inspired in Effenberger's probe</t>
  </si>
  <si>
    <t>Solvatochromic dyes have been utilized in recent decades as probes to measure the polarity of the medium. An interesting example is the Effenberger's dye (ED), which exhibits a very pronounced positive solvatochromism, being considered a dye that probes practically only the polarizability and dipolarity of the medium. This compound is difficult to be accessed and, in addition, the synthesis of dyes capable to probe the polarizability of the medium is a subject of interest. In view of this, six imine probes inspired in the molecular structure of ED were synthesized and characterized. Two compounds were solvatochromic and exhibit different colors in various solvents, while the other dyes exhibit a weak solvatochromism. Three probes present a behavior very similar to ED, showing a positive solvatochromic behavior. The application of multiparametric equations shows that polarizability is the most influential solvent parameter in the solvation of the dyes studied. Theoretical calculations were performed with a dye in ten different solvents, employing a continuum model to mimic solvent effects and TD/DFT calculations with two functionals exhibiting a different degree of Hartree-Fock exchange to estimate transition energy (E-T) values. A HOMO-LUMO transition involving an internal charge transfer from the N,N-dimethylaminophenyl electron-donor to the nitrothienyl electron-acceptor moieties of the dye was identified as the origin of the solvatochromic band. The calculated E-T values reproduce qualitatively the positive solvatochromism of the dye. The results obtained show that the easy synthesis of solvatochromic compounds, inspired in the ED, represents an interesting possibility in the research for novel polarizability probes.</t>
  </si>
  <si>
    <t>Domínguez, Moisés/P-2227-2019; Caroli, Marcos/H-3570-2019; Machado, Vanderlei/C-7045-2018</t>
  </si>
  <si>
    <t>10.1016/j.dyepig.2020.108757</t>
  </si>
  <si>
    <t>WOS:000580897700024</t>
  </si>
  <si>
    <t>Bejide, M; Contreras, P; Homm, P; Duran, B; García-Merino, JA; Rosenkranz, A; Denardin, JC; del Río, R; Hevia, SA</t>
  </si>
  <si>
    <t>Bejide, Matias; Contreras, Patricio; Homm, Pia; Duran, Boris; Garcia-Merino, Jose Antonio; Rosenkranz, Andreas; Denardin, Juliano C.; del Rio, Rodrigo; Hevia, Samuel A.</t>
  </si>
  <si>
    <t>Nickel Nanopillar Arrays Electrodeposited on Silicon Substrates Using Porous Alumina Templates</t>
  </si>
  <si>
    <t>Nickel nanopillar arrays were electrodeposited onto silicon substrates using porous alumina membranes as a template. The characterization of the samples was done by scanning electron microscopy, X-ray diffraction, and alternating force gradient magnetometry. Ni nanostructures were directly grown on Si by galvanostatic and potentiostatic electrodeposition techniques in three remarkable charge transfer configurations. Differences in the growth mechanisms of the nanopillars were observed, depending on the deposition method. A high correlation between the height of the nanopillars and the charge synthesis was observed irrespective of the electrochemical technique. The magnetization measurements demonstrated a main dependence with the height of the nanopillars. The synthesis of Ni nanosystems with a controllable aspect ratio provides an effective way to produce well-ordered networks for wide scientific applications.</t>
  </si>
  <si>
    <t>Giannetti, Claudio/E-6694-2012; Del Rio, Rodrigo/AAF-8763-2020; Hevia, Samuel/H-1795-2014; Garcia_Merino, Jose/AAP-9660-2021; Denardin, Juliano/S-6407-2019; Del Rio, Rodrigo/B-2440-2008; Rosenkranz, Andreas/K-9997-2018</t>
  </si>
  <si>
    <t>Hevia, Samuel/0000-0002-0517-5040; Garcia Merino, Jose Antonio/0000-0002-3296-6315; Bejide, Matias/0000-0002-2859-5611; Del Rio, Rodrigo/0000-0003-0315-6660; Rosenkranz, Andreas/0000-0002-9006-1127</t>
  </si>
  <si>
    <t>10.3390/molecules25225377</t>
  </si>
  <si>
    <t>WOS:000594187800001</t>
  </si>
  <si>
    <t>Fuertes, G; Alfaro, M; Vargas, M; Espinoza, A; Galvez, D; Sepalveda-Rojas, JP</t>
  </si>
  <si>
    <t>Fuertes, Guillermo; Alfaro, Miguel; Vargas, Manuel; Espinoza, Andrea; Galvez, Daniel; Pedro Sepalveda-Rojas, Juan</t>
  </si>
  <si>
    <t>Measure of Semantic Likeness Among Business Process Activities in a Telecommunication Company</t>
  </si>
  <si>
    <t>The study proposes a measure of semantic similarity to solve the wide variety of business process recovery problems, these measures allow to compare the processes of business models useful for reuse, redesign or reengineering process. A metric that demonstrates the similarity between a reference model or fragment of it is proposed. These metrics focus on the activities that make up a business process and are developed through three measures: syntactic, linguistic and semantic similarities. The results show that the proposed measure is suitable for reuse purposes in manufacturing processes, being a useful tool in the area of knowledge management and process administration.</t>
  </si>
  <si>
    <t>vargas, manuel/AAG-4780-2020; Fuertes, Guillermo/Q-2341-2016; Sepulveda-Rojas, Juan Pedro/C-1799-2013; Espinoza Perez, Andrea Teresa/M-4426-2014</t>
  </si>
  <si>
    <t>Alfaro, Miguel/0000-0002-1633-8853; Vargas Guzman, Manuel Eduardo/0000-0003-4161-6621; Fuertes, Guillermo/0000-0003-3044-5919; Galvez, Daniel/0000-0001-6119-4310; Sepulveda-Rojas, Juan Pedro/0000-0002-6725-7295; Espinoza Perez, Andrea Teresa/0000-0002-6362-9100</t>
  </si>
  <si>
    <t>10.1109/ACCESS.2019.2953464</t>
  </si>
  <si>
    <t>WOS:000525419100043</t>
  </si>
  <si>
    <t>López, NA; Azurdia-Meza, CA; Montejo-Sánchez, S; Valencia, C</t>
  </si>
  <si>
    <t>Velazquez, R</t>
  </si>
  <si>
    <t>Lopez, Nicolas A.; Azurdia-Meza, Cesar A.; Montejo-Sanchez, Samuel; Valencia, Claudio</t>
  </si>
  <si>
    <t>Experimental Evaluation of Capture Effect in an IEEE 802.15.4 WSN based on Unslotted-CSMA/CA</t>
  </si>
  <si>
    <t>2020 IEEE LATIN-AMERICAN CONFERENCE ON COMMUNICATIONS (LATINCOM 2020)</t>
  </si>
  <si>
    <t>IEEE Latin American Conference on Communications</t>
  </si>
  <si>
    <t>IEEE Latin-American Conference on Communications (LATINCOM)</t>
  </si>
  <si>
    <t>NOV 18-20, 2020</t>
  </si>
  <si>
    <t>Jamming attacks for disrupting legitimate transmissions are currently one of the most used techniques by attackers. These attacks are difficult to detect and have rarely been addressed in IEEE 802.15.4 wireless sensor networks (WSNs) based on CSMA/CA, and few experimental scenarios have considered the presence of an attacker in these networks. In this work, we evaluated the impact of the capture effect in an IEEE 802.15.4 WSN based on unslotted-CSMA/CA in the presence of an attacker, considering different values of back-off. We analyze the capture effect for multiple values of SINR and back-off in terms of Packet Reception Rate (PRR) and goodput. For instance, the PRR-to-SINR and the goodput show that for SINR values higher than 4.5dB, the PRR is almost 0.99, and the goodput 3048.38bps, despite the backoff exponent (BE) used value. Based on the evaluated metrics, we provide findings that offer a better understanding of the capture effect under jamming attacks in real scenarios.</t>
  </si>
  <si>
    <t>Montejo-Sánchez, Samuel/AAX-4151-2020; Meza, Cesar/D-6948-2014</t>
  </si>
  <si>
    <t>Lopez-Vilos, Nicolas/0000-0002-8372-7824</t>
  </si>
  <si>
    <t>2330-989X</t>
  </si>
  <si>
    <t>978-1-7281-8903-1</t>
  </si>
  <si>
    <t>WOS:000926136200025</t>
  </si>
  <si>
    <t>Monedero, E; Lapuerta, M; Pazo, A; Díaz-Robles, LA; Pino-Cortés, E; Campos, ; Vallejo, F; Cubillos, F; Gómez, J</t>
  </si>
  <si>
    <t>Monedero, E.; Lapuerta, M.; Pazo, A.; Diaz-Robles, L. A.; Pino-Cortes, E.; Campos, V; Vallejo, F.; Cubillos, F.; Gomez, J.</t>
  </si>
  <si>
    <t>Effect of hydrothermal carbonization on the properties, devolatilization, and combustion kinetics of Chilean biomass residues</t>
  </si>
  <si>
    <t>BIOMASS &amp; BIOENERGY</t>
  </si>
  <si>
    <t>This work evaluates the hydrothermal carbonization (HTC) process as a method to upgrade the quality of biomass residues to be used as fuels in gasification or combustion processes. Seven residues from Chilean biomass were characterized thermochemically before and after being processed by HTC. Additionally, the kinetics of devolatilization and combustion were studied. HTC produces biomass with lower ash content, higher carbon content and higher heating value than the original biomass. Herbaceous wastes showed lower heating values (LHV) around 20% higher after HTC process, while increases around 10% in woody and agroindustrial wastes and corn (even being herbaceous wastes) were observed. The chlorine values obtained after HTC indicate the possibility of using the herbaceous, woody and industrial wastes studied as fuels without chlorine related problems. The activation energy (E-a) values from cellulose and hemicellulose decomposition were higher after HTC process, while lower E-a values from lignin decomposition were found. The combustion characteristic temperatures, ignition temperature (T-i), peak temperature (T-p), and burnout temperature (T-b), were delayed towards higher temperatures with HTC process for all residues. Moreover, the reactivity (R) and combustibility index (S) were lower after HTC, indicating slower combustion for the samples after HTC. Finally, the results show that HTC is a promising process to homogenize the kinetic parameters and the combustion behavior of the samples, thus increasing the interchangeability of the samples in combustion or gasification systems.</t>
  </si>
  <si>
    <t>Cortés, Ernesto/Z-2777-2019; Vallejo, Fidel/AAM-6353-2020; Monedero Villalba, Maria Esperanza/C-9062-2016; Lapuerta, Magin/F-3946-2016; Pazo, Amparo/R-4278-2017</t>
  </si>
  <si>
    <t>Monedero Villalba, Maria Esperanza/0000-0002-0288-7261; Lapuerta, Magin/0000-0001-7418-1412; Vallejo, Fidel Ernesto/0000-0001-5835-298X; CUBILLOS, FRANCISCO/0000-0001-7863-4394; Gomez Lopez, Jaime Eduardo/0000-0002-6175-1583; Pino-Cortes, Ernesto/0000-0001-5133-2812; Pazo, Amparo/0000-0002-5045-2596</t>
  </si>
  <si>
    <t>0961-9534</t>
  </si>
  <si>
    <t>1873-2909</t>
  </si>
  <si>
    <t>10.1016/j.biombioe.2019.105387</t>
  </si>
  <si>
    <t>WOS:000499712900024</t>
  </si>
  <si>
    <t>Espinoza, J; Urzúa, A; Sanhueza, L; Walter, M; Fincheira, P; Muñoz, P; Mendoza, L; Wilkens, M</t>
  </si>
  <si>
    <t>Espinoza, Javier; Urzua, Alejandro; Sanhueza, Loreto; Walter, Mariana; Fincheira, Paola; Munoz, Patricia; Mendoza, Leonora; Wilkens, Marcela</t>
  </si>
  <si>
    <t>Essential Oil, Extracts, and Sesquiterpenes Obtained From the Heartwood of Pilgerodendron uviferum Act as Potential Inhibitors of the Staphylococcus aureus NorA Multidrug Efflux Pump</t>
  </si>
  <si>
    <t>FRONTIERS IN MICROBIOLOGY</t>
  </si>
  <si>
    <t>Staphylococcus aureus is a serious human pathogen that is highly adaptive to environmental conditions and rapidly develops antibiotic resistance. The use of efflux pumps to reduce antibiotic concentrations at the intracellular level is one of the main mechanisms by which bacteria develop antibiotic resistance. The management of efflux pumps, specifically NorA, which is expressed by S. aureus strains, is a valuable strategy for restoring susceptibility in strains resistant to antibacterial agents. In recent years, many studies have focused on searching for natural substances that can reverse efflux pump-mediated resistance in S. aureus. Extracts and compounds obtained from plants can be efficient efflux pump inhibitors (EPIs) and represent a potentially patient-friendly strategy for controlling S. aureus. In the present study, we evaluated the ability of essential oils, petroleum ether extracts, dichloromethane extract (DCME) and six compounds isolated from the heartwood of Pilgerodendron uviferum (Cupressaceae) and two synthetic derivatives to inhibit efflux in NorA pumps in the following three S. aureus strains: K2378, which overexpressed the norA gene (norA++), K1902 (norA-deleted, Delta norA) and the parental strain, NCTC 8325-4. Efflux activity was evaluated using a fluorometric method that measured the accumulation of the universal efflux pump substrate ethidium bromide (EtBr). Only DCME and the compounds 15-copaenol and epi-cubenol inhibited EtBr efflux by K2378. Even the lowest concentration of 15-copaenol exhibited a stronger inhibitory effect than carbonyl cyanide m-chlorophenyl hydrazone on EtBr efflux by K2378. 15-copaenal only showed inhibition of EtBr efflux in K2378 cells at 125 mu g/mL, but not superior to the control inhibitor and 15-copaenyl acetate exerted no intrinsic EPI activity against K2378. Fractional inhibitory concentration index (FICI) values obtained in the checkerboard assays, indicated that all combinations between DCME, epi-cubenol and 15-copaenol, and tested antibiotics showed a synergistic effect in wild type, norA and Delta norA strains. Moreover, those were not toxic for the HeLa cell line at concentrations in which the synergistic effect and inhibitory activity of efflux pumps was determined. Other extracts and compounds obtained from P. uviferum did not display EtBr efflux-inhibiting activity against the evaluated S. aureus strains.</t>
  </si>
  <si>
    <t>Muñoz, Patricia/E-9431-2017; Espinoza, Javier/L-1183-2019; Wilkens, Marcela/G-5928-2019; Fincheira, Paola/I-2724-2018</t>
  </si>
  <si>
    <t>Fincheira, Paola/0000-0002-6234-4808; Espinoza Maldonado, Javier/0000-0003-0153-8534</t>
  </si>
  <si>
    <t>1664-302X</t>
  </si>
  <si>
    <t>10.3389/fmicb.2019.00337</t>
  </si>
  <si>
    <t>WOS:000459662000001</t>
  </si>
  <si>
    <t>Ortega, R; Farías, G; Cruchaga, M; Rivero, M; Vázquez, M; Casoni, E; Houzeaux, G</t>
  </si>
  <si>
    <t>Ortega, Roberto; Farias, Geraldine; Cruchaga, Marcela; Rivero, Matias; Vazquez, Mariano; Casoni, Eva; Houzeaux, Guillaume</t>
  </si>
  <si>
    <t>Modeling the damped dynamic behavior of a flexible pendulum</t>
  </si>
  <si>
    <t>JOURNAL OF STRAIN ANALYSIS FOR ENGINEERING DESIGN</t>
  </si>
  <si>
    <t>The focus of this work is on the computational modeling of a pendulum made of a hyperelastic material and the corresponding experimental validation with the aim of contributing to the study of a material commonly used in seismic absorber devices. From the proposed dynamics experiment, the motion of the pendulum is recorded using a high-speed camera. The evolution of the pendulum's positions is recovered using a capturing motion technique by tracking markers. The simulation of the problem is developed in the framework of a parallel multi-physics code. Particular emphasis is placed on the analysis of the Newmark integration scheme and the use of Rayleigh damping model. In particular, the time step size effect is analyzed. A strong time step size dependency is obtained for dissipative time integration schemes, while the Rayleigh damping formulation without time integration dissipation shows time step-independent results when convergence is achieved.</t>
  </si>
  <si>
    <t>Ortega, Roberto/IZE-4038-2023; Houzeaux, Guillaume/D-4950-2012; Cruchaga, Marcela/M-7522-2014; Ortega, Roberto/H-2046-2015</t>
  </si>
  <si>
    <t>Cruchaga, Marcela/0000-0002-8708-2402; Ortega, Roberto/0000-0002-2218-0845</t>
  </si>
  <si>
    <t>0309-3247</t>
  </si>
  <si>
    <t>2041-3130</t>
  </si>
  <si>
    <t>10.1177/0309324719832735</t>
  </si>
  <si>
    <t>WOS:000466431400004</t>
  </si>
  <si>
    <t>Salinas, A; Celentano, D; Carvajal, L; Artigas, A; Monsalve, A</t>
  </si>
  <si>
    <t>Salinas, Alvaro; Celentano, Diego; Carvajal, Linton; Artigas, Alfredo; Monsalve, Alberto</t>
  </si>
  <si>
    <t>Microstructure-Based Constitutive Modelling of Low-Alloy Multiphase TRIP Steels</t>
  </si>
  <si>
    <t>The microstructure of low-alloy multiphase transformation-induced plasticity (TRIP) steels consists of ferrite, bainite, and metastable retained austenite, which can be transformed into martensite by plastic deformation. In some cases, residual martensite can be present in the initial microstructure. The mechanical behavior of these steels depends on the interaction between the intrinsic characteristics of the existing phases and the austenite stability. Due to these factors, the definition of their true stress-strain flow law is complex. This work presents the mechanical characterization of a phenomenological constitutive stress-strain flow law based on the Bouquerel et al. model, as evaluated for three TRIP steels of the same composition but undergoing different heat treatments. Morphological aspects of the existing phases, austenite stability, and suitable mixture laws between phases are considered. The model is found to accurately reproduce a true stress-strain flow law obtained under tensile uniaxial conditions and provide detailed information on the effective stress strain partition between the existing phases.</t>
  </si>
  <si>
    <t>Artigas, Alfredo/Y-1185-2019; Celentano, Diego/JQW-5027-2023</t>
  </si>
  <si>
    <t>Carvajal Ortega, Linton Patricio/0000-0002-5414-2755; Monsalve, Alberto/0000-0002-5772-8815; Celentano, Diego/0000-0002-7600-0619</t>
  </si>
  <si>
    <t>10.3390/met9020250</t>
  </si>
  <si>
    <t>WOS:000460764700141</t>
  </si>
  <si>
    <t>Martín, JR; Vásquez, JP</t>
  </si>
  <si>
    <t>Estenssoro, F; Vasquez, JP</t>
  </si>
  <si>
    <t>Ramos Martin, Jesus; Pablo Vasquez, Juan</t>
  </si>
  <si>
    <t>CAN SOCIAL SUSTAINABILITY AND ENVIRONMENTAL SUSTAINABILITY BE COMPATIBLE AND HARMONIOUSLY RELATIONAL IN PERIPHERAL SOCIETIES AND IN THE CONTEXT OF THE SEARCH FOR DEVELOPMENT? Reflections and experiences from the Ecuadorian case</t>
  </si>
  <si>
    <t>PERSPECTIVAS LATINOAMERICANAS EN EL DEBATE AMBIENTAL MUNDIAL: El Medio Ambiente y los Recursos Naturales como Variables Politicas y Estrategicas de America Latina en el Siglo XXI. The Environment and Natural Resources as Political and Strategic Variables of Latin America in the XXI Century</t>
  </si>
  <si>
    <t>Ramos Martin, Jesus/C-7105-2008</t>
  </si>
  <si>
    <t>978-956-303-364-9</t>
  </si>
  <si>
    <t>WOS:000668284400013</t>
  </si>
  <si>
    <t>Veas-Castillo, L; Ovando-Leon, G; Gil-Costa, V; Marin, M</t>
  </si>
  <si>
    <t>Merelli, I; Lio, P; Kotenko, I</t>
  </si>
  <si>
    <t>Veas-Castillo, Luis; Ovando-Leon, Gabriel; Gil-Costa, Veronica; Marin, Mauricio</t>
  </si>
  <si>
    <t>MinVisited: A Message Routing Protocol for Delay Tolerant Network</t>
  </si>
  <si>
    <t>2018 26TH EUROMICRO INTERNATIONAL CONFERENCE ON PARALLEL, DISTRIBUTED, AND NETWORK-BASED PROCESSING (PDP 2018)</t>
  </si>
  <si>
    <t>26th Euromicro International Conference on Parallel, Distributed, and Network-Based Processing (PDP)</t>
  </si>
  <si>
    <t>MAR 21-23, 2018</t>
  </si>
  <si>
    <t>Univ Cambridge, Comp Lab, Cambridge, ENGLAND</t>
  </si>
  <si>
    <t>Ist Tecnologie Biomediche,Consiglio Nazl Ric,Russian Acad Sci, St Petersburg Inst Informat &amp; Automat, Inst Comp Secur Problems Lab</t>
  </si>
  <si>
    <t>Univ Cambridge, Comp Lab</t>
  </si>
  <si>
    <t>We studied routing protocols for Delay Tolerant Networks devised to improve the message delivery performance in natural disaster scenarios. In this paper we propose the MinVisited protocol which during the transitive path to the message destination, selects the next node based on two features: (1) the most distant neighbor, and (2) the largest number of encounters with the destination node of the message. We compare our protocol with well-known protocols of the technical literature. The results show that the proposed protocol presents a low workload overhead with a number of hops lower than 2, and in average 95% of the messages are successfully delivered.</t>
  </si>
  <si>
    <t>Marin, Mauricio/0000-0003-0662-7149; Veas-Castillo, Luis/0000-0003-3490-9995; Gil-Costa, Veronica/0000-0003-4637-9725</t>
  </si>
  <si>
    <t>978-1-5386-4975-6</t>
  </si>
  <si>
    <t>10.1109/PDP2018.2018.00057</t>
  </si>
  <si>
    <t>WOS:000443807600048</t>
  </si>
  <si>
    <t>Cabello, S; Pérez-Lantero, P</t>
  </si>
  <si>
    <t>Cabello, Sergio; Perez-Lantero, Pablo</t>
  </si>
  <si>
    <t>Interval selection in the streaming model</t>
  </si>
  <si>
    <t>A set of intervals is independent when the intervals are pairwise disjoint. In the interval selection problem we are given a set II of intervals and we want to find an independent subset of intervals of largest cardinality. Let alpha(II) denote the cardinality of an optimal solution. We discuss the estimation of alpha(I) in the streaming model, where we only have one-time, sequential access to the input intervals, the endpoints of the intervals lie in {1,..., n}, and the amount of the memory is constrained. For intervals of different sizes, we provide an algorithm in the data stream model that given epsilon is an element of (0, 1/2) computes an estimate (alpha) over cap of alpha(II) that, with probability at least 2/3, satisfies 1/2 (1 - epsilon)alpha(1) &lt;= (alpha) over cap &lt;= alpha(E). For same-length intervals, we provide another algorithm in the data stream model that given 8 E (0,1/2) computes an estimate (alpha) over cap of alpha(E) that, with probability at least 2/3, satisfies 2/3 (1 - epsilon)alpha(II) &lt;= (alpha) over cap, &lt;= alpha(I). The space used by our algorithms is bounded by a polynomial in epsilon(-1) and log n. We also show that no better estimations can be achieved using o(n) bits of storage. We also develop new approximate solutions to the interval selection problem, where the intervals have real endpoints and we want to report a feasible solution, that use O (alpha(II)) space. Our algorithms for the interval selection problem match the optimal results by Emek, Halldorsson and Rosen [Space-Constrained Interval Selection, TALC 2016], but are much simpler. (C) 2017 Elsevier B.V. All rights reserved.</t>
  </si>
  <si>
    <t>NOV 30</t>
  </si>
  <si>
    <t>10.1016/j.tcs.2017.08.015</t>
  </si>
  <si>
    <t>WOS:000418985400007</t>
  </si>
  <si>
    <t>Arce, P; Vera, C; Escudero, D; Guerrero, J; Lappin, A; Oliver, A; Jara, DH; Ferraudi, G; Lemus, L</t>
  </si>
  <si>
    <t>Arce, Pablo; Vera, Cristian; Escudero, Dayra; Guerrero, Juan; Lappin, Alexander; Oliver, Allen; Jara, Danilo H.; Ferraudi, Guillermo; Lemus, Luis</t>
  </si>
  <si>
    <t>Structural diversity in Cu(I) complexes of the PNP ligand: from pincer to binuclear coordination modes and their effects upon the electrochemical and photophysical properties</t>
  </si>
  <si>
    <t>A set of new copper(I) complexes is synthesized and characterized using a labile PNP pincer ligand (PNP = N, N'-bis(diphenylphosphine)-2,6-diaminopyridine). A homoleptic Cu(I) complex [Cu(PNP-kappa P-1:kappa N-1)(2)]+, (1), was prepared, and taking advantage of the uncoordinated phosphorus atoms in (1), reaction with a second Cu(I) atom bearing secondary ligands (PPh3, phen or dmp) allows the formation of new complexes: a bimetallic helicate [Cu-2(I) (PNP)(2)(phen)](2+), (2), a mononuclear pincer complex [Cu-I(PNP)(PPh3)](+), (3), and a heteroleptic complex [Cu-I(PNP)(dmp)](+), (4). All complexes were characterized by X-ray crystallography, NMR (VT-NMR for (1) and (4)), cyclic-voltammetry, and steady-state and time-resolved luminescence spectroscopy. The fluxional behavior in (1) was studied by P-31 VT-NMR, where an E-a value of 47.42 kJ mol(-1) was calculated for the intramolecular alternating coordination of -PPh2 moieties in PNP to the metal atom. This set of compounds reveals the versatility of the PNP ligand when added to the coordinating properties of Cu(I). The four complexes exhibit emission in solution and complexes (2)-(4) display intense luminescence in the solid state. The oscillographic traces showing the decay of the luminescence were fitted to biexponential functions with time constants: 8.0 mu s &gt; tau(em,1) &gt; 0.37 mu s and 50 mu s &gt; tau(em,2) &gt; 2.2 mu s for complexes (2), (3) and (4), respectively. Radiative relaxation is associated with electronic transitions in both the ligand PNP and metal-to-ligand charge transfer (MLCT).</t>
  </si>
  <si>
    <t>Jara, Danilo/A-6090-2017</t>
  </si>
  <si>
    <t>Ferraudi, Guillermo/0000-0003-2840-5520; Vera Oyarce, Cristian/0000-0001-9972-8904; Lappin, Alexander/0000-0002-8213-0698; ArceOrtega, Pablo/0000-0002-4689-3874; LEMUS, LUIS/0000-0002-5499-8115; Oliver, Allen/0000-0002-0511-1127; Jara Quinteros, Danilo/0000-0001-9752-4465</t>
  </si>
  <si>
    <t>10.1039/c7dt02244a</t>
  </si>
  <si>
    <t>WOS:000412765000032</t>
  </si>
  <si>
    <t>Guzman, H; Sepulveda, M; Rosso, N; Guzman, F; Trepat, G; Marchesse, C; Guzman, H</t>
  </si>
  <si>
    <t>Guzman M, H.; Sepulveda, M.; Rosso, N.; Guzman M, F.; Trepat, G.; Marchesse, C.; Guzman C, H.</t>
  </si>
  <si>
    <t>INCIDENCE OF CHOLELITHIASIS AFTER BARIATRIC SURGERY IN CHILEAN OBESE PATIENTS Sleeve gastrectomy</t>
  </si>
  <si>
    <t>Guzman, Fanny/K-5592-2013</t>
  </si>
  <si>
    <t>P.684</t>
  </si>
  <si>
    <t>WOS:000461382401211</t>
  </si>
  <si>
    <t>Conejero, JA; Lizama, C; Murillo-Arcila, M; Peris, A</t>
  </si>
  <si>
    <t>Alberto Conejero, J.; Lizama, Carlos; Murillo-Arcila, Marina; Peris, Alfredo</t>
  </si>
  <si>
    <t>Linear dynamics of semigroups generated by differential operators</t>
  </si>
  <si>
    <t>OPEN MATHEMATICS</t>
  </si>
  <si>
    <t>During the last years, several notions have been introduced for describing the dynamical behavior of linear operators on infinite-dimensional spaces, such as hypercyclicity, chaos in the sense of Devaney, chaos in the sense of Li-Yorke, subchaos, mixing and weakly mixing properties, and frequent hypercyclicity, among others. These notions have been extended, as far as possible, to the setting of C-0-semigroups of linear and continuous operators. We will review some of these notions and we will discuss basic properties of the dynamics of C-0-semigroups. We will also study in detail the dynamics of the translation C-0-semigroup on weighted spaces of integrable functions and of continuous functions vanishing at infinity. Using the comparison lemma, these results can be transferred to the solution C-0-semigroups of some partial differential equations. Additionally, we will also visit the chaos for infinite systems of ordinary differential equations, that can be of interest for representing birth-and-death process or car-following traffic models.</t>
  </si>
  <si>
    <t>Murillo, Marina/ABI-7284-2020; Conejero, J. Alberto/A-8589-2008; Lizama, Carlos/E-5909-2011; Peris, Alfredo/A-7249-2008</t>
  </si>
  <si>
    <t>murillo arcila, marina/0000-0001-6589-0452; Conejero, J. Alberto/0000-0003-3681-7533; Peris, Alfredo/0000-0003-1683-2373</t>
  </si>
  <si>
    <t>2391-5455</t>
  </si>
  <si>
    <t>JUN 9</t>
  </si>
  <si>
    <t>10.1515/math-2017-0065</t>
  </si>
  <si>
    <t>WOS:000404577700005</t>
  </si>
  <si>
    <t>Pérez, ATE; Camargo, M; Rincón, PCN; Marchant, MA</t>
  </si>
  <si>
    <t>Espinoza Perez, Andrea Teresa; Camargo, Mauricio; Narvaez Rincon, Paulo Cesar; Alfaro Marchant, Miguel</t>
  </si>
  <si>
    <t>Key challenges and requirements for sustainable and industrialized biorefinery supply chain design and management: A bibliographic analysis</t>
  </si>
  <si>
    <t>RENEWABLE &amp; SUSTAINABLE ENERGY REVIEWS</t>
  </si>
  <si>
    <t>The growing global population and its effects on world food security, as well as the urgency for climate change mitigation, are issues that foster technological, social, and political innovations to increase the efficiency of use of natural resources, such as biomass among others. While significant research efforts have been devoted to biomass conversion processes, their associated supply chains and their implication for complete process efficiency have only been studied more recently. However, most of the recent investigations into the design and optimization of biomass supply chains have focused on an economic point of view, sidelining other dimensions of sustainability, which represents a serious drawback for this kind of work. This article surveys the recent research on design and management optimization of biorefinery supply chains from a sustainability perspective. 72 published research articles from 2006 to 2015 have been analyzed to highlight the sustainability dimensions considered, as well as the inclusion of uncertainties. A typology of decision-making at three levels of analysis (strategic, tactical and operational), and the specific set of tools used to model and optimize the biorefinery supply chain have also been studied. The conclusion underlines the contributions and shortcomings of current research and suggests possible future directions.</t>
  </si>
  <si>
    <t>CAMARGO, Mauricio/HJP-7111-2023; Narvaez, Paulo/I-4635-2019; Espinoza Perez, Andrea Teresa/M-4426-2014</t>
  </si>
  <si>
    <t>Camargo, Mauricio/0000-0003-3867-2438; Narvaez Rincon, Paulo Cesar/0000-0003-4865-4540; Espinoza Perez, Andrea Teresa/0000-0002-6362-9100</t>
  </si>
  <si>
    <t>1364-0321</t>
  </si>
  <si>
    <t>1879-0690</t>
  </si>
  <si>
    <t>10.1016/j.rser.2016.11.084</t>
  </si>
  <si>
    <t>WOS:000393016000030</t>
  </si>
  <si>
    <t>Cortez, MI; Medynets, K</t>
  </si>
  <si>
    <t>Isabel Cortez, Maria; Medynets, Konstantin</t>
  </si>
  <si>
    <t>Orbit equivalence rigidity of equicontinuous systems</t>
  </si>
  <si>
    <t>JOURNAL OF THE LONDON MATHEMATICAL SOCIETY-SECOND SERIES</t>
  </si>
  <si>
    <t>The paper is focused on the study of continuous orbit equivalence for minimal equicontinuous systems. We establish that every equicontinuous system is topologically conjugate to a profinite action, where the finite-index subgroups are not necessarily normal. We then show that two profinite actions X, G) and Y, H) are continuously orbit equivalent if and only if the groups G and H are virtually isomorphic, and the isomorphism preserves the structure of the finiteindex subgroups defining the actions. As a corollary, we obtain a dynamical classification of the restricted isomorphism between generalized Bunce-Deddens C*-algebras. We show that, for minimal equicontinuous Zd -systems, continuous orbit equivalence implies that the systems are virtually piecewise conjugate. This result extends Boyle's flip-conjugacy theorem. We also show that the topological full group of a minimal equicontinuous system X, G) is amenable if and only if the group G is amenable.</t>
  </si>
  <si>
    <t>Cortez, Maria Isabel/0000-0002-1819-032X</t>
  </si>
  <si>
    <t>0024-6107</t>
  </si>
  <si>
    <t>1469-7750</t>
  </si>
  <si>
    <t>10.1112/jlms/jdw047</t>
  </si>
  <si>
    <t>WOS:000386947900012</t>
  </si>
  <si>
    <t>Aravena, D; Venegas-Yazigi, D; Ruiz, E</t>
  </si>
  <si>
    <t>Aravena, Daniel; Venegas-Yazigi, Diego; Ruiz, Eliseo</t>
  </si>
  <si>
    <t>Exchange Interactions on the Highest-Spin Reported Molecule: the Mixed-Valence Fe42 Complex</t>
  </si>
  <si>
    <t>The finding of high-spin molecules that could behave as conventional magnets has been one of the main challenges in Molecular Magnetism. Here, the exchange interactions, present in the highest-spin molecule published in the literature, Fe-42, have been analysed using theoretical methods based on Density Functional Theory. The system with a total spin value S = 45 is formed by 42 iron centres containing 18 high-spin Fe-III ferromagnetically coupled and 24 diamagnetic low-spin Fe-II ions. The bridging ligands between the two paramagnetic centres are two cyanide ligands coordinated to the diamagnetic Fe-II cations. Calculations were performed using either small Fe-4 or Fe-3 models or the whole Fe-42 complex, showing the presence of two different ferromagnetic couplings between the paramagnetic Fe-III centres. Finally, Quantum Monte Carlo simulations for the whole system were carried out in order to compare the experimental and simulated magnetic susceptibility curves from the calculated exchange coupling constants with the experimental one. This comparison allows for the evaluation of the accuracy of different exchange-correlation functionals to reproduce such magnetic properties.</t>
  </si>
  <si>
    <t>Venegas-Yazigi, Diego/C-5022-2009; Aravena, Daniel/F-2174-2011; Ruiz, Eliseo/A-6268-2011</t>
  </si>
  <si>
    <t>Venegas-Yazigi, Diego/0000-0001-7816-2841; Aravena, Daniel/0000-0003-3140-4852; Ruiz, Eliseo/0000-0001-9097-8499</t>
  </si>
  <si>
    <t>10.1038/srep23847</t>
  </si>
  <si>
    <t>WOS:000373203800001</t>
  </si>
  <si>
    <t>The removal of 4-Nitrophenol (4-NP) from aqueous media by adsorption is studied in a batch system using different porous materials: activated carbon, zirconia, alumina, sepiolite, natural zeolite and 13X zeolite. Depending on their adsorption capacities, the best adsorbent was chosen to be impregnated with different levels of nickel (Ni) in order to study the adsorption by pi-complexation in batch and continuous systems. The samples of Ni(x)/support (x= 2, 4, 6%) were prepared by wet impregnation and were characterised using the same method as with all the materials, by N-2 adsorption-desorption using the BET method, surface acidity and Z potential measurements by electrophoretic migration. The samples were measured in a UV-Vis electrophotometer at a wavelength of 318 nm, while the adsorption capacity of the material in the batch system was determined by calculating the difference in concentration once the adsorbent became saturated after an initial concentration of similar to 20 ppm, and in the continuous system this was done by integrating the area under the adsorption curve. The results suggest that adsorption capacity depends on the specific BET area, apparent acid strength and the IEP of each support, and that it varies with the addition of Ni.</t>
  </si>
  <si>
    <t>Camu, Esteban/AAI-9191-2020</t>
  </si>
  <si>
    <t>Camu, Esteban/0000-0003-0973-9453; Ojeda, Juan/0000-0002-9484-5017; Baeza Chandia, Patricio/0000-0003-1613-2860</t>
  </si>
  <si>
    <t>WOS:000378145500017</t>
  </si>
  <si>
    <t>von Bernhardi, R; Cornejo, F; Parada, GE; Eugenín, J</t>
  </si>
  <si>
    <t>von Bernhardi, Rommy; Cornejo, Francisca; Parada, Guillermo E.; Eugenin, Jaime</t>
  </si>
  <si>
    <t>Role of TGFβ signaling in the pathogenesis of Alzheimer's disease</t>
  </si>
  <si>
    <t>FRONTIERS IN CELLULAR NEUROSCIENCE</t>
  </si>
  <si>
    <t>Aging is the main risk factor for Alzheimer's disease (AD); being associated with conspicuous changes on microglia activation. Aged microglia exhibit an increased expression of cytokines, exacerbated reactivity to various stimuli, oxidative stress, and reduced phagocytosis of beta-amyloid (A). Whereas normal inflammation is protective, it becomes dysregulated in the presence of a persistent stimulus, or in the context of an inflammatory environment, as observed in aging. Thus, neuroinflammation can be a self-perpetuating deleterious response, becoming a source of additional injury to host cells in neurodegenerative diseases. In aged individuals, although transforming growth factor beta (TGF beta) is upregulated, its canonical Smad3 signaling is greatly reduced and neuroinflammation persists. This age related Smad3 impairment reduces protective activation while facilitating cytotoxic activation of microglia through several cellular mechanisms, potentiating microglia-mediated neurodegeneration. Here, we critically discuss the role of TGRi-Smad signaling on the cytotoxic activation of microglia and its relevance in the pathogenesis of AD. Other protective functions, such as phagocytosis, although observed in aged animals, are not further induced by inflammatory stimuli and TGF beta 1. Analysis in silico revealed that increased expression of receptor scavenger receptor (SR)-A, involved in A beta uptake and cell activation, by microglia exposed to TGF beta, through a Smad3-dependent mechanism could be mediated by transcriptional co-factors Smad2/3 over the MSR1 gene. We discuss that changes of TGF beta-mediated regulation could at least partially mediate age-associated microglia changes, and, together with other changes on inflammatory response, could result in the reduction of protective activation and the potentiation of cytotoxicity of microglia, resulting in the promotion of neurodegenerative diseases.</t>
  </si>
  <si>
    <t>von Bernhardi, Rommy/IAO-3764-2023; Cornejo, Francisca/HGF-1026-2022</t>
  </si>
  <si>
    <t>von Bernhardi, Rommy/0000-0002-9022-7676; Cornejo, Francisca/0000-0001-9280-3430</t>
  </si>
  <si>
    <t>1662-5102</t>
  </si>
  <si>
    <t>10.3389/fncel.2015.00426</t>
  </si>
  <si>
    <t>WOS:000363804600002</t>
  </si>
  <si>
    <t>Sánches, C; Vidal, V; Melo, F</t>
  </si>
  <si>
    <t>Sanches, Claudia; Vidal, Valerie; Melo, Francisco</t>
  </si>
  <si>
    <t>Acoustic investigation of the aperture dynamics of an elastic membrane closing an overpressurized cylindrical cavity</t>
  </si>
  <si>
    <t>We report an experimental study of the acoustic signal produced by the rupture of an elastic membrane that initially closes a cylindrical overpressurized cavity. This configuration has been recently used as an experimental model system for the investigation of the acoustic emission from the bursting of elongated gas bubbles rising in a conduit. Here, we investigate the effect of the membrane rupture dynamics on the acoustic signal produced by the pressure release by changing the initial tension of the membrane. The initial overpressure in the cavity is fixed at a value such that the system remains in the linear acoustic regime. For large initial membrane deformation, the rupture time tau(rup) is small compared to the wave propagation time in the cavity and the pressure wave inside the conduit can be fully captured by the linear theory. For low membrane tension, a hole is pierced in the membrane but its rupture does not occur. or intermediate deformation, finally, the rupture progresses in two steps: first the membrane opens slowly; then, after reaching a critical size, the rupture accelerates. A transversal wave is excited along the membrane surface. The characteristic signature of each opening dynamics on the acoustic emission is described.</t>
  </si>
  <si>
    <t>10.1140/epjp/i2015-15175-4</t>
  </si>
  <si>
    <t>WOS:000360403000001</t>
  </si>
  <si>
    <t>Sanabria-Martínez, G; García-Hermoso, A; Poyatos-León, R; Alvarez-Bueno, C; Sánchez-López, M; Martínez-Vizcaíno, V</t>
  </si>
  <si>
    <t>Sanabria-Martinez, G.; Garcia-Hermoso, A.; Poyatos-Leon, R.; Alvarez-Bueno, C.; Sanchez-Lopez, M.; Martinez-Vizcaino, V.</t>
  </si>
  <si>
    <t>Effectiveness of physical activity interventions on preventing gestational diabetes mellitus and excessive maternal weight gain: a meta-analysis</t>
  </si>
  <si>
    <t>BJOG-AN INTERNATIONAL JOURNAL OF OBSTETRICS AND GYNAECOLOGY</t>
  </si>
  <si>
    <t>BackgroundIt is commonly accepted that pregnancy-related physiological changes (circulatory, respiratory, and locomotor) negatively influence the daily physical activity of pregnant women. ObjectivesThe aim of this study is to conduct a meta-analysis of randomised controlled trials (RCTs) for assessing the effectiveness of physical exercise interventions during pregnancy to prevent gestational diabetes mellitus and excessive maternal weight gain. Search strategyKeywords were used to conduct a computerised search in six databases: Cochrane Library Plus, Science Direct, EMBASE, PubMed, Web of Science, and ClinicalTrials.gov. Selection criteriaHealthy pregnant women who were sedentary or had low levels of physical activity were selected for RCTs that included an exercise programme. Data collection and analysisTwo independent reviewers extracted data and assessed the quality of the included studies. Of 4225 articles retrieved, 13 RCTs (2873 pregnant women) met the inclusion criteria. Pooled relative risk (RR) or weighted mean differences (WMDs) (depending on the outcome measure) were calculated using a random-effects model. Main resultsOverall, physical exercise programmes during pregnancy decreased the risk of gestational diabetes mellitus (RR=0.69; P=0.009), particularly when the exercise programme was performed throughout pregnancy (RR=0.64; P=0.038). Furthermore, decreases were also observed in maternal weight (WMD=-1.14kg; 95% CI -1.50 to -0.78; P &lt; 0.001). No serious adverse effects were reported. ConclusionStructured moderate physical exercise programmes during pregnancy decrease the risk of gestational diabetes mellitus and diminish maternal weight gain, and seem to be safe for the mother and the neonate; however, further studies are needed to establish recommendations. Tweetable abstractExercise programmes decreased the risk of gestational diabetes mellitus and excessive weight gain.</t>
  </si>
  <si>
    <t>Sanabria, Gema/R-4782-2019; SANCHEZ-LOPEZ, MAIRENA/J-7933-2016; Alvarez-Bueno, Celia/R-4075-2019; García-Hermoso, Antonio/ADU-2591-2022; Garcia-Hermoso, Antonio/P-1857-2017; MARTINEZ VIZCAINO, VICENTE/R-4336-2017</t>
  </si>
  <si>
    <t>Sanchez Lopez, Mairena/0000-0002-0217-0623; Sanabria Martinez, Gema/0000-0001-7593-6864; Garcia-Hermoso, Antonio/0000-0002-1397-7182; MARTINEZ VIZCAINO, VICENTE/0000-0001-6121-7893; Alvarez-Bueno, Celia/0000-0002-6176-1618</t>
  </si>
  <si>
    <t>1470-0328</t>
  </si>
  <si>
    <t>1471-0528</t>
  </si>
  <si>
    <t>10.1111/1471-0528.13429</t>
  </si>
  <si>
    <t>WOS:000358619900003</t>
  </si>
  <si>
    <t>Valdes, J; Tapia, P; Cepeda, V; Varela, J; Godoy, L; Cubillos, FA; Silva, E; Martinez, C; Ganga, MA</t>
  </si>
  <si>
    <t>Valdes, Jorge; Tapia, Paz; Cepeda, Victoria; Varela, Javier; Godoy, Liliana; Cubillos, Francisco A.; Silva, Evelyn; Martinez, Claudio; Angelica Ganga, Maria</t>
  </si>
  <si>
    <t>Draft genome sequence and transcriptome analysis of the wine spoilage yeast Dekkera bruxellensis LAMAP2480 provides insights into genetic diversity, metabolism and survival</t>
  </si>
  <si>
    <t>Dekkera bruxellensis is the major contaminant yeast in the wine industry worldwide. Here, we present the draft genome sequence of D.bruxellensis LAMAP2480 isolated from a Chilean wine. Genomic evidence reveals shared and exclusive genes potentially involved in colonization and survival during alcoholic fermentation.</t>
  </si>
  <si>
    <t>Cubillos, Francisco/MIT-2389-2025; Olivares, Liliana/AAB-6276-2020; Ganga, Maria/S-8176-2019; Valdes, Jorge/AAL-2779-2021; Martinez, Claudio/MGS-9961-2025; Silva-Moreno, Evelyn/B-9545-2012; Cubillos, Francisco/G-5195-2019</t>
  </si>
  <si>
    <t>Silva-Moreno, Evelyn/0000-0001-8745-7916; Godoy Olivares, Liliana/0000-0001-5110-5978; Martinez, Claudio/0000-0001-8564-9287; Cubillos, Francisco/0000-0003-3022-469X</t>
  </si>
  <si>
    <t>10.1111/1574-6968.12630</t>
  </si>
  <si>
    <t>WOS:000346787900002</t>
  </si>
  <si>
    <t>De la Fuente, JR; Cañete, A; Jullian, C; Saitz, C; Aliaga, C</t>
  </si>
  <si>
    <t>De la Fuente, Julio R.; Canete, Alvaro; Jullian, Carolina; Saitz, Claudio; Aliaga, Christian</t>
  </si>
  <si>
    <t>Unexpected Imidazoquinoxalinone Annulation Products in the Photoinitiated Reaction of Substituted-3-Methyl-Quinoxalin-2-Ones with N-Phenylglycine</t>
  </si>
  <si>
    <t>Photoinduced electron transfer between N-phenylglycine (NPG) and electronically excited triplets of 7-substituted-3-methyl-quinoxalin-2-ones in acetonitrile generate the respective ion radical pair, where by decarboxylation the phenyl-amino-alkyl radical, PhNHCH2 center dot, is generated. This radical reacts with the 3-methyl-quinoxalin-2-ones ground states, leading to the product 2. Other, unexpected, 7-substituted-1,2,3,3a-tetrahydro-3a-methyl-2-phenylimidazo[1,5-a]quinoxalin-4(5H)-ones, annulation products, 3a-f, were generated; likely by the addition of two PhNHCH2 center dot radicals, to positions 3 and 4 of the quinoxalin-2-ones. The reaction mechanism includes a photoinduced one electron transfer initiation step, propagation steps involving radical intermediates and NPG with radical chain termination steps that lead to the respective products 2a-f and 3a-f and NPG by-products. The proposed mechanism accounts for the strong dependency found for the initial photoconsumption quantum yields on the electron-withdrawing power of the substituent. Therefore, photolysis of common reactants widely used such as NPG and substituted quinoxalin-2-ones may provide a simple synthetic way to the unusual, unreported tetrahydro-imidazoquinoxalinones 3a-f.</t>
  </si>
  <si>
    <t>Aliaga, Christian/E-9717-2012</t>
  </si>
  <si>
    <t>Canete, Alvaro/0000-0002-0285-0733</t>
  </si>
  <si>
    <t>10.1111/php.12162</t>
  </si>
  <si>
    <t>WOS:000326507100010</t>
  </si>
  <si>
    <t>González-Ibáñez, R; Haseki, M; Shah, C</t>
  </si>
  <si>
    <t>Gonzalez-Ibanez, Roberto; Haseki, Muge; Shah, Chirag</t>
  </si>
  <si>
    <t>Let's search together, but not too close! An analysis of communication and performance in collaborative information seeking</t>
  </si>
  <si>
    <t>INFORMATION PROCESSING &amp; MANAGEMENT</t>
  </si>
  <si>
    <t>Communication is considered to be one of the most essential components of collaboration, but our understanding as to which form of communication provides the most optimal cost-benefit balance lacks severely. To help investigate effects of various communication channels on a collaborative project, we conducted a user study with 30 pairs (60 participants) in three different conditions - co-located, remotely located with text chat, and remotely located with text as well as audio chat, in an exploratory search task. Using both quantitative and qualitative data analysis, we found that teams with remotely located participants were more effective in terms of being able to explore more diverse information. Adding audio support for remote collaboration helped participants to lower their cognitive load as well as negative emotions compared to those working in the same space. We also show how these findings could help design more effective systems for collaborative information seeking tasks using adequate and appropriate communication. We argue that collaboration is an important aspect of human-centered IR, and that our work provides interesting insights into people doing information seeking/retrieval in collaboration. (c) 2013 Elsevier Ltd. All rights reserved.</t>
  </si>
  <si>
    <t>Shah, Chirag/AAU-2437-2020</t>
  </si>
  <si>
    <t>Shah, Chirag/0000-0002-3797-4293; Gonzalez-Ibanez, Roberto/0000-0002-4193-6548</t>
  </si>
  <si>
    <t>0306-4573</t>
  </si>
  <si>
    <t>1873-5371</t>
  </si>
  <si>
    <t>10.1016/j.ipm.2012.12.008</t>
  </si>
  <si>
    <t>WOS:000323023900013</t>
  </si>
  <si>
    <t>Sepúlveda, N; Behringer, RP</t>
  </si>
  <si>
    <t>Yu, A; Dong, K; Yang, R; Luding, S</t>
  </si>
  <si>
    <t>Sepulveda, N.; Behringer, R. P.</t>
  </si>
  <si>
    <t>Measuring Creep and Stick-Slip Behavior in 2-Dimensional Photoelastic Granular Medium</t>
  </si>
  <si>
    <t>POWDERS AND GRAINS 2013</t>
  </si>
  <si>
    <t>AIP Conference Proceedings</t>
  </si>
  <si>
    <t>7th International Conference on Micromechanics of Granular Media (Powders and Grains)</t>
  </si>
  <si>
    <t>JUL 08-12, 2013</t>
  </si>
  <si>
    <t>Sydney, AUSTRALIA</t>
  </si>
  <si>
    <t>Assoc Study Micromechan Granular Media (AEMMG),Univ New S Wales (UNSW), Lab Simulat &amp; Modelling Particulate Syst (SIMPAS),Curtin Univ (CU), Dept Chemical Engn,Univ Twente (UT), Multi Scale Mech Grp (CTW &amp; MESA+),JMBC Res Sch Fluid Mechan,Elsevier,Univ New S Wales (UNSW), Sch Mat Sci &amp; Engn</t>
  </si>
  <si>
    <t>We report on an experimental study of creep and stick slip in a 2D granular medium. In particular, we study how the accumulation of material in front of the slider after slider motion affects its stick slip dynamics. To do so, we probe the position and acceleration of a slider resting on a 2D layer of photoelastic particles. We either apply a constant force to the slider, or we drag the slider across the particles at a constant rate. The resulting motion of the slider is creep like with stick-slip features. The photoelastic particles beneath the slider allow us to record the structure and dynamics of the forces inside the granular layer that resist motion of the slider. Our goal is to identify features in both internal stress and structure of the granular layer the can serve as precursors for slip events.</t>
  </si>
  <si>
    <t>Sepulveda, Nelson/E-6536-2011</t>
  </si>
  <si>
    <t>Sepulveda, Nelson/0000-0002-6294-7799</t>
  </si>
  <si>
    <t>0094-243X</t>
  </si>
  <si>
    <t>978-0-7354-1166-1</t>
  </si>
  <si>
    <t>10.1063/1.4811969</t>
  </si>
  <si>
    <t>WOS:000321003200112</t>
  </si>
  <si>
    <t>Pérez, E; Zeikus, G; Laivenieks, M; Cardemil, E</t>
  </si>
  <si>
    <t>Perez, Estela; Zeikus, Gregory; Laivenieks, Maris; Cardemil, Emilio</t>
  </si>
  <si>
    <t>BIOL 245-Stereochemistry of phosphoenolpyruvate carboxylation catalyzed by ATP-dependent phosphoenolpyruvate carboxykinases</t>
  </si>
  <si>
    <t>AUG 19</t>
  </si>
  <si>
    <t>245-BIOL</t>
  </si>
  <si>
    <t>WOS:000207593900563</t>
  </si>
  <si>
    <t>Lastra, F; Romero, G; López, CE; Santos, MF; Retamal, JC</t>
  </si>
  <si>
    <t>Lastra, F.; Romero, G.; Lopez, C. E.; Santos, M. Franca; Retamal, J. C.</t>
  </si>
  <si>
    <t>Abrupt changes in the dynamics of quantum disentanglement</t>
  </si>
  <si>
    <t>The evolution of the lower bound of entanglement proposed by Chen [Phys. Rev. Lett. 95, 210501 (2005)] in high-dimensional bipartite systems under dissipation is studied. Discontinuities for the time derivative of this bound are found depending on the initial conditions for entangled states. These abrupt changes along the evolution of the entanglement bound appear as precursors of sudden death.</t>
  </si>
  <si>
    <t>Retamal, Juan/G-6425-2010; López, Carlos/B-8456-2009; Romero, Guillermo/C-8245-2009; Romero, Guillermo/C-8245-2009; F. Santos, Marcelo/A-1301-2008</t>
  </si>
  <si>
    <t>Romero, Guillermo/0000-0003-2917-7814; Romero, Guillermo/0000-0003-4366-4950; F. Santos, Marcelo/0000-0001-5667-3376; Retamal Abarzua, Juan Carlos/0000-0002-7174-7879</t>
  </si>
  <si>
    <t>10.1103/PhysRevA.75.062324</t>
  </si>
  <si>
    <t>WOS:000247624300062</t>
  </si>
  <si>
    <t>Chacón, M; Lévano, M; Allende, H; Nowak, H</t>
  </si>
  <si>
    <t>Beliczynski, B; Dz ielinski, A; Iwanowski, M; Ribeiro, B</t>
  </si>
  <si>
    <t>Chacon, Max; Levano, Marcos; Allende, Hector; Nowak, Hans</t>
  </si>
  <si>
    <t>Detection of gene expressions in microarrays by applying iteratively elastic neural net</t>
  </si>
  <si>
    <t>ADAPTIVE AND NATURAL COMPUTING ALGORITHMS, PT 2</t>
  </si>
  <si>
    <t>8th International Conference on Adaptive and Natural Computing Algorithms (ICANNGA)</t>
  </si>
  <si>
    <t>APR 11-14, 2007</t>
  </si>
  <si>
    <t>Warsaw Univ Technol, Warsaw, POLAND</t>
  </si>
  <si>
    <t>Warsaw Univ Technol</t>
  </si>
  <si>
    <t>DNA analysis by microarrays is a powerful tool that allows replication of the RNA of hundreds of thousands of genes at the same time, generating a large amount of data in multidimensional space that must be analyzed using informatics tools. Various clustering techniques have been applied to analyze the microarrays, but they do not offer a systematic form of analysis. This paper proposes the use of Gorban's Elastic Neural Net in an iterative way to find patterns of expressed genes. The new method proposed (Iterative Elastic Neural Net, IENN) has been evaluated with up-regulated genes of the Escherichia Coli bacterium and is compared with the Self-Organizing Maps (SOM) technique frequently used in this kind of analysis. The results show that the proposed method finds 86.7% of the up-regulated genes, compared to 65.2% of genes found by the SOM. A comparative analysis of Receiver Operating Characteristic (ROC) with SOM shows that the proposed method is 11.5 % more effective.</t>
  </si>
  <si>
    <t>Nowak, Hans-Jurgen/0000-0003-0464-2986; Allende, Hector/0000-0002-9899-0051</t>
  </si>
  <si>
    <t>978-3-540-71590-0</t>
  </si>
  <si>
    <t>WOS:000246098200040</t>
  </si>
  <si>
    <t>Eyzaguirre, J; Valdebenito, D; Cardemil, E</t>
  </si>
  <si>
    <t>Eyzaguirre, Jaime; Valdebenito, David; Cardemil, Emilio</t>
  </si>
  <si>
    <t>Pig liver phosphomevalonate kinase: Kinetic mechanism</t>
  </si>
  <si>
    <t>ARCHIVES OF BIOCHEMISTRY AND BIOPHYSICS</t>
  </si>
  <si>
    <t>Phosphomevalonate kinase catalyzes the phosphorylation of phosphomevalonate to diphosphomevalonate by ATP, one of the initial steps in the biosynthesis of steroids and isoprenoids. In previous studies, the enzyme from pig liver was purified and characterized, and preliminary work showed that the enzyme follows hyperbolic kinetics and a sequential mechanism. The present work is a more detailed analysis of its kinetic mechanism, using initial velocity and isotope exchange at equilibrium measurements. The results are compatible with a Bi Bi sequential ordered mechanism with phosphomevalonate as the first substrate and ADP the last product. The K-m values 1 estimated are 43 +/- 7 mu M for Mg-ATP and 12 +/- 3 mu M for phosphomevalonate, with a V-max of 51 +/- 2 mu mol min(-1) mg of protein(-1) (c) 2006 Elsevier Inc. All rights reserved.</t>
  </si>
  <si>
    <t>0003-9861</t>
  </si>
  <si>
    <t>1096-0384</t>
  </si>
  <si>
    <t>10.1016/j.abb.2006.08.002</t>
  </si>
  <si>
    <t>WOS:000241419000010</t>
  </si>
  <si>
    <t>Arias, PR; Altbir, D; Bahiana, M</t>
  </si>
  <si>
    <t>Geometric aspects of the dipolar interaction in lattices of small particles</t>
  </si>
  <si>
    <t>The hysteresis curves of composed of small interacting magnetic particles, regularly placed on stacked layers, are obtained with Monte Carlo simulations. The remanence as a function of temperature, in interacting systems, presents a peak that separates two different magnetic states. At low temperatures, small values of remanence are a consequence of antiferromagnetic order due to the dipolar interaction. At higher values of temperature the increase of the component normal to the lattice plane is responsible for the small values of remanence. The, effect of the number of layers, coordination number and distance between particles are investigated.</t>
  </si>
  <si>
    <t>Altbir, Dora/R-6781-2018; Arias, Paola/Q-5912-2017</t>
  </si>
  <si>
    <t>Altbir, Dora/0000-0002-2945-4909; Arias, Paola/0000-0001-5551-9182</t>
  </si>
  <si>
    <t>1361-648X</t>
  </si>
  <si>
    <t>MAR 16</t>
  </si>
  <si>
    <t>10.1088/0953-8984/17/10/017</t>
  </si>
  <si>
    <t>WOS:000228468200019</t>
  </si>
  <si>
    <t>GaeteGarreton, L; VargasHernandez, Y; GallegoJuarez, JA; MontoyaVitini, F</t>
  </si>
  <si>
    <t>On the onset of transient cavitation in gassy liquids</t>
  </si>
  <si>
    <t>JOURNAL OF THE ACOUSTICAL SOCIETY OF AMERICA</t>
  </si>
  <si>
    <t>This paper deals with a numerical and experimental study of ultrasound induced cavitation. On the basis of a computational analysis of Gilmore's equation for the individual bubble dynamics, a slight decrease in the pressure radiated by a single bubble immediately before reaching the transient cavitation regime is predicted. Experiments presented in this paper confirm this observation. Therefore, a new method to detect the inception of transient cavitation is proposed. The numerical analysis of a single bubble behavior, carried out for the different bubble sizes, suggests that two distinct ''types'' of transient cavitation may occur in a cavitation field in connection with the relative number of bubbles involved in the process. The experiments seem to confirm the theoretical hypothesis. The experimental work consisted mainly of insonifying distilled water, with a gas content of about 75% of saturation, at 20 kHz and analyzing the resulting acoustic emissions. (C) 1997 Acoustical Society of America.</t>
  </si>
  <si>
    <t>0001-4966</t>
  </si>
  <si>
    <t>10.1121/1.418495</t>
  </si>
  <si>
    <t>WOS:A1997WZ04100016</t>
  </si>
  <si>
    <t>Rivas, BL; Barria, B; Canessa, GS; Rabagliati, FM; Preston, J</t>
  </si>
  <si>
    <t>Synthesis and properties of poly(p-benzamide-b-propylene oxide)</t>
  </si>
  <si>
    <t>Rivas, Bernabé/D-9945-2015</t>
  </si>
  <si>
    <t>JUN 3</t>
  </si>
  <si>
    <t>10.1021/ma9518316</t>
  </si>
  <si>
    <t>WOS:A1996UP86000040</t>
  </si>
  <si>
    <t>GAUTIER, JL; RESTOVIC, A; CHARTIER, P</t>
  </si>
  <si>
    <t>ELECTROCATALYSIS OF OXYGEN-REDUCTION ON THE MIXED-OXIDE, CU1+XMM2-XD4, IN ALKALINE-SOLUTION - A STUDY USING RING DISK ELECTRODES</t>
  </si>
  <si>
    <t>10.1007/BF01039386</t>
  </si>
  <si>
    <t>WOS:A1989T289200004</t>
  </si>
  <si>
    <t>ARAYA, LM; VARGAS, JA; COSTAMAGNA, JA</t>
  </si>
  <si>
    <t>LIGAND INFLUENCE ON THE REDOX PROPERTIES OF SOME COPPER(II) COMPLEXES WITH SCHIFF-BASES DERIVED FROM BROMOSALICYLALDEHYDES AND METHYL OR CHLOROSUBSTITUTED ANILINES</t>
  </si>
  <si>
    <t>TRANSITION METAL CHEMISTRY</t>
  </si>
  <si>
    <t>0340-4285</t>
  </si>
  <si>
    <t>10.1007/BF00620654</t>
  </si>
  <si>
    <t>WOS:A1986E298800010</t>
  </si>
  <si>
    <t>MAKELA, M; WEIDMAN, WH; BARTON, SA; ROTHAMMER, F; SCHULL, WJ</t>
  </si>
  <si>
    <t>ALTITUDE AND BLOOD-PRESSURE</t>
  </si>
  <si>
    <t>CIRCULATION</t>
  </si>
  <si>
    <t>0009-7322</t>
  </si>
  <si>
    <t>WOS:A1977DX48400164</t>
  </si>
  <si>
    <t>Mcsherry, JP</t>
  </si>
  <si>
    <t>Mcsherry, J. Patrice</t>
  </si>
  <si>
    <t>Mirrors of Whiteness: Media, Middle-Class Resentment and the Rise of the Far Right in Brazil (Pitt Latin American Series)</t>
  </si>
  <si>
    <t>10.1111/blar.13599</t>
  </si>
  <si>
    <t>WOS:001348632400002</t>
  </si>
  <si>
    <t>Bravo, S; Zarate, P; Cari, I; Clavijo, L; Lopez, I; Phillips, NM; Vidal, R</t>
  </si>
  <si>
    <t>Bravo, Scarleth; Zarate, Patricia; Cari, Ilia; Clavijo, Ljubitza; Lopez, Ignacio; Phillips, Nicole M.; Vidal, Rodrigo</t>
  </si>
  <si>
    <t>Comparative Tissue Identification and Characterization of Long Non-Coding RNAs in the Globally Distributed Blue Shark Prionace glauca</t>
  </si>
  <si>
    <t>LIFE-BASEL</t>
  </si>
  <si>
    <t>Long non-coding RNAs (lncRNAs) are involved in numerous biological processes and serve crucial regulatory functions in both animals and plants. Nevertheless, there is limited understanding of lncRNAs and their patterns of expression and roles in sharks. In the current study, we systematically identified and characterized lncRNAs in the blue shark (Prionace glauca) from four tissues (liver, spleen, muscle, and kidney) using high-throughput sequencing and bioinformatics tools. A total of 21,932 high-confidence lncRNAs were identified, with 8984 and 3067 stably and tissue-specific expressed lncRNAs, respectively. In addition, a total of 45,007 differentially expressed (DE) lncRNAs were obtained among tissues, with kidney versus muscle having the largest numbers across tissues. DE lncRNAs trans target protein-coding genes were predicted, and functional gene ontology enrichment of these genes showed GO terms such as muscle system processes, cellular/metabolic processes, and stress and immune responses, all of which correspond with the specific biological functions of each tissue analyzed. These results advance our knowledge of lncRNAs in sharks and present novel data on tissue-specific lncRNAs, providing key information to support future functional shark investigations.</t>
  </si>
  <si>
    <t>Phillips, Nicole/AAC-3700-2020</t>
  </si>
  <si>
    <t>Cari, Ilia/0000-0002-8597-7990; lopez, ignacio/0009-0001-5752-2323</t>
  </si>
  <si>
    <t>2075-1729</t>
  </si>
  <si>
    <t>10.3390/life14091144</t>
  </si>
  <si>
    <t>WOS:001326344800001</t>
  </si>
  <si>
    <t>Chilon-Troncos, RF; Garcia-Salirrosas, EE; Escobar-Farfan, M; Millones-Liza, DY; Villar-Guevara, M</t>
  </si>
  <si>
    <t>Chilon-Troncos, Rony Francisco; Garcia-Salirrosas, Elizabeth Emperatriz; Escobar-Farfan, Manuel; Millones-Liza, Dany Yudet; Villar-Guevara, Miluska</t>
  </si>
  <si>
    <t>Predicting willingness to consume healthy brand foods using the theory of planned behavior: the role of nutritional literacy</t>
  </si>
  <si>
    <t>FRONTIERS IN NUTRITION</t>
  </si>
  <si>
    <t>Introduction The willingness to consume healthy foods has highlighted the growing importance of health, even more so when it comes to food choice, and predicting the willingness to consume foods of a healthy brand represents an action that leads to the practice of conscious eating habits, but what is behind this willingness? To answer this question and based on previous studies such as the theory of planned behavior and nutritional literacy, this study aimed to build a predictive model through an empirical study to examine the influence of nutritional literacy (NL) on attitude (ATT), subjective norm (SN) and perceived behavioral control (PBC), as well as to determine the influence of the three variables of the theory of planned behavior (TPB) on the willingness to consume healthy brand foods (WCHBF) in the Peruvian market.Methods The research focused on the population that stated that they were consumers of the Union brand (a brand whose value proposition is the sale of healthy foods), obtaining 482 consumers. The study was conducted under a quantitative, non-experimental, cross-sectional design approach.Results The results support the existence of a positive and significant effect of NL on ATT, SN, and PBC, finding the exact behavior of SN and PBC in WCHBF; however, in the proposed model, it is observed that ATT has no impact on WCHBF.Conclusion Applying strategies that lead to a change in consumer behavior towards healthy brands is a matter of time and will. In this context, the findings indicate that nutritional literacy plays an essential role in the willingness to consume healthy foods, which sheds more light on the design of educational interventions and awareness campaigns that independently inform about nutritional benefits and empower consumers, allowing them to make informed and healthy choices.</t>
  </si>
  <si>
    <t>Villar-Guevara, Miluska/IQT-0016-2023; García-salirrosas, Elizabeth/JBJ-6862-2023; Escobar Farfán, Manuel/HJH-8388-2023</t>
  </si>
  <si>
    <t>Villar Guevara, Miluska/0000-0002-9632-5293; Escobar-Farfan, Manuel/0000-0002-2975-7010; Millones-Liza, Dany Yudet/0000-0003-3672-461X</t>
  </si>
  <si>
    <t>2296-861X</t>
  </si>
  <si>
    <t>10.3389/fnut.2024.1353569</t>
  </si>
  <si>
    <t>WOS:001204823000001</t>
  </si>
  <si>
    <t>Espoz-Lazo, S; Farías-Valenzuela, C; del Val-Martín, P; Hinojosa-Torres, C</t>
  </si>
  <si>
    <t>Espoz-Lazo, Sebastian; Farias-Valenzuela, Claudio; del Val-Martin, Pablo; Hinojosa-Torres, Claudio</t>
  </si>
  <si>
    <t>Self-organization in the 3:2:1 defense in handball: Behaviors from the complex dynamic systems</t>
  </si>
  <si>
    <t>This study aimed to describe collective emerging behaviors within a 3:2:1 defense training method in handball using the framework of complex dynamic systems. An observational methodology grounded in nonlinear pedagogy was employed, applying constraints to trigger defensive behaviors in response to offensive actions. Twelve players were divided into three groups for participation. The results revealed that emergent defensive behaviors were related to executed offensive actions during the exercise. Offensive ball-circulation actions consistently activated defensive responses aimed at maintaining the defensive structure, while offensive actions involving width and depth crosses prompted position changes, adjustments, and defensive contacts. Furthermore, spontaneous coordination among players was observed to self-organize and adapt defensive responses during the exercise. In conclusion, the nonlinear pedagogy approach rooted in complex dynamic systems was effective in fostering defensive responses in the 3:2:1 defensive system in handball.</t>
  </si>
  <si>
    <t>WOS:001360797000007</t>
  </si>
  <si>
    <t>Ternero, R; Sepúlveda-Rojas, JP; Alfaro, M; Fuertes, G; Vargas, M</t>
  </si>
  <si>
    <t>Ternero, R.; Sepulveda-Rojas, J. P.; Alfaro, M.; Fuertes, G.; Vargas, M.</t>
  </si>
  <si>
    <t>INVENTORY MANAGEMENT WITH STOCHASTIC DEMAND: CASE STUDY OF A MEDICAL EQUIPMENT COMPANY</t>
  </si>
  <si>
    <t>This research proposes an inventory management system based on a periodic review model for a medical equipment company. The work aims to reduce inventory volume and out-of-stock and to improve service levels. The proposed methodology is a combined ABC/XYZ classification using the patterns and magnitude of demand under the constraints of spare parts cost. For the ABC/XYZ classification, we propose a model to forecast demand; and we evaluate eight forecasting methods to adjust the classification characteristics. The results obtained allow the reduction of arrears, an increased service level, and a decrease in average inventory.</t>
  </si>
  <si>
    <t>Villanueva, Manuel/G-1222-2016; Alfaro-Ponce, Mariel/GQA-6832-2022; Sepúlveda-Rojas, Juan/C-1799-2013; Fuertes, Guillermo/Q-2341-2016</t>
  </si>
  <si>
    <t>Alfaro-Ponce, Mariel/0000-0002-4270-0350; Fuertes, Guillermo/0000-0003-3044-5919</t>
  </si>
  <si>
    <t>1012-277X</t>
  </si>
  <si>
    <t>10.7166/34-1-2668</t>
  </si>
  <si>
    <t>WOS:001015487600011</t>
  </si>
  <si>
    <t>Daher, M; Rosati, A; Cifuentes, S</t>
  </si>
  <si>
    <t>Daher, Marianne; Rosati, Antonia; Cifuentes, Sofia</t>
  </si>
  <si>
    <t>Report Failure in Applied Research and Social Program Evaluation: An Invitation to Epistemic Integrity</t>
  </si>
  <si>
    <t>REVIEW OF GENERAL PSYCHOLOGY</t>
  </si>
  <si>
    <t>From a critical community psychology approach, this article seeks to visibilize social interventions that exhibit failings, thus exerting epistemic violence, by critically analyzing a microfinance project executed in India by an emblematic international research center of the Global North. Through fieldwork and interviews, we identified four shortcomings of the intervention: issues affecting the participants, implementation problems, limited effects of the project, and dissatisfaction with the intervention. This case illustrates how the prioritization of research objectives to the detriment of a proper implementation of the underlying social interventions constitutes epistemic violence as well as academic and epistemic extractivism. Based on this information, we intend to advance an expanded notion of epistemic violence, going beyond data analysis and taking into account the conditions of knowledge production in applied research, exemplified by a social program evaluation and their consequences for participants. This approach allows us to visibilize the importance of report failure and propose the concept of epistemic integrity, which is aimed at generating socially relevant knowledge while democratizing said knowledge, encouraging power redistribution, and promoting social justice. Regarding applied research, we discuss specific considerations for epistemic integrity.</t>
  </si>
  <si>
    <t>Rosati, Antonia/JTU-0539-2023</t>
  </si>
  <si>
    <t>Cifuentes Contador, Sofia/0000-0001-6737-9797; Daher, Marianne/0000-0002-0521-6666; Rosati, Antonia/0000-0002-7125-1101</t>
  </si>
  <si>
    <t>1089-2680</t>
  </si>
  <si>
    <t>1939-1552</t>
  </si>
  <si>
    <t>10.1177/10892680231170018</t>
  </si>
  <si>
    <t>APR 2023</t>
  </si>
  <si>
    <t>WOS:000970754400001</t>
  </si>
  <si>
    <t>Ramírez-Santana, M; Barra, RZ; González, MÑ; Müller, JM; Vásquez, JE; Ravera, F; Lago, G; Cañón, E; Castañeda, D; Pradenas, M; Pradenas, AM</t>
  </si>
  <si>
    <t>Ramirez-Santana, Muriel; Zapata Barra, Rodrigo; Nunque Gonzalez, Marcela; Miguel Muller, Jose; Enrique Vasquez, Juan; Ravera, Franco; Lago, Gustavo; Canon, Eduardo; Castaneda, Daniella; Pradenas, Madelaine; Pradenas, And Madelaine</t>
  </si>
  <si>
    <t>Inverse Association between Omega-3 Index and Severity of COVID-19: A Case-Control Study</t>
  </si>
  <si>
    <t>Background: Omega-3 fatty acids enhance immune response and modulate inflammation. This study aimed to determine the relationship between omega-3 fatty acid status and the severity of SARS-CoV-2 infection. Methods: Using a case-control design, we compared hospitalized patients with severe SARS-CoV-2 infection (cases, n = 73) with a group of ambulatory patients with mild SARS-CoV-2 infection (controls, n = 71). No patients were vaccinated against SARS-CoV-2. Results: The cases were older (p = 0.003), less educated (p = 0.001), had larger neck and smaller waist circumferences (p = 0.035 and p = 0.003, respectively), more frequently had diabetes (p &lt; 0.001), consumed less fish (p &lt; 0.001), consumed higher proportions of fried fish (p = 0.001), and had lower Omega-3 Index (O3I) values (p = 0.001) than controls. Cases had significantly lower rates of upper airway symptoms than controls. Lower O3I was associated with an increased likelihood of developing severe COVID-19 after adjusting for potential confounders (OR: 0.52; CI 0.32-0.86). Diabetes (OR: 4.41; CI 1.60-12.12), neck circumference (OR: 1.12; CI 1.03-1.21), and older age (OR: 1.03; CI 1.002-1.062) were also linked to COVID-19 severity. Fried fish consumption and low educational level were independent risk factors for severe COVID-19. Conclusions: This study suggests incorporating nutritional interventions to improve omega-3 status within nonpharmacological measures may help to reduce the severity of COVID-19.</t>
  </si>
  <si>
    <t>10.3390/ijerph19116445</t>
  </si>
  <si>
    <t>WOS:000808880200001</t>
  </si>
  <si>
    <t>Hernández, M; Lecaros, R; Zamorano, S</t>
  </si>
  <si>
    <t>Hernandez, Martin; Lecaros, Rodrigo; Zamorano, Sebastian</t>
  </si>
  <si>
    <t>AVERAGED TURNPIKE PROPERTY FOR DIFFERENTIAL EQUATIONS WITH RANDOM CONSTANT COEFFICIENTS</t>
  </si>
  <si>
    <t>MATHEMATICAL CONTROL AND RELATED FIELDS</t>
  </si>
  <si>
    <t>This paper studies the integral turnpike and turnpike in average for a class of random ordinary differential equations. We prove that, under suitable assumptions on the matrices that define the system, the optimal solutions for an optimal distributed control tracking problem remain, in an averaged sense, sufficiently close to the associated random stationary optimal solution for the majority of the time horizon.</t>
  </si>
  <si>
    <t>Lecaros, Rodrigo/LBH-1804-2024; Hernandez, Martin/KIL-7716-2024; Zamorano, Sebastián/AAY-2547-2020</t>
  </si>
  <si>
    <t>Lecaros, Rodrigo/0000-0003-3929-7684; Hernandez Salinas, Martin Sebastian/0009-0003-4799-6853</t>
  </si>
  <si>
    <t>2156-8472</t>
  </si>
  <si>
    <t>2156-8499</t>
  </si>
  <si>
    <t>2022 APR</t>
  </si>
  <si>
    <t>10.3934/mcrf.2022016</t>
  </si>
  <si>
    <t>APR 2022</t>
  </si>
  <si>
    <t>WOS:000780999700001</t>
  </si>
  <si>
    <t>Contreras, RA; Pizarro, M; Peña-Heyboer, N; Mendoza, L; Sandoval, C; Muñoz-González, R; Zúñiga, GE</t>
  </si>
  <si>
    <t>Contreras, Rodrigo A.; Pizarro, Marisol; Pena-Heyboer, Nicolas; Mendoza, Leonora; Sandoval, Camila; Munoz-Gonzalez, Rodrigo; Zuniga, Gustavo E.</t>
  </si>
  <si>
    <t>Antifungal activity of extracts from the Antarctic plant Colobanthus quitensis Kunth. (Bartl) cultured in vitro against Botrytis cinerea Pers</t>
  </si>
  <si>
    <t>ARCHIVES OF PHYTOPATHOLOGY AND PLANT PROTECTION</t>
  </si>
  <si>
    <t>Botrytis cinerea, a responsible for grey rot that mainly affects fruit and represent a problem in fruit-exporting countries. Synthetic antifungals are used for its control. However, it has developed a specific resistance towards them. Therefore, a search for new natural alternatives that are friendly to the environment has increased in the last decade. In this work, the activity of in vitro-cultured C. quitensis extracts was analysed. Extract was characterized using LC-MS/MS and evaluated in vitro, and in vivo using edible coatings in table grapes. The application of extracts inhibited the development of conidia and mycelium of B. cinerea, with EC50 values of 0.071 +/- 0.008 g L-1 and 0.074 +/- 0.09 g L-1, respectively, inducing oxidative stress in vitro; on the other hand, in vivo assays showed a protection and preservation of anthocyanins and sugars in table grapes. These results suggest that C. quitensis extracts represent a good alternative to control B. cinerea.</t>
  </si>
  <si>
    <t>Sandoval, Camila/AAC-4805-2022; Zuñiga, Gustavo/P-8306-2015; Contreras, Rodrigo/I-1871-2013</t>
  </si>
  <si>
    <t>Contreras, Rodrigo/0000-0001-9970-3125; Zuniga, Gustavo/0000-0002-8286-9468; Munoz-Gonzalez, Rodrigo/0000-0003-2266-5014</t>
  </si>
  <si>
    <t>0323-5408</t>
  </si>
  <si>
    <t>1477-2906</t>
  </si>
  <si>
    <t>10.1080/03235408.2022.2035965</t>
  </si>
  <si>
    <t>WOS:000752344400001</t>
  </si>
  <si>
    <t>Santander, P; Pedemonte, MJ; Troncoso, M; Yáñez, C; Cárdenas, MA; Guajardo, K; Silva, C; Neves, M; López, C; Lagos, P; Barrios, A; Troncoso, L</t>
  </si>
  <si>
    <t>Santander, Paola; Jose Pedemonte, Maria; Troncoso, Monica; Yanez, Carolina; Alejandra Cardenas, Maria; Guajardo, Karen; Silva, Carolina; Neves, Macarena; Lopez, Claudia; Lagos, Paola; Barrios, Andres; Troncoso, Ledia</t>
  </si>
  <si>
    <t>Children and adolescents with intellectual disabilities studied with genetic tests according to their clinical phenotype</t>
  </si>
  <si>
    <t>Intellectual disability (ID) is a neurodevelopmental disorder characterized by limitations in intellectual and adaptive functioning, of various etiologies, including genetic causes. Objective: to describe genetic studies carried out in a series of children and adolescents with ID of previously undetermined etiology, considering their phenotypic characteristics. Patients and Method: Descriptive study of a series of patients with ID aged 6 to 18 years. Clinical records, cognitive assessment results (Wechsler -TADI), and genetic study performed were reviewed. They were classified according to phenotypic characteristics into Group 1 patients without a specific phenotype, Group 2: patients with Angelman- and Rett-like neurodevelopmental disorders phenotype, and Group 3: patients with difficultto-control seizures. Group 1 was studied with CMA and Groups 2 and 3 with specific genetic panels. Results: 18 patients were described, average age 11 years, male predominance, non-consanguineous parents, and with history of psychomotor retardation. Common comorbidities were epilepsy, autism spectrum disorder (ASD), and behavioral difficulties. Most had a neurological examination without focus and had TADI with very poor developmental ages. In Group 1, there was one patient with a 16p11.2 microdeletion and in Group 3 a duplication of the IQSEC2 gene was found in a patient with difficult-to-control seizures. Conclusions: The phenotypic characteristics allow to guide the choice of specific genetic studies in children and adolescents with ID of previously undetermined etiology to approach the etiological diagnosis.</t>
  </si>
  <si>
    <t>lopez, claudia/KOD-5781-2024; Silva, Carolina/JQV-4022-2023; Troncoso, Monica/LVS-2117-2024; Yáñez, Carolina/JCO-4489-2023</t>
  </si>
  <si>
    <t>TRONCOSO SCHIFFERLI, LUCY MONICA/0000-0002-2539-4929</t>
  </si>
  <si>
    <t>10.32641/andespediatr.v92i6.2866</t>
  </si>
  <si>
    <t>WOS:000808831900008</t>
  </si>
  <si>
    <t>Cifuentes, G; Germain, I; Garrido, B; Cifuentes-Cabezas, M; Orrego, P; Gentico, I; Pino, E; Calderon, C</t>
  </si>
  <si>
    <t>Cifuentes, Gerardo; Germain, Ignacio; Garrido, Belen; Cifuentes-Cabezas, Magdalena; Orrego, Pedro; Gentico, Ivan; Pino, Eduardo; Calderon, Cristian</t>
  </si>
  <si>
    <t>Tetra-uranium fluoride electrowinning by electro-electrodialysis cell (EED)</t>
  </si>
  <si>
    <t>This work presents a novel electro-electrodialysis (EED) system for laboratory-scale uranium electrowinning based on a simple process of reactive electmdialysis of solutions of uranium (VI) oxide (UO3) dissolved in aqueous hydrofluoric acid (HF), leading to the formation of deposits of uranium tetrafluoride (UF4). For stainless steel cathodes, the best operating conditions for a concentration of 25 g/L for uranium were i = 40 A/m(2), T = 40 degrees C and 18 L/h electrolyte recirculation flowrate. The specific energy consumption (W) and current efficiency (p) for tetra uranium fluoride electrowinning was 4500 kWh/kg and 10.15%. When the cathodic metal was changed from stainless steel to aluminium, seeking to optimize the system, improved values of W and rho were achieved (645 kWh/kg and 68%, respectively). In the EED cells, the release of gaseous hydrogen is significantly lower for aluminum, due to its lower exchange current density (i(0)), with a magnitude of 10(-7) A/m(2). On the contrary, a considerable release of gaseous hydrogen is observed when the stainless-steel cathode is used, mainly due to the H+/H-2 reaction being catalysed by the stainless steel, inducing an increase in the acid consumption rate, devoting most of the energy consumed by the system in the proton reduction reaction. Polarization cathodic curves indicate that uranium has an estimate resting potential close to that of aluminium, which is -0.89 V. Finally, by chemical analysis (X-ray mass diffraction), UF4 and hydrated UF4 were identified as the main components of the electrodeposited product.</t>
  </si>
  <si>
    <t>Cifuentes, Gerardo/AAS-2148-2021; Calderon, cristian/GQA-7422-2022; Garrido, Belén/ABB-7814-2021; Cifuentes-Cabezas, Magdalena/JZE-2959-2024</t>
  </si>
  <si>
    <t>Garrido Moreno, Belen/0000-0002-5335-1686; Cifuentes-Cabezas, Magdalena/0000-0002-3884-4060; Cifuentes, Gerardo/0000-0002-9543-1625; Pino, Eduardo Francisco/0000-0002-7851-3952</t>
  </si>
  <si>
    <t>10.1016/j.seppur.2021.119833</t>
  </si>
  <si>
    <t>OCT 2021</t>
  </si>
  <si>
    <t>WOS:000707360700006</t>
  </si>
  <si>
    <t>Oyarce, E; Roa, K; Boulett, A; Sotelo, S; Cantero-López, P; Sánchez, J; Rivas, BL</t>
  </si>
  <si>
    <t>Oyarce, Estefania; Roa, Karina; Boulett, Andres; Sotelo, Sebastian; Cantero-Lopez, Plinio; Sanchez, Julio; Rivas, Bernabe L.</t>
  </si>
  <si>
    <t>Removal of Dyes by Polymer-Enhanced Ultrafiltration: An Overview</t>
  </si>
  <si>
    <t>The current problem of contamination caused by colored industrial effluents has led to the development of different techniques to remove these species from water. One of them, polymer-enhanced ultrafiltration (PEUF), has been systematically studied in this mini review, in which research works from 1971 to date were found and analyzed. Dye retention rates of up to 99% were obtained in several cases. In addition, a brief discussion of different parameters, such as pH, interfering salts, type of polymer, dye concentration, and membrane type, and their influence in dye removal is presented. It was concluded from the above that these factors can be adapted depending on the pollutant to be remediated, in order to optimize the process. Finally, theoretical approaches have been used to understand the intermolecular interactions, and development of the studied technique. In this revision, it is possible to observe that molecular docking, molecular dynamics simulations, density functional theory calculations, and hybrid neural-genetic algorithms based on an evolutionary approach are the most usual approximations used for this purpose. Herein, there is a detailed discussion about what was carried out in order to contribute to the research development of this important science field.</t>
  </si>
  <si>
    <t>Sanchez, Julio/AEO-4360-2022; Rivas, Bernabé/D-9945-2015</t>
  </si>
  <si>
    <t>Cantero-Lopez, Plinio/0000-0003-4090-9879; Sanchez, Julio/0000-0003-4245-0096</t>
  </si>
  <si>
    <t>10.3390/polym13193450</t>
  </si>
  <si>
    <t>WOS:000735664600001</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</si>
</sst>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72" width="8.0"/>
  </cols>
  <sheetData>
    <row r="1" ht="12.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ht="12.75" customHeight="1">
      <c r="A2" s="1" t="s">
        <v>72</v>
      </c>
      <c r="B2" s="1" t="s">
        <v>73</v>
      </c>
      <c r="C2" s="1" t="s">
        <v>74</v>
      </c>
      <c r="D2" s="1" t="s">
        <v>74</v>
      </c>
      <c r="E2" s="1" t="s">
        <v>74</v>
      </c>
      <c r="F2" s="1" t="s">
        <v>73</v>
      </c>
      <c r="G2" s="1" t="s">
        <v>74</v>
      </c>
      <c r="H2" s="1" t="s">
        <v>74</v>
      </c>
      <c r="I2" s="1" t="s">
        <v>75</v>
      </c>
      <c r="J2" s="1" t="s">
        <v>76</v>
      </c>
      <c r="K2" s="1" t="s">
        <v>74</v>
      </c>
      <c r="L2" s="1" t="s">
        <v>74</v>
      </c>
      <c r="M2" s="1" t="s">
        <v>74</v>
      </c>
      <c r="N2" s="1" t="s">
        <v>74</v>
      </c>
      <c r="O2" s="1" t="s">
        <v>74</v>
      </c>
      <c r="P2" s="1" t="s">
        <v>74</v>
      </c>
      <c r="Q2" s="1" t="s">
        <v>74</v>
      </c>
      <c r="R2" s="1" t="s">
        <v>74</v>
      </c>
      <c r="S2" s="1" t="s">
        <v>74</v>
      </c>
      <c r="T2" s="1" t="s">
        <v>74</v>
      </c>
      <c r="U2" s="1" t="s">
        <v>74</v>
      </c>
      <c r="V2" s="1" t="s">
        <v>77</v>
      </c>
      <c r="W2" s="1" t="s">
        <v>74</v>
      </c>
      <c r="X2" s="1" t="s">
        <v>74</v>
      </c>
      <c r="Y2" s="1" t="s">
        <v>74</v>
      </c>
      <c r="Z2" s="1" t="s">
        <v>74</v>
      </c>
      <c r="AA2" s="1" t="s">
        <v>78</v>
      </c>
      <c r="AB2" s="1" t="s">
        <v>79</v>
      </c>
      <c r="AC2" s="1" t="s">
        <v>74</v>
      </c>
      <c r="AD2" s="1" t="s">
        <v>74</v>
      </c>
      <c r="AE2" s="1" t="s">
        <v>74</v>
      </c>
      <c r="AF2" s="1" t="s">
        <v>74</v>
      </c>
      <c r="AG2" s="1" t="s">
        <v>74</v>
      </c>
      <c r="AH2" s="1" t="s">
        <v>74</v>
      </c>
      <c r="AI2" s="1" t="s">
        <v>74</v>
      </c>
      <c r="AJ2" s="1" t="s">
        <v>74</v>
      </c>
      <c r="AK2" s="1" t="s">
        <v>74</v>
      </c>
      <c r="AL2" s="1" t="s">
        <v>74</v>
      </c>
      <c r="AM2" s="1" t="s">
        <v>74</v>
      </c>
      <c r="AN2" s="1" t="s">
        <v>74</v>
      </c>
      <c r="AO2" s="1" t="s">
        <v>80</v>
      </c>
      <c r="AP2" s="1" t="s">
        <v>74</v>
      </c>
      <c r="AQ2" s="1" t="s">
        <v>74</v>
      </c>
      <c r="AR2" s="1" t="s">
        <v>74</v>
      </c>
      <c r="AS2" s="1" t="s">
        <v>74</v>
      </c>
      <c r="AT2" s="1" t="s">
        <v>74</v>
      </c>
      <c r="AU2" s="1">
        <v>1996.0</v>
      </c>
      <c r="AV2" s="1">
        <v>14.0</v>
      </c>
      <c r="AW2" s="1">
        <v>10.0</v>
      </c>
      <c r="AX2" s="1" t="s">
        <v>74</v>
      </c>
      <c r="AY2" s="1" t="s">
        <v>74</v>
      </c>
      <c r="AZ2" s="1" t="s">
        <v>74</v>
      </c>
      <c r="BA2" s="1" t="s">
        <v>74</v>
      </c>
      <c r="BB2" s="1">
        <v>2419.0</v>
      </c>
      <c r="BC2" s="1">
        <v>2433.0</v>
      </c>
      <c r="BD2" s="1" t="s">
        <v>74</v>
      </c>
      <c r="BE2" s="1" t="s">
        <v>81</v>
      </c>
      <c r="BF2" s="2" t="str">
        <f>HYPERLINK("http://dx.doi.org/10.1080/07373939608917214","http://dx.doi.org/10.1080/07373939608917214")</f>
        <v>http://dx.doi.org/10.1080/07373939608917214</v>
      </c>
      <c r="BG2" s="1" t="s">
        <v>74</v>
      </c>
      <c r="BH2" s="1" t="s">
        <v>74</v>
      </c>
      <c r="BI2" s="1" t="s">
        <v>74</v>
      </c>
      <c r="BJ2" s="1" t="s">
        <v>74</v>
      </c>
      <c r="BK2" s="1" t="s">
        <v>74</v>
      </c>
      <c r="BL2" s="1" t="s">
        <v>74</v>
      </c>
      <c r="BM2" s="1" t="s">
        <v>74</v>
      </c>
      <c r="BN2" s="1" t="s">
        <v>74</v>
      </c>
      <c r="BO2" s="1" t="s">
        <v>74</v>
      </c>
      <c r="BP2" s="1" t="s">
        <v>74</v>
      </c>
      <c r="BQ2" s="1" t="s">
        <v>74</v>
      </c>
      <c r="BR2" s="1" t="s">
        <v>74</v>
      </c>
      <c r="BS2" s="1" t="s">
        <v>82</v>
      </c>
      <c r="BT2" s="1" t="str">
        <f>HYPERLINK("https%3A%2F%2Fwww.webofscience.com%2Fwos%2Fwoscc%2Ffull-record%2FWOS:A1996VQ02900012","View Full Record in Web of Science")</f>
        <v>View Full Record in Web of Science</v>
      </c>
    </row>
    <row r="3" ht="12.75" customHeight="1">
      <c r="A3" s="1" t="s">
        <v>72</v>
      </c>
      <c r="B3" s="1" t="s">
        <v>83</v>
      </c>
      <c r="C3" s="1" t="s">
        <v>74</v>
      </c>
      <c r="D3" s="1" t="s">
        <v>74</v>
      </c>
      <c r="E3" s="1" t="s">
        <v>74</v>
      </c>
      <c r="F3" s="1" t="s">
        <v>83</v>
      </c>
      <c r="G3" s="1" t="s">
        <v>74</v>
      </c>
      <c r="H3" s="1" t="s">
        <v>74</v>
      </c>
      <c r="I3" s="1" t="s">
        <v>84</v>
      </c>
      <c r="J3" s="1" t="s">
        <v>85</v>
      </c>
      <c r="K3" s="1" t="s">
        <v>74</v>
      </c>
      <c r="L3" s="1" t="s">
        <v>74</v>
      </c>
      <c r="M3" s="1" t="s">
        <v>74</v>
      </c>
      <c r="N3" s="1" t="s">
        <v>74</v>
      </c>
      <c r="O3" s="1" t="s">
        <v>74</v>
      </c>
      <c r="P3" s="1" t="s">
        <v>74</v>
      </c>
      <c r="Q3" s="1" t="s">
        <v>74</v>
      </c>
      <c r="R3" s="1" t="s">
        <v>74</v>
      </c>
      <c r="S3" s="1" t="s">
        <v>74</v>
      </c>
      <c r="T3" s="1" t="s">
        <v>74</v>
      </c>
      <c r="U3" s="1" t="s">
        <v>74</v>
      </c>
      <c r="V3" s="1" t="s">
        <v>86</v>
      </c>
      <c r="W3" s="1" t="s">
        <v>74</v>
      </c>
      <c r="X3" s="1" t="s">
        <v>74</v>
      </c>
      <c r="Y3" s="1" t="s">
        <v>74</v>
      </c>
      <c r="Z3" s="1" t="s">
        <v>74</v>
      </c>
      <c r="AA3" s="1" t="s">
        <v>87</v>
      </c>
      <c r="AB3" s="1" t="s">
        <v>88</v>
      </c>
      <c r="AC3" s="1" t="s">
        <v>74</v>
      </c>
      <c r="AD3" s="1" t="s">
        <v>74</v>
      </c>
      <c r="AE3" s="1" t="s">
        <v>74</v>
      </c>
      <c r="AF3" s="1" t="s">
        <v>74</v>
      </c>
      <c r="AG3" s="1" t="s">
        <v>74</v>
      </c>
      <c r="AH3" s="1" t="s">
        <v>74</v>
      </c>
      <c r="AI3" s="1" t="s">
        <v>74</v>
      </c>
      <c r="AJ3" s="1" t="s">
        <v>74</v>
      </c>
      <c r="AK3" s="1" t="s">
        <v>74</v>
      </c>
      <c r="AL3" s="1" t="s">
        <v>74</v>
      </c>
      <c r="AM3" s="1" t="s">
        <v>74</v>
      </c>
      <c r="AN3" s="1" t="s">
        <v>74</v>
      </c>
      <c r="AO3" s="1" t="s">
        <v>89</v>
      </c>
      <c r="AP3" s="1" t="s">
        <v>74</v>
      </c>
      <c r="AQ3" s="1" t="s">
        <v>74</v>
      </c>
      <c r="AR3" s="1" t="s">
        <v>74</v>
      </c>
      <c r="AS3" s="1" t="s">
        <v>74</v>
      </c>
      <c r="AT3" s="1" t="s">
        <v>90</v>
      </c>
      <c r="AU3" s="1">
        <v>1994.0</v>
      </c>
      <c r="AV3" s="1">
        <v>50.0</v>
      </c>
      <c r="AW3" s="1" t="s">
        <v>74</v>
      </c>
      <c r="AX3" s="1">
        <v>9.0</v>
      </c>
      <c r="AY3" s="1" t="s">
        <v>74</v>
      </c>
      <c r="AZ3" s="1" t="s">
        <v>74</v>
      </c>
      <c r="BA3" s="1" t="s">
        <v>74</v>
      </c>
      <c r="BB3" s="1">
        <v>1494.0</v>
      </c>
      <c r="BC3" s="1">
        <v>1497.0</v>
      </c>
      <c r="BD3" s="1" t="s">
        <v>74</v>
      </c>
      <c r="BE3" s="1" t="s">
        <v>91</v>
      </c>
      <c r="BF3" s="2" t="str">
        <f>HYPERLINK("http://dx.doi.org/10.1107/S0108270193014210","http://dx.doi.org/10.1107/S0108270193014210")</f>
        <v>http://dx.doi.org/10.1107/S0108270193014210</v>
      </c>
      <c r="BG3" s="1" t="s">
        <v>74</v>
      </c>
      <c r="BH3" s="1" t="s">
        <v>74</v>
      </c>
      <c r="BI3" s="1" t="s">
        <v>74</v>
      </c>
      <c r="BJ3" s="1" t="s">
        <v>74</v>
      </c>
      <c r="BK3" s="1" t="s">
        <v>74</v>
      </c>
      <c r="BL3" s="1" t="s">
        <v>74</v>
      </c>
      <c r="BM3" s="1" t="s">
        <v>74</v>
      </c>
      <c r="BN3" s="1" t="s">
        <v>74</v>
      </c>
      <c r="BO3" s="1" t="s">
        <v>74</v>
      </c>
      <c r="BP3" s="1" t="s">
        <v>74</v>
      </c>
      <c r="BQ3" s="1" t="s">
        <v>74</v>
      </c>
      <c r="BR3" s="1" t="s">
        <v>74</v>
      </c>
      <c r="BS3" s="1" t="s">
        <v>92</v>
      </c>
      <c r="BT3" s="1" t="str">
        <f>HYPERLINK("https%3A%2F%2Fwww.webofscience.com%2Fwos%2Fwoscc%2Ffull-record%2FWOS:A1994PK71000048","View Full Record in Web of Science")</f>
        <v>View Full Record in Web of Science</v>
      </c>
    </row>
    <row r="4" ht="12.75" customHeight="1">
      <c r="A4" s="1" t="s">
        <v>72</v>
      </c>
      <c r="B4" s="1" t="s">
        <v>93</v>
      </c>
      <c r="C4" s="1" t="s">
        <v>74</v>
      </c>
      <c r="D4" s="1" t="s">
        <v>74</v>
      </c>
      <c r="E4" s="1" t="s">
        <v>74</v>
      </c>
      <c r="F4" s="1" t="s">
        <v>93</v>
      </c>
      <c r="G4" s="1" t="s">
        <v>74</v>
      </c>
      <c r="H4" s="1" t="s">
        <v>74</v>
      </c>
      <c r="I4" s="1" t="s">
        <v>94</v>
      </c>
      <c r="J4" s="1" t="s">
        <v>95</v>
      </c>
      <c r="K4" s="1" t="s">
        <v>74</v>
      </c>
      <c r="L4" s="1" t="s">
        <v>74</v>
      </c>
      <c r="M4" s="1" t="s">
        <v>74</v>
      </c>
      <c r="N4" s="1" t="s">
        <v>74</v>
      </c>
      <c r="O4" s="1" t="s">
        <v>74</v>
      </c>
      <c r="P4" s="1" t="s">
        <v>74</v>
      </c>
      <c r="Q4" s="1" t="s">
        <v>74</v>
      </c>
      <c r="R4" s="1" t="s">
        <v>74</v>
      </c>
      <c r="S4" s="1" t="s">
        <v>74</v>
      </c>
      <c r="T4" s="1" t="s">
        <v>74</v>
      </c>
      <c r="U4" s="1" t="s">
        <v>74</v>
      </c>
      <c r="V4" s="1" t="s">
        <v>96</v>
      </c>
      <c r="W4" s="1" t="s">
        <v>74</v>
      </c>
      <c r="X4" s="1" t="s">
        <v>74</v>
      </c>
      <c r="Y4" s="1" t="s">
        <v>74</v>
      </c>
      <c r="Z4" s="1" t="s">
        <v>74</v>
      </c>
      <c r="AA4" s="1" t="s">
        <v>97</v>
      </c>
      <c r="AB4" s="1" t="s">
        <v>74</v>
      </c>
      <c r="AC4" s="1" t="s">
        <v>74</v>
      </c>
      <c r="AD4" s="1" t="s">
        <v>74</v>
      </c>
      <c r="AE4" s="1" t="s">
        <v>74</v>
      </c>
      <c r="AF4" s="1" t="s">
        <v>74</v>
      </c>
      <c r="AG4" s="1" t="s">
        <v>74</v>
      </c>
      <c r="AH4" s="1" t="s">
        <v>74</v>
      </c>
      <c r="AI4" s="1" t="s">
        <v>74</v>
      </c>
      <c r="AJ4" s="1" t="s">
        <v>74</v>
      </c>
      <c r="AK4" s="1" t="s">
        <v>74</v>
      </c>
      <c r="AL4" s="1" t="s">
        <v>74</v>
      </c>
      <c r="AM4" s="1" t="s">
        <v>74</v>
      </c>
      <c r="AN4" s="1" t="s">
        <v>74</v>
      </c>
      <c r="AO4" s="1" t="s">
        <v>98</v>
      </c>
      <c r="AP4" s="1" t="s">
        <v>74</v>
      </c>
      <c r="AQ4" s="1" t="s">
        <v>74</v>
      </c>
      <c r="AR4" s="1" t="s">
        <v>74</v>
      </c>
      <c r="AS4" s="1" t="s">
        <v>74</v>
      </c>
      <c r="AT4" s="1" t="s">
        <v>99</v>
      </c>
      <c r="AU4" s="1">
        <v>1992.0</v>
      </c>
      <c r="AV4" s="1">
        <v>1119.0</v>
      </c>
      <c r="AW4" s="1">
        <v>1.0</v>
      </c>
      <c r="AX4" s="1" t="s">
        <v>74</v>
      </c>
      <c r="AY4" s="1" t="s">
        <v>74</v>
      </c>
      <c r="AZ4" s="1" t="s">
        <v>74</v>
      </c>
      <c r="BA4" s="1" t="s">
        <v>74</v>
      </c>
      <c r="BB4" s="1">
        <v>35.0</v>
      </c>
      <c r="BC4" s="1">
        <v>38.0</v>
      </c>
      <c r="BD4" s="1" t="s">
        <v>74</v>
      </c>
      <c r="BE4" s="1" t="s">
        <v>100</v>
      </c>
      <c r="BF4" s="2" t="str">
        <f>HYPERLINK("http://dx.doi.org/10.1016/0167-4838(92)90230-B","http://dx.doi.org/10.1016/0167-4838(92)90230-B")</f>
        <v>http://dx.doi.org/10.1016/0167-4838(92)90230-B</v>
      </c>
      <c r="BG4" s="1" t="s">
        <v>74</v>
      </c>
      <c r="BH4" s="1" t="s">
        <v>74</v>
      </c>
      <c r="BI4" s="1" t="s">
        <v>74</v>
      </c>
      <c r="BJ4" s="1" t="s">
        <v>74</v>
      </c>
      <c r="BK4" s="1" t="s">
        <v>74</v>
      </c>
      <c r="BL4" s="1" t="s">
        <v>74</v>
      </c>
      <c r="BM4" s="1" t="s">
        <v>74</v>
      </c>
      <c r="BN4" s="1">
        <v>1540632.0</v>
      </c>
      <c r="BO4" s="1" t="s">
        <v>74</v>
      </c>
      <c r="BP4" s="1" t="s">
        <v>74</v>
      </c>
      <c r="BQ4" s="1" t="s">
        <v>74</v>
      </c>
      <c r="BR4" s="1" t="s">
        <v>74</v>
      </c>
      <c r="BS4" s="1" t="s">
        <v>101</v>
      </c>
      <c r="BT4" s="1" t="str">
        <f>HYPERLINK("https%3A%2F%2Fwww.webofscience.com%2Fwos%2Fwoscc%2Ffull-record%2FWOS:A1992HG27800006","View Full Record in Web of Science")</f>
        <v>View Full Record in Web of Science</v>
      </c>
    </row>
    <row r="5" ht="12.75" customHeight="1">
      <c r="A5" s="1" t="s">
        <v>72</v>
      </c>
      <c r="B5" s="1" t="s">
        <v>102</v>
      </c>
      <c r="C5" s="1" t="s">
        <v>74</v>
      </c>
      <c r="D5" s="1" t="s">
        <v>74</v>
      </c>
      <c r="E5" s="1" t="s">
        <v>74</v>
      </c>
      <c r="F5" s="1" t="s">
        <v>103</v>
      </c>
      <c r="G5" s="1" t="s">
        <v>74</v>
      </c>
      <c r="H5" s="1" t="s">
        <v>74</v>
      </c>
      <c r="I5" s="1" t="s">
        <v>104</v>
      </c>
      <c r="J5" s="1" t="s">
        <v>105</v>
      </c>
      <c r="K5" s="1" t="s">
        <v>74</v>
      </c>
      <c r="L5" s="1" t="s">
        <v>74</v>
      </c>
      <c r="M5" s="1" t="s">
        <v>74</v>
      </c>
      <c r="N5" s="1" t="s">
        <v>74</v>
      </c>
      <c r="O5" s="1" t="s">
        <v>74</v>
      </c>
      <c r="P5" s="1" t="s">
        <v>74</v>
      </c>
      <c r="Q5" s="1" t="s">
        <v>74</v>
      </c>
      <c r="R5" s="1" t="s">
        <v>74</v>
      </c>
      <c r="S5" s="1" t="s">
        <v>74</v>
      </c>
      <c r="T5" s="1" t="s">
        <v>74</v>
      </c>
      <c r="U5" s="1" t="s">
        <v>74</v>
      </c>
      <c r="V5" s="1" t="s">
        <v>106</v>
      </c>
      <c r="W5" s="1" t="s">
        <v>74</v>
      </c>
      <c r="X5" s="1" t="s">
        <v>74</v>
      </c>
      <c r="Y5" s="1" t="s">
        <v>74</v>
      </c>
      <c r="Z5" s="1" t="s">
        <v>74</v>
      </c>
      <c r="AA5" s="1" t="s">
        <v>107</v>
      </c>
      <c r="AB5" s="1" t="s">
        <v>108</v>
      </c>
      <c r="AC5" s="1" t="s">
        <v>74</v>
      </c>
      <c r="AD5" s="1" t="s">
        <v>74</v>
      </c>
      <c r="AE5" s="1" t="s">
        <v>74</v>
      </c>
      <c r="AF5" s="1" t="s">
        <v>74</v>
      </c>
      <c r="AG5" s="1" t="s">
        <v>74</v>
      </c>
      <c r="AH5" s="1" t="s">
        <v>74</v>
      </c>
      <c r="AI5" s="1" t="s">
        <v>74</v>
      </c>
      <c r="AJ5" s="1" t="s">
        <v>74</v>
      </c>
      <c r="AK5" s="1" t="s">
        <v>74</v>
      </c>
      <c r="AL5" s="1" t="s">
        <v>74</v>
      </c>
      <c r="AM5" s="1" t="s">
        <v>74</v>
      </c>
      <c r="AN5" s="1" t="s">
        <v>74</v>
      </c>
      <c r="AO5" s="1" t="s">
        <v>109</v>
      </c>
      <c r="AP5" s="1" t="s">
        <v>110</v>
      </c>
      <c r="AQ5" s="1" t="s">
        <v>74</v>
      </c>
      <c r="AR5" s="1" t="s">
        <v>74</v>
      </c>
      <c r="AS5" s="1" t="s">
        <v>74</v>
      </c>
      <c r="AT5" s="1" t="s">
        <v>111</v>
      </c>
      <c r="AU5" s="1">
        <v>2025.0</v>
      </c>
      <c r="AV5" s="1">
        <v>63.0</v>
      </c>
      <c r="AW5" s="1">
        <v>9.0</v>
      </c>
      <c r="AX5" s="1" t="s">
        <v>74</v>
      </c>
      <c r="AY5" s="1" t="s">
        <v>74</v>
      </c>
      <c r="AZ5" s="1" t="s">
        <v>74</v>
      </c>
      <c r="BA5" s="1" t="s">
        <v>74</v>
      </c>
      <c r="BB5" s="1">
        <v>2043.0</v>
      </c>
      <c r="BC5" s="1">
        <v>2054.0</v>
      </c>
      <c r="BD5" s="1" t="s">
        <v>74</v>
      </c>
      <c r="BE5" s="1" t="s">
        <v>112</v>
      </c>
      <c r="BF5" s="2" t="str">
        <f>HYPERLINK("http://dx.doi.org/10.1002/pol.20241028","http://dx.doi.org/10.1002/pol.20241028")</f>
        <v>http://dx.doi.org/10.1002/pol.20241028</v>
      </c>
      <c r="BG5" s="1" t="s">
        <v>74</v>
      </c>
      <c r="BH5" s="1" t="s">
        <v>113</v>
      </c>
      <c r="BI5" s="1" t="s">
        <v>74</v>
      </c>
      <c r="BJ5" s="1" t="s">
        <v>74</v>
      </c>
      <c r="BK5" s="1" t="s">
        <v>74</v>
      </c>
      <c r="BL5" s="1" t="s">
        <v>74</v>
      </c>
      <c r="BM5" s="1" t="s">
        <v>74</v>
      </c>
      <c r="BN5" s="1" t="s">
        <v>74</v>
      </c>
      <c r="BO5" s="1" t="s">
        <v>74</v>
      </c>
      <c r="BP5" s="1" t="s">
        <v>74</v>
      </c>
      <c r="BQ5" s="1" t="s">
        <v>74</v>
      </c>
      <c r="BR5" s="1" t="s">
        <v>74</v>
      </c>
      <c r="BS5" s="1" t="s">
        <v>114</v>
      </c>
      <c r="BT5" s="1" t="str">
        <f>HYPERLINK("https%3A%2F%2Fwww.webofscience.com%2Fwos%2Fwoscc%2Ffull-record%2FWOS:001449615500001","View Full Record in Web of Science")</f>
        <v>View Full Record in Web of Science</v>
      </c>
    </row>
    <row r="6" ht="12.75" customHeight="1">
      <c r="A6" s="1" t="s">
        <v>72</v>
      </c>
      <c r="B6" s="1" t="s">
        <v>115</v>
      </c>
      <c r="C6" s="1" t="s">
        <v>74</v>
      </c>
      <c r="D6" s="1" t="s">
        <v>74</v>
      </c>
      <c r="E6" s="1" t="s">
        <v>74</v>
      </c>
      <c r="F6" s="1" t="s">
        <v>116</v>
      </c>
      <c r="G6" s="1" t="s">
        <v>74</v>
      </c>
      <c r="H6" s="1" t="s">
        <v>74</v>
      </c>
      <c r="I6" s="1" t="s">
        <v>117</v>
      </c>
      <c r="J6" s="1" t="s">
        <v>118</v>
      </c>
      <c r="K6" s="1" t="s">
        <v>74</v>
      </c>
      <c r="L6" s="1" t="s">
        <v>74</v>
      </c>
      <c r="M6" s="1" t="s">
        <v>74</v>
      </c>
      <c r="N6" s="1" t="s">
        <v>74</v>
      </c>
      <c r="O6" s="1" t="s">
        <v>74</v>
      </c>
      <c r="P6" s="1" t="s">
        <v>74</v>
      </c>
      <c r="Q6" s="1" t="s">
        <v>74</v>
      </c>
      <c r="R6" s="1" t="s">
        <v>74</v>
      </c>
      <c r="S6" s="1" t="s">
        <v>74</v>
      </c>
      <c r="T6" s="1" t="s">
        <v>74</v>
      </c>
      <c r="U6" s="1" t="s">
        <v>74</v>
      </c>
      <c r="V6" s="1" t="s">
        <v>119</v>
      </c>
      <c r="W6" s="1" t="s">
        <v>74</v>
      </c>
      <c r="X6" s="1" t="s">
        <v>74</v>
      </c>
      <c r="Y6" s="1" t="s">
        <v>74</v>
      </c>
      <c r="Z6" s="1" t="s">
        <v>74</v>
      </c>
      <c r="AA6" s="1" t="s">
        <v>120</v>
      </c>
      <c r="AB6" s="1" t="s">
        <v>121</v>
      </c>
      <c r="AC6" s="1" t="s">
        <v>74</v>
      </c>
      <c r="AD6" s="1" t="s">
        <v>74</v>
      </c>
      <c r="AE6" s="1" t="s">
        <v>74</v>
      </c>
      <c r="AF6" s="1" t="s">
        <v>74</v>
      </c>
      <c r="AG6" s="1" t="s">
        <v>74</v>
      </c>
      <c r="AH6" s="1" t="s">
        <v>74</v>
      </c>
      <c r="AI6" s="1" t="s">
        <v>74</v>
      </c>
      <c r="AJ6" s="1" t="s">
        <v>74</v>
      </c>
      <c r="AK6" s="1" t="s">
        <v>74</v>
      </c>
      <c r="AL6" s="1" t="s">
        <v>74</v>
      </c>
      <c r="AM6" s="1" t="s">
        <v>74</v>
      </c>
      <c r="AN6" s="1" t="s">
        <v>74</v>
      </c>
      <c r="AO6" s="1" t="s">
        <v>122</v>
      </c>
      <c r="AP6" s="1" t="s">
        <v>74</v>
      </c>
      <c r="AQ6" s="1" t="s">
        <v>74</v>
      </c>
      <c r="AR6" s="1" t="s">
        <v>74</v>
      </c>
      <c r="AS6" s="1" t="s">
        <v>74</v>
      </c>
      <c r="AT6" s="1" t="s">
        <v>123</v>
      </c>
      <c r="AU6" s="1">
        <v>2025.0</v>
      </c>
      <c r="AV6" s="1">
        <v>14.0</v>
      </c>
      <c r="AW6" s="1">
        <v>3.0</v>
      </c>
      <c r="AX6" s="1" t="s">
        <v>74</v>
      </c>
      <c r="AY6" s="1" t="s">
        <v>74</v>
      </c>
      <c r="AZ6" s="1" t="s">
        <v>74</v>
      </c>
      <c r="BA6" s="1" t="s">
        <v>74</v>
      </c>
      <c r="BB6" s="1">
        <v>719.0</v>
      </c>
      <c r="BC6" s="1">
        <v>728.0</v>
      </c>
      <c r="BD6" s="1" t="s">
        <v>74</v>
      </c>
      <c r="BE6" s="1" t="s">
        <v>124</v>
      </c>
      <c r="BF6" s="2" t="str">
        <f>HYPERLINK("http://dx.doi.org/10.1021/acssynbio.4c00654","http://dx.doi.org/10.1021/acssynbio.4c00654")</f>
        <v>http://dx.doi.org/10.1021/acssynbio.4c00654</v>
      </c>
      <c r="BG6" s="1" t="s">
        <v>74</v>
      </c>
      <c r="BH6" s="1" t="s">
        <v>74</v>
      </c>
      <c r="BI6" s="1" t="s">
        <v>74</v>
      </c>
      <c r="BJ6" s="1" t="s">
        <v>74</v>
      </c>
      <c r="BK6" s="1" t="s">
        <v>74</v>
      </c>
      <c r="BL6" s="1" t="s">
        <v>74</v>
      </c>
      <c r="BM6" s="1" t="s">
        <v>74</v>
      </c>
      <c r="BN6" s="1">
        <v>3.9951366E7</v>
      </c>
      <c r="BO6" s="1" t="s">
        <v>74</v>
      </c>
      <c r="BP6" s="1" t="s">
        <v>74</v>
      </c>
      <c r="BQ6" s="1" t="s">
        <v>74</v>
      </c>
      <c r="BR6" s="1" t="s">
        <v>74</v>
      </c>
      <c r="BS6" s="1" t="s">
        <v>125</v>
      </c>
      <c r="BT6" s="1" t="str">
        <f>HYPERLINK("https%3A%2F%2Fwww.webofscience.com%2Fwos%2Fwoscc%2Ffull-record%2FWOS:001450067400001","View Full Record in Web of Science")</f>
        <v>View Full Record in Web of Science</v>
      </c>
    </row>
    <row r="7" ht="12.75" customHeight="1">
      <c r="A7" s="1" t="s">
        <v>72</v>
      </c>
      <c r="B7" s="1" t="s">
        <v>126</v>
      </c>
      <c r="C7" s="1" t="s">
        <v>74</v>
      </c>
      <c r="D7" s="1" t="s">
        <v>74</v>
      </c>
      <c r="E7" s="1" t="s">
        <v>74</v>
      </c>
      <c r="F7" s="1" t="s">
        <v>127</v>
      </c>
      <c r="G7" s="1" t="s">
        <v>74</v>
      </c>
      <c r="H7" s="1" t="s">
        <v>74</v>
      </c>
      <c r="I7" s="1" t="s">
        <v>128</v>
      </c>
      <c r="J7" s="1" t="s">
        <v>129</v>
      </c>
      <c r="K7" s="1" t="s">
        <v>74</v>
      </c>
      <c r="L7" s="1" t="s">
        <v>74</v>
      </c>
      <c r="M7" s="1" t="s">
        <v>74</v>
      </c>
      <c r="N7" s="1" t="s">
        <v>74</v>
      </c>
      <c r="O7" s="1" t="s">
        <v>74</v>
      </c>
      <c r="P7" s="1" t="s">
        <v>74</v>
      </c>
      <c r="Q7" s="1" t="s">
        <v>74</v>
      </c>
      <c r="R7" s="1" t="s">
        <v>74</v>
      </c>
      <c r="S7" s="1" t="s">
        <v>74</v>
      </c>
      <c r="T7" s="1" t="s">
        <v>74</v>
      </c>
      <c r="U7" s="1" t="s">
        <v>74</v>
      </c>
      <c r="V7" s="1" t="s">
        <v>74</v>
      </c>
      <c r="W7" s="1" t="s">
        <v>74</v>
      </c>
      <c r="X7" s="1" t="s">
        <v>74</v>
      </c>
      <c r="Y7" s="1" t="s">
        <v>74</v>
      </c>
      <c r="Z7" s="1" t="s">
        <v>74</v>
      </c>
      <c r="AA7" s="1" t="s">
        <v>130</v>
      </c>
      <c r="AB7" s="1" t="s">
        <v>74</v>
      </c>
      <c r="AC7" s="1" t="s">
        <v>74</v>
      </c>
      <c r="AD7" s="1" t="s">
        <v>74</v>
      </c>
      <c r="AE7" s="1" t="s">
        <v>74</v>
      </c>
      <c r="AF7" s="1" t="s">
        <v>74</v>
      </c>
      <c r="AG7" s="1" t="s">
        <v>74</v>
      </c>
      <c r="AH7" s="1" t="s">
        <v>74</v>
      </c>
      <c r="AI7" s="1" t="s">
        <v>74</v>
      </c>
      <c r="AJ7" s="1" t="s">
        <v>74</v>
      </c>
      <c r="AK7" s="1" t="s">
        <v>74</v>
      </c>
      <c r="AL7" s="1" t="s">
        <v>74</v>
      </c>
      <c r="AM7" s="1" t="s">
        <v>74</v>
      </c>
      <c r="AN7" s="1" t="s">
        <v>74</v>
      </c>
      <c r="AO7" s="1" t="s">
        <v>131</v>
      </c>
      <c r="AP7" s="1" t="s">
        <v>132</v>
      </c>
      <c r="AQ7" s="1" t="s">
        <v>74</v>
      </c>
      <c r="AR7" s="1" t="s">
        <v>74</v>
      </c>
      <c r="AS7" s="1" t="s">
        <v>74</v>
      </c>
      <c r="AT7" s="1" t="s">
        <v>133</v>
      </c>
      <c r="AU7" s="1">
        <v>2025.0</v>
      </c>
      <c r="AV7" s="1">
        <v>16.0</v>
      </c>
      <c r="AW7" s="1">
        <v>1.0</v>
      </c>
      <c r="AX7" s="1" t="s">
        <v>74</v>
      </c>
      <c r="AY7" s="1" t="s">
        <v>74</v>
      </c>
      <c r="AZ7" s="1" t="s">
        <v>74</v>
      </c>
      <c r="BA7" s="1" t="s">
        <v>74</v>
      </c>
      <c r="BB7" s="1" t="s">
        <v>74</v>
      </c>
      <c r="BC7" s="1" t="s">
        <v>74</v>
      </c>
      <c r="BD7" s="1" t="s">
        <v>134</v>
      </c>
      <c r="BE7" s="1" t="s">
        <v>135</v>
      </c>
      <c r="BF7" s="2" t="str">
        <f>HYPERLINK("http://dx.doi.org/10.15649/cuidarte.4621","http://dx.doi.org/10.15649/cuidarte.4621")</f>
        <v>http://dx.doi.org/10.15649/cuidarte.4621</v>
      </c>
      <c r="BG7" s="1" t="s">
        <v>74</v>
      </c>
      <c r="BH7" s="1" t="s">
        <v>74</v>
      </c>
      <c r="BI7" s="1" t="s">
        <v>74</v>
      </c>
      <c r="BJ7" s="1" t="s">
        <v>74</v>
      </c>
      <c r="BK7" s="1" t="s">
        <v>74</v>
      </c>
      <c r="BL7" s="1" t="s">
        <v>74</v>
      </c>
      <c r="BM7" s="1" t="s">
        <v>74</v>
      </c>
      <c r="BN7" s="1" t="s">
        <v>74</v>
      </c>
      <c r="BO7" s="1" t="s">
        <v>74</v>
      </c>
      <c r="BP7" s="1" t="s">
        <v>74</v>
      </c>
      <c r="BQ7" s="1" t="s">
        <v>74</v>
      </c>
      <c r="BR7" s="1" t="s">
        <v>74</v>
      </c>
      <c r="BS7" s="1" t="s">
        <v>136</v>
      </c>
      <c r="BT7" s="1" t="str">
        <f>HYPERLINK("https%3A%2F%2Fwww.webofscience.com%2Fwos%2Fwoscc%2Ffull-record%2FWOS:001384891200001","View Full Record in Web of Science")</f>
        <v>View Full Record in Web of Science</v>
      </c>
    </row>
    <row r="8" ht="12.75" customHeight="1">
      <c r="A8" s="1" t="s">
        <v>72</v>
      </c>
      <c r="B8" s="1" t="s">
        <v>137</v>
      </c>
      <c r="C8" s="1" t="s">
        <v>74</v>
      </c>
      <c r="D8" s="1" t="s">
        <v>74</v>
      </c>
      <c r="E8" s="1" t="s">
        <v>74</v>
      </c>
      <c r="F8" s="1" t="s">
        <v>138</v>
      </c>
      <c r="G8" s="1" t="s">
        <v>74</v>
      </c>
      <c r="H8" s="1" t="s">
        <v>74</v>
      </c>
      <c r="I8" s="1" t="s">
        <v>139</v>
      </c>
      <c r="J8" s="1" t="s">
        <v>140</v>
      </c>
      <c r="K8" s="1" t="s">
        <v>74</v>
      </c>
      <c r="L8" s="1" t="s">
        <v>74</v>
      </c>
      <c r="M8" s="1" t="s">
        <v>74</v>
      </c>
      <c r="N8" s="1" t="s">
        <v>74</v>
      </c>
      <c r="O8" s="1" t="s">
        <v>74</v>
      </c>
      <c r="P8" s="1" t="s">
        <v>74</v>
      </c>
      <c r="Q8" s="1" t="s">
        <v>74</v>
      </c>
      <c r="R8" s="1" t="s">
        <v>74</v>
      </c>
      <c r="S8" s="1" t="s">
        <v>74</v>
      </c>
      <c r="T8" s="1" t="s">
        <v>74</v>
      </c>
      <c r="U8" s="1" t="s">
        <v>74</v>
      </c>
      <c r="V8" s="1" t="s">
        <v>141</v>
      </c>
      <c r="W8" s="1" t="s">
        <v>74</v>
      </c>
      <c r="X8" s="1" t="s">
        <v>74</v>
      </c>
      <c r="Y8" s="1" t="s">
        <v>74</v>
      </c>
      <c r="Z8" s="1" t="s">
        <v>74</v>
      </c>
      <c r="AA8" s="1" t="s">
        <v>142</v>
      </c>
      <c r="AB8" s="1" t="s">
        <v>143</v>
      </c>
      <c r="AC8" s="1" t="s">
        <v>74</v>
      </c>
      <c r="AD8" s="1" t="s">
        <v>74</v>
      </c>
      <c r="AE8" s="1" t="s">
        <v>74</v>
      </c>
      <c r="AF8" s="1" t="s">
        <v>74</v>
      </c>
      <c r="AG8" s="1" t="s">
        <v>74</v>
      </c>
      <c r="AH8" s="1" t="s">
        <v>74</v>
      </c>
      <c r="AI8" s="1" t="s">
        <v>74</v>
      </c>
      <c r="AJ8" s="1" t="s">
        <v>74</v>
      </c>
      <c r="AK8" s="1" t="s">
        <v>74</v>
      </c>
      <c r="AL8" s="1" t="s">
        <v>74</v>
      </c>
      <c r="AM8" s="1" t="s">
        <v>74</v>
      </c>
      <c r="AN8" s="1" t="s">
        <v>74</v>
      </c>
      <c r="AO8" s="1" t="s">
        <v>144</v>
      </c>
      <c r="AP8" s="1" t="s">
        <v>145</v>
      </c>
      <c r="AQ8" s="1" t="s">
        <v>74</v>
      </c>
      <c r="AR8" s="1" t="s">
        <v>74</v>
      </c>
      <c r="AS8" s="1" t="s">
        <v>74</v>
      </c>
      <c r="AT8" s="1" t="s">
        <v>146</v>
      </c>
      <c r="AU8" s="1">
        <v>2025.0</v>
      </c>
      <c r="AV8" s="1">
        <v>142.0</v>
      </c>
      <c r="AW8" s="1">
        <v>9.0</v>
      </c>
      <c r="AX8" s="1" t="s">
        <v>74</v>
      </c>
      <c r="AY8" s="1" t="s">
        <v>74</v>
      </c>
      <c r="AZ8" s="1" t="s">
        <v>74</v>
      </c>
      <c r="BA8" s="1" t="s">
        <v>74</v>
      </c>
      <c r="BB8" s="1" t="s">
        <v>74</v>
      </c>
      <c r="BC8" s="1" t="s">
        <v>74</v>
      </c>
      <c r="BD8" s="1" t="s">
        <v>74</v>
      </c>
      <c r="BE8" s="1" t="s">
        <v>147</v>
      </c>
      <c r="BF8" s="2" t="str">
        <f>HYPERLINK("http://dx.doi.org/10.1002/app.56536","http://dx.doi.org/10.1002/app.56536")</f>
        <v>http://dx.doi.org/10.1002/app.56536</v>
      </c>
      <c r="BG8" s="1" t="s">
        <v>74</v>
      </c>
      <c r="BH8" s="1" t="s">
        <v>148</v>
      </c>
      <c r="BI8" s="1" t="s">
        <v>74</v>
      </c>
      <c r="BJ8" s="1" t="s">
        <v>74</v>
      </c>
      <c r="BK8" s="1" t="s">
        <v>74</v>
      </c>
      <c r="BL8" s="1" t="s">
        <v>74</v>
      </c>
      <c r="BM8" s="1" t="s">
        <v>74</v>
      </c>
      <c r="BN8" s="1" t="s">
        <v>74</v>
      </c>
      <c r="BO8" s="1" t="s">
        <v>74</v>
      </c>
      <c r="BP8" s="1" t="s">
        <v>74</v>
      </c>
      <c r="BQ8" s="1" t="s">
        <v>74</v>
      </c>
      <c r="BR8" s="1" t="s">
        <v>74</v>
      </c>
      <c r="BS8" s="1" t="s">
        <v>149</v>
      </c>
      <c r="BT8" s="1" t="str">
        <f>HYPERLINK("https%3A%2F%2Fwww.webofscience.com%2Fwos%2Fwoscc%2Ffull-record%2FWOS:001369489100001","View Full Record in Web of Science")</f>
        <v>View Full Record in Web of Science</v>
      </c>
    </row>
    <row r="9" ht="12.75" customHeight="1">
      <c r="A9" s="1" t="s">
        <v>72</v>
      </c>
      <c r="B9" s="1" t="s">
        <v>150</v>
      </c>
      <c r="C9" s="1" t="s">
        <v>74</v>
      </c>
      <c r="D9" s="1" t="s">
        <v>74</v>
      </c>
      <c r="E9" s="1" t="s">
        <v>74</v>
      </c>
      <c r="F9" s="1" t="s">
        <v>151</v>
      </c>
      <c r="G9" s="1" t="s">
        <v>74</v>
      </c>
      <c r="H9" s="1" t="s">
        <v>74</v>
      </c>
      <c r="I9" s="1" t="s">
        <v>152</v>
      </c>
      <c r="J9" s="1" t="s">
        <v>153</v>
      </c>
      <c r="K9" s="1" t="s">
        <v>74</v>
      </c>
      <c r="L9" s="1" t="s">
        <v>74</v>
      </c>
      <c r="M9" s="1" t="s">
        <v>74</v>
      </c>
      <c r="N9" s="1" t="s">
        <v>74</v>
      </c>
      <c r="O9" s="1" t="s">
        <v>74</v>
      </c>
      <c r="P9" s="1" t="s">
        <v>74</v>
      </c>
      <c r="Q9" s="1" t="s">
        <v>74</v>
      </c>
      <c r="R9" s="1" t="s">
        <v>74</v>
      </c>
      <c r="S9" s="1" t="s">
        <v>74</v>
      </c>
      <c r="T9" s="1" t="s">
        <v>74</v>
      </c>
      <c r="U9" s="1" t="s">
        <v>74</v>
      </c>
      <c r="V9" s="1" t="s">
        <v>154</v>
      </c>
      <c r="W9" s="1" t="s">
        <v>74</v>
      </c>
      <c r="X9" s="1" t="s">
        <v>74</v>
      </c>
      <c r="Y9" s="1" t="s">
        <v>74</v>
      </c>
      <c r="Z9" s="1" t="s">
        <v>74</v>
      </c>
      <c r="AA9" s="1" t="s">
        <v>155</v>
      </c>
      <c r="AB9" s="1" t="s">
        <v>156</v>
      </c>
      <c r="AC9" s="1" t="s">
        <v>74</v>
      </c>
      <c r="AD9" s="1" t="s">
        <v>74</v>
      </c>
      <c r="AE9" s="1" t="s">
        <v>74</v>
      </c>
      <c r="AF9" s="1" t="s">
        <v>74</v>
      </c>
      <c r="AG9" s="1" t="s">
        <v>74</v>
      </c>
      <c r="AH9" s="1" t="s">
        <v>74</v>
      </c>
      <c r="AI9" s="1" t="s">
        <v>74</v>
      </c>
      <c r="AJ9" s="1" t="s">
        <v>74</v>
      </c>
      <c r="AK9" s="1" t="s">
        <v>74</v>
      </c>
      <c r="AL9" s="1" t="s">
        <v>74</v>
      </c>
      <c r="AM9" s="1" t="s">
        <v>74</v>
      </c>
      <c r="AN9" s="1" t="s">
        <v>74</v>
      </c>
      <c r="AO9" s="1" t="s">
        <v>74</v>
      </c>
      <c r="AP9" s="1" t="s">
        <v>157</v>
      </c>
      <c r="AQ9" s="1" t="s">
        <v>74</v>
      </c>
      <c r="AR9" s="1" t="s">
        <v>74</v>
      </c>
      <c r="AS9" s="1" t="s">
        <v>74</v>
      </c>
      <c r="AT9" s="1" t="s">
        <v>158</v>
      </c>
      <c r="AU9" s="1">
        <v>2024.0</v>
      </c>
      <c r="AV9" s="1">
        <v>13.0</v>
      </c>
      <c r="AW9" s="1">
        <v>13.0</v>
      </c>
      <c r="AX9" s="1" t="s">
        <v>74</v>
      </c>
      <c r="AY9" s="1" t="s">
        <v>74</v>
      </c>
      <c r="AZ9" s="1" t="s">
        <v>74</v>
      </c>
      <c r="BA9" s="1" t="s">
        <v>74</v>
      </c>
      <c r="BB9" s="1" t="s">
        <v>74</v>
      </c>
      <c r="BC9" s="1" t="s">
        <v>74</v>
      </c>
      <c r="BD9" s="1">
        <v>3866.0</v>
      </c>
      <c r="BE9" s="1" t="s">
        <v>159</v>
      </c>
      <c r="BF9" s="2" t="str">
        <f>HYPERLINK("http://dx.doi.org/10.3390/jcm13133866","http://dx.doi.org/10.3390/jcm13133866")</f>
        <v>http://dx.doi.org/10.3390/jcm13133866</v>
      </c>
      <c r="BG9" s="1" t="s">
        <v>74</v>
      </c>
      <c r="BH9" s="1" t="s">
        <v>74</v>
      </c>
      <c r="BI9" s="1" t="s">
        <v>74</v>
      </c>
      <c r="BJ9" s="1" t="s">
        <v>74</v>
      </c>
      <c r="BK9" s="1" t="s">
        <v>74</v>
      </c>
      <c r="BL9" s="1" t="s">
        <v>74</v>
      </c>
      <c r="BM9" s="1" t="s">
        <v>74</v>
      </c>
      <c r="BN9" s="1">
        <v>3.899943E7</v>
      </c>
      <c r="BO9" s="1" t="s">
        <v>74</v>
      </c>
      <c r="BP9" s="1" t="s">
        <v>74</v>
      </c>
      <c r="BQ9" s="1" t="s">
        <v>74</v>
      </c>
      <c r="BR9" s="1" t="s">
        <v>74</v>
      </c>
      <c r="BS9" s="1" t="s">
        <v>160</v>
      </c>
      <c r="BT9" s="1" t="str">
        <f>HYPERLINK("https%3A%2F%2Fwww.webofscience.com%2Fwos%2Fwoscc%2Ffull-record%2FWOS:001266758900001","View Full Record in Web of Science")</f>
        <v>View Full Record in Web of Science</v>
      </c>
    </row>
    <row r="10" ht="12.75" customHeight="1">
      <c r="A10" s="1" t="s">
        <v>72</v>
      </c>
      <c r="B10" s="1" t="s">
        <v>161</v>
      </c>
      <c r="C10" s="1" t="s">
        <v>74</v>
      </c>
      <c r="D10" s="1" t="s">
        <v>74</v>
      </c>
      <c r="E10" s="1" t="s">
        <v>74</v>
      </c>
      <c r="F10" s="1" t="s">
        <v>162</v>
      </c>
      <c r="G10" s="1" t="s">
        <v>74</v>
      </c>
      <c r="H10" s="1" t="s">
        <v>74</v>
      </c>
      <c r="I10" s="1" t="s">
        <v>163</v>
      </c>
      <c r="J10" s="1" t="s">
        <v>164</v>
      </c>
      <c r="K10" s="1" t="s">
        <v>74</v>
      </c>
      <c r="L10" s="1" t="s">
        <v>74</v>
      </c>
      <c r="M10" s="1" t="s">
        <v>74</v>
      </c>
      <c r="N10" s="1" t="s">
        <v>74</v>
      </c>
      <c r="O10" s="1" t="s">
        <v>74</v>
      </c>
      <c r="P10" s="1" t="s">
        <v>74</v>
      </c>
      <c r="Q10" s="1" t="s">
        <v>74</v>
      </c>
      <c r="R10" s="1" t="s">
        <v>74</v>
      </c>
      <c r="S10" s="1" t="s">
        <v>74</v>
      </c>
      <c r="T10" s="1" t="s">
        <v>74</v>
      </c>
      <c r="U10" s="1" t="s">
        <v>74</v>
      </c>
      <c r="V10" s="1" t="s">
        <v>165</v>
      </c>
      <c r="W10" s="1" t="s">
        <v>74</v>
      </c>
      <c r="X10" s="1" t="s">
        <v>74</v>
      </c>
      <c r="Y10" s="1" t="s">
        <v>74</v>
      </c>
      <c r="Z10" s="1" t="s">
        <v>74</v>
      </c>
      <c r="AA10" s="1" t="s">
        <v>74</v>
      </c>
      <c r="AB10" s="1" t="s">
        <v>74</v>
      </c>
      <c r="AC10" s="1" t="s">
        <v>74</v>
      </c>
      <c r="AD10" s="1" t="s">
        <v>74</v>
      </c>
      <c r="AE10" s="1" t="s">
        <v>74</v>
      </c>
      <c r="AF10" s="1" t="s">
        <v>74</v>
      </c>
      <c r="AG10" s="1" t="s">
        <v>74</v>
      </c>
      <c r="AH10" s="1" t="s">
        <v>74</v>
      </c>
      <c r="AI10" s="1" t="s">
        <v>74</v>
      </c>
      <c r="AJ10" s="1" t="s">
        <v>74</v>
      </c>
      <c r="AK10" s="1" t="s">
        <v>74</v>
      </c>
      <c r="AL10" s="1" t="s">
        <v>74</v>
      </c>
      <c r="AM10" s="1" t="s">
        <v>74</v>
      </c>
      <c r="AN10" s="1" t="s">
        <v>74</v>
      </c>
      <c r="AO10" s="1" t="s">
        <v>166</v>
      </c>
      <c r="AP10" s="1" t="s">
        <v>167</v>
      </c>
      <c r="AQ10" s="1" t="s">
        <v>74</v>
      </c>
      <c r="AR10" s="1" t="s">
        <v>74</v>
      </c>
      <c r="AS10" s="1" t="s">
        <v>74</v>
      </c>
      <c r="AT10" s="1" t="s">
        <v>168</v>
      </c>
      <c r="AU10" s="1">
        <v>2024.0</v>
      </c>
      <c r="AV10" s="1">
        <v>400.0</v>
      </c>
      <c r="AW10" s="1" t="s">
        <v>74</v>
      </c>
      <c r="AX10" s="1" t="s">
        <v>74</v>
      </c>
      <c r="AY10" s="1" t="s">
        <v>74</v>
      </c>
      <c r="AZ10" s="1" t="s">
        <v>74</v>
      </c>
      <c r="BA10" s="1" t="s">
        <v>74</v>
      </c>
      <c r="BB10" s="1">
        <v>457.0</v>
      </c>
      <c r="BC10" s="1">
        <v>486.0</v>
      </c>
      <c r="BD10" s="1" t="s">
        <v>74</v>
      </c>
      <c r="BE10" s="1" t="s">
        <v>169</v>
      </c>
      <c r="BF10" s="2" t="str">
        <f>HYPERLINK("http://dx.doi.org/10.1016/j.jde.2024.04.019","http://dx.doi.org/10.1016/j.jde.2024.04.019")</f>
        <v>http://dx.doi.org/10.1016/j.jde.2024.04.019</v>
      </c>
      <c r="BG10" s="1" t="s">
        <v>74</v>
      </c>
      <c r="BH10" s="1" t="s">
        <v>170</v>
      </c>
      <c r="BI10" s="1" t="s">
        <v>74</v>
      </c>
      <c r="BJ10" s="1" t="s">
        <v>74</v>
      </c>
      <c r="BK10" s="1" t="s">
        <v>74</v>
      </c>
      <c r="BL10" s="1" t="s">
        <v>74</v>
      </c>
      <c r="BM10" s="1" t="s">
        <v>74</v>
      </c>
      <c r="BN10" s="1" t="s">
        <v>74</v>
      </c>
      <c r="BO10" s="1" t="s">
        <v>74</v>
      </c>
      <c r="BP10" s="1" t="s">
        <v>74</v>
      </c>
      <c r="BQ10" s="1" t="s">
        <v>74</v>
      </c>
      <c r="BR10" s="1" t="s">
        <v>74</v>
      </c>
      <c r="BS10" s="1" t="s">
        <v>171</v>
      </c>
      <c r="BT10" s="1" t="str">
        <f>HYPERLINK("https%3A%2F%2Fwww.webofscience.com%2Fwos%2Fwoscc%2Ffull-record%2FWOS:001239666900001","View Full Record in Web of Science")</f>
        <v>View Full Record in Web of Science</v>
      </c>
    </row>
    <row r="11" ht="12.75" customHeight="1">
      <c r="A11" s="1" t="s">
        <v>72</v>
      </c>
      <c r="B11" s="1" t="s">
        <v>172</v>
      </c>
      <c r="C11" s="1" t="s">
        <v>74</v>
      </c>
      <c r="D11" s="1" t="s">
        <v>74</v>
      </c>
      <c r="E11" s="1" t="s">
        <v>74</v>
      </c>
      <c r="F11" s="1" t="s">
        <v>173</v>
      </c>
      <c r="G11" s="1" t="s">
        <v>74</v>
      </c>
      <c r="H11" s="1" t="s">
        <v>74</v>
      </c>
      <c r="I11" s="1" t="s">
        <v>174</v>
      </c>
      <c r="J11" s="1" t="s">
        <v>175</v>
      </c>
      <c r="K11" s="1" t="s">
        <v>74</v>
      </c>
      <c r="L11" s="1" t="s">
        <v>74</v>
      </c>
      <c r="M11" s="1" t="s">
        <v>74</v>
      </c>
      <c r="N11" s="1" t="s">
        <v>74</v>
      </c>
      <c r="O11" s="1" t="s">
        <v>74</v>
      </c>
      <c r="P11" s="1" t="s">
        <v>74</v>
      </c>
      <c r="Q11" s="1" t="s">
        <v>74</v>
      </c>
      <c r="R11" s="1" t="s">
        <v>74</v>
      </c>
      <c r="S11" s="1" t="s">
        <v>74</v>
      </c>
      <c r="T11" s="1" t="s">
        <v>74</v>
      </c>
      <c r="U11" s="1" t="s">
        <v>74</v>
      </c>
      <c r="V11" s="1" t="s">
        <v>176</v>
      </c>
      <c r="W11" s="1" t="s">
        <v>74</v>
      </c>
      <c r="X11" s="1" t="s">
        <v>74</v>
      </c>
      <c r="Y11" s="1" t="s">
        <v>74</v>
      </c>
      <c r="Z11" s="1" t="s">
        <v>74</v>
      </c>
      <c r="AA11" s="1" t="s">
        <v>177</v>
      </c>
      <c r="AB11" s="1" t="s">
        <v>178</v>
      </c>
      <c r="AC11" s="1" t="s">
        <v>74</v>
      </c>
      <c r="AD11" s="1" t="s">
        <v>74</v>
      </c>
      <c r="AE11" s="1" t="s">
        <v>74</v>
      </c>
      <c r="AF11" s="1" t="s">
        <v>74</v>
      </c>
      <c r="AG11" s="1" t="s">
        <v>74</v>
      </c>
      <c r="AH11" s="1" t="s">
        <v>74</v>
      </c>
      <c r="AI11" s="1" t="s">
        <v>74</v>
      </c>
      <c r="AJ11" s="1" t="s">
        <v>74</v>
      </c>
      <c r="AK11" s="1" t="s">
        <v>74</v>
      </c>
      <c r="AL11" s="1" t="s">
        <v>74</v>
      </c>
      <c r="AM11" s="1" t="s">
        <v>74</v>
      </c>
      <c r="AN11" s="1" t="s">
        <v>74</v>
      </c>
      <c r="AO11" s="1" t="s">
        <v>179</v>
      </c>
      <c r="AP11" s="1" t="s">
        <v>74</v>
      </c>
      <c r="AQ11" s="1" t="s">
        <v>74</v>
      </c>
      <c r="AR11" s="1" t="s">
        <v>74</v>
      </c>
      <c r="AS11" s="1" t="s">
        <v>74</v>
      </c>
      <c r="AT11" s="1" t="s">
        <v>180</v>
      </c>
      <c r="AU11" s="1">
        <v>2024.0</v>
      </c>
      <c r="AV11" s="1">
        <v>49.0</v>
      </c>
      <c r="AW11" s="1">
        <v>5.0</v>
      </c>
      <c r="AX11" s="1" t="s">
        <v>74</v>
      </c>
      <c r="AY11" s="1" t="s">
        <v>74</v>
      </c>
      <c r="AZ11" s="1" t="s">
        <v>74</v>
      </c>
      <c r="BA11" s="1" t="s">
        <v>74</v>
      </c>
      <c r="BB11" s="1">
        <v>300.0</v>
      </c>
      <c r="BC11" s="1">
        <v>304.0</v>
      </c>
      <c r="BD11" s="1" t="s">
        <v>74</v>
      </c>
      <c r="BE11" s="1" t="s">
        <v>74</v>
      </c>
      <c r="BF11" s="1" t="s">
        <v>74</v>
      </c>
      <c r="BG11" s="1" t="s">
        <v>74</v>
      </c>
      <c r="BH11" s="1" t="s">
        <v>74</v>
      </c>
      <c r="BI11" s="1" t="s">
        <v>74</v>
      </c>
      <c r="BJ11" s="1" t="s">
        <v>74</v>
      </c>
      <c r="BK11" s="1" t="s">
        <v>74</v>
      </c>
      <c r="BL11" s="1" t="s">
        <v>74</v>
      </c>
      <c r="BM11" s="1" t="s">
        <v>74</v>
      </c>
      <c r="BN11" s="1" t="s">
        <v>74</v>
      </c>
      <c r="BO11" s="1" t="s">
        <v>74</v>
      </c>
      <c r="BP11" s="1" t="s">
        <v>74</v>
      </c>
      <c r="BQ11" s="1" t="s">
        <v>74</v>
      </c>
      <c r="BR11" s="1" t="s">
        <v>74</v>
      </c>
      <c r="BS11" s="1" t="s">
        <v>181</v>
      </c>
      <c r="BT11" s="1" t="str">
        <f>HYPERLINK("https%3A%2F%2Fwww.webofscience.com%2Fwos%2Fwoscc%2Ffull-record%2FWOS:001242542800005","View Full Record in Web of Science")</f>
        <v>View Full Record in Web of Science</v>
      </c>
    </row>
    <row r="12" ht="12.75" customHeight="1">
      <c r="A12" s="1" t="s">
        <v>182</v>
      </c>
      <c r="B12" s="1" t="s">
        <v>183</v>
      </c>
      <c r="C12" s="1" t="s">
        <v>74</v>
      </c>
      <c r="D12" s="1" t="s">
        <v>74</v>
      </c>
      <c r="E12" s="1" t="s">
        <v>184</v>
      </c>
      <c r="F12" s="1" t="s">
        <v>185</v>
      </c>
      <c r="G12" s="1" t="s">
        <v>74</v>
      </c>
      <c r="H12" s="1" t="s">
        <v>74</v>
      </c>
      <c r="I12" s="1" t="s">
        <v>186</v>
      </c>
      <c r="J12" s="1" t="s">
        <v>187</v>
      </c>
      <c r="K12" s="1" t="s">
        <v>188</v>
      </c>
      <c r="L12" s="1" t="s">
        <v>74</v>
      </c>
      <c r="M12" s="1" t="s">
        <v>74</v>
      </c>
      <c r="N12" s="1" t="s">
        <v>74</v>
      </c>
      <c r="O12" s="1" t="s">
        <v>189</v>
      </c>
      <c r="P12" s="1" t="s">
        <v>190</v>
      </c>
      <c r="Q12" s="1" t="s">
        <v>191</v>
      </c>
      <c r="R12" s="1" t="s">
        <v>192</v>
      </c>
      <c r="S12" s="1" t="s">
        <v>74</v>
      </c>
      <c r="T12" s="1" t="s">
        <v>74</v>
      </c>
      <c r="U12" s="1" t="s">
        <v>74</v>
      </c>
      <c r="V12" s="1" t="s">
        <v>193</v>
      </c>
      <c r="W12" s="1" t="s">
        <v>74</v>
      </c>
      <c r="X12" s="1" t="s">
        <v>74</v>
      </c>
      <c r="Y12" s="1" t="s">
        <v>74</v>
      </c>
      <c r="Z12" s="1" t="s">
        <v>74</v>
      </c>
      <c r="AA12" s="1" t="s">
        <v>194</v>
      </c>
      <c r="AB12" s="1" t="s">
        <v>195</v>
      </c>
      <c r="AC12" s="1" t="s">
        <v>74</v>
      </c>
      <c r="AD12" s="1" t="s">
        <v>74</v>
      </c>
      <c r="AE12" s="1" t="s">
        <v>74</v>
      </c>
      <c r="AF12" s="1" t="s">
        <v>74</v>
      </c>
      <c r="AG12" s="1" t="s">
        <v>74</v>
      </c>
      <c r="AH12" s="1" t="s">
        <v>74</v>
      </c>
      <c r="AI12" s="1" t="s">
        <v>74</v>
      </c>
      <c r="AJ12" s="1" t="s">
        <v>74</v>
      </c>
      <c r="AK12" s="1" t="s">
        <v>74</v>
      </c>
      <c r="AL12" s="1" t="s">
        <v>74</v>
      </c>
      <c r="AM12" s="1" t="s">
        <v>74</v>
      </c>
      <c r="AN12" s="1" t="s">
        <v>74</v>
      </c>
      <c r="AO12" s="1" t="s">
        <v>196</v>
      </c>
      <c r="AP12" s="1" t="s">
        <v>74</v>
      </c>
      <c r="AQ12" s="1" t="s">
        <v>197</v>
      </c>
      <c r="AR12" s="1" t="s">
        <v>74</v>
      </c>
      <c r="AS12" s="1" t="s">
        <v>74</v>
      </c>
      <c r="AT12" s="1" t="s">
        <v>74</v>
      </c>
      <c r="AU12" s="1">
        <v>2024.0</v>
      </c>
      <c r="AV12" s="1" t="s">
        <v>74</v>
      </c>
      <c r="AW12" s="1" t="s">
        <v>74</v>
      </c>
      <c r="AX12" s="1" t="s">
        <v>74</v>
      </c>
      <c r="AY12" s="1" t="s">
        <v>74</v>
      </c>
      <c r="AZ12" s="1" t="s">
        <v>74</v>
      </c>
      <c r="BA12" s="1" t="s">
        <v>74</v>
      </c>
      <c r="BB12" s="1">
        <v>9771.0</v>
      </c>
      <c r="BC12" s="1">
        <v>9775.0</v>
      </c>
      <c r="BD12" s="1" t="s">
        <v>74</v>
      </c>
      <c r="BE12" s="1" t="s">
        <v>198</v>
      </c>
      <c r="BF12" s="2" t="str">
        <f>HYPERLINK("http://dx.doi.org/10.1109/ICASSP48485.2024.10446412","http://dx.doi.org/10.1109/ICASSP48485.2024.10446412")</f>
        <v>http://dx.doi.org/10.1109/ICASSP48485.2024.10446412</v>
      </c>
      <c r="BG12" s="1" t="s">
        <v>74</v>
      </c>
      <c r="BH12" s="1" t="s">
        <v>74</v>
      </c>
      <c r="BI12" s="1" t="s">
        <v>74</v>
      </c>
      <c r="BJ12" s="1" t="s">
        <v>74</v>
      </c>
      <c r="BK12" s="1" t="s">
        <v>74</v>
      </c>
      <c r="BL12" s="1" t="s">
        <v>74</v>
      </c>
      <c r="BM12" s="1" t="s">
        <v>74</v>
      </c>
      <c r="BN12" s="1" t="s">
        <v>74</v>
      </c>
      <c r="BO12" s="1" t="s">
        <v>74</v>
      </c>
      <c r="BP12" s="1" t="s">
        <v>74</v>
      </c>
      <c r="BQ12" s="1" t="s">
        <v>74</v>
      </c>
      <c r="BR12" s="1" t="s">
        <v>74</v>
      </c>
      <c r="BS12" s="1" t="s">
        <v>199</v>
      </c>
      <c r="BT12" s="1" t="str">
        <f>HYPERLINK("https%3A%2F%2Fwww.webofscience.com%2Fwos%2Fwoscc%2Ffull-record%2FWOS:001396233803011","View Full Record in Web of Science")</f>
        <v>View Full Record in Web of Science</v>
      </c>
    </row>
    <row r="13" ht="12.75" customHeight="1">
      <c r="A13" s="1" t="s">
        <v>72</v>
      </c>
      <c r="B13" s="1" t="s">
        <v>200</v>
      </c>
      <c r="C13" s="1" t="s">
        <v>74</v>
      </c>
      <c r="D13" s="1" t="s">
        <v>74</v>
      </c>
      <c r="E13" s="1" t="s">
        <v>74</v>
      </c>
      <c r="F13" s="1" t="s">
        <v>201</v>
      </c>
      <c r="G13" s="1" t="s">
        <v>74</v>
      </c>
      <c r="H13" s="1" t="s">
        <v>74</v>
      </c>
      <c r="I13" s="1" t="s">
        <v>202</v>
      </c>
      <c r="J13" s="1" t="s">
        <v>203</v>
      </c>
      <c r="K13" s="1" t="s">
        <v>74</v>
      </c>
      <c r="L13" s="1" t="s">
        <v>74</v>
      </c>
      <c r="M13" s="1" t="s">
        <v>74</v>
      </c>
      <c r="N13" s="1" t="s">
        <v>74</v>
      </c>
      <c r="O13" s="1" t="s">
        <v>74</v>
      </c>
      <c r="P13" s="1" t="s">
        <v>74</v>
      </c>
      <c r="Q13" s="1" t="s">
        <v>74</v>
      </c>
      <c r="R13" s="1" t="s">
        <v>74</v>
      </c>
      <c r="S13" s="1" t="s">
        <v>74</v>
      </c>
      <c r="T13" s="1" t="s">
        <v>74</v>
      </c>
      <c r="U13" s="1" t="s">
        <v>74</v>
      </c>
      <c r="V13" s="1" t="s">
        <v>204</v>
      </c>
      <c r="W13" s="1" t="s">
        <v>74</v>
      </c>
      <c r="X13" s="1" t="s">
        <v>74</v>
      </c>
      <c r="Y13" s="1" t="s">
        <v>74</v>
      </c>
      <c r="Z13" s="1" t="s">
        <v>74</v>
      </c>
      <c r="AA13" s="1" t="s">
        <v>205</v>
      </c>
      <c r="AB13" s="1" t="s">
        <v>206</v>
      </c>
      <c r="AC13" s="1" t="s">
        <v>74</v>
      </c>
      <c r="AD13" s="1" t="s">
        <v>74</v>
      </c>
      <c r="AE13" s="1" t="s">
        <v>74</v>
      </c>
      <c r="AF13" s="1" t="s">
        <v>74</v>
      </c>
      <c r="AG13" s="1" t="s">
        <v>74</v>
      </c>
      <c r="AH13" s="1" t="s">
        <v>74</v>
      </c>
      <c r="AI13" s="1" t="s">
        <v>74</v>
      </c>
      <c r="AJ13" s="1" t="s">
        <v>74</v>
      </c>
      <c r="AK13" s="1" t="s">
        <v>74</v>
      </c>
      <c r="AL13" s="1" t="s">
        <v>74</v>
      </c>
      <c r="AM13" s="1" t="s">
        <v>74</v>
      </c>
      <c r="AN13" s="1" t="s">
        <v>74</v>
      </c>
      <c r="AO13" s="1" t="s">
        <v>207</v>
      </c>
      <c r="AP13" s="1" t="s">
        <v>208</v>
      </c>
      <c r="AQ13" s="1" t="s">
        <v>74</v>
      </c>
      <c r="AR13" s="1" t="s">
        <v>74</v>
      </c>
      <c r="AS13" s="1" t="s">
        <v>74</v>
      </c>
      <c r="AT13" s="1" t="s">
        <v>74</v>
      </c>
      <c r="AU13" s="1">
        <v>2024.0</v>
      </c>
      <c r="AV13" s="1">
        <v>96.0</v>
      </c>
      <c r="AW13" s="1" t="s">
        <v>74</v>
      </c>
      <c r="AX13" s="1" t="s">
        <v>74</v>
      </c>
      <c r="AY13" s="1">
        <v>2.0</v>
      </c>
      <c r="AZ13" s="1" t="s">
        <v>74</v>
      </c>
      <c r="BA13" s="1" t="s">
        <v>74</v>
      </c>
      <c r="BB13" s="1" t="s">
        <v>74</v>
      </c>
      <c r="BC13" s="1" t="s">
        <v>74</v>
      </c>
      <c r="BD13" s="1" t="s">
        <v>209</v>
      </c>
      <c r="BE13" s="1" t="s">
        <v>210</v>
      </c>
      <c r="BF13" s="2" t="str">
        <f>HYPERLINK("http://dx.doi.org/10.1590/0001-3765202420230598","http://dx.doi.org/10.1590/0001-3765202420230598")</f>
        <v>http://dx.doi.org/10.1590/0001-3765202420230598</v>
      </c>
      <c r="BG13" s="1" t="s">
        <v>74</v>
      </c>
      <c r="BH13" s="1" t="s">
        <v>74</v>
      </c>
      <c r="BI13" s="1" t="s">
        <v>74</v>
      </c>
      <c r="BJ13" s="1" t="s">
        <v>74</v>
      </c>
      <c r="BK13" s="1" t="s">
        <v>74</v>
      </c>
      <c r="BL13" s="1" t="s">
        <v>74</v>
      </c>
      <c r="BM13" s="1" t="s">
        <v>74</v>
      </c>
      <c r="BN13" s="1" t="s">
        <v>74</v>
      </c>
      <c r="BO13" s="1" t="s">
        <v>74</v>
      </c>
      <c r="BP13" s="1" t="s">
        <v>74</v>
      </c>
      <c r="BQ13" s="1" t="s">
        <v>74</v>
      </c>
      <c r="BR13" s="1" t="s">
        <v>74</v>
      </c>
      <c r="BS13" s="1" t="s">
        <v>211</v>
      </c>
      <c r="BT13" s="1" t="str">
        <f>HYPERLINK("https%3A%2F%2Fwww.webofscience.com%2Fwos%2Fwoscc%2Ffull-record%2FWOS:001285994200001","View Full Record in Web of Science")</f>
        <v>View Full Record in Web of Science</v>
      </c>
    </row>
    <row r="14" ht="12.75" customHeight="1">
      <c r="A14" s="1" t="s">
        <v>72</v>
      </c>
      <c r="B14" s="1" t="s">
        <v>212</v>
      </c>
      <c r="C14" s="1" t="s">
        <v>74</v>
      </c>
      <c r="D14" s="1" t="s">
        <v>74</v>
      </c>
      <c r="E14" s="1" t="s">
        <v>74</v>
      </c>
      <c r="F14" s="1" t="s">
        <v>213</v>
      </c>
      <c r="G14" s="1" t="s">
        <v>74</v>
      </c>
      <c r="H14" s="1" t="s">
        <v>74</v>
      </c>
      <c r="I14" s="1" t="s">
        <v>214</v>
      </c>
      <c r="J14" s="1" t="s">
        <v>215</v>
      </c>
      <c r="K14" s="1" t="s">
        <v>74</v>
      </c>
      <c r="L14" s="1" t="s">
        <v>74</v>
      </c>
      <c r="M14" s="1" t="s">
        <v>74</v>
      </c>
      <c r="N14" s="1" t="s">
        <v>74</v>
      </c>
      <c r="O14" s="1" t="s">
        <v>216</v>
      </c>
      <c r="P14" s="1" t="s">
        <v>217</v>
      </c>
      <c r="Q14" s="1" t="s">
        <v>218</v>
      </c>
      <c r="R14" s="1" t="s">
        <v>74</v>
      </c>
      <c r="S14" s="1" t="s">
        <v>74</v>
      </c>
      <c r="T14" s="1" t="s">
        <v>74</v>
      </c>
      <c r="U14" s="1" t="s">
        <v>74</v>
      </c>
      <c r="V14" s="1" t="s">
        <v>219</v>
      </c>
      <c r="W14" s="1" t="s">
        <v>74</v>
      </c>
      <c r="X14" s="1" t="s">
        <v>74</v>
      </c>
      <c r="Y14" s="1" t="s">
        <v>74</v>
      </c>
      <c r="Z14" s="1" t="s">
        <v>74</v>
      </c>
      <c r="AA14" s="1" t="s">
        <v>220</v>
      </c>
      <c r="AB14" s="1" t="s">
        <v>221</v>
      </c>
      <c r="AC14" s="1" t="s">
        <v>74</v>
      </c>
      <c r="AD14" s="1" t="s">
        <v>74</v>
      </c>
      <c r="AE14" s="1" t="s">
        <v>74</v>
      </c>
      <c r="AF14" s="1" t="s">
        <v>74</v>
      </c>
      <c r="AG14" s="1" t="s">
        <v>74</v>
      </c>
      <c r="AH14" s="1" t="s">
        <v>74</v>
      </c>
      <c r="AI14" s="1" t="s">
        <v>74</v>
      </c>
      <c r="AJ14" s="1" t="s">
        <v>74</v>
      </c>
      <c r="AK14" s="1" t="s">
        <v>74</v>
      </c>
      <c r="AL14" s="1" t="s">
        <v>74</v>
      </c>
      <c r="AM14" s="1" t="s">
        <v>74</v>
      </c>
      <c r="AN14" s="1" t="s">
        <v>74</v>
      </c>
      <c r="AO14" s="1" t="s">
        <v>74</v>
      </c>
      <c r="AP14" s="1" t="s">
        <v>222</v>
      </c>
      <c r="AQ14" s="1" t="s">
        <v>74</v>
      </c>
      <c r="AR14" s="1" t="s">
        <v>74</v>
      </c>
      <c r="AS14" s="1" t="s">
        <v>74</v>
      </c>
      <c r="AT14" s="1" t="s">
        <v>223</v>
      </c>
      <c r="AU14" s="1">
        <v>2023.0</v>
      </c>
      <c r="AV14" s="1">
        <v>13.0</v>
      </c>
      <c r="AW14" s="1">
        <v>3.0</v>
      </c>
      <c r="AX14" s="1" t="s">
        <v>74</v>
      </c>
      <c r="AY14" s="1" t="s">
        <v>74</v>
      </c>
      <c r="AZ14" s="1" t="s">
        <v>74</v>
      </c>
      <c r="BA14" s="1" t="s">
        <v>74</v>
      </c>
      <c r="BB14" s="1" t="s">
        <v>74</v>
      </c>
      <c r="BC14" s="1" t="s">
        <v>74</v>
      </c>
      <c r="BD14" s="1">
        <v>35001.0</v>
      </c>
      <c r="BE14" s="1" t="s">
        <v>224</v>
      </c>
      <c r="BF14" s="2" t="str">
        <f>HYPERLINK("http://dx.doi.org/10.1063/9.0000534","http://dx.doi.org/10.1063/9.0000534")</f>
        <v>http://dx.doi.org/10.1063/9.0000534</v>
      </c>
      <c r="BG14" s="1" t="s">
        <v>74</v>
      </c>
      <c r="BH14" s="1" t="s">
        <v>74</v>
      </c>
      <c r="BI14" s="1" t="s">
        <v>74</v>
      </c>
      <c r="BJ14" s="1" t="s">
        <v>74</v>
      </c>
      <c r="BK14" s="1" t="s">
        <v>74</v>
      </c>
      <c r="BL14" s="1" t="s">
        <v>74</v>
      </c>
      <c r="BM14" s="1" t="s">
        <v>74</v>
      </c>
      <c r="BN14" s="1" t="s">
        <v>74</v>
      </c>
      <c r="BO14" s="1" t="s">
        <v>74</v>
      </c>
      <c r="BP14" s="1" t="s">
        <v>74</v>
      </c>
      <c r="BQ14" s="1" t="s">
        <v>74</v>
      </c>
      <c r="BR14" s="1" t="s">
        <v>74</v>
      </c>
      <c r="BS14" s="1" t="s">
        <v>225</v>
      </c>
      <c r="BT14" s="1" t="str">
        <f>HYPERLINK("https%3A%2F%2Fwww.webofscience.com%2Fwos%2Fwoscc%2Ffull-record%2FWOS:000942145000013","View Full Record in Web of Science")</f>
        <v>View Full Record in Web of Science</v>
      </c>
    </row>
    <row r="15" ht="12.75" customHeight="1">
      <c r="A15" s="1" t="s">
        <v>72</v>
      </c>
      <c r="B15" s="1" t="s">
        <v>226</v>
      </c>
      <c r="C15" s="1" t="s">
        <v>74</v>
      </c>
      <c r="D15" s="1" t="s">
        <v>74</v>
      </c>
      <c r="E15" s="1" t="s">
        <v>74</v>
      </c>
      <c r="F15" s="1" t="s">
        <v>227</v>
      </c>
      <c r="G15" s="1" t="s">
        <v>74</v>
      </c>
      <c r="H15" s="1" t="s">
        <v>74</v>
      </c>
      <c r="I15" s="1" t="s">
        <v>228</v>
      </c>
      <c r="J15" s="1" t="s">
        <v>229</v>
      </c>
      <c r="K15" s="1" t="s">
        <v>74</v>
      </c>
      <c r="L15" s="1" t="s">
        <v>74</v>
      </c>
      <c r="M15" s="1" t="s">
        <v>74</v>
      </c>
      <c r="N15" s="1" t="s">
        <v>74</v>
      </c>
      <c r="O15" s="1" t="s">
        <v>74</v>
      </c>
      <c r="P15" s="1" t="s">
        <v>74</v>
      </c>
      <c r="Q15" s="1" t="s">
        <v>74</v>
      </c>
      <c r="R15" s="1" t="s">
        <v>74</v>
      </c>
      <c r="S15" s="1" t="s">
        <v>74</v>
      </c>
      <c r="T15" s="1" t="s">
        <v>74</v>
      </c>
      <c r="U15" s="1" t="s">
        <v>74</v>
      </c>
      <c r="V15" s="1" t="s">
        <v>230</v>
      </c>
      <c r="W15" s="1" t="s">
        <v>74</v>
      </c>
      <c r="X15" s="1" t="s">
        <v>74</v>
      </c>
      <c r="Y15" s="1" t="s">
        <v>74</v>
      </c>
      <c r="Z15" s="1" t="s">
        <v>74</v>
      </c>
      <c r="AA15" s="1" t="s">
        <v>231</v>
      </c>
      <c r="AB15" s="1" t="s">
        <v>232</v>
      </c>
      <c r="AC15" s="1" t="s">
        <v>74</v>
      </c>
      <c r="AD15" s="1" t="s">
        <v>74</v>
      </c>
      <c r="AE15" s="1" t="s">
        <v>74</v>
      </c>
      <c r="AF15" s="1" t="s">
        <v>74</v>
      </c>
      <c r="AG15" s="1" t="s">
        <v>74</v>
      </c>
      <c r="AH15" s="1" t="s">
        <v>74</v>
      </c>
      <c r="AI15" s="1" t="s">
        <v>74</v>
      </c>
      <c r="AJ15" s="1" t="s">
        <v>74</v>
      </c>
      <c r="AK15" s="1" t="s">
        <v>74</v>
      </c>
      <c r="AL15" s="1" t="s">
        <v>74</v>
      </c>
      <c r="AM15" s="1" t="s">
        <v>74</v>
      </c>
      <c r="AN15" s="1" t="s">
        <v>74</v>
      </c>
      <c r="AO15" s="1" t="s">
        <v>233</v>
      </c>
      <c r="AP15" s="1" t="s">
        <v>234</v>
      </c>
      <c r="AQ15" s="1" t="s">
        <v>74</v>
      </c>
      <c r="AR15" s="1" t="s">
        <v>74</v>
      </c>
      <c r="AS15" s="1" t="s">
        <v>74</v>
      </c>
      <c r="AT15" s="1" t="s">
        <v>235</v>
      </c>
      <c r="AU15" s="1">
        <v>2023.0</v>
      </c>
      <c r="AV15" s="1">
        <v>315.0</v>
      </c>
      <c r="AW15" s="1" t="s">
        <v>74</v>
      </c>
      <c r="AX15" s="1" t="s">
        <v>74</v>
      </c>
      <c r="AY15" s="1" t="s">
        <v>74</v>
      </c>
      <c r="AZ15" s="1" t="s">
        <v>74</v>
      </c>
      <c r="BA15" s="1" t="s">
        <v>74</v>
      </c>
      <c r="BB15" s="1" t="s">
        <v>74</v>
      </c>
      <c r="BC15" s="1" t="s">
        <v>74</v>
      </c>
      <c r="BD15" s="1">
        <v>137683.0</v>
      </c>
      <c r="BE15" s="1" t="s">
        <v>236</v>
      </c>
      <c r="BF15" s="2" t="str">
        <f>HYPERLINK("http://dx.doi.org/10.1016/j.chemosphere.2022.137683","http://dx.doi.org/10.1016/j.chemosphere.2022.137683")</f>
        <v>http://dx.doi.org/10.1016/j.chemosphere.2022.137683</v>
      </c>
      <c r="BG15" s="1" t="s">
        <v>74</v>
      </c>
      <c r="BH15" s="1" t="s">
        <v>237</v>
      </c>
      <c r="BI15" s="1" t="s">
        <v>74</v>
      </c>
      <c r="BJ15" s="1" t="s">
        <v>74</v>
      </c>
      <c r="BK15" s="1" t="s">
        <v>74</v>
      </c>
      <c r="BL15" s="1" t="s">
        <v>74</v>
      </c>
      <c r="BM15" s="1" t="s">
        <v>74</v>
      </c>
      <c r="BN15" s="1">
        <v>3.6586445E7</v>
      </c>
      <c r="BO15" s="1" t="s">
        <v>74</v>
      </c>
      <c r="BP15" s="1" t="s">
        <v>74</v>
      </c>
      <c r="BQ15" s="1" t="s">
        <v>74</v>
      </c>
      <c r="BR15" s="1" t="s">
        <v>74</v>
      </c>
      <c r="BS15" s="1" t="s">
        <v>238</v>
      </c>
      <c r="BT15" s="1" t="str">
        <f>HYPERLINK("https%3A%2F%2Fwww.webofscience.com%2Fwos%2Fwoscc%2Ffull-record%2FWOS:000938759800001","View Full Record in Web of Science")</f>
        <v>View Full Record in Web of Science</v>
      </c>
    </row>
    <row r="16" ht="12.75" customHeight="1">
      <c r="A16" s="1" t="s">
        <v>72</v>
      </c>
      <c r="B16" s="1" t="s">
        <v>239</v>
      </c>
      <c r="C16" s="1" t="s">
        <v>74</v>
      </c>
      <c r="D16" s="1" t="s">
        <v>74</v>
      </c>
      <c r="E16" s="1" t="s">
        <v>74</v>
      </c>
      <c r="F16" s="1" t="s">
        <v>240</v>
      </c>
      <c r="G16" s="1" t="s">
        <v>74</v>
      </c>
      <c r="H16" s="1" t="s">
        <v>74</v>
      </c>
      <c r="I16" s="1" t="s">
        <v>241</v>
      </c>
      <c r="J16" s="1" t="s">
        <v>242</v>
      </c>
      <c r="K16" s="1" t="s">
        <v>74</v>
      </c>
      <c r="L16" s="1" t="s">
        <v>74</v>
      </c>
      <c r="M16" s="1" t="s">
        <v>74</v>
      </c>
      <c r="N16" s="1" t="s">
        <v>74</v>
      </c>
      <c r="O16" s="1" t="s">
        <v>74</v>
      </c>
      <c r="P16" s="1" t="s">
        <v>74</v>
      </c>
      <c r="Q16" s="1" t="s">
        <v>74</v>
      </c>
      <c r="R16" s="1" t="s">
        <v>74</v>
      </c>
      <c r="S16" s="1" t="s">
        <v>74</v>
      </c>
      <c r="T16" s="1" t="s">
        <v>74</v>
      </c>
      <c r="U16" s="1" t="s">
        <v>74</v>
      </c>
      <c r="V16" s="1" t="s">
        <v>243</v>
      </c>
      <c r="W16" s="1" t="s">
        <v>74</v>
      </c>
      <c r="X16" s="1" t="s">
        <v>74</v>
      </c>
      <c r="Y16" s="1" t="s">
        <v>74</v>
      </c>
      <c r="Z16" s="1" t="s">
        <v>74</v>
      </c>
      <c r="AA16" s="1" t="s">
        <v>244</v>
      </c>
      <c r="AB16" s="1" t="s">
        <v>245</v>
      </c>
      <c r="AC16" s="1" t="s">
        <v>74</v>
      </c>
      <c r="AD16" s="1" t="s">
        <v>74</v>
      </c>
      <c r="AE16" s="1" t="s">
        <v>74</v>
      </c>
      <c r="AF16" s="1" t="s">
        <v>74</v>
      </c>
      <c r="AG16" s="1" t="s">
        <v>74</v>
      </c>
      <c r="AH16" s="1" t="s">
        <v>74</v>
      </c>
      <c r="AI16" s="1" t="s">
        <v>74</v>
      </c>
      <c r="AJ16" s="1" t="s">
        <v>74</v>
      </c>
      <c r="AK16" s="1" t="s">
        <v>74</v>
      </c>
      <c r="AL16" s="1" t="s">
        <v>74</v>
      </c>
      <c r="AM16" s="1" t="s">
        <v>74</v>
      </c>
      <c r="AN16" s="1" t="s">
        <v>74</v>
      </c>
      <c r="AO16" s="1" t="s">
        <v>74</v>
      </c>
      <c r="AP16" s="1" t="s">
        <v>246</v>
      </c>
      <c r="AQ16" s="1" t="s">
        <v>74</v>
      </c>
      <c r="AR16" s="1" t="s">
        <v>74</v>
      </c>
      <c r="AS16" s="1" t="s">
        <v>74</v>
      </c>
      <c r="AT16" s="1" t="s">
        <v>158</v>
      </c>
      <c r="AU16" s="1">
        <v>2022.0</v>
      </c>
      <c r="AV16" s="1">
        <v>12.0</v>
      </c>
      <c r="AW16" s="1">
        <v>13.0</v>
      </c>
      <c r="AX16" s="1" t="s">
        <v>74</v>
      </c>
      <c r="AY16" s="1" t="s">
        <v>74</v>
      </c>
      <c r="AZ16" s="1" t="s">
        <v>74</v>
      </c>
      <c r="BA16" s="1" t="s">
        <v>74</v>
      </c>
      <c r="BB16" s="1" t="s">
        <v>74</v>
      </c>
      <c r="BC16" s="1" t="s">
        <v>74</v>
      </c>
      <c r="BD16" s="1">
        <v>6474.0</v>
      </c>
      <c r="BE16" s="1" t="s">
        <v>247</v>
      </c>
      <c r="BF16" s="2" t="str">
        <f>HYPERLINK("http://dx.doi.org/10.3390/app12136474","http://dx.doi.org/10.3390/app12136474")</f>
        <v>http://dx.doi.org/10.3390/app12136474</v>
      </c>
      <c r="BG16" s="1" t="s">
        <v>74</v>
      </c>
      <c r="BH16" s="1" t="s">
        <v>74</v>
      </c>
      <c r="BI16" s="1" t="s">
        <v>74</v>
      </c>
      <c r="BJ16" s="1" t="s">
        <v>74</v>
      </c>
      <c r="BK16" s="1" t="s">
        <v>74</v>
      </c>
      <c r="BL16" s="1" t="s">
        <v>74</v>
      </c>
      <c r="BM16" s="1" t="s">
        <v>74</v>
      </c>
      <c r="BN16" s="1" t="s">
        <v>74</v>
      </c>
      <c r="BO16" s="1" t="s">
        <v>74</v>
      </c>
      <c r="BP16" s="1" t="s">
        <v>74</v>
      </c>
      <c r="BQ16" s="1" t="s">
        <v>74</v>
      </c>
      <c r="BR16" s="1" t="s">
        <v>74</v>
      </c>
      <c r="BS16" s="1" t="s">
        <v>248</v>
      </c>
      <c r="BT16" s="1" t="str">
        <f>HYPERLINK("https%3A%2F%2Fwww.webofscience.com%2Fwos%2Fwoscc%2Ffull-record%2FWOS:000823875500001","View Full Record in Web of Science")</f>
        <v>View Full Record in Web of Science</v>
      </c>
    </row>
    <row r="17" ht="12.75" customHeight="1">
      <c r="A17" s="1" t="s">
        <v>72</v>
      </c>
      <c r="B17" s="1" t="s">
        <v>249</v>
      </c>
      <c r="C17" s="1" t="s">
        <v>74</v>
      </c>
      <c r="D17" s="1" t="s">
        <v>74</v>
      </c>
      <c r="E17" s="1" t="s">
        <v>74</v>
      </c>
      <c r="F17" s="1" t="s">
        <v>250</v>
      </c>
      <c r="G17" s="1" t="s">
        <v>74</v>
      </c>
      <c r="H17" s="1" t="s">
        <v>74</v>
      </c>
      <c r="I17" s="1" t="s">
        <v>251</v>
      </c>
      <c r="J17" s="1" t="s">
        <v>252</v>
      </c>
      <c r="K17" s="1" t="s">
        <v>74</v>
      </c>
      <c r="L17" s="1" t="s">
        <v>74</v>
      </c>
      <c r="M17" s="1" t="s">
        <v>74</v>
      </c>
      <c r="N17" s="1" t="s">
        <v>74</v>
      </c>
      <c r="O17" s="1" t="s">
        <v>74</v>
      </c>
      <c r="P17" s="1" t="s">
        <v>74</v>
      </c>
      <c r="Q17" s="1" t="s">
        <v>74</v>
      </c>
      <c r="R17" s="1" t="s">
        <v>74</v>
      </c>
      <c r="S17" s="1" t="s">
        <v>74</v>
      </c>
      <c r="T17" s="1" t="s">
        <v>74</v>
      </c>
      <c r="U17" s="1" t="s">
        <v>74</v>
      </c>
      <c r="V17" s="1" t="s">
        <v>253</v>
      </c>
      <c r="W17" s="1" t="s">
        <v>74</v>
      </c>
      <c r="X17" s="1" t="s">
        <v>74</v>
      </c>
      <c r="Y17" s="1" t="s">
        <v>74</v>
      </c>
      <c r="Z17" s="1" t="s">
        <v>74</v>
      </c>
      <c r="AA17" s="1" t="s">
        <v>254</v>
      </c>
      <c r="AB17" s="1" t="s">
        <v>255</v>
      </c>
      <c r="AC17" s="1" t="s">
        <v>74</v>
      </c>
      <c r="AD17" s="1" t="s">
        <v>74</v>
      </c>
      <c r="AE17" s="1" t="s">
        <v>74</v>
      </c>
      <c r="AF17" s="1" t="s">
        <v>74</v>
      </c>
      <c r="AG17" s="1" t="s">
        <v>74</v>
      </c>
      <c r="AH17" s="1" t="s">
        <v>74</v>
      </c>
      <c r="AI17" s="1" t="s">
        <v>74</v>
      </c>
      <c r="AJ17" s="1" t="s">
        <v>74</v>
      </c>
      <c r="AK17" s="1" t="s">
        <v>74</v>
      </c>
      <c r="AL17" s="1" t="s">
        <v>74</v>
      </c>
      <c r="AM17" s="1" t="s">
        <v>74</v>
      </c>
      <c r="AN17" s="1" t="s">
        <v>74</v>
      </c>
      <c r="AO17" s="1" t="s">
        <v>256</v>
      </c>
      <c r="AP17" s="1" t="s">
        <v>74</v>
      </c>
      <c r="AQ17" s="1" t="s">
        <v>74</v>
      </c>
      <c r="AR17" s="1" t="s">
        <v>74</v>
      </c>
      <c r="AS17" s="1" t="s">
        <v>74</v>
      </c>
      <c r="AT17" s="1" t="s">
        <v>257</v>
      </c>
      <c r="AU17" s="1">
        <v>2022.0</v>
      </c>
      <c r="AV17" s="1">
        <v>56.0</v>
      </c>
      <c r="AW17" s="1" t="s">
        <v>74</v>
      </c>
      <c r="AX17" s="1" t="s">
        <v>74</v>
      </c>
      <c r="AY17" s="1" t="s">
        <v>74</v>
      </c>
      <c r="AZ17" s="1" t="s">
        <v>74</v>
      </c>
      <c r="BA17" s="1" t="s">
        <v>74</v>
      </c>
      <c r="BB17" s="1">
        <v>12.0</v>
      </c>
      <c r="BC17" s="1">
        <v>21.0</v>
      </c>
      <c r="BD17" s="1" t="s">
        <v>74</v>
      </c>
      <c r="BE17" s="1" t="s">
        <v>258</v>
      </c>
      <c r="BF17" s="2" t="str">
        <f>HYPERLINK("http://dx.doi.org/10.1016/j.ejbt.2021.12.002","http://dx.doi.org/10.1016/j.ejbt.2021.12.002")</f>
        <v>http://dx.doi.org/10.1016/j.ejbt.2021.12.002</v>
      </c>
      <c r="BG17" s="1" t="s">
        <v>74</v>
      </c>
      <c r="BH17" s="1" t="s">
        <v>259</v>
      </c>
      <c r="BI17" s="1" t="s">
        <v>74</v>
      </c>
      <c r="BJ17" s="1" t="s">
        <v>74</v>
      </c>
      <c r="BK17" s="1" t="s">
        <v>74</v>
      </c>
      <c r="BL17" s="1" t="s">
        <v>74</v>
      </c>
      <c r="BM17" s="1" t="s">
        <v>74</v>
      </c>
      <c r="BN17" s="1" t="s">
        <v>74</v>
      </c>
      <c r="BO17" s="1" t="s">
        <v>74</v>
      </c>
      <c r="BP17" s="1" t="s">
        <v>74</v>
      </c>
      <c r="BQ17" s="1" t="s">
        <v>74</v>
      </c>
      <c r="BR17" s="1" t="s">
        <v>74</v>
      </c>
      <c r="BS17" s="1" t="s">
        <v>260</v>
      </c>
      <c r="BT17" s="1" t="str">
        <f>HYPERLINK("https%3A%2F%2Fwww.webofscience.com%2Fwos%2Fwoscc%2Ffull-record%2FWOS:000790155700002","View Full Record in Web of Science")</f>
        <v>View Full Record in Web of Science</v>
      </c>
    </row>
    <row r="18" ht="12.75" customHeight="1">
      <c r="A18" s="1" t="s">
        <v>72</v>
      </c>
      <c r="B18" s="1" t="s">
        <v>261</v>
      </c>
      <c r="C18" s="1" t="s">
        <v>74</v>
      </c>
      <c r="D18" s="1" t="s">
        <v>74</v>
      </c>
      <c r="E18" s="1" t="s">
        <v>74</v>
      </c>
      <c r="F18" s="1" t="s">
        <v>262</v>
      </c>
      <c r="G18" s="1" t="s">
        <v>74</v>
      </c>
      <c r="H18" s="1" t="s">
        <v>74</v>
      </c>
      <c r="I18" s="1" t="s">
        <v>263</v>
      </c>
      <c r="J18" s="1" t="s">
        <v>264</v>
      </c>
      <c r="K18" s="1" t="s">
        <v>74</v>
      </c>
      <c r="L18" s="1" t="s">
        <v>74</v>
      </c>
      <c r="M18" s="1" t="s">
        <v>74</v>
      </c>
      <c r="N18" s="1" t="s">
        <v>74</v>
      </c>
      <c r="O18" s="1" t="s">
        <v>74</v>
      </c>
      <c r="P18" s="1" t="s">
        <v>74</v>
      </c>
      <c r="Q18" s="1" t="s">
        <v>74</v>
      </c>
      <c r="R18" s="1" t="s">
        <v>74</v>
      </c>
      <c r="S18" s="1" t="s">
        <v>74</v>
      </c>
      <c r="T18" s="1" t="s">
        <v>74</v>
      </c>
      <c r="U18" s="1" t="s">
        <v>74</v>
      </c>
      <c r="V18" s="1" t="s">
        <v>265</v>
      </c>
      <c r="W18" s="1" t="s">
        <v>74</v>
      </c>
      <c r="X18" s="1" t="s">
        <v>74</v>
      </c>
      <c r="Y18" s="1" t="s">
        <v>74</v>
      </c>
      <c r="Z18" s="1" t="s">
        <v>74</v>
      </c>
      <c r="AA18" s="1" t="s">
        <v>266</v>
      </c>
      <c r="AB18" s="1" t="s">
        <v>267</v>
      </c>
      <c r="AC18" s="1" t="s">
        <v>74</v>
      </c>
      <c r="AD18" s="1" t="s">
        <v>74</v>
      </c>
      <c r="AE18" s="1" t="s">
        <v>74</v>
      </c>
      <c r="AF18" s="1" t="s">
        <v>74</v>
      </c>
      <c r="AG18" s="1" t="s">
        <v>74</v>
      </c>
      <c r="AH18" s="1" t="s">
        <v>74</v>
      </c>
      <c r="AI18" s="1" t="s">
        <v>74</v>
      </c>
      <c r="AJ18" s="1" t="s">
        <v>74</v>
      </c>
      <c r="AK18" s="1" t="s">
        <v>74</v>
      </c>
      <c r="AL18" s="1" t="s">
        <v>74</v>
      </c>
      <c r="AM18" s="1" t="s">
        <v>74</v>
      </c>
      <c r="AN18" s="1" t="s">
        <v>74</v>
      </c>
      <c r="AO18" s="1" t="s">
        <v>268</v>
      </c>
      <c r="AP18" s="1" t="s">
        <v>269</v>
      </c>
      <c r="AQ18" s="1" t="s">
        <v>74</v>
      </c>
      <c r="AR18" s="1" t="s">
        <v>74</v>
      </c>
      <c r="AS18" s="1" t="s">
        <v>74</v>
      </c>
      <c r="AT18" s="1" t="s">
        <v>270</v>
      </c>
      <c r="AU18" s="1">
        <v>2022.0</v>
      </c>
      <c r="AV18" s="1">
        <v>346.0</v>
      </c>
      <c r="AW18" s="1" t="s">
        <v>74</v>
      </c>
      <c r="AX18" s="1" t="s">
        <v>74</v>
      </c>
      <c r="AY18" s="1" t="s">
        <v>74</v>
      </c>
      <c r="AZ18" s="1" t="s">
        <v>74</v>
      </c>
      <c r="BA18" s="1" t="s">
        <v>74</v>
      </c>
      <c r="BB18" s="1" t="s">
        <v>74</v>
      </c>
      <c r="BC18" s="1" t="s">
        <v>74</v>
      </c>
      <c r="BD18" s="1">
        <v>117091.0</v>
      </c>
      <c r="BE18" s="1" t="s">
        <v>271</v>
      </c>
      <c r="BF18" s="2" t="str">
        <f>HYPERLINK("http://dx.doi.org/10.1016/j.molliq.2021.117091","http://dx.doi.org/10.1016/j.molliq.2021.117091")</f>
        <v>http://dx.doi.org/10.1016/j.molliq.2021.117091</v>
      </c>
      <c r="BG18" s="1" t="s">
        <v>74</v>
      </c>
      <c r="BH18" s="1" t="s">
        <v>272</v>
      </c>
      <c r="BI18" s="1" t="s">
        <v>74</v>
      </c>
      <c r="BJ18" s="1" t="s">
        <v>74</v>
      </c>
      <c r="BK18" s="1" t="s">
        <v>74</v>
      </c>
      <c r="BL18" s="1" t="s">
        <v>74</v>
      </c>
      <c r="BM18" s="1" t="s">
        <v>74</v>
      </c>
      <c r="BN18" s="1" t="s">
        <v>74</v>
      </c>
      <c r="BO18" s="1" t="s">
        <v>74</v>
      </c>
      <c r="BP18" s="1" t="s">
        <v>74</v>
      </c>
      <c r="BQ18" s="1" t="s">
        <v>74</v>
      </c>
      <c r="BR18" s="1" t="s">
        <v>74</v>
      </c>
      <c r="BS18" s="1" t="s">
        <v>273</v>
      </c>
      <c r="BT18" s="1" t="str">
        <f>HYPERLINK("https%3A%2F%2Fwww.webofscience.com%2Fwos%2Fwoscc%2Ffull-record%2FWOS:000754539100002","View Full Record in Web of Science")</f>
        <v>View Full Record in Web of Science</v>
      </c>
    </row>
    <row r="19" ht="12.75" customHeight="1">
      <c r="A19" s="1" t="s">
        <v>274</v>
      </c>
      <c r="B19" s="1" t="s">
        <v>275</v>
      </c>
      <c r="C19" s="1" t="s">
        <v>74</v>
      </c>
      <c r="D19" s="1" t="s">
        <v>276</v>
      </c>
      <c r="E19" s="1" t="s">
        <v>74</v>
      </c>
      <c r="F19" s="1" t="s">
        <v>277</v>
      </c>
      <c r="G19" s="1" t="s">
        <v>74</v>
      </c>
      <c r="H19" s="1" t="s">
        <v>74</v>
      </c>
      <c r="I19" s="1" t="s">
        <v>278</v>
      </c>
      <c r="J19" s="1" t="s">
        <v>279</v>
      </c>
      <c r="K19" s="1" t="s">
        <v>280</v>
      </c>
      <c r="L19" s="1" t="s">
        <v>74</v>
      </c>
      <c r="M19" s="1" t="s">
        <v>74</v>
      </c>
      <c r="N19" s="1" t="s">
        <v>74</v>
      </c>
      <c r="O19" s="1" t="s">
        <v>74</v>
      </c>
      <c r="P19" s="1" t="s">
        <v>74</v>
      </c>
      <c r="Q19" s="1" t="s">
        <v>74</v>
      </c>
      <c r="R19" s="1" t="s">
        <v>74</v>
      </c>
      <c r="S19" s="1" t="s">
        <v>74</v>
      </c>
      <c r="T19" s="1" t="s">
        <v>74</v>
      </c>
      <c r="U19" s="1" t="s">
        <v>74</v>
      </c>
      <c r="V19" s="1" t="s">
        <v>74</v>
      </c>
      <c r="W19" s="1" t="s">
        <v>74</v>
      </c>
      <c r="X19" s="1" t="s">
        <v>74</v>
      </c>
      <c r="Y19" s="1" t="s">
        <v>74</v>
      </c>
      <c r="Z19" s="1" t="s">
        <v>74</v>
      </c>
      <c r="AA19" s="1" t="s">
        <v>74</v>
      </c>
      <c r="AB19" s="1" t="s">
        <v>74</v>
      </c>
      <c r="AC19" s="1" t="s">
        <v>74</v>
      </c>
      <c r="AD19" s="1" t="s">
        <v>74</v>
      </c>
      <c r="AE19" s="1" t="s">
        <v>74</v>
      </c>
      <c r="AF19" s="1" t="s">
        <v>74</v>
      </c>
      <c r="AG19" s="1" t="s">
        <v>74</v>
      </c>
      <c r="AH19" s="1" t="s">
        <v>74</v>
      </c>
      <c r="AI19" s="1" t="s">
        <v>74</v>
      </c>
      <c r="AJ19" s="1" t="s">
        <v>74</v>
      </c>
      <c r="AK19" s="1" t="s">
        <v>74</v>
      </c>
      <c r="AL19" s="1" t="s">
        <v>74</v>
      </c>
      <c r="AM19" s="1" t="s">
        <v>74</v>
      </c>
      <c r="AN19" s="1" t="s">
        <v>74</v>
      </c>
      <c r="AO19" s="1" t="s">
        <v>74</v>
      </c>
      <c r="AP19" s="1" t="s">
        <v>74</v>
      </c>
      <c r="AQ19" s="1" t="s">
        <v>281</v>
      </c>
      <c r="AR19" s="1" t="s">
        <v>74</v>
      </c>
      <c r="AS19" s="1" t="s">
        <v>74</v>
      </c>
      <c r="AT19" s="1" t="s">
        <v>74</v>
      </c>
      <c r="AU19" s="1">
        <v>2022.0</v>
      </c>
      <c r="AV19" s="1" t="s">
        <v>74</v>
      </c>
      <c r="AW19" s="1" t="s">
        <v>74</v>
      </c>
      <c r="AX19" s="1" t="s">
        <v>74</v>
      </c>
      <c r="AY19" s="1" t="s">
        <v>74</v>
      </c>
      <c r="AZ19" s="1" t="s">
        <v>74</v>
      </c>
      <c r="BA19" s="1" t="s">
        <v>74</v>
      </c>
      <c r="BB19" s="1">
        <v>285.0</v>
      </c>
      <c r="BC19" s="1">
        <v>300.0</v>
      </c>
      <c r="BD19" s="1" t="s">
        <v>74</v>
      </c>
      <c r="BE19" s="1" t="s">
        <v>282</v>
      </c>
      <c r="BF19" s="2" t="str">
        <f>HYPERLINK("http://dx.doi.org/10.4324/9781003045342-12","http://dx.doi.org/10.4324/9781003045342-12")</f>
        <v>http://dx.doi.org/10.4324/9781003045342-12</v>
      </c>
      <c r="BG19" s="1" t="s">
        <v>283</v>
      </c>
      <c r="BH19" s="1" t="s">
        <v>74</v>
      </c>
      <c r="BI19" s="1" t="s">
        <v>74</v>
      </c>
      <c r="BJ19" s="1" t="s">
        <v>74</v>
      </c>
      <c r="BK19" s="1" t="s">
        <v>74</v>
      </c>
      <c r="BL19" s="1" t="s">
        <v>74</v>
      </c>
      <c r="BM19" s="1" t="s">
        <v>74</v>
      </c>
      <c r="BN19" s="1" t="s">
        <v>74</v>
      </c>
      <c r="BO19" s="1" t="s">
        <v>74</v>
      </c>
      <c r="BP19" s="1" t="s">
        <v>74</v>
      </c>
      <c r="BQ19" s="1" t="s">
        <v>74</v>
      </c>
      <c r="BR19" s="1" t="s">
        <v>74</v>
      </c>
      <c r="BS19" s="1" t="s">
        <v>284</v>
      </c>
      <c r="BT19" s="1" t="str">
        <f>HYPERLINK("https%3A%2F%2Fwww.webofscience.com%2Fwos%2Fwoscc%2Ffull-record%2FWOS:000863267200013","View Full Record in Web of Science")</f>
        <v>View Full Record in Web of Science</v>
      </c>
    </row>
    <row r="20" ht="12.75" customHeight="1">
      <c r="A20" s="1" t="s">
        <v>72</v>
      </c>
      <c r="B20" s="1" t="s">
        <v>285</v>
      </c>
      <c r="C20" s="1" t="s">
        <v>74</v>
      </c>
      <c r="D20" s="1" t="s">
        <v>74</v>
      </c>
      <c r="E20" s="1" t="s">
        <v>74</v>
      </c>
      <c r="F20" s="1" t="s">
        <v>286</v>
      </c>
      <c r="G20" s="1" t="s">
        <v>74</v>
      </c>
      <c r="H20" s="1" t="s">
        <v>74</v>
      </c>
      <c r="I20" s="1" t="s">
        <v>287</v>
      </c>
      <c r="J20" s="1" t="s">
        <v>288</v>
      </c>
      <c r="K20" s="1" t="s">
        <v>74</v>
      </c>
      <c r="L20" s="1" t="s">
        <v>74</v>
      </c>
      <c r="M20" s="1" t="s">
        <v>74</v>
      </c>
      <c r="N20" s="1" t="s">
        <v>74</v>
      </c>
      <c r="O20" s="1" t="s">
        <v>74</v>
      </c>
      <c r="P20" s="1" t="s">
        <v>74</v>
      </c>
      <c r="Q20" s="1" t="s">
        <v>74</v>
      </c>
      <c r="R20" s="1" t="s">
        <v>74</v>
      </c>
      <c r="S20" s="1" t="s">
        <v>74</v>
      </c>
      <c r="T20" s="1" t="s">
        <v>74</v>
      </c>
      <c r="U20" s="1" t="s">
        <v>74</v>
      </c>
      <c r="V20" s="1" t="s">
        <v>289</v>
      </c>
      <c r="W20" s="1" t="s">
        <v>74</v>
      </c>
      <c r="X20" s="1" t="s">
        <v>74</v>
      </c>
      <c r="Y20" s="1" t="s">
        <v>74</v>
      </c>
      <c r="Z20" s="1" t="s">
        <v>74</v>
      </c>
      <c r="AA20" s="1" t="s">
        <v>290</v>
      </c>
      <c r="AB20" s="1" t="s">
        <v>291</v>
      </c>
      <c r="AC20" s="1" t="s">
        <v>74</v>
      </c>
      <c r="AD20" s="1" t="s">
        <v>74</v>
      </c>
      <c r="AE20" s="1" t="s">
        <v>74</v>
      </c>
      <c r="AF20" s="1" t="s">
        <v>74</v>
      </c>
      <c r="AG20" s="1" t="s">
        <v>74</v>
      </c>
      <c r="AH20" s="1" t="s">
        <v>74</v>
      </c>
      <c r="AI20" s="1" t="s">
        <v>74</v>
      </c>
      <c r="AJ20" s="1" t="s">
        <v>74</v>
      </c>
      <c r="AK20" s="1" t="s">
        <v>74</v>
      </c>
      <c r="AL20" s="1" t="s">
        <v>74</v>
      </c>
      <c r="AM20" s="1" t="s">
        <v>74</v>
      </c>
      <c r="AN20" s="1" t="s">
        <v>74</v>
      </c>
      <c r="AO20" s="1" t="s">
        <v>292</v>
      </c>
      <c r="AP20" s="1" t="s">
        <v>293</v>
      </c>
      <c r="AQ20" s="1" t="s">
        <v>74</v>
      </c>
      <c r="AR20" s="1" t="s">
        <v>74</v>
      </c>
      <c r="AS20" s="1" t="s">
        <v>74</v>
      </c>
      <c r="AT20" s="1" t="s">
        <v>294</v>
      </c>
      <c r="AU20" s="1">
        <v>2021.0</v>
      </c>
      <c r="AV20" s="1">
        <v>143.0</v>
      </c>
      <c r="AW20" s="1">
        <v>2.0</v>
      </c>
      <c r="AX20" s="1" t="s">
        <v>74</v>
      </c>
      <c r="AY20" s="1" t="s">
        <v>74</v>
      </c>
      <c r="AZ20" s="1" t="s">
        <v>74</v>
      </c>
      <c r="BA20" s="1" t="s">
        <v>74</v>
      </c>
      <c r="BB20" s="1">
        <v>639.0</v>
      </c>
      <c r="BC20" s="1">
        <v>680.0</v>
      </c>
      <c r="BD20" s="1" t="s">
        <v>74</v>
      </c>
      <c r="BE20" s="1" t="s">
        <v>295</v>
      </c>
      <c r="BF20" s="2" t="str">
        <f>HYPERLINK("http://dx.doi.org/10.1007/s11854-021-0167-2","http://dx.doi.org/10.1007/s11854-021-0167-2")</f>
        <v>http://dx.doi.org/10.1007/s11854-021-0167-2</v>
      </c>
      <c r="BG20" s="1" t="s">
        <v>74</v>
      </c>
      <c r="BH20" s="1" t="s">
        <v>296</v>
      </c>
      <c r="BI20" s="1" t="s">
        <v>74</v>
      </c>
      <c r="BJ20" s="1" t="s">
        <v>74</v>
      </c>
      <c r="BK20" s="1" t="s">
        <v>74</v>
      </c>
      <c r="BL20" s="1" t="s">
        <v>74</v>
      </c>
      <c r="BM20" s="1" t="s">
        <v>74</v>
      </c>
      <c r="BN20" s="1" t="s">
        <v>74</v>
      </c>
      <c r="BO20" s="1" t="s">
        <v>74</v>
      </c>
      <c r="BP20" s="1" t="s">
        <v>74</v>
      </c>
      <c r="BQ20" s="1" t="s">
        <v>74</v>
      </c>
      <c r="BR20" s="1" t="s">
        <v>74</v>
      </c>
      <c r="BS20" s="1" t="s">
        <v>297</v>
      </c>
      <c r="BT20" s="1" t="str">
        <f>HYPERLINK("https%3A%2F%2Fwww.webofscience.com%2Fwos%2Fwoscc%2Ffull-record%2FWOS:000668043400013","View Full Record in Web of Science")</f>
        <v>View Full Record in Web of Science</v>
      </c>
    </row>
    <row r="21" ht="12.75" customHeight="1">
      <c r="A21" s="1" t="s">
        <v>72</v>
      </c>
      <c r="B21" s="1" t="s">
        <v>298</v>
      </c>
      <c r="C21" s="1" t="s">
        <v>74</v>
      </c>
      <c r="D21" s="1" t="s">
        <v>74</v>
      </c>
      <c r="E21" s="1" t="s">
        <v>74</v>
      </c>
      <c r="F21" s="1" t="s">
        <v>299</v>
      </c>
      <c r="G21" s="1" t="s">
        <v>74</v>
      </c>
      <c r="H21" s="1" t="s">
        <v>74</v>
      </c>
      <c r="I21" s="1" t="s">
        <v>300</v>
      </c>
      <c r="J21" s="1" t="s">
        <v>301</v>
      </c>
      <c r="K21" s="1" t="s">
        <v>74</v>
      </c>
      <c r="L21" s="1" t="s">
        <v>74</v>
      </c>
      <c r="M21" s="1" t="s">
        <v>74</v>
      </c>
      <c r="N21" s="1" t="s">
        <v>74</v>
      </c>
      <c r="O21" s="1" t="s">
        <v>74</v>
      </c>
      <c r="P21" s="1" t="s">
        <v>74</v>
      </c>
      <c r="Q21" s="1" t="s">
        <v>74</v>
      </c>
      <c r="R21" s="1" t="s">
        <v>74</v>
      </c>
      <c r="S21" s="1" t="s">
        <v>74</v>
      </c>
      <c r="T21" s="1" t="s">
        <v>74</v>
      </c>
      <c r="U21" s="1" t="s">
        <v>74</v>
      </c>
      <c r="V21" s="1" t="s">
        <v>302</v>
      </c>
      <c r="W21" s="1" t="s">
        <v>74</v>
      </c>
      <c r="X21" s="1" t="s">
        <v>74</v>
      </c>
      <c r="Y21" s="1" t="s">
        <v>74</v>
      </c>
      <c r="Z21" s="1" t="s">
        <v>74</v>
      </c>
      <c r="AA21" s="1" t="s">
        <v>303</v>
      </c>
      <c r="AB21" s="1" t="s">
        <v>304</v>
      </c>
      <c r="AC21" s="1" t="s">
        <v>74</v>
      </c>
      <c r="AD21" s="1" t="s">
        <v>74</v>
      </c>
      <c r="AE21" s="1" t="s">
        <v>74</v>
      </c>
      <c r="AF21" s="1" t="s">
        <v>74</v>
      </c>
      <c r="AG21" s="1" t="s">
        <v>74</v>
      </c>
      <c r="AH21" s="1" t="s">
        <v>74</v>
      </c>
      <c r="AI21" s="1" t="s">
        <v>74</v>
      </c>
      <c r="AJ21" s="1" t="s">
        <v>74</v>
      </c>
      <c r="AK21" s="1" t="s">
        <v>74</v>
      </c>
      <c r="AL21" s="1" t="s">
        <v>74</v>
      </c>
      <c r="AM21" s="1" t="s">
        <v>74</v>
      </c>
      <c r="AN21" s="1" t="s">
        <v>74</v>
      </c>
      <c r="AO21" s="1" t="s">
        <v>74</v>
      </c>
      <c r="AP21" s="1" t="s">
        <v>305</v>
      </c>
      <c r="AQ21" s="1" t="s">
        <v>74</v>
      </c>
      <c r="AR21" s="1" t="s">
        <v>74</v>
      </c>
      <c r="AS21" s="1" t="s">
        <v>74</v>
      </c>
      <c r="AT21" s="1" t="s">
        <v>306</v>
      </c>
      <c r="AU21" s="1">
        <v>2021.0</v>
      </c>
      <c r="AV21" s="1">
        <v>10.0</v>
      </c>
      <c r="AW21" s="1">
        <v>8.0</v>
      </c>
      <c r="AX21" s="1" t="s">
        <v>74</v>
      </c>
      <c r="AY21" s="1" t="s">
        <v>74</v>
      </c>
      <c r="AZ21" s="1" t="s">
        <v>74</v>
      </c>
      <c r="BA21" s="1" t="s">
        <v>74</v>
      </c>
      <c r="BB21" s="1" t="s">
        <v>74</v>
      </c>
      <c r="BC21" s="1" t="s">
        <v>74</v>
      </c>
      <c r="BD21" s="1">
        <v>968.0</v>
      </c>
      <c r="BE21" s="1" t="s">
        <v>307</v>
      </c>
      <c r="BF21" s="2" t="str">
        <f>HYPERLINK("http://dx.doi.org/10.3390/electronics10080968","http://dx.doi.org/10.3390/electronics10080968")</f>
        <v>http://dx.doi.org/10.3390/electronics10080968</v>
      </c>
      <c r="BG21" s="1" t="s">
        <v>74</v>
      </c>
      <c r="BH21" s="1" t="s">
        <v>74</v>
      </c>
      <c r="BI21" s="1" t="s">
        <v>74</v>
      </c>
      <c r="BJ21" s="1" t="s">
        <v>74</v>
      </c>
      <c r="BK21" s="1" t="s">
        <v>74</v>
      </c>
      <c r="BL21" s="1" t="s">
        <v>74</v>
      </c>
      <c r="BM21" s="1" t="s">
        <v>74</v>
      </c>
      <c r="BN21" s="1" t="s">
        <v>74</v>
      </c>
      <c r="BO21" s="1" t="s">
        <v>74</v>
      </c>
      <c r="BP21" s="1" t="s">
        <v>74</v>
      </c>
      <c r="BQ21" s="1" t="s">
        <v>74</v>
      </c>
      <c r="BR21" s="1" t="s">
        <v>74</v>
      </c>
      <c r="BS21" s="1" t="s">
        <v>308</v>
      </c>
      <c r="BT21" s="1" t="str">
        <f>HYPERLINK("https%3A%2F%2Fwww.webofscience.com%2Fwos%2Fwoscc%2Ffull-record%2FWOS:000643990100001","View Full Record in Web of Science")</f>
        <v>View Full Record in Web of Science</v>
      </c>
    </row>
    <row r="22" ht="12.75" customHeight="1">
      <c r="A22" s="1" t="s">
        <v>72</v>
      </c>
      <c r="B22" s="1" t="s">
        <v>309</v>
      </c>
      <c r="C22" s="1" t="s">
        <v>74</v>
      </c>
      <c r="D22" s="1" t="s">
        <v>74</v>
      </c>
      <c r="E22" s="1" t="s">
        <v>74</v>
      </c>
      <c r="F22" s="1" t="s">
        <v>310</v>
      </c>
      <c r="G22" s="1" t="s">
        <v>74</v>
      </c>
      <c r="H22" s="1" t="s">
        <v>74</v>
      </c>
      <c r="I22" s="1" t="s">
        <v>311</v>
      </c>
      <c r="J22" s="1" t="s">
        <v>312</v>
      </c>
      <c r="K22" s="1" t="s">
        <v>74</v>
      </c>
      <c r="L22" s="1" t="s">
        <v>74</v>
      </c>
      <c r="M22" s="1" t="s">
        <v>74</v>
      </c>
      <c r="N22" s="1" t="s">
        <v>74</v>
      </c>
      <c r="O22" s="1" t="s">
        <v>74</v>
      </c>
      <c r="P22" s="1" t="s">
        <v>74</v>
      </c>
      <c r="Q22" s="1" t="s">
        <v>74</v>
      </c>
      <c r="R22" s="1" t="s">
        <v>74</v>
      </c>
      <c r="S22" s="1" t="s">
        <v>74</v>
      </c>
      <c r="T22" s="1" t="s">
        <v>74</v>
      </c>
      <c r="U22" s="1" t="s">
        <v>74</v>
      </c>
      <c r="V22" s="1" t="s">
        <v>313</v>
      </c>
      <c r="W22" s="1" t="s">
        <v>74</v>
      </c>
      <c r="X22" s="1" t="s">
        <v>74</v>
      </c>
      <c r="Y22" s="1" t="s">
        <v>74</v>
      </c>
      <c r="Z22" s="1" t="s">
        <v>74</v>
      </c>
      <c r="AA22" s="1" t="s">
        <v>314</v>
      </c>
      <c r="AB22" s="1" t="s">
        <v>74</v>
      </c>
      <c r="AC22" s="1" t="s">
        <v>74</v>
      </c>
      <c r="AD22" s="1" t="s">
        <v>74</v>
      </c>
      <c r="AE22" s="1" t="s">
        <v>74</v>
      </c>
      <c r="AF22" s="1" t="s">
        <v>74</v>
      </c>
      <c r="AG22" s="1" t="s">
        <v>74</v>
      </c>
      <c r="AH22" s="1" t="s">
        <v>74</v>
      </c>
      <c r="AI22" s="1" t="s">
        <v>74</v>
      </c>
      <c r="AJ22" s="1" t="s">
        <v>74</v>
      </c>
      <c r="AK22" s="1" t="s">
        <v>74</v>
      </c>
      <c r="AL22" s="1" t="s">
        <v>74</v>
      </c>
      <c r="AM22" s="1" t="s">
        <v>74</v>
      </c>
      <c r="AN22" s="1" t="s">
        <v>74</v>
      </c>
      <c r="AO22" s="1" t="s">
        <v>315</v>
      </c>
      <c r="AP22" s="1" t="s">
        <v>316</v>
      </c>
      <c r="AQ22" s="1" t="s">
        <v>74</v>
      </c>
      <c r="AR22" s="1" t="s">
        <v>74</v>
      </c>
      <c r="AS22" s="1" t="s">
        <v>74</v>
      </c>
      <c r="AT22" s="1" t="s">
        <v>306</v>
      </c>
      <c r="AU22" s="1">
        <v>2021.0</v>
      </c>
      <c r="AV22" s="1">
        <v>149.0</v>
      </c>
      <c r="AW22" s="1">
        <v>4.0</v>
      </c>
      <c r="AX22" s="1" t="s">
        <v>74</v>
      </c>
      <c r="AY22" s="1" t="s">
        <v>74</v>
      </c>
      <c r="AZ22" s="1" t="s">
        <v>74</v>
      </c>
      <c r="BA22" s="1" t="s">
        <v>74</v>
      </c>
      <c r="BB22" s="1">
        <v>554.0</v>
      </c>
      <c r="BC22" s="1">
        <v>558.0</v>
      </c>
      <c r="BD22" s="1" t="s">
        <v>74</v>
      </c>
      <c r="BE22" s="1" t="s">
        <v>74</v>
      </c>
      <c r="BF22" s="1" t="s">
        <v>74</v>
      </c>
      <c r="BG22" s="1" t="s">
        <v>74</v>
      </c>
      <c r="BH22" s="1" t="s">
        <v>74</v>
      </c>
      <c r="BI22" s="1" t="s">
        <v>74</v>
      </c>
      <c r="BJ22" s="1" t="s">
        <v>74</v>
      </c>
      <c r="BK22" s="1" t="s">
        <v>74</v>
      </c>
      <c r="BL22" s="1" t="s">
        <v>74</v>
      </c>
      <c r="BM22" s="1" t="s">
        <v>74</v>
      </c>
      <c r="BN22" s="1">
        <v>3.4479343E7</v>
      </c>
      <c r="BO22" s="1" t="s">
        <v>74</v>
      </c>
      <c r="BP22" s="1" t="s">
        <v>74</v>
      </c>
      <c r="BQ22" s="1" t="s">
        <v>74</v>
      </c>
      <c r="BR22" s="1" t="s">
        <v>74</v>
      </c>
      <c r="BS22" s="1" t="s">
        <v>317</v>
      </c>
      <c r="BT22" s="1" t="str">
        <f>HYPERLINK("https%3A%2F%2Fwww.webofscience.com%2Fwos%2Fwoscc%2Ffull-record%2FWOS:000691389000009","View Full Record in Web of Science")</f>
        <v>View Full Record in Web of Science</v>
      </c>
    </row>
    <row r="23" ht="12.75" customHeight="1">
      <c r="A23" s="1" t="s">
        <v>72</v>
      </c>
      <c r="B23" s="1" t="s">
        <v>318</v>
      </c>
      <c r="C23" s="1" t="s">
        <v>74</v>
      </c>
      <c r="D23" s="1" t="s">
        <v>74</v>
      </c>
      <c r="E23" s="1" t="s">
        <v>74</v>
      </c>
      <c r="F23" s="1" t="s">
        <v>319</v>
      </c>
      <c r="G23" s="1" t="s">
        <v>74</v>
      </c>
      <c r="H23" s="1" t="s">
        <v>74</v>
      </c>
      <c r="I23" s="1" t="s">
        <v>320</v>
      </c>
      <c r="J23" s="1" t="s">
        <v>321</v>
      </c>
      <c r="K23" s="1" t="s">
        <v>74</v>
      </c>
      <c r="L23" s="1" t="s">
        <v>74</v>
      </c>
      <c r="M23" s="1" t="s">
        <v>74</v>
      </c>
      <c r="N23" s="1" t="s">
        <v>74</v>
      </c>
      <c r="O23" s="1" t="s">
        <v>74</v>
      </c>
      <c r="P23" s="1" t="s">
        <v>74</v>
      </c>
      <c r="Q23" s="1" t="s">
        <v>74</v>
      </c>
      <c r="R23" s="1" t="s">
        <v>74</v>
      </c>
      <c r="S23" s="1" t="s">
        <v>74</v>
      </c>
      <c r="T23" s="1" t="s">
        <v>74</v>
      </c>
      <c r="U23" s="1" t="s">
        <v>74</v>
      </c>
      <c r="V23" s="1" t="s">
        <v>322</v>
      </c>
      <c r="W23" s="1" t="s">
        <v>74</v>
      </c>
      <c r="X23" s="1" t="s">
        <v>74</v>
      </c>
      <c r="Y23" s="1" t="s">
        <v>74</v>
      </c>
      <c r="Z23" s="1" t="s">
        <v>74</v>
      </c>
      <c r="AA23" s="1" t="s">
        <v>323</v>
      </c>
      <c r="AB23" s="1" t="s">
        <v>324</v>
      </c>
      <c r="AC23" s="1" t="s">
        <v>74</v>
      </c>
      <c r="AD23" s="1" t="s">
        <v>74</v>
      </c>
      <c r="AE23" s="1" t="s">
        <v>74</v>
      </c>
      <c r="AF23" s="1" t="s">
        <v>74</v>
      </c>
      <c r="AG23" s="1" t="s">
        <v>74</v>
      </c>
      <c r="AH23" s="1" t="s">
        <v>74</v>
      </c>
      <c r="AI23" s="1" t="s">
        <v>74</v>
      </c>
      <c r="AJ23" s="1" t="s">
        <v>74</v>
      </c>
      <c r="AK23" s="1" t="s">
        <v>74</v>
      </c>
      <c r="AL23" s="1" t="s">
        <v>74</v>
      </c>
      <c r="AM23" s="1" t="s">
        <v>74</v>
      </c>
      <c r="AN23" s="1" t="s">
        <v>74</v>
      </c>
      <c r="AO23" s="1" t="s">
        <v>325</v>
      </c>
      <c r="AP23" s="1" t="s">
        <v>326</v>
      </c>
      <c r="AQ23" s="1" t="s">
        <v>74</v>
      </c>
      <c r="AR23" s="1" t="s">
        <v>74</v>
      </c>
      <c r="AS23" s="1" t="s">
        <v>74</v>
      </c>
      <c r="AT23" s="1" t="s">
        <v>327</v>
      </c>
      <c r="AU23" s="1">
        <v>2021.0</v>
      </c>
      <c r="AV23" s="1">
        <v>753.0</v>
      </c>
      <c r="AW23" s="1" t="s">
        <v>74</v>
      </c>
      <c r="AX23" s="1" t="s">
        <v>74</v>
      </c>
      <c r="AY23" s="1" t="s">
        <v>74</v>
      </c>
      <c r="AZ23" s="1" t="s">
        <v>74</v>
      </c>
      <c r="BA23" s="1" t="s">
        <v>74</v>
      </c>
      <c r="BB23" s="1" t="s">
        <v>74</v>
      </c>
      <c r="BC23" s="1" t="s">
        <v>74</v>
      </c>
      <c r="BD23" s="1">
        <v>142108.0</v>
      </c>
      <c r="BE23" s="1" t="s">
        <v>328</v>
      </c>
      <c r="BF23" s="2" t="str">
        <f>HYPERLINK("http://dx.doi.org/10.1016/j.scitotenv.2020.142108","http://dx.doi.org/10.1016/j.scitotenv.2020.142108")</f>
        <v>http://dx.doi.org/10.1016/j.scitotenv.2020.142108</v>
      </c>
      <c r="BG23" s="1" t="s">
        <v>74</v>
      </c>
      <c r="BH23" s="1" t="s">
        <v>74</v>
      </c>
      <c r="BI23" s="1" t="s">
        <v>74</v>
      </c>
      <c r="BJ23" s="1" t="s">
        <v>74</v>
      </c>
      <c r="BK23" s="1" t="s">
        <v>74</v>
      </c>
      <c r="BL23" s="1" t="s">
        <v>74</v>
      </c>
      <c r="BM23" s="1" t="s">
        <v>74</v>
      </c>
      <c r="BN23" s="1">
        <v>3.3207438E7</v>
      </c>
      <c r="BO23" s="1" t="s">
        <v>74</v>
      </c>
      <c r="BP23" s="1" t="s">
        <v>74</v>
      </c>
      <c r="BQ23" s="1" t="s">
        <v>74</v>
      </c>
      <c r="BR23" s="1" t="s">
        <v>74</v>
      </c>
      <c r="BS23" s="1" t="s">
        <v>329</v>
      </c>
      <c r="BT23" s="1" t="str">
        <f>HYPERLINK("https%3A%2F%2Fwww.webofscience.com%2Fwos%2Fwoscc%2Ffull-record%2FWOS:000588616700128","View Full Record in Web of Science")</f>
        <v>View Full Record in Web of Science</v>
      </c>
    </row>
    <row r="24" ht="12.75" customHeight="1">
      <c r="A24" s="1" t="s">
        <v>72</v>
      </c>
      <c r="B24" s="1" t="s">
        <v>330</v>
      </c>
      <c r="C24" s="1" t="s">
        <v>74</v>
      </c>
      <c r="D24" s="1" t="s">
        <v>74</v>
      </c>
      <c r="E24" s="1" t="s">
        <v>74</v>
      </c>
      <c r="F24" s="1" t="s">
        <v>331</v>
      </c>
      <c r="G24" s="1" t="s">
        <v>74</v>
      </c>
      <c r="H24" s="1" t="s">
        <v>74</v>
      </c>
      <c r="I24" s="1" t="s">
        <v>332</v>
      </c>
      <c r="J24" s="1" t="s">
        <v>333</v>
      </c>
      <c r="K24" s="1" t="s">
        <v>74</v>
      </c>
      <c r="L24" s="1" t="s">
        <v>74</v>
      </c>
      <c r="M24" s="1" t="s">
        <v>74</v>
      </c>
      <c r="N24" s="1" t="s">
        <v>74</v>
      </c>
      <c r="O24" s="1" t="s">
        <v>74</v>
      </c>
      <c r="P24" s="1" t="s">
        <v>74</v>
      </c>
      <c r="Q24" s="1" t="s">
        <v>74</v>
      </c>
      <c r="R24" s="1" t="s">
        <v>74</v>
      </c>
      <c r="S24" s="1" t="s">
        <v>74</v>
      </c>
      <c r="T24" s="1" t="s">
        <v>74</v>
      </c>
      <c r="U24" s="1" t="s">
        <v>74</v>
      </c>
      <c r="V24" s="1" t="s">
        <v>334</v>
      </c>
      <c r="W24" s="1" t="s">
        <v>74</v>
      </c>
      <c r="X24" s="1" t="s">
        <v>74</v>
      </c>
      <c r="Y24" s="1" t="s">
        <v>74</v>
      </c>
      <c r="Z24" s="1" t="s">
        <v>74</v>
      </c>
      <c r="AA24" s="1" t="s">
        <v>335</v>
      </c>
      <c r="AB24" s="1" t="s">
        <v>336</v>
      </c>
      <c r="AC24" s="1" t="s">
        <v>74</v>
      </c>
      <c r="AD24" s="1" t="s">
        <v>74</v>
      </c>
      <c r="AE24" s="1" t="s">
        <v>74</v>
      </c>
      <c r="AF24" s="1" t="s">
        <v>74</v>
      </c>
      <c r="AG24" s="1" t="s">
        <v>74</v>
      </c>
      <c r="AH24" s="1" t="s">
        <v>74</v>
      </c>
      <c r="AI24" s="1" t="s">
        <v>74</v>
      </c>
      <c r="AJ24" s="1" t="s">
        <v>74</v>
      </c>
      <c r="AK24" s="1" t="s">
        <v>74</v>
      </c>
      <c r="AL24" s="1" t="s">
        <v>74</v>
      </c>
      <c r="AM24" s="1" t="s">
        <v>74</v>
      </c>
      <c r="AN24" s="1" t="s">
        <v>74</v>
      </c>
      <c r="AO24" s="1" t="s">
        <v>337</v>
      </c>
      <c r="AP24" s="1" t="s">
        <v>338</v>
      </c>
      <c r="AQ24" s="1" t="s">
        <v>74</v>
      </c>
      <c r="AR24" s="1" t="s">
        <v>74</v>
      </c>
      <c r="AS24" s="1" t="s">
        <v>74</v>
      </c>
      <c r="AT24" s="1" t="s">
        <v>339</v>
      </c>
      <c r="AU24" s="1">
        <v>2020.0</v>
      </c>
      <c r="AV24" s="1">
        <v>6.0</v>
      </c>
      <c r="AW24" s="1">
        <v>3.0</v>
      </c>
      <c r="AX24" s="1" t="s">
        <v>74</v>
      </c>
      <c r="AY24" s="1" t="s">
        <v>74</v>
      </c>
      <c r="AZ24" s="1" t="s">
        <v>74</v>
      </c>
      <c r="BA24" s="1" t="s">
        <v>74</v>
      </c>
      <c r="BB24" s="1" t="s">
        <v>74</v>
      </c>
      <c r="BC24" s="1" t="s">
        <v>74</v>
      </c>
      <c r="BD24" s="1">
        <v>100002.0</v>
      </c>
      <c r="BE24" s="1" t="s">
        <v>340</v>
      </c>
      <c r="BF24" s="2" t="str">
        <f>HYPERLINK("http://dx.doi.org/10.1016/j.jve.2020.06.002","http://dx.doi.org/10.1016/j.jve.2020.06.002")</f>
        <v>http://dx.doi.org/10.1016/j.jve.2020.06.002</v>
      </c>
      <c r="BG24" s="1" t="s">
        <v>74</v>
      </c>
      <c r="BH24" s="1" t="s">
        <v>74</v>
      </c>
      <c r="BI24" s="1" t="s">
        <v>74</v>
      </c>
      <c r="BJ24" s="1" t="s">
        <v>74</v>
      </c>
      <c r="BK24" s="1" t="s">
        <v>74</v>
      </c>
      <c r="BL24" s="1" t="s">
        <v>74</v>
      </c>
      <c r="BM24" s="1" t="s">
        <v>74</v>
      </c>
      <c r="BN24" s="1">
        <v>3.325102E7</v>
      </c>
      <c r="BO24" s="1" t="s">
        <v>74</v>
      </c>
      <c r="BP24" s="1" t="s">
        <v>74</v>
      </c>
      <c r="BQ24" s="1" t="s">
        <v>74</v>
      </c>
      <c r="BR24" s="1" t="s">
        <v>74</v>
      </c>
      <c r="BS24" s="1" t="s">
        <v>341</v>
      </c>
      <c r="BT24" s="1" t="str">
        <f>HYPERLINK("https%3A%2F%2Fwww.webofscience.com%2Fwos%2Fwoscc%2Ffull-record%2FWOS:000581114900002","View Full Record in Web of Science")</f>
        <v>View Full Record in Web of Science</v>
      </c>
    </row>
    <row r="25" ht="12.75" customHeight="1">
      <c r="A25" s="1" t="s">
        <v>72</v>
      </c>
      <c r="B25" s="1" t="s">
        <v>342</v>
      </c>
      <c r="C25" s="1" t="s">
        <v>74</v>
      </c>
      <c r="D25" s="1" t="s">
        <v>74</v>
      </c>
      <c r="E25" s="1" t="s">
        <v>74</v>
      </c>
      <c r="F25" s="1" t="s">
        <v>343</v>
      </c>
      <c r="G25" s="1" t="s">
        <v>74</v>
      </c>
      <c r="H25" s="1" t="s">
        <v>74</v>
      </c>
      <c r="I25" s="1" t="s">
        <v>344</v>
      </c>
      <c r="J25" s="1" t="s">
        <v>345</v>
      </c>
      <c r="K25" s="1" t="s">
        <v>74</v>
      </c>
      <c r="L25" s="1" t="s">
        <v>74</v>
      </c>
      <c r="M25" s="1" t="s">
        <v>74</v>
      </c>
      <c r="N25" s="1" t="s">
        <v>74</v>
      </c>
      <c r="O25" s="1" t="s">
        <v>74</v>
      </c>
      <c r="P25" s="1" t="s">
        <v>74</v>
      </c>
      <c r="Q25" s="1" t="s">
        <v>74</v>
      </c>
      <c r="R25" s="1" t="s">
        <v>74</v>
      </c>
      <c r="S25" s="1" t="s">
        <v>74</v>
      </c>
      <c r="T25" s="1" t="s">
        <v>74</v>
      </c>
      <c r="U25" s="1" t="s">
        <v>74</v>
      </c>
      <c r="V25" s="1" t="s">
        <v>346</v>
      </c>
      <c r="W25" s="1" t="s">
        <v>74</v>
      </c>
      <c r="X25" s="1" t="s">
        <v>74</v>
      </c>
      <c r="Y25" s="1" t="s">
        <v>74</v>
      </c>
      <c r="Z25" s="1" t="s">
        <v>74</v>
      </c>
      <c r="AA25" s="1" t="s">
        <v>347</v>
      </c>
      <c r="AB25" s="1" t="s">
        <v>348</v>
      </c>
      <c r="AC25" s="1" t="s">
        <v>74</v>
      </c>
      <c r="AD25" s="1" t="s">
        <v>74</v>
      </c>
      <c r="AE25" s="1" t="s">
        <v>74</v>
      </c>
      <c r="AF25" s="1" t="s">
        <v>74</v>
      </c>
      <c r="AG25" s="1" t="s">
        <v>74</v>
      </c>
      <c r="AH25" s="1" t="s">
        <v>74</v>
      </c>
      <c r="AI25" s="1" t="s">
        <v>74</v>
      </c>
      <c r="AJ25" s="1" t="s">
        <v>74</v>
      </c>
      <c r="AK25" s="1" t="s">
        <v>74</v>
      </c>
      <c r="AL25" s="1" t="s">
        <v>74</v>
      </c>
      <c r="AM25" s="1" t="s">
        <v>74</v>
      </c>
      <c r="AN25" s="1" t="s">
        <v>74</v>
      </c>
      <c r="AO25" s="1" t="s">
        <v>74</v>
      </c>
      <c r="AP25" s="1" t="s">
        <v>349</v>
      </c>
      <c r="AQ25" s="1" t="s">
        <v>74</v>
      </c>
      <c r="AR25" s="1" t="s">
        <v>74</v>
      </c>
      <c r="AS25" s="1" t="s">
        <v>74</v>
      </c>
      <c r="AT25" s="1" t="s">
        <v>350</v>
      </c>
      <c r="AU25" s="1">
        <v>2020.0</v>
      </c>
      <c r="AV25" s="1">
        <v>10.0</v>
      </c>
      <c r="AW25" s="1">
        <v>8.0</v>
      </c>
      <c r="AX25" s="1" t="s">
        <v>74</v>
      </c>
      <c r="AY25" s="1" t="s">
        <v>74</v>
      </c>
      <c r="AZ25" s="1" t="s">
        <v>74</v>
      </c>
      <c r="BA25" s="1" t="s">
        <v>74</v>
      </c>
      <c r="BB25" s="1" t="s">
        <v>74</v>
      </c>
      <c r="BC25" s="1" t="s">
        <v>74</v>
      </c>
      <c r="BD25" s="1">
        <v>1031.0</v>
      </c>
      <c r="BE25" s="1" t="s">
        <v>351</v>
      </c>
      <c r="BF25" s="2" t="str">
        <f>HYPERLINK("http://dx.doi.org/10.3390/met10081031","http://dx.doi.org/10.3390/met10081031")</f>
        <v>http://dx.doi.org/10.3390/met10081031</v>
      </c>
      <c r="BG25" s="1" t="s">
        <v>74</v>
      </c>
      <c r="BH25" s="1" t="s">
        <v>74</v>
      </c>
      <c r="BI25" s="1" t="s">
        <v>74</v>
      </c>
      <c r="BJ25" s="1" t="s">
        <v>74</v>
      </c>
      <c r="BK25" s="1" t="s">
        <v>74</v>
      </c>
      <c r="BL25" s="1" t="s">
        <v>74</v>
      </c>
      <c r="BM25" s="1" t="s">
        <v>74</v>
      </c>
      <c r="BN25" s="1" t="s">
        <v>74</v>
      </c>
      <c r="BO25" s="1" t="s">
        <v>74</v>
      </c>
      <c r="BP25" s="1" t="s">
        <v>74</v>
      </c>
      <c r="BQ25" s="1" t="s">
        <v>74</v>
      </c>
      <c r="BR25" s="1" t="s">
        <v>74</v>
      </c>
      <c r="BS25" s="1" t="s">
        <v>352</v>
      </c>
      <c r="BT25" s="1" t="str">
        <f>HYPERLINK("https%3A%2F%2Fwww.webofscience.com%2Fwos%2Fwoscc%2Ffull-record%2FWOS:000568102000001","View Full Record in Web of Science")</f>
        <v>View Full Record in Web of Science</v>
      </c>
    </row>
    <row r="26" ht="12.75" customHeight="1">
      <c r="A26" s="1" t="s">
        <v>72</v>
      </c>
      <c r="B26" s="1" t="s">
        <v>353</v>
      </c>
      <c r="C26" s="1" t="s">
        <v>74</v>
      </c>
      <c r="D26" s="1" t="s">
        <v>74</v>
      </c>
      <c r="E26" s="1" t="s">
        <v>74</v>
      </c>
      <c r="F26" s="1" t="s">
        <v>354</v>
      </c>
      <c r="G26" s="1" t="s">
        <v>74</v>
      </c>
      <c r="H26" s="1" t="s">
        <v>74</v>
      </c>
      <c r="I26" s="1" t="s">
        <v>355</v>
      </c>
      <c r="J26" s="1" t="s">
        <v>356</v>
      </c>
      <c r="K26" s="1" t="s">
        <v>74</v>
      </c>
      <c r="L26" s="1" t="s">
        <v>74</v>
      </c>
      <c r="M26" s="1" t="s">
        <v>74</v>
      </c>
      <c r="N26" s="1" t="s">
        <v>74</v>
      </c>
      <c r="O26" s="1" t="s">
        <v>74</v>
      </c>
      <c r="P26" s="1" t="s">
        <v>74</v>
      </c>
      <c r="Q26" s="1" t="s">
        <v>74</v>
      </c>
      <c r="R26" s="1" t="s">
        <v>74</v>
      </c>
      <c r="S26" s="1" t="s">
        <v>74</v>
      </c>
      <c r="T26" s="1" t="s">
        <v>74</v>
      </c>
      <c r="U26" s="1" t="s">
        <v>74</v>
      </c>
      <c r="V26" s="1" t="s">
        <v>357</v>
      </c>
      <c r="W26" s="1" t="s">
        <v>74</v>
      </c>
      <c r="X26" s="1" t="s">
        <v>74</v>
      </c>
      <c r="Y26" s="1" t="s">
        <v>74</v>
      </c>
      <c r="Z26" s="1" t="s">
        <v>74</v>
      </c>
      <c r="AA26" s="1" t="s">
        <v>358</v>
      </c>
      <c r="AB26" s="1" t="s">
        <v>359</v>
      </c>
      <c r="AC26" s="1" t="s">
        <v>74</v>
      </c>
      <c r="AD26" s="1" t="s">
        <v>74</v>
      </c>
      <c r="AE26" s="1" t="s">
        <v>74</v>
      </c>
      <c r="AF26" s="1" t="s">
        <v>74</v>
      </c>
      <c r="AG26" s="1" t="s">
        <v>74</v>
      </c>
      <c r="AH26" s="1" t="s">
        <v>74</v>
      </c>
      <c r="AI26" s="1" t="s">
        <v>74</v>
      </c>
      <c r="AJ26" s="1" t="s">
        <v>74</v>
      </c>
      <c r="AK26" s="1" t="s">
        <v>74</v>
      </c>
      <c r="AL26" s="1" t="s">
        <v>74</v>
      </c>
      <c r="AM26" s="1" t="s">
        <v>74</v>
      </c>
      <c r="AN26" s="1" t="s">
        <v>74</v>
      </c>
      <c r="AO26" s="1" t="s">
        <v>360</v>
      </c>
      <c r="AP26" s="1" t="s">
        <v>361</v>
      </c>
      <c r="AQ26" s="1" t="s">
        <v>74</v>
      </c>
      <c r="AR26" s="1" t="s">
        <v>74</v>
      </c>
      <c r="AS26" s="1" t="s">
        <v>74</v>
      </c>
      <c r="AT26" s="1" t="s">
        <v>294</v>
      </c>
      <c r="AU26" s="1">
        <v>2020.0</v>
      </c>
      <c r="AV26" s="1">
        <v>12.0</v>
      </c>
      <c r="AW26" s="1">
        <v>6.0</v>
      </c>
      <c r="AX26" s="1" t="s">
        <v>74</v>
      </c>
      <c r="AY26" s="1" t="s">
        <v>74</v>
      </c>
      <c r="AZ26" s="1" t="s">
        <v>74</v>
      </c>
      <c r="BA26" s="1" t="s">
        <v>74</v>
      </c>
      <c r="BB26" s="1" t="s">
        <v>74</v>
      </c>
      <c r="BC26" s="1" t="s">
        <v>74</v>
      </c>
      <c r="BD26" s="1">
        <v>1.687814020935282E15</v>
      </c>
      <c r="BE26" s="1" t="s">
        <v>362</v>
      </c>
      <c r="BF26" s="2" t="str">
        <f>HYPERLINK("http://dx.doi.org/10.1177/1687814020935282","http://dx.doi.org/10.1177/1687814020935282")</f>
        <v>http://dx.doi.org/10.1177/1687814020935282</v>
      </c>
      <c r="BG26" s="1" t="s">
        <v>74</v>
      </c>
      <c r="BH26" s="1" t="s">
        <v>74</v>
      </c>
      <c r="BI26" s="1" t="s">
        <v>74</v>
      </c>
      <c r="BJ26" s="1" t="s">
        <v>74</v>
      </c>
      <c r="BK26" s="1" t="s">
        <v>74</v>
      </c>
      <c r="BL26" s="1" t="s">
        <v>74</v>
      </c>
      <c r="BM26" s="1" t="s">
        <v>74</v>
      </c>
      <c r="BN26" s="1" t="s">
        <v>74</v>
      </c>
      <c r="BO26" s="1" t="s">
        <v>74</v>
      </c>
      <c r="BP26" s="1" t="s">
        <v>74</v>
      </c>
      <c r="BQ26" s="1" t="s">
        <v>74</v>
      </c>
      <c r="BR26" s="1" t="s">
        <v>74</v>
      </c>
      <c r="BS26" s="1" t="s">
        <v>363</v>
      </c>
      <c r="BT26" s="1" t="str">
        <f>HYPERLINK("https%3A%2F%2Fwww.webofscience.com%2Fwos%2Fwoscc%2Ffull-record%2FWOS:000545679700001","View Full Record in Web of Science")</f>
        <v>View Full Record in Web of Science</v>
      </c>
    </row>
    <row r="27" ht="12.75" customHeight="1">
      <c r="A27" s="1" t="s">
        <v>72</v>
      </c>
      <c r="B27" s="1" t="s">
        <v>364</v>
      </c>
      <c r="C27" s="1" t="s">
        <v>74</v>
      </c>
      <c r="D27" s="1" t="s">
        <v>74</v>
      </c>
      <c r="E27" s="1" t="s">
        <v>74</v>
      </c>
      <c r="F27" s="1" t="s">
        <v>365</v>
      </c>
      <c r="G27" s="1" t="s">
        <v>74</v>
      </c>
      <c r="H27" s="1" t="s">
        <v>74</v>
      </c>
      <c r="I27" s="1" t="s">
        <v>366</v>
      </c>
      <c r="J27" s="1" t="s">
        <v>367</v>
      </c>
      <c r="K27" s="1" t="s">
        <v>74</v>
      </c>
      <c r="L27" s="1" t="s">
        <v>74</v>
      </c>
      <c r="M27" s="1" t="s">
        <v>74</v>
      </c>
      <c r="N27" s="1" t="s">
        <v>74</v>
      </c>
      <c r="O27" s="1" t="s">
        <v>74</v>
      </c>
      <c r="P27" s="1" t="s">
        <v>74</v>
      </c>
      <c r="Q27" s="1" t="s">
        <v>74</v>
      </c>
      <c r="R27" s="1" t="s">
        <v>74</v>
      </c>
      <c r="S27" s="1" t="s">
        <v>74</v>
      </c>
      <c r="T27" s="1" t="s">
        <v>74</v>
      </c>
      <c r="U27" s="1" t="s">
        <v>74</v>
      </c>
      <c r="V27" s="1" t="s">
        <v>368</v>
      </c>
      <c r="W27" s="1" t="s">
        <v>74</v>
      </c>
      <c r="X27" s="1" t="s">
        <v>74</v>
      </c>
      <c r="Y27" s="1" t="s">
        <v>74</v>
      </c>
      <c r="Z27" s="1" t="s">
        <v>74</v>
      </c>
      <c r="AA27" s="1" t="s">
        <v>369</v>
      </c>
      <c r="AB27" s="1" t="s">
        <v>370</v>
      </c>
      <c r="AC27" s="1" t="s">
        <v>74</v>
      </c>
      <c r="AD27" s="1" t="s">
        <v>74</v>
      </c>
      <c r="AE27" s="1" t="s">
        <v>74</v>
      </c>
      <c r="AF27" s="1" t="s">
        <v>74</v>
      </c>
      <c r="AG27" s="1" t="s">
        <v>74</v>
      </c>
      <c r="AH27" s="1" t="s">
        <v>74</v>
      </c>
      <c r="AI27" s="1" t="s">
        <v>74</v>
      </c>
      <c r="AJ27" s="1" t="s">
        <v>74</v>
      </c>
      <c r="AK27" s="1" t="s">
        <v>74</v>
      </c>
      <c r="AL27" s="1" t="s">
        <v>74</v>
      </c>
      <c r="AM27" s="1" t="s">
        <v>74</v>
      </c>
      <c r="AN27" s="1" t="s">
        <v>74</v>
      </c>
      <c r="AO27" s="1" t="s">
        <v>371</v>
      </c>
      <c r="AP27" s="1" t="s">
        <v>372</v>
      </c>
      <c r="AQ27" s="1" t="s">
        <v>74</v>
      </c>
      <c r="AR27" s="1" t="s">
        <v>74</v>
      </c>
      <c r="AS27" s="1" t="s">
        <v>74</v>
      </c>
      <c r="AT27" s="1" t="s">
        <v>306</v>
      </c>
      <c r="AU27" s="1">
        <v>2020.0</v>
      </c>
      <c r="AV27" s="1">
        <v>184.0</v>
      </c>
      <c r="AW27" s="1" t="s">
        <v>74</v>
      </c>
      <c r="AX27" s="1" t="s">
        <v>74</v>
      </c>
      <c r="AY27" s="1" t="s">
        <v>74</v>
      </c>
      <c r="AZ27" s="1" t="s">
        <v>74</v>
      </c>
      <c r="BA27" s="1" t="s">
        <v>74</v>
      </c>
      <c r="BB27" s="1">
        <v>367.0</v>
      </c>
      <c r="BC27" s="1">
        <v>374.0</v>
      </c>
      <c r="BD27" s="1" t="s">
        <v>74</v>
      </c>
      <c r="BE27" s="1" t="s">
        <v>373</v>
      </c>
      <c r="BF27" s="2" t="str">
        <f>HYPERLINK("http://dx.doi.org/10.5004/dwt.2020.25388","http://dx.doi.org/10.5004/dwt.2020.25388")</f>
        <v>http://dx.doi.org/10.5004/dwt.2020.25388</v>
      </c>
      <c r="BG27" s="1" t="s">
        <v>74</v>
      </c>
      <c r="BH27" s="1" t="s">
        <v>74</v>
      </c>
      <c r="BI27" s="1" t="s">
        <v>74</v>
      </c>
      <c r="BJ27" s="1" t="s">
        <v>74</v>
      </c>
      <c r="BK27" s="1" t="s">
        <v>74</v>
      </c>
      <c r="BL27" s="1" t="s">
        <v>74</v>
      </c>
      <c r="BM27" s="1" t="s">
        <v>74</v>
      </c>
      <c r="BN27" s="1" t="s">
        <v>74</v>
      </c>
      <c r="BO27" s="1" t="s">
        <v>74</v>
      </c>
      <c r="BP27" s="1" t="s">
        <v>74</v>
      </c>
      <c r="BQ27" s="1" t="s">
        <v>74</v>
      </c>
      <c r="BR27" s="1" t="s">
        <v>74</v>
      </c>
      <c r="BS27" s="1" t="s">
        <v>374</v>
      </c>
      <c r="BT27" s="1" t="str">
        <f>HYPERLINK("https%3A%2F%2Fwww.webofscience.com%2Fwos%2Fwoscc%2Ffull-record%2FWOS:000545019200031","View Full Record in Web of Science")</f>
        <v>View Full Record in Web of Science</v>
      </c>
    </row>
    <row r="28" ht="12.75" customHeight="1">
      <c r="A28" s="1" t="s">
        <v>182</v>
      </c>
      <c r="B28" s="1" t="s">
        <v>375</v>
      </c>
      <c r="C28" s="1" t="s">
        <v>74</v>
      </c>
      <c r="D28" s="1" t="s">
        <v>376</v>
      </c>
      <c r="E28" s="1" t="s">
        <v>74</v>
      </c>
      <c r="F28" s="1" t="s">
        <v>377</v>
      </c>
      <c r="G28" s="1" t="s">
        <v>74</v>
      </c>
      <c r="H28" s="1" t="s">
        <v>74</v>
      </c>
      <c r="I28" s="1" t="s">
        <v>378</v>
      </c>
      <c r="J28" s="1" t="s">
        <v>379</v>
      </c>
      <c r="K28" s="1" t="s">
        <v>380</v>
      </c>
      <c r="L28" s="1" t="s">
        <v>74</v>
      </c>
      <c r="M28" s="1" t="s">
        <v>74</v>
      </c>
      <c r="N28" s="1" t="s">
        <v>74</v>
      </c>
      <c r="O28" s="1" t="s">
        <v>381</v>
      </c>
      <c r="P28" s="1" t="s">
        <v>382</v>
      </c>
      <c r="Q28" s="1" t="s">
        <v>383</v>
      </c>
      <c r="R28" s="1" t="s">
        <v>384</v>
      </c>
      <c r="S28" s="1" t="s">
        <v>74</v>
      </c>
      <c r="T28" s="1" t="s">
        <v>74</v>
      </c>
      <c r="U28" s="1" t="s">
        <v>74</v>
      </c>
      <c r="V28" s="1" t="s">
        <v>385</v>
      </c>
      <c r="W28" s="1" t="s">
        <v>74</v>
      </c>
      <c r="X28" s="1" t="s">
        <v>74</v>
      </c>
      <c r="Y28" s="1" t="s">
        <v>74</v>
      </c>
      <c r="Z28" s="1" t="s">
        <v>74</v>
      </c>
      <c r="AA28" s="1" t="s">
        <v>386</v>
      </c>
      <c r="AB28" s="1" t="s">
        <v>387</v>
      </c>
      <c r="AC28" s="1" t="s">
        <v>74</v>
      </c>
      <c r="AD28" s="1" t="s">
        <v>74</v>
      </c>
      <c r="AE28" s="1" t="s">
        <v>74</v>
      </c>
      <c r="AF28" s="1" t="s">
        <v>74</v>
      </c>
      <c r="AG28" s="1" t="s">
        <v>74</v>
      </c>
      <c r="AH28" s="1" t="s">
        <v>74</v>
      </c>
      <c r="AI28" s="1" t="s">
        <v>74</v>
      </c>
      <c r="AJ28" s="1" t="s">
        <v>74</v>
      </c>
      <c r="AK28" s="1" t="s">
        <v>74</v>
      </c>
      <c r="AL28" s="1" t="s">
        <v>74</v>
      </c>
      <c r="AM28" s="1" t="s">
        <v>74</v>
      </c>
      <c r="AN28" s="1" t="s">
        <v>74</v>
      </c>
      <c r="AO28" s="1" t="s">
        <v>388</v>
      </c>
      <c r="AP28" s="1" t="s">
        <v>74</v>
      </c>
      <c r="AQ28" s="1" t="s">
        <v>74</v>
      </c>
      <c r="AR28" s="1" t="s">
        <v>74</v>
      </c>
      <c r="AS28" s="1" t="s">
        <v>74</v>
      </c>
      <c r="AT28" s="1" t="s">
        <v>74</v>
      </c>
      <c r="AU28" s="1">
        <v>2019.0</v>
      </c>
      <c r="AV28" s="1">
        <v>162.0</v>
      </c>
      <c r="AW28" s="1" t="s">
        <v>74</v>
      </c>
      <c r="AX28" s="1" t="s">
        <v>74</v>
      </c>
      <c r="AY28" s="1" t="s">
        <v>74</v>
      </c>
      <c r="AZ28" s="1" t="s">
        <v>74</v>
      </c>
      <c r="BA28" s="1" t="s">
        <v>74</v>
      </c>
      <c r="BB28" s="1">
        <v>94.0</v>
      </c>
      <c r="BC28" s="1">
        <v>101.0</v>
      </c>
      <c r="BD28" s="1" t="s">
        <v>74</v>
      </c>
      <c r="BE28" s="1" t="s">
        <v>389</v>
      </c>
      <c r="BF28" s="2" t="str">
        <f>HYPERLINK("http://dx.doi.org/10.1016/j.procs.2019.11.263","http://dx.doi.org/10.1016/j.procs.2019.11.263")</f>
        <v>http://dx.doi.org/10.1016/j.procs.2019.11.263</v>
      </c>
      <c r="BG28" s="1" t="s">
        <v>74</v>
      </c>
      <c r="BH28" s="1" t="s">
        <v>74</v>
      </c>
      <c r="BI28" s="1" t="s">
        <v>74</v>
      </c>
      <c r="BJ28" s="1" t="s">
        <v>74</v>
      </c>
      <c r="BK28" s="1" t="s">
        <v>74</v>
      </c>
      <c r="BL28" s="1" t="s">
        <v>74</v>
      </c>
      <c r="BM28" s="1" t="s">
        <v>74</v>
      </c>
      <c r="BN28" s="1" t="s">
        <v>74</v>
      </c>
      <c r="BO28" s="1" t="s">
        <v>74</v>
      </c>
      <c r="BP28" s="1" t="s">
        <v>74</v>
      </c>
      <c r="BQ28" s="1" t="s">
        <v>74</v>
      </c>
      <c r="BR28" s="1" t="s">
        <v>74</v>
      </c>
      <c r="BS28" s="1" t="s">
        <v>390</v>
      </c>
      <c r="BT28" s="1" t="str">
        <f>HYPERLINK("https%3A%2F%2Fwww.webofscience.com%2Fwos%2Fwoscc%2Ffull-record%2FWOS:000514081500013","View Full Record in Web of Science")</f>
        <v>View Full Record in Web of Science</v>
      </c>
    </row>
    <row r="29" ht="12.75" customHeight="1">
      <c r="A29" s="1" t="s">
        <v>72</v>
      </c>
      <c r="B29" s="1" t="s">
        <v>391</v>
      </c>
      <c r="C29" s="1" t="s">
        <v>74</v>
      </c>
      <c r="D29" s="1" t="s">
        <v>74</v>
      </c>
      <c r="E29" s="1" t="s">
        <v>74</v>
      </c>
      <c r="F29" s="1" t="s">
        <v>392</v>
      </c>
      <c r="G29" s="1" t="s">
        <v>74</v>
      </c>
      <c r="H29" s="1" t="s">
        <v>74</v>
      </c>
      <c r="I29" s="1" t="s">
        <v>393</v>
      </c>
      <c r="J29" s="1" t="s">
        <v>394</v>
      </c>
      <c r="K29" s="1" t="s">
        <v>74</v>
      </c>
      <c r="L29" s="1" t="s">
        <v>74</v>
      </c>
      <c r="M29" s="1" t="s">
        <v>74</v>
      </c>
      <c r="N29" s="1" t="s">
        <v>74</v>
      </c>
      <c r="O29" s="1" t="s">
        <v>74</v>
      </c>
      <c r="P29" s="1" t="s">
        <v>74</v>
      </c>
      <c r="Q29" s="1" t="s">
        <v>74</v>
      </c>
      <c r="R29" s="1" t="s">
        <v>74</v>
      </c>
      <c r="S29" s="1" t="s">
        <v>74</v>
      </c>
      <c r="T29" s="1" t="s">
        <v>74</v>
      </c>
      <c r="U29" s="1" t="s">
        <v>74</v>
      </c>
      <c r="V29" s="1" t="s">
        <v>395</v>
      </c>
      <c r="W29" s="1" t="s">
        <v>74</v>
      </c>
      <c r="X29" s="1" t="s">
        <v>74</v>
      </c>
      <c r="Y29" s="1" t="s">
        <v>74</v>
      </c>
      <c r="Z29" s="1" t="s">
        <v>74</v>
      </c>
      <c r="AA29" s="1" t="s">
        <v>396</v>
      </c>
      <c r="AB29" s="1" t="s">
        <v>397</v>
      </c>
      <c r="AC29" s="1" t="s">
        <v>74</v>
      </c>
      <c r="AD29" s="1" t="s">
        <v>74</v>
      </c>
      <c r="AE29" s="1" t="s">
        <v>74</v>
      </c>
      <c r="AF29" s="1" t="s">
        <v>74</v>
      </c>
      <c r="AG29" s="1" t="s">
        <v>74</v>
      </c>
      <c r="AH29" s="1" t="s">
        <v>74</v>
      </c>
      <c r="AI29" s="1" t="s">
        <v>74</v>
      </c>
      <c r="AJ29" s="1" t="s">
        <v>74</v>
      </c>
      <c r="AK29" s="1" t="s">
        <v>74</v>
      </c>
      <c r="AL29" s="1" t="s">
        <v>74</v>
      </c>
      <c r="AM29" s="1" t="s">
        <v>74</v>
      </c>
      <c r="AN29" s="1" t="s">
        <v>74</v>
      </c>
      <c r="AO29" s="1" t="s">
        <v>398</v>
      </c>
      <c r="AP29" s="1" t="s">
        <v>399</v>
      </c>
      <c r="AQ29" s="1" t="s">
        <v>74</v>
      </c>
      <c r="AR29" s="1" t="s">
        <v>74</v>
      </c>
      <c r="AS29" s="1" t="s">
        <v>74</v>
      </c>
      <c r="AT29" s="1" t="s">
        <v>400</v>
      </c>
      <c r="AU29" s="1">
        <v>2018.0</v>
      </c>
      <c r="AV29" s="1">
        <v>280.0</v>
      </c>
      <c r="AW29" s="1" t="s">
        <v>74</v>
      </c>
      <c r="AX29" s="1" t="s">
        <v>74</v>
      </c>
      <c r="AY29" s="1" t="s">
        <v>74</v>
      </c>
      <c r="AZ29" s="1" t="s">
        <v>74</v>
      </c>
      <c r="BA29" s="1" t="s">
        <v>74</v>
      </c>
      <c r="BB29" s="1">
        <v>38.0</v>
      </c>
      <c r="BC29" s="1">
        <v>41.0</v>
      </c>
      <c r="BD29" s="1" t="s">
        <v>74</v>
      </c>
      <c r="BE29" s="1" t="s">
        <v>401</v>
      </c>
      <c r="BF29" s="2" t="str">
        <f>HYPERLINK("http://dx.doi.org/10.1016/j.jbiotec.2018.06.001","http://dx.doi.org/10.1016/j.jbiotec.2018.06.001")</f>
        <v>http://dx.doi.org/10.1016/j.jbiotec.2018.06.001</v>
      </c>
      <c r="BG29" s="1" t="s">
        <v>74</v>
      </c>
      <c r="BH29" s="1" t="s">
        <v>74</v>
      </c>
      <c r="BI29" s="1" t="s">
        <v>74</v>
      </c>
      <c r="BJ29" s="1" t="s">
        <v>74</v>
      </c>
      <c r="BK29" s="1" t="s">
        <v>74</v>
      </c>
      <c r="BL29" s="1" t="s">
        <v>74</v>
      </c>
      <c r="BM29" s="1" t="s">
        <v>74</v>
      </c>
      <c r="BN29" s="1">
        <v>2.9879458E7</v>
      </c>
      <c r="BO29" s="1" t="s">
        <v>74</v>
      </c>
      <c r="BP29" s="1" t="s">
        <v>74</v>
      </c>
      <c r="BQ29" s="1" t="s">
        <v>74</v>
      </c>
      <c r="BR29" s="1" t="s">
        <v>74</v>
      </c>
      <c r="BS29" s="1" t="s">
        <v>402</v>
      </c>
      <c r="BT29" s="1" t="str">
        <f>HYPERLINK("https%3A%2F%2Fwww.webofscience.com%2Fwos%2Fwoscc%2Ffull-record%2FWOS:000438173900005","View Full Record in Web of Science")</f>
        <v>View Full Record in Web of Science</v>
      </c>
    </row>
    <row r="30" ht="12.75" customHeight="1">
      <c r="A30" s="1" t="s">
        <v>72</v>
      </c>
      <c r="B30" s="1" t="s">
        <v>403</v>
      </c>
      <c r="C30" s="1" t="s">
        <v>74</v>
      </c>
      <c r="D30" s="1" t="s">
        <v>74</v>
      </c>
      <c r="E30" s="1" t="s">
        <v>74</v>
      </c>
      <c r="F30" s="1" t="s">
        <v>404</v>
      </c>
      <c r="G30" s="1" t="s">
        <v>74</v>
      </c>
      <c r="H30" s="1" t="s">
        <v>74</v>
      </c>
      <c r="I30" s="1" t="s">
        <v>405</v>
      </c>
      <c r="J30" s="1" t="s">
        <v>406</v>
      </c>
      <c r="K30" s="1" t="s">
        <v>74</v>
      </c>
      <c r="L30" s="1" t="s">
        <v>74</v>
      </c>
      <c r="M30" s="1" t="s">
        <v>74</v>
      </c>
      <c r="N30" s="1" t="s">
        <v>74</v>
      </c>
      <c r="O30" s="1" t="s">
        <v>74</v>
      </c>
      <c r="P30" s="1" t="s">
        <v>74</v>
      </c>
      <c r="Q30" s="1" t="s">
        <v>74</v>
      </c>
      <c r="R30" s="1" t="s">
        <v>74</v>
      </c>
      <c r="S30" s="1" t="s">
        <v>74</v>
      </c>
      <c r="T30" s="1" t="s">
        <v>74</v>
      </c>
      <c r="U30" s="1" t="s">
        <v>74</v>
      </c>
      <c r="V30" s="1" t="s">
        <v>407</v>
      </c>
      <c r="W30" s="1" t="s">
        <v>74</v>
      </c>
      <c r="X30" s="1" t="s">
        <v>74</v>
      </c>
      <c r="Y30" s="1" t="s">
        <v>74</v>
      </c>
      <c r="Z30" s="1" t="s">
        <v>74</v>
      </c>
      <c r="AA30" s="1" t="s">
        <v>408</v>
      </c>
      <c r="AB30" s="1" t="s">
        <v>409</v>
      </c>
      <c r="AC30" s="1" t="s">
        <v>74</v>
      </c>
      <c r="AD30" s="1" t="s">
        <v>74</v>
      </c>
      <c r="AE30" s="1" t="s">
        <v>74</v>
      </c>
      <c r="AF30" s="1" t="s">
        <v>74</v>
      </c>
      <c r="AG30" s="1" t="s">
        <v>74</v>
      </c>
      <c r="AH30" s="1" t="s">
        <v>74</v>
      </c>
      <c r="AI30" s="1" t="s">
        <v>74</v>
      </c>
      <c r="AJ30" s="1" t="s">
        <v>74</v>
      </c>
      <c r="AK30" s="1" t="s">
        <v>74</v>
      </c>
      <c r="AL30" s="1" t="s">
        <v>74</v>
      </c>
      <c r="AM30" s="1" t="s">
        <v>74</v>
      </c>
      <c r="AN30" s="1" t="s">
        <v>74</v>
      </c>
      <c r="AO30" s="1" t="s">
        <v>410</v>
      </c>
      <c r="AP30" s="1" t="s">
        <v>411</v>
      </c>
      <c r="AQ30" s="1" t="s">
        <v>74</v>
      </c>
      <c r="AR30" s="1" t="s">
        <v>74</v>
      </c>
      <c r="AS30" s="1" t="s">
        <v>74</v>
      </c>
      <c r="AT30" s="1" t="s">
        <v>306</v>
      </c>
      <c r="AU30" s="1">
        <v>2018.0</v>
      </c>
      <c r="AV30" s="1">
        <v>35.0</v>
      </c>
      <c r="AW30" s="1">
        <v>2.0</v>
      </c>
      <c r="AX30" s="1" t="s">
        <v>74</v>
      </c>
      <c r="AY30" s="1" t="s">
        <v>74</v>
      </c>
      <c r="AZ30" s="1" t="s">
        <v>74</v>
      </c>
      <c r="BA30" s="1" t="s">
        <v>74</v>
      </c>
      <c r="BB30" s="1">
        <v>195.0</v>
      </c>
      <c r="BC30" s="1">
        <v>197.0</v>
      </c>
      <c r="BD30" s="1" t="s">
        <v>74</v>
      </c>
      <c r="BE30" s="1" t="s">
        <v>412</v>
      </c>
      <c r="BF30" s="2" t="str">
        <f>HYPERLINK("http://dx.doi.org/10.4067/s0716-10182018000200195","http://dx.doi.org/10.4067/s0716-10182018000200195")</f>
        <v>http://dx.doi.org/10.4067/s0716-10182018000200195</v>
      </c>
      <c r="BG30" s="1" t="s">
        <v>74</v>
      </c>
      <c r="BH30" s="1" t="s">
        <v>74</v>
      </c>
      <c r="BI30" s="1" t="s">
        <v>74</v>
      </c>
      <c r="BJ30" s="1" t="s">
        <v>74</v>
      </c>
      <c r="BK30" s="1" t="s">
        <v>74</v>
      </c>
      <c r="BL30" s="1" t="s">
        <v>74</v>
      </c>
      <c r="BM30" s="1" t="s">
        <v>74</v>
      </c>
      <c r="BN30" s="1">
        <v>2.9912259E7</v>
      </c>
      <c r="BO30" s="1" t="s">
        <v>74</v>
      </c>
      <c r="BP30" s="1" t="s">
        <v>74</v>
      </c>
      <c r="BQ30" s="1" t="s">
        <v>74</v>
      </c>
      <c r="BR30" s="1" t="s">
        <v>74</v>
      </c>
      <c r="BS30" s="1" t="s">
        <v>413</v>
      </c>
      <c r="BT30" s="1" t="str">
        <f>HYPERLINK("https%3A%2F%2Fwww.webofscience.com%2Fwos%2Fwoscc%2Ffull-record%2FWOS:000434006500013","View Full Record in Web of Science")</f>
        <v>View Full Record in Web of Science</v>
      </c>
    </row>
    <row r="31" ht="12.75" customHeight="1">
      <c r="A31" s="1" t="s">
        <v>72</v>
      </c>
      <c r="B31" s="1" t="s">
        <v>414</v>
      </c>
      <c r="C31" s="1" t="s">
        <v>74</v>
      </c>
      <c r="D31" s="1" t="s">
        <v>74</v>
      </c>
      <c r="E31" s="1" t="s">
        <v>74</v>
      </c>
      <c r="F31" s="1" t="s">
        <v>415</v>
      </c>
      <c r="G31" s="1" t="s">
        <v>74</v>
      </c>
      <c r="H31" s="1" t="s">
        <v>74</v>
      </c>
      <c r="I31" s="1" t="s">
        <v>416</v>
      </c>
      <c r="J31" s="1" t="s">
        <v>417</v>
      </c>
      <c r="K31" s="1" t="s">
        <v>74</v>
      </c>
      <c r="L31" s="1" t="s">
        <v>74</v>
      </c>
      <c r="M31" s="1" t="s">
        <v>74</v>
      </c>
      <c r="N31" s="1" t="s">
        <v>74</v>
      </c>
      <c r="O31" s="1" t="s">
        <v>74</v>
      </c>
      <c r="P31" s="1" t="s">
        <v>74</v>
      </c>
      <c r="Q31" s="1" t="s">
        <v>74</v>
      </c>
      <c r="R31" s="1" t="s">
        <v>74</v>
      </c>
      <c r="S31" s="1" t="s">
        <v>74</v>
      </c>
      <c r="T31" s="1" t="s">
        <v>74</v>
      </c>
      <c r="U31" s="1" t="s">
        <v>74</v>
      </c>
      <c r="V31" s="1" t="s">
        <v>418</v>
      </c>
      <c r="W31" s="1" t="s">
        <v>74</v>
      </c>
      <c r="X31" s="1" t="s">
        <v>74</v>
      </c>
      <c r="Y31" s="1" t="s">
        <v>74</v>
      </c>
      <c r="Z31" s="1" t="s">
        <v>74</v>
      </c>
      <c r="AA31" s="1" t="s">
        <v>419</v>
      </c>
      <c r="AB31" s="1" t="s">
        <v>420</v>
      </c>
      <c r="AC31" s="1" t="s">
        <v>74</v>
      </c>
      <c r="AD31" s="1" t="s">
        <v>74</v>
      </c>
      <c r="AE31" s="1" t="s">
        <v>74</v>
      </c>
      <c r="AF31" s="1" t="s">
        <v>74</v>
      </c>
      <c r="AG31" s="1" t="s">
        <v>74</v>
      </c>
      <c r="AH31" s="1" t="s">
        <v>74</v>
      </c>
      <c r="AI31" s="1" t="s">
        <v>74</v>
      </c>
      <c r="AJ31" s="1" t="s">
        <v>74</v>
      </c>
      <c r="AK31" s="1" t="s">
        <v>74</v>
      </c>
      <c r="AL31" s="1" t="s">
        <v>74</v>
      </c>
      <c r="AM31" s="1" t="s">
        <v>74</v>
      </c>
      <c r="AN31" s="1" t="s">
        <v>74</v>
      </c>
      <c r="AO31" s="1" t="s">
        <v>421</v>
      </c>
      <c r="AP31" s="1" t="s">
        <v>422</v>
      </c>
      <c r="AQ31" s="1" t="s">
        <v>74</v>
      </c>
      <c r="AR31" s="1" t="s">
        <v>74</v>
      </c>
      <c r="AS31" s="1" t="s">
        <v>74</v>
      </c>
      <c r="AT31" s="1" t="s">
        <v>257</v>
      </c>
      <c r="AU31" s="1">
        <v>2018.0</v>
      </c>
      <c r="AV31" s="1">
        <v>19.0</v>
      </c>
      <c r="AW31" s="1">
        <v>3.0</v>
      </c>
      <c r="AX31" s="1" t="s">
        <v>74</v>
      </c>
      <c r="AY31" s="1" t="s">
        <v>74</v>
      </c>
      <c r="AZ31" s="1" t="s">
        <v>74</v>
      </c>
      <c r="BA31" s="1" t="s">
        <v>74</v>
      </c>
      <c r="BB31" s="1">
        <v>841.0</v>
      </c>
      <c r="BC31" s="1">
        <v>861.0</v>
      </c>
      <c r="BD31" s="1" t="s">
        <v>74</v>
      </c>
      <c r="BE31" s="1" t="s">
        <v>423</v>
      </c>
      <c r="BF31" s="2" t="str">
        <f>HYPERLINK("http://dx.doi.org/10.1007/s10902-017-9849-y","http://dx.doi.org/10.1007/s10902-017-9849-y")</f>
        <v>http://dx.doi.org/10.1007/s10902-017-9849-y</v>
      </c>
      <c r="BG31" s="1" t="s">
        <v>74</v>
      </c>
      <c r="BH31" s="1" t="s">
        <v>74</v>
      </c>
      <c r="BI31" s="1" t="s">
        <v>74</v>
      </c>
      <c r="BJ31" s="1" t="s">
        <v>74</v>
      </c>
      <c r="BK31" s="1" t="s">
        <v>74</v>
      </c>
      <c r="BL31" s="1" t="s">
        <v>74</v>
      </c>
      <c r="BM31" s="1" t="s">
        <v>74</v>
      </c>
      <c r="BN31" s="1" t="s">
        <v>74</v>
      </c>
      <c r="BO31" s="1" t="s">
        <v>74</v>
      </c>
      <c r="BP31" s="1" t="s">
        <v>74</v>
      </c>
      <c r="BQ31" s="1" t="s">
        <v>74</v>
      </c>
      <c r="BR31" s="1" t="s">
        <v>74</v>
      </c>
      <c r="BS31" s="1" t="s">
        <v>424</v>
      </c>
      <c r="BT31" s="1" t="str">
        <f>HYPERLINK("https%3A%2F%2Fwww.webofscience.com%2Fwos%2Fwoscc%2Ffull-record%2FWOS:000429942100011","View Full Record in Web of Science")</f>
        <v>View Full Record in Web of Science</v>
      </c>
    </row>
    <row r="32" ht="12.75" customHeight="1">
      <c r="A32" s="1" t="s">
        <v>72</v>
      </c>
      <c r="B32" s="1" t="s">
        <v>425</v>
      </c>
      <c r="C32" s="1" t="s">
        <v>74</v>
      </c>
      <c r="D32" s="1" t="s">
        <v>74</v>
      </c>
      <c r="E32" s="1" t="s">
        <v>74</v>
      </c>
      <c r="F32" s="1" t="s">
        <v>426</v>
      </c>
      <c r="G32" s="1" t="s">
        <v>74</v>
      </c>
      <c r="H32" s="1" t="s">
        <v>74</v>
      </c>
      <c r="I32" s="1" t="s">
        <v>427</v>
      </c>
      <c r="J32" s="1" t="s">
        <v>428</v>
      </c>
      <c r="K32" s="1" t="s">
        <v>74</v>
      </c>
      <c r="L32" s="1" t="s">
        <v>74</v>
      </c>
      <c r="M32" s="1" t="s">
        <v>74</v>
      </c>
      <c r="N32" s="1" t="s">
        <v>74</v>
      </c>
      <c r="O32" s="1" t="s">
        <v>74</v>
      </c>
      <c r="P32" s="1" t="s">
        <v>74</v>
      </c>
      <c r="Q32" s="1" t="s">
        <v>74</v>
      </c>
      <c r="R32" s="1" t="s">
        <v>74</v>
      </c>
      <c r="S32" s="1" t="s">
        <v>74</v>
      </c>
      <c r="T32" s="1" t="s">
        <v>74</v>
      </c>
      <c r="U32" s="1" t="s">
        <v>74</v>
      </c>
      <c r="V32" s="1" t="s">
        <v>429</v>
      </c>
      <c r="W32" s="1" t="s">
        <v>74</v>
      </c>
      <c r="X32" s="1" t="s">
        <v>74</v>
      </c>
      <c r="Y32" s="1" t="s">
        <v>74</v>
      </c>
      <c r="Z32" s="1" t="s">
        <v>74</v>
      </c>
      <c r="AA32" s="1" t="s">
        <v>430</v>
      </c>
      <c r="AB32" s="1" t="s">
        <v>143</v>
      </c>
      <c r="AC32" s="1" t="s">
        <v>74</v>
      </c>
      <c r="AD32" s="1" t="s">
        <v>74</v>
      </c>
      <c r="AE32" s="1" t="s">
        <v>74</v>
      </c>
      <c r="AF32" s="1" t="s">
        <v>74</v>
      </c>
      <c r="AG32" s="1" t="s">
        <v>74</v>
      </c>
      <c r="AH32" s="1" t="s">
        <v>74</v>
      </c>
      <c r="AI32" s="1" t="s">
        <v>74</v>
      </c>
      <c r="AJ32" s="1" t="s">
        <v>74</v>
      </c>
      <c r="AK32" s="1" t="s">
        <v>74</v>
      </c>
      <c r="AL32" s="1" t="s">
        <v>74</v>
      </c>
      <c r="AM32" s="1" t="s">
        <v>74</v>
      </c>
      <c r="AN32" s="1" t="s">
        <v>74</v>
      </c>
      <c r="AO32" s="1" t="s">
        <v>431</v>
      </c>
      <c r="AP32" s="1" t="s">
        <v>432</v>
      </c>
      <c r="AQ32" s="1" t="s">
        <v>74</v>
      </c>
      <c r="AR32" s="1" t="s">
        <v>74</v>
      </c>
      <c r="AS32" s="1" t="s">
        <v>74</v>
      </c>
      <c r="AT32" s="1" t="s">
        <v>235</v>
      </c>
      <c r="AU32" s="1">
        <v>2018.0</v>
      </c>
      <c r="AV32" s="1">
        <v>98.0</v>
      </c>
      <c r="AW32" s="1" t="s">
        <v>74</v>
      </c>
      <c r="AX32" s="1" t="s">
        <v>74</v>
      </c>
      <c r="AY32" s="1" t="s">
        <v>74</v>
      </c>
      <c r="AZ32" s="1" t="s">
        <v>74</v>
      </c>
      <c r="BA32" s="1" t="s">
        <v>74</v>
      </c>
      <c r="BB32" s="1">
        <v>15.0</v>
      </c>
      <c r="BC32" s="1">
        <v>24.0</v>
      </c>
      <c r="BD32" s="1" t="s">
        <v>74</v>
      </c>
      <c r="BE32" s="1" t="s">
        <v>433</v>
      </c>
      <c r="BF32" s="2" t="str">
        <f>HYPERLINK("http://dx.doi.org/10.1016/j.materresbull.2017.10.002","http://dx.doi.org/10.1016/j.materresbull.2017.10.002")</f>
        <v>http://dx.doi.org/10.1016/j.materresbull.2017.10.002</v>
      </c>
      <c r="BG32" s="1" t="s">
        <v>74</v>
      </c>
      <c r="BH32" s="1" t="s">
        <v>74</v>
      </c>
      <c r="BI32" s="1" t="s">
        <v>74</v>
      </c>
      <c r="BJ32" s="1" t="s">
        <v>74</v>
      </c>
      <c r="BK32" s="1" t="s">
        <v>74</v>
      </c>
      <c r="BL32" s="1" t="s">
        <v>74</v>
      </c>
      <c r="BM32" s="1" t="s">
        <v>74</v>
      </c>
      <c r="BN32" s="1" t="s">
        <v>74</v>
      </c>
      <c r="BO32" s="1" t="s">
        <v>74</v>
      </c>
      <c r="BP32" s="1" t="s">
        <v>74</v>
      </c>
      <c r="BQ32" s="1" t="s">
        <v>74</v>
      </c>
      <c r="BR32" s="1" t="s">
        <v>74</v>
      </c>
      <c r="BS32" s="1" t="s">
        <v>434</v>
      </c>
      <c r="BT32" s="1" t="str">
        <f>HYPERLINK("https%3A%2F%2Fwww.webofscience.com%2Fwos%2Fwoscc%2Ffull-record%2FWOS:000418221900003","View Full Record in Web of Science")</f>
        <v>View Full Record in Web of Science</v>
      </c>
    </row>
    <row r="33" ht="12.75" customHeight="1">
      <c r="A33" s="1" t="s">
        <v>72</v>
      </c>
      <c r="B33" s="1" t="s">
        <v>435</v>
      </c>
      <c r="C33" s="1" t="s">
        <v>74</v>
      </c>
      <c r="D33" s="1" t="s">
        <v>74</v>
      </c>
      <c r="E33" s="1" t="s">
        <v>74</v>
      </c>
      <c r="F33" s="1" t="s">
        <v>436</v>
      </c>
      <c r="G33" s="1" t="s">
        <v>74</v>
      </c>
      <c r="H33" s="1" t="s">
        <v>74</v>
      </c>
      <c r="I33" s="1" t="s">
        <v>437</v>
      </c>
      <c r="J33" s="1" t="s">
        <v>438</v>
      </c>
      <c r="K33" s="1" t="s">
        <v>74</v>
      </c>
      <c r="L33" s="1" t="s">
        <v>74</v>
      </c>
      <c r="M33" s="1" t="s">
        <v>74</v>
      </c>
      <c r="N33" s="1" t="s">
        <v>74</v>
      </c>
      <c r="O33" s="1" t="s">
        <v>74</v>
      </c>
      <c r="P33" s="1" t="s">
        <v>74</v>
      </c>
      <c r="Q33" s="1" t="s">
        <v>74</v>
      </c>
      <c r="R33" s="1" t="s">
        <v>74</v>
      </c>
      <c r="S33" s="1" t="s">
        <v>74</v>
      </c>
      <c r="T33" s="1" t="s">
        <v>74</v>
      </c>
      <c r="U33" s="1" t="s">
        <v>74</v>
      </c>
      <c r="V33" s="1" t="s">
        <v>439</v>
      </c>
      <c r="W33" s="1" t="s">
        <v>74</v>
      </c>
      <c r="X33" s="1" t="s">
        <v>74</v>
      </c>
      <c r="Y33" s="1" t="s">
        <v>74</v>
      </c>
      <c r="Z33" s="1" t="s">
        <v>74</v>
      </c>
      <c r="AA33" s="1" t="s">
        <v>440</v>
      </c>
      <c r="AB33" s="1" t="s">
        <v>441</v>
      </c>
      <c r="AC33" s="1" t="s">
        <v>74</v>
      </c>
      <c r="AD33" s="1" t="s">
        <v>74</v>
      </c>
      <c r="AE33" s="1" t="s">
        <v>74</v>
      </c>
      <c r="AF33" s="1" t="s">
        <v>74</v>
      </c>
      <c r="AG33" s="1" t="s">
        <v>74</v>
      </c>
      <c r="AH33" s="1" t="s">
        <v>74</v>
      </c>
      <c r="AI33" s="1" t="s">
        <v>74</v>
      </c>
      <c r="AJ33" s="1" t="s">
        <v>74</v>
      </c>
      <c r="AK33" s="1" t="s">
        <v>74</v>
      </c>
      <c r="AL33" s="1" t="s">
        <v>74</v>
      </c>
      <c r="AM33" s="1" t="s">
        <v>74</v>
      </c>
      <c r="AN33" s="1" t="s">
        <v>74</v>
      </c>
      <c r="AO33" s="1" t="s">
        <v>442</v>
      </c>
      <c r="AP33" s="1" t="s">
        <v>443</v>
      </c>
      <c r="AQ33" s="1" t="s">
        <v>74</v>
      </c>
      <c r="AR33" s="1" t="s">
        <v>74</v>
      </c>
      <c r="AS33" s="1" t="s">
        <v>74</v>
      </c>
      <c r="AT33" s="1" t="s">
        <v>444</v>
      </c>
      <c r="AU33" s="1">
        <v>2017.0</v>
      </c>
      <c r="AV33" s="1">
        <v>29.0</v>
      </c>
      <c r="AW33" s="1">
        <v>4.0</v>
      </c>
      <c r="AX33" s="1" t="s">
        <v>74</v>
      </c>
      <c r="AY33" s="1" t="s">
        <v>74</v>
      </c>
      <c r="AZ33" s="1" t="s">
        <v>445</v>
      </c>
      <c r="BA33" s="1" t="s">
        <v>74</v>
      </c>
      <c r="BB33" s="1" t="s">
        <v>74</v>
      </c>
      <c r="BC33" s="1" t="s">
        <v>74</v>
      </c>
      <c r="BD33" s="1" t="s">
        <v>446</v>
      </c>
      <c r="BE33" s="1" t="s">
        <v>447</v>
      </c>
      <c r="BF33" s="2" t="str">
        <f>HYPERLINK("http://dx.doi.org/10.1002/ajhb.22970","http://dx.doi.org/10.1002/ajhb.22970")</f>
        <v>http://dx.doi.org/10.1002/ajhb.22970</v>
      </c>
      <c r="BG33" s="1" t="s">
        <v>74</v>
      </c>
      <c r="BH33" s="1" t="s">
        <v>74</v>
      </c>
      <c r="BI33" s="1" t="s">
        <v>74</v>
      </c>
      <c r="BJ33" s="1" t="s">
        <v>74</v>
      </c>
      <c r="BK33" s="1" t="s">
        <v>74</v>
      </c>
      <c r="BL33" s="1" t="s">
        <v>74</v>
      </c>
      <c r="BM33" s="1" t="s">
        <v>74</v>
      </c>
      <c r="BN33" s="1">
        <v>2.8120433E7</v>
      </c>
      <c r="BO33" s="1" t="s">
        <v>74</v>
      </c>
      <c r="BP33" s="1" t="s">
        <v>74</v>
      </c>
      <c r="BQ33" s="1" t="s">
        <v>74</v>
      </c>
      <c r="BR33" s="1" t="s">
        <v>74</v>
      </c>
      <c r="BS33" s="1" t="s">
        <v>448</v>
      </c>
      <c r="BT33" s="1" t="str">
        <f>HYPERLINK("https%3A%2F%2Fwww.webofscience.com%2Fwos%2Fwoscc%2Ffull-record%2FWOS:000406970500016","View Full Record in Web of Science")</f>
        <v>View Full Record in Web of Science</v>
      </c>
    </row>
    <row r="34" ht="12.75" customHeight="1">
      <c r="A34" s="1" t="s">
        <v>72</v>
      </c>
      <c r="B34" s="1" t="s">
        <v>449</v>
      </c>
      <c r="C34" s="1" t="s">
        <v>74</v>
      </c>
      <c r="D34" s="1" t="s">
        <v>74</v>
      </c>
      <c r="E34" s="1" t="s">
        <v>74</v>
      </c>
      <c r="F34" s="1" t="s">
        <v>450</v>
      </c>
      <c r="G34" s="1" t="s">
        <v>74</v>
      </c>
      <c r="H34" s="1" t="s">
        <v>74</v>
      </c>
      <c r="I34" s="1" t="s">
        <v>451</v>
      </c>
      <c r="J34" s="1" t="s">
        <v>452</v>
      </c>
      <c r="K34" s="1" t="s">
        <v>74</v>
      </c>
      <c r="L34" s="1" t="s">
        <v>74</v>
      </c>
      <c r="M34" s="1" t="s">
        <v>74</v>
      </c>
      <c r="N34" s="1" t="s">
        <v>74</v>
      </c>
      <c r="O34" s="1" t="s">
        <v>453</v>
      </c>
      <c r="P34" s="1" t="s">
        <v>454</v>
      </c>
      <c r="Q34" s="1" t="s">
        <v>455</v>
      </c>
      <c r="R34" s="1" t="s">
        <v>456</v>
      </c>
      <c r="S34" s="1" t="s">
        <v>74</v>
      </c>
      <c r="T34" s="1" t="s">
        <v>74</v>
      </c>
      <c r="U34" s="1" t="s">
        <v>74</v>
      </c>
      <c r="V34" s="1" t="s">
        <v>74</v>
      </c>
      <c r="W34" s="1" t="s">
        <v>74</v>
      </c>
      <c r="X34" s="1" t="s">
        <v>74</v>
      </c>
      <c r="Y34" s="1" t="s">
        <v>74</v>
      </c>
      <c r="Z34" s="1" t="s">
        <v>74</v>
      </c>
      <c r="AA34" s="1" t="s">
        <v>457</v>
      </c>
      <c r="AB34" s="1" t="s">
        <v>458</v>
      </c>
      <c r="AC34" s="1" t="s">
        <v>74</v>
      </c>
      <c r="AD34" s="1" t="s">
        <v>74</v>
      </c>
      <c r="AE34" s="1" t="s">
        <v>74</v>
      </c>
      <c r="AF34" s="1" t="s">
        <v>74</v>
      </c>
      <c r="AG34" s="1" t="s">
        <v>74</v>
      </c>
      <c r="AH34" s="1" t="s">
        <v>74</v>
      </c>
      <c r="AI34" s="1" t="s">
        <v>74</v>
      </c>
      <c r="AJ34" s="1" t="s">
        <v>74</v>
      </c>
      <c r="AK34" s="1" t="s">
        <v>74</v>
      </c>
      <c r="AL34" s="1" t="s">
        <v>74</v>
      </c>
      <c r="AM34" s="1" t="s">
        <v>74</v>
      </c>
      <c r="AN34" s="1" t="s">
        <v>74</v>
      </c>
      <c r="AO34" s="1" t="s">
        <v>459</v>
      </c>
      <c r="AP34" s="1" t="s">
        <v>460</v>
      </c>
      <c r="AQ34" s="1" t="s">
        <v>74</v>
      </c>
      <c r="AR34" s="1" t="s">
        <v>74</v>
      </c>
      <c r="AS34" s="1" t="s">
        <v>74</v>
      </c>
      <c r="AT34" s="1" t="s">
        <v>180</v>
      </c>
      <c r="AU34" s="1">
        <v>2017.0</v>
      </c>
      <c r="AV34" s="1">
        <v>49.0</v>
      </c>
      <c r="AW34" s="1">
        <v>5.0</v>
      </c>
      <c r="AX34" s="1" t="s">
        <v>74</v>
      </c>
      <c r="AY34" s="1">
        <v>1.0</v>
      </c>
      <c r="AZ34" s="1" t="s">
        <v>74</v>
      </c>
      <c r="BA34" s="1">
        <v>222.0</v>
      </c>
      <c r="BB34" s="1">
        <v>41.0</v>
      </c>
      <c r="BC34" s="1">
        <v>41.0</v>
      </c>
      <c r="BD34" s="1" t="s">
        <v>74</v>
      </c>
      <c r="BE34" s="1" t="s">
        <v>461</v>
      </c>
      <c r="BF34" s="2" t="str">
        <f>HYPERLINK("http://dx.doi.org/10.1249/01.mss.0000516932.49184.6f","http://dx.doi.org/10.1249/01.mss.0000516932.49184.6f")</f>
        <v>http://dx.doi.org/10.1249/01.mss.0000516932.49184.6f</v>
      </c>
      <c r="BG34" s="1" t="s">
        <v>74</v>
      </c>
      <c r="BH34" s="1" t="s">
        <v>74</v>
      </c>
      <c r="BI34" s="1" t="s">
        <v>74</v>
      </c>
      <c r="BJ34" s="1" t="s">
        <v>74</v>
      </c>
      <c r="BK34" s="1" t="s">
        <v>74</v>
      </c>
      <c r="BL34" s="1" t="s">
        <v>74</v>
      </c>
      <c r="BM34" s="1" t="s">
        <v>74</v>
      </c>
      <c r="BN34" s="1" t="s">
        <v>74</v>
      </c>
      <c r="BO34" s="1" t="s">
        <v>74</v>
      </c>
      <c r="BP34" s="1" t="s">
        <v>74</v>
      </c>
      <c r="BQ34" s="1" t="s">
        <v>74</v>
      </c>
      <c r="BR34" s="1" t="s">
        <v>74</v>
      </c>
      <c r="BS34" s="1" t="s">
        <v>462</v>
      </c>
      <c r="BT34" s="1" t="str">
        <f>HYPERLINK("https%3A%2F%2Fwww.webofscience.com%2Fwos%2Fwoscc%2Ffull-record%2FWOS:000413842900110","View Full Record in Web of Science")</f>
        <v>View Full Record in Web of Science</v>
      </c>
    </row>
    <row r="35" ht="12.75" customHeight="1">
      <c r="A35" s="1" t="s">
        <v>182</v>
      </c>
      <c r="B35" s="1" t="s">
        <v>463</v>
      </c>
      <c r="C35" s="1" t="s">
        <v>74</v>
      </c>
      <c r="D35" s="1" t="s">
        <v>74</v>
      </c>
      <c r="E35" s="1" t="s">
        <v>184</v>
      </c>
      <c r="F35" s="1" t="s">
        <v>464</v>
      </c>
      <c r="G35" s="1" t="s">
        <v>74</v>
      </c>
      <c r="H35" s="1" t="s">
        <v>74</v>
      </c>
      <c r="I35" s="1" t="s">
        <v>465</v>
      </c>
      <c r="J35" s="1" t="s">
        <v>466</v>
      </c>
      <c r="K35" s="1" t="s">
        <v>74</v>
      </c>
      <c r="L35" s="1" t="s">
        <v>74</v>
      </c>
      <c r="M35" s="1" t="s">
        <v>74</v>
      </c>
      <c r="N35" s="1" t="s">
        <v>74</v>
      </c>
      <c r="O35" s="1" t="s">
        <v>467</v>
      </c>
      <c r="P35" s="1" t="s">
        <v>468</v>
      </c>
      <c r="Q35" s="1" t="s">
        <v>469</v>
      </c>
      <c r="R35" s="1" t="s">
        <v>470</v>
      </c>
      <c r="S35" s="1" t="s">
        <v>74</v>
      </c>
      <c r="T35" s="1" t="s">
        <v>74</v>
      </c>
      <c r="U35" s="1" t="s">
        <v>74</v>
      </c>
      <c r="V35" s="1" t="s">
        <v>471</v>
      </c>
      <c r="W35" s="1" t="s">
        <v>74</v>
      </c>
      <c r="X35" s="1" t="s">
        <v>74</v>
      </c>
      <c r="Y35" s="1" t="s">
        <v>74</v>
      </c>
      <c r="Z35" s="1" t="s">
        <v>74</v>
      </c>
      <c r="AA35" s="1" t="s">
        <v>472</v>
      </c>
      <c r="AB35" s="1" t="s">
        <v>74</v>
      </c>
      <c r="AC35" s="1" t="s">
        <v>74</v>
      </c>
      <c r="AD35" s="1" t="s">
        <v>74</v>
      </c>
      <c r="AE35" s="1" t="s">
        <v>74</v>
      </c>
      <c r="AF35" s="1" t="s">
        <v>74</v>
      </c>
      <c r="AG35" s="1" t="s">
        <v>74</v>
      </c>
      <c r="AH35" s="1" t="s">
        <v>74</v>
      </c>
      <c r="AI35" s="1" t="s">
        <v>74</v>
      </c>
      <c r="AJ35" s="1" t="s">
        <v>74</v>
      </c>
      <c r="AK35" s="1" t="s">
        <v>74</v>
      </c>
      <c r="AL35" s="1" t="s">
        <v>74</v>
      </c>
      <c r="AM35" s="1" t="s">
        <v>74</v>
      </c>
      <c r="AN35" s="1" t="s">
        <v>74</v>
      </c>
      <c r="AO35" s="1" t="s">
        <v>74</v>
      </c>
      <c r="AP35" s="1" t="s">
        <v>74</v>
      </c>
      <c r="AQ35" s="1" t="s">
        <v>74</v>
      </c>
      <c r="AR35" s="1" t="s">
        <v>74</v>
      </c>
      <c r="AS35" s="1" t="s">
        <v>74</v>
      </c>
      <c r="AT35" s="1" t="s">
        <v>74</v>
      </c>
      <c r="AU35" s="1">
        <v>2017.0</v>
      </c>
      <c r="AV35" s="1" t="s">
        <v>74</v>
      </c>
      <c r="AW35" s="1" t="s">
        <v>74</v>
      </c>
      <c r="AX35" s="1" t="s">
        <v>74</v>
      </c>
      <c r="AY35" s="1" t="s">
        <v>74</v>
      </c>
      <c r="AZ35" s="1" t="s">
        <v>74</v>
      </c>
      <c r="BA35" s="1" t="s">
        <v>74</v>
      </c>
      <c r="BB35" s="1">
        <v>441.0</v>
      </c>
      <c r="BC35" s="1">
        <v>446.0</v>
      </c>
      <c r="BD35" s="1" t="s">
        <v>74</v>
      </c>
      <c r="BE35" s="1" t="s">
        <v>74</v>
      </c>
      <c r="BF35" s="1" t="s">
        <v>74</v>
      </c>
      <c r="BG35" s="1" t="s">
        <v>74</v>
      </c>
      <c r="BH35" s="1" t="s">
        <v>74</v>
      </c>
      <c r="BI35" s="1" t="s">
        <v>74</v>
      </c>
      <c r="BJ35" s="1" t="s">
        <v>74</v>
      </c>
      <c r="BK35" s="1" t="s">
        <v>74</v>
      </c>
      <c r="BL35" s="1" t="s">
        <v>74</v>
      </c>
      <c r="BM35" s="1" t="s">
        <v>74</v>
      </c>
      <c r="BN35" s="1" t="s">
        <v>74</v>
      </c>
      <c r="BO35" s="1" t="s">
        <v>74</v>
      </c>
      <c r="BP35" s="1" t="s">
        <v>74</v>
      </c>
      <c r="BQ35" s="1" t="s">
        <v>74</v>
      </c>
      <c r="BR35" s="1" t="s">
        <v>74</v>
      </c>
      <c r="BS35" s="1" t="s">
        <v>473</v>
      </c>
      <c r="BT35" s="1" t="str">
        <f>HYPERLINK("https%3A%2F%2Fwww.webofscience.com%2Fwos%2Fwoscc%2Ffull-record%2FWOS:000454362300074","View Full Record in Web of Science")</f>
        <v>View Full Record in Web of Science</v>
      </c>
    </row>
    <row r="36" ht="12.75" customHeight="1">
      <c r="A36" s="1" t="s">
        <v>72</v>
      </c>
      <c r="B36" s="1" t="s">
        <v>474</v>
      </c>
      <c r="C36" s="1" t="s">
        <v>74</v>
      </c>
      <c r="D36" s="1" t="s">
        <v>74</v>
      </c>
      <c r="E36" s="1" t="s">
        <v>74</v>
      </c>
      <c r="F36" s="1" t="s">
        <v>475</v>
      </c>
      <c r="G36" s="1" t="s">
        <v>74</v>
      </c>
      <c r="H36" s="1" t="s">
        <v>74</v>
      </c>
      <c r="I36" s="1" t="s">
        <v>476</v>
      </c>
      <c r="J36" s="1" t="s">
        <v>477</v>
      </c>
      <c r="K36" s="1" t="s">
        <v>74</v>
      </c>
      <c r="L36" s="1" t="s">
        <v>74</v>
      </c>
      <c r="M36" s="1" t="s">
        <v>74</v>
      </c>
      <c r="N36" s="1" t="s">
        <v>74</v>
      </c>
      <c r="O36" s="1" t="s">
        <v>74</v>
      </c>
      <c r="P36" s="1" t="s">
        <v>74</v>
      </c>
      <c r="Q36" s="1" t="s">
        <v>74</v>
      </c>
      <c r="R36" s="1" t="s">
        <v>74</v>
      </c>
      <c r="S36" s="1" t="s">
        <v>74</v>
      </c>
      <c r="T36" s="1" t="s">
        <v>74</v>
      </c>
      <c r="U36" s="1" t="s">
        <v>74</v>
      </c>
      <c r="V36" s="1" t="s">
        <v>478</v>
      </c>
      <c r="W36" s="1" t="s">
        <v>74</v>
      </c>
      <c r="X36" s="1" t="s">
        <v>74</v>
      </c>
      <c r="Y36" s="1" t="s">
        <v>74</v>
      </c>
      <c r="Z36" s="1" t="s">
        <v>74</v>
      </c>
      <c r="AA36" s="1" t="s">
        <v>479</v>
      </c>
      <c r="AB36" s="1" t="s">
        <v>480</v>
      </c>
      <c r="AC36" s="1" t="s">
        <v>74</v>
      </c>
      <c r="AD36" s="1" t="s">
        <v>74</v>
      </c>
      <c r="AE36" s="1" t="s">
        <v>74</v>
      </c>
      <c r="AF36" s="1" t="s">
        <v>74</v>
      </c>
      <c r="AG36" s="1" t="s">
        <v>74</v>
      </c>
      <c r="AH36" s="1" t="s">
        <v>74</v>
      </c>
      <c r="AI36" s="1" t="s">
        <v>74</v>
      </c>
      <c r="AJ36" s="1" t="s">
        <v>74</v>
      </c>
      <c r="AK36" s="1" t="s">
        <v>74</v>
      </c>
      <c r="AL36" s="1" t="s">
        <v>74</v>
      </c>
      <c r="AM36" s="1" t="s">
        <v>74</v>
      </c>
      <c r="AN36" s="1" t="s">
        <v>74</v>
      </c>
      <c r="AO36" s="1" t="s">
        <v>481</v>
      </c>
      <c r="AP36" s="1" t="s">
        <v>482</v>
      </c>
      <c r="AQ36" s="1" t="s">
        <v>74</v>
      </c>
      <c r="AR36" s="1" t="s">
        <v>74</v>
      </c>
      <c r="AS36" s="1" t="s">
        <v>74</v>
      </c>
      <c r="AT36" s="1" t="s">
        <v>483</v>
      </c>
      <c r="AU36" s="1">
        <v>2016.0</v>
      </c>
      <c r="AV36" s="1">
        <v>94.0</v>
      </c>
      <c r="AW36" s="1">
        <v>1.0</v>
      </c>
      <c r="AX36" s="1" t="s">
        <v>74</v>
      </c>
      <c r="AY36" s="1" t="s">
        <v>74</v>
      </c>
      <c r="AZ36" s="1" t="s">
        <v>74</v>
      </c>
      <c r="BA36" s="1" t="s">
        <v>74</v>
      </c>
      <c r="BB36" s="1" t="s">
        <v>74</v>
      </c>
      <c r="BC36" s="1" t="s">
        <v>74</v>
      </c>
      <c r="BD36" s="1">
        <v>12901.0</v>
      </c>
      <c r="BE36" s="1" t="s">
        <v>484</v>
      </c>
      <c r="BF36" s="2" t="str">
        <f>HYPERLINK("http://dx.doi.org/10.1103/PhysRevE.94.012901","http://dx.doi.org/10.1103/PhysRevE.94.012901")</f>
        <v>http://dx.doi.org/10.1103/PhysRevE.94.012901</v>
      </c>
      <c r="BG36" s="1" t="s">
        <v>74</v>
      </c>
      <c r="BH36" s="1" t="s">
        <v>74</v>
      </c>
      <c r="BI36" s="1" t="s">
        <v>74</v>
      </c>
      <c r="BJ36" s="1" t="s">
        <v>74</v>
      </c>
      <c r="BK36" s="1" t="s">
        <v>74</v>
      </c>
      <c r="BL36" s="1" t="s">
        <v>74</v>
      </c>
      <c r="BM36" s="1" t="s">
        <v>74</v>
      </c>
      <c r="BN36" s="1">
        <v>2.75752E7</v>
      </c>
      <c r="BO36" s="1" t="s">
        <v>74</v>
      </c>
      <c r="BP36" s="1" t="s">
        <v>74</v>
      </c>
      <c r="BQ36" s="1" t="s">
        <v>74</v>
      </c>
      <c r="BR36" s="1" t="s">
        <v>74</v>
      </c>
      <c r="BS36" s="1" t="s">
        <v>485</v>
      </c>
      <c r="BT36" s="1" t="str">
        <f>HYPERLINK("https%3A%2F%2Fwww.webofscience.com%2Fwos%2Fwoscc%2Ffull-record%2FWOS:000379724600015","View Full Record in Web of Science")</f>
        <v>View Full Record in Web of Science</v>
      </c>
    </row>
    <row r="37" ht="12.75" customHeight="1">
      <c r="A37" s="1" t="s">
        <v>72</v>
      </c>
      <c r="B37" s="1" t="s">
        <v>486</v>
      </c>
      <c r="C37" s="1" t="s">
        <v>74</v>
      </c>
      <c r="D37" s="1" t="s">
        <v>74</v>
      </c>
      <c r="E37" s="1" t="s">
        <v>74</v>
      </c>
      <c r="F37" s="1" t="s">
        <v>487</v>
      </c>
      <c r="G37" s="1" t="s">
        <v>74</v>
      </c>
      <c r="H37" s="1" t="s">
        <v>74</v>
      </c>
      <c r="I37" s="1" t="s">
        <v>488</v>
      </c>
      <c r="J37" s="1" t="s">
        <v>489</v>
      </c>
      <c r="K37" s="1" t="s">
        <v>74</v>
      </c>
      <c r="L37" s="1" t="s">
        <v>74</v>
      </c>
      <c r="M37" s="1" t="s">
        <v>74</v>
      </c>
      <c r="N37" s="1" t="s">
        <v>74</v>
      </c>
      <c r="O37" s="1" t="s">
        <v>74</v>
      </c>
      <c r="P37" s="1" t="s">
        <v>74</v>
      </c>
      <c r="Q37" s="1" t="s">
        <v>74</v>
      </c>
      <c r="R37" s="1" t="s">
        <v>74</v>
      </c>
      <c r="S37" s="1" t="s">
        <v>74</v>
      </c>
      <c r="T37" s="1" t="s">
        <v>74</v>
      </c>
      <c r="U37" s="1" t="s">
        <v>74</v>
      </c>
      <c r="V37" s="1" t="s">
        <v>490</v>
      </c>
      <c r="W37" s="1" t="s">
        <v>74</v>
      </c>
      <c r="X37" s="1" t="s">
        <v>74</v>
      </c>
      <c r="Y37" s="1" t="s">
        <v>74</v>
      </c>
      <c r="Z37" s="1" t="s">
        <v>74</v>
      </c>
      <c r="AA37" s="1" t="s">
        <v>74</v>
      </c>
      <c r="AB37" s="1" t="s">
        <v>491</v>
      </c>
      <c r="AC37" s="1" t="s">
        <v>74</v>
      </c>
      <c r="AD37" s="1" t="s">
        <v>74</v>
      </c>
      <c r="AE37" s="1" t="s">
        <v>74</v>
      </c>
      <c r="AF37" s="1" t="s">
        <v>74</v>
      </c>
      <c r="AG37" s="1" t="s">
        <v>74</v>
      </c>
      <c r="AH37" s="1" t="s">
        <v>74</v>
      </c>
      <c r="AI37" s="1" t="s">
        <v>74</v>
      </c>
      <c r="AJ37" s="1" t="s">
        <v>74</v>
      </c>
      <c r="AK37" s="1" t="s">
        <v>74</v>
      </c>
      <c r="AL37" s="1" t="s">
        <v>74</v>
      </c>
      <c r="AM37" s="1" t="s">
        <v>74</v>
      </c>
      <c r="AN37" s="1" t="s">
        <v>74</v>
      </c>
      <c r="AO37" s="1" t="s">
        <v>492</v>
      </c>
      <c r="AP37" s="1" t="s">
        <v>74</v>
      </c>
      <c r="AQ37" s="1" t="s">
        <v>74</v>
      </c>
      <c r="AR37" s="1" t="s">
        <v>74</v>
      </c>
      <c r="AS37" s="1" t="s">
        <v>74</v>
      </c>
      <c r="AT37" s="1" t="s">
        <v>294</v>
      </c>
      <c r="AU37" s="1">
        <v>2016.0</v>
      </c>
      <c r="AV37" s="1">
        <v>61.0</v>
      </c>
      <c r="AW37" s="1">
        <v>2.0</v>
      </c>
      <c r="AX37" s="1" t="s">
        <v>74</v>
      </c>
      <c r="AY37" s="1" t="s">
        <v>74</v>
      </c>
      <c r="AZ37" s="1" t="s">
        <v>74</v>
      </c>
      <c r="BA37" s="1" t="s">
        <v>74</v>
      </c>
      <c r="BB37" s="1">
        <v>2898.0</v>
      </c>
      <c r="BC37" s="1">
        <v>2902.0</v>
      </c>
      <c r="BD37" s="1" t="s">
        <v>74</v>
      </c>
      <c r="BE37" s="1" t="s">
        <v>74</v>
      </c>
      <c r="BF37" s="1" t="s">
        <v>74</v>
      </c>
      <c r="BG37" s="1" t="s">
        <v>74</v>
      </c>
      <c r="BH37" s="1" t="s">
        <v>74</v>
      </c>
      <c r="BI37" s="1" t="s">
        <v>74</v>
      </c>
      <c r="BJ37" s="1" t="s">
        <v>74</v>
      </c>
      <c r="BK37" s="1" t="s">
        <v>74</v>
      </c>
      <c r="BL37" s="1" t="s">
        <v>74</v>
      </c>
      <c r="BM37" s="1" t="s">
        <v>74</v>
      </c>
      <c r="BN37" s="1" t="s">
        <v>74</v>
      </c>
      <c r="BO37" s="1" t="s">
        <v>74</v>
      </c>
      <c r="BP37" s="1" t="s">
        <v>74</v>
      </c>
      <c r="BQ37" s="1" t="s">
        <v>74</v>
      </c>
      <c r="BR37" s="1" t="s">
        <v>74</v>
      </c>
      <c r="BS37" s="1" t="s">
        <v>493</v>
      </c>
      <c r="BT37" s="1" t="str">
        <f>HYPERLINK("https%3A%2F%2Fwww.webofscience.com%2Fwos%2Fwoscc%2Ffull-record%2FWOS:000389063200010","View Full Record in Web of Science")</f>
        <v>View Full Record in Web of Science</v>
      </c>
    </row>
    <row r="38" ht="12.75" customHeight="1">
      <c r="A38" s="1" t="s">
        <v>72</v>
      </c>
      <c r="B38" s="1" t="s">
        <v>494</v>
      </c>
      <c r="C38" s="1" t="s">
        <v>74</v>
      </c>
      <c r="D38" s="1" t="s">
        <v>74</v>
      </c>
      <c r="E38" s="1" t="s">
        <v>74</v>
      </c>
      <c r="F38" s="1" t="s">
        <v>495</v>
      </c>
      <c r="G38" s="1" t="s">
        <v>74</v>
      </c>
      <c r="H38" s="1" t="s">
        <v>496</v>
      </c>
      <c r="I38" s="1" t="s">
        <v>497</v>
      </c>
      <c r="J38" s="1" t="s">
        <v>498</v>
      </c>
      <c r="K38" s="1" t="s">
        <v>74</v>
      </c>
      <c r="L38" s="1" t="s">
        <v>74</v>
      </c>
      <c r="M38" s="1" t="s">
        <v>74</v>
      </c>
      <c r="N38" s="1" t="s">
        <v>74</v>
      </c>
      <c r="O38" s="1" t="s">
        <v>499</v>
      </c>
      <c r="P38" s="1" t="s">
        <v>500</v>
      </c>
      <c r="Q38" s="1" t="s">
        <v>501</v>
      </c>
      <c r="R38" s="1" t="s">
        <v>502</v>
      </c>
      <c r="S38" s="1" t="s">
        <v>74</v>
      </c>
      <c r="T38" s="1" t="s">
        <v>74</v>
      </c>
      <c r="U38" s="1" t="s">
        <v>74</v>
      </c>
      <c r="V38" s="1" t="s">
        <v>74</v>
      </c>
      <c r="W38" s="1" t="s">
        <v>74</v>
      </c>
      <c r="X38" s="1" t="s">
        <v>74</v>
      </c>
      <c r="Y38" s="1" t="s">
        <v>74</v>
      </c>
      <c r="Z38" s="1" t="s">
        <v>74</v>
      </c>
      <c r="AA38" s="1" t="s">
        <v>503</v>
      </c>
      <c r="AB38" s="1" t="s">
        <v>74</v>
      </c>
      <c r="AC38" s="1" t="s">
        <v>74</v>
      </c>
      <c r="AD38" s="1" t="s">
        <v>74</v>
      </c>
      <c r="AE38" s="1" t="s">
        <v>74</v>
      </c>
      <c r="AF38" s="1" t="s">
        <v>74</v>
      </c>
      <c r="AG38" s="1" t="s">
        <v>74</v>
      </c>
      <c r="AH38" s="1" t="s">
        <v>74</v>
      </c>
      <c r="AI38" s="1" t="s">
        <v>74</v>
      </c>
      <c r="AJ38" s="1" t="s">
        <v>74</v>
      </c>
      <c r="AK38" s="1" t="s">
        <v>74</v>
      </c>
      <c r="AL38" s="1" t="s">
        <v>74</v>
      </c>
      <c r="AM38" s="1" t="s">
        <v>74</v>
      </c>
      <c r="AN38" s="1" t="s">
        <v>74</v>
      </c>
      <c r="AO38" s="1" t="s">
        <v>504</v>
      </c>
      <c r="AP38" s="1" t="s">
        <v>505</v>
      </c>
      <c r="AQ38" s="1" t="s">
        <v>74</v>
      </c>
      <c r="AR38" s="1" t="s">
        <v>74</v>
      </c>
      <c r="AS38" s="1" t="s">
        <v>74</v>
      </c>
      <c r="AT38" s="1" t="s">
        <v>235</v>
      </c>
      <c r="AU38" s="1">
        <v>2016.0</v>
      </c>
      <c r="AV38" s="1">
        <v>137.0</v>
      </c>
      <c r="AW38" s="1">
        <v>2.0</v>
      </c>
      <c r="AX38" s="1" t="s">
        <v>74</v>
      </c>
      <c r="AY38" s="1" t="s">
        <v>506</v>
      </c>
      <c r="AZ38" s="1" t="s">
        <v>74</v>
      </c>
      <c r="BA38" s="1">
        <v>18.0</v>
      </c>
      <c r="BB38" s="1" t="s">
        <v>507</v>
      </c>
      <c r="BC38" s="1" t="s">
        <v>507</v>
      </c>
      <c r="BD38" s="1" t="s">
        <v>74</v>
      </c>
      <c r="BE38" s="1" t="s">
        <v>74</v>
      </c>
      <c r="BF38" s="1" t="s">
        <v>74</v>
      </c>
      <c r="BG38" s="1" t="s">
        <v>74</v>
      </c>
      <c r="BH38" s="1" t="s">
        <v>74</v>
      </c>
      <c r="BI38" s="1" t="s">
        <v>74</v>
      </c>
      <c r="BJ38" s="1" t="s">
        <v>74</v>
      </c>
      <c r="BK38" s="1" t="s">
        <v>74</v>
      </c>
      <c r="BL38" s="1" t="s">
        <v>74</v>
      </c>
      <c r="BM38" s="1" t="s">
        <v>74</v>
      </c>
      <c r="BN38" s="1" t="s">
        <v>74</v>
      </c>
      <c r="BO38" s="1" t="s">
        <v>74</v>
      </c>
      <c r="BP38" s="1" t="s">
        <v>74</v>
      </c>
      <c r="BQ38" s="1" t="s">
        <v>74</v>
      </c>
      <c r="BR38" s="1" t="s">
        <v>74</v>
      </c>
      <c r="BS38" s="1" t="s">
        <v>508</v>
      </c>
      <c r="BT38" s="1" t="str">
        <f>HYPERLINK("https%3A%2F%2Fwww.webofscience.com%2Fwos%2Fwoscc%2Ffull-record%2FWOS:000375005400019","View Full Record in Web of Science")</f>
        <v>View Full Record in Web of Science</v>
      </c>
    </row>
    <row r="39" ht="12.75" customHeight="1">
      <c r="A39" s="1" t="s">
        <v>72</v>
      </c>
      <c r="B39" s="1" t="s">
        <v>509</v>
      </c>
      <c r="C39" s="1" t="s">
        <v>74</v>
      </c>
      <c r="D39" s="1" t="s">
        <v>74</v>
      </c>
      <c r="E39" s="1" t="s">
        <v>74</v>
      </c>
      <c r="F39" s="1" t="s">
        <v>510</v>
      </c>
      <c r="G39" s="1" t="s">
        <v>74</v>
      </c>
      <c r="H39" s="1" t="s">
        <v>74</v>
      </c>
      <c r="I39" s="1" t="s">
        <v>511</v>
      </c>
      <c r="J39" s="1" t="s">
        <v>512</v>
      </c>
      <c r="K39" s="1" t="s">
        <v>74</v>
      </c>
      <c r="L39" s="1" t="s">
        <v>74</v>
      </c>
      <c r="M39" s="1" t="s">
        <v>74</v>
      </c>
      <c r="N39" s="1" t="s">
        <v>74</v>
      </c>
      <c r="O39" s="1" t="s">
        <v>74</v>
      </c>
      <c r="P39" s="1" t="s">
        <v>74</v>
      </c>
      <c r="Q39" s="1" t="s">
        <v>74</v>
      </c>
      <c r="R39" s="1" t="s">
        <v>74</v>
      </c>
      <c r="S39" s="1" t="s">
        <v>74</v>
      </c>
      <c r="T39" s="1" t="s">
        <v>74</v>
      </c>
      <c r="U39" s="1" t="s">
        <v>74</v>
      </c>
      <c r="V39" s="1" t="s">
        <v>513</v>
      </c>
      <c r="W39" s="1" t="s">
        <v>74</v>
      </c>
      <c r="X39" s="1" t="s">
        <v>74</v>
      </c>
      <c r="Y39" s="1" t="s">
        <v>74</v>
      </c>
      <c r="Z39" s="1" t="s">
        <v>74</v>
      </c>
      <c r="AA39" s="1" t="s">
        <v>514</v>
      </c>
      <c r="AB39" s="1" t="s">
        <v>515</v>
      </c>
      <c r="AC39" s="1" t="s">
        <v>74</v>
      </c>
      <c r="AD39" s="1" t="s">
        <v>74</v>
      </c>
      <c r="AE39" s="1" t="s">
        <v>74</v>
      </c>
      <c r="AF39" s="1" t="s">
        <v>74</v>
      </c>
      <c r="AG39" s="1" t="s">
        <v>74</v>
      </c>
      <c r="AH39" s="1" t="s">
        <v>74</v>
      </c>
      <c r="AI39" s="1" t="s">
        <v>74</v>
      </c>
      <c r="AJ39" s="1" t="s">
        <v>74</v>
      </c>
      <c r="AK39" s="1" t="s">
        <v>74</v>
      </c>
      <c r="AL39" s="1" t="s">
        <v>74</v>
      </c>
      <c r="AM39" s="1" t="s">
        <v>74</v>
      </c>
      <c r="AN39" s="1" t="s">
        <v>74</v>
      </c>
      <c r="AO39" s="1" t="s">
        <v>516</v>
      </c>
      <c r="AP39" s="1" t="s">
        <v>517</v>
      </c>
      <c r="AQ39" s="1" t="s">
        <v>74</v>
      </c>
      <c r="AR39" s="1" t="s">
        <v>74</v>
      </c>
      <c r="AS39" s="1" t="s">
        <v>74</v>
      </c>
      <c r="AT39" s="1" t="s">
        <v>158</v>
      </c>
      <c r="AU39" s="1">
        <v>2015.0</v>
      </c>
      <c r="AV39" s="1">
        <v>25.0</v>
      </c>
      <c r="AW39" s="1">
        <v>4.0</v>
      </c>
      <c r="AX39" s="1" t="s">
        <v>74</v>
      </c>
      <c r="AY39" s="1" t="s">
        <v>74</v>
      </c>
      <c r="AZ39" s="1" t="s">
        <v>74</v>
      </c>
      <c r="BA39" s="1" t="s">
        <v>74</v>
      </c>
      <c r="BB39" s="1">
        <v>979.0</v>
      </c>
      <c r="BC39" s="1">
        <v>983.0</v>
      </c>
      <c r="BD39" s="1" t="s">
        <v>74</v>
      </c>
      <c r="BE39" s="1" t="s">
        <v>518</v>
      </c>
      <c r="BF39" s="2" t="str">
        <f>HYPERLINK("http://dx.doi.org/10.1007/s10895-015-1579-0","http://dx.doi.org/10.1007/s10895-015-1579-0")</f>
        <v>http://dx.doi.org/10.1007/s10895-015-1579-0</v>
      </c>
      <c r="BG39" s="1" t="s">
        <v>74</v>
      </c>
      <c r="BH39" s="1" t="s">
        <v>74</v>
      </c>
      <c r="BI39" s="1" t="s">
        <v>74</v>
      </c>
      <c r="BJ39" s="1" t="s">
        <v>74</v>
      </c>
      <c r="BK39" s="1" t="s">
        <v>74</v>
      </c>
      <c r="BL39" s="1" t="s">
        <v>74</v>
      </c>
      <c r="BM39" s="1" t="s">
        <v>74</v>
      </c>
      <c r="BN39" s="1">
        <v>2.5972068E7</v>
      </c>
      <c r="BO39" s="1" t="s">
        <v>74</v>
      </c>
      <c r="BP39" s="1" t="s">
        <v>74</v>
      </c>
      <c r="BQ39" s="1" t="s">
        <v>74</v>
      </c>
      <c r="BR39" s="1" t="s">
        <v>74</v>
      </c>
      <c r="BS39" s="1" t="s">
        <v>519</v>
      </c>
      <c r="BT39" s="1" t="str">
        <f>HYPERLINK("https%3A%2F%2Fwww.webofscience.com%2Fwos%2Fwoscc%2Ffull-record%2FWOS:000359454300022","View Full Record in Web of Science")</f>
        <v>View Full Record in Web of Science</v>
      </c>
    </row>
    <row r="40" ht="12.75" customHeight="1">
      <c r="A40" s="1" t="s">
        <v>72</v>
      </c>
      <c r="B40" s="1" t="s">
        <v>520</v>
      </c>
      <c r="C40" s="1" t="s">
        <v>74</v>
      </c>
      <c r="D40" s="1" t="s">
        <v>74</v>
      </c>
      <c r="E40" s="1" t="s">
        <v>74</v>
      </c>
      <c r="F40" s="1" t="s">
        <v>521</v>
      </c>
      <c r="G40" s="1" t="s">
        <v>74</v>
      </c>
      <c r="H40" s="1" t="s">
        <v>74</v>
      </c>
      <c r="I40" s="1" t="s">
        <v>522</v>
      </c>
      <c r="J40" s="1" t="s">
        <v>523</v>
      </c>
      <c r="K40" s="1" t="s">
        <v>74</v>
      </c>
      <c r="L40" s="1" t="s">
        <v>74</v>
      </c>
      <c r="M40" s="1" t="s">
        <v>74</v>
      </c>
      <c r="N40" s="1" t="s">
        <v>74</v>
      </c>
      <c r="O40" s="1" t="s">
        <v>74</v>
      </c>
      <c r="P40" s="1" t="s">
        <v>74</v>
      </c>
      <c r="Q40" s="1" t="s">
        <v>74</v>
      </c>
      <c r="R40" s="1" t="s">
        <v>74</v>
      </c>
      <c r="S40" s="1" t="s">
        <v>74</v>
      </c>
      <c r="T40" s="1" t="s">
        <v>74</v>
      </c>
      <c r="U40" s="1" t="s">
        <v>74</v>
      </c>
      <c r="V40" s="1" t="s">
        <v>524</v>
      </c>
      <c r="W40" s="1" t="s">
        <v>74</v>
      </c>
      <c r="X40" s="1" t="s">
        <v>74</v>
      </c>
      <c r="Y40" s="1" t="s">
        <v>74</v>
      </c>
      <c r="Z40" s="1" t="s">
        <v>74</v>
      </c>
      <c r="AA40" s="1" t="s">
        <v>525</v>
      </c>
      <c r="AB40" s="1" t="s">
        <v>526</v>
      </c>
      <c r="AC40" s="1" t="s">
        <v>74</v>
      </c>
      <c r="AD40" s="1" t="s">
        <v>74</v>
      </c>
      <c r="AE40" s="1" t="s">
        <v>74</v>
      </c>
      <c r="AF40" s="1" t="s">
        <v>74</v>
      </c>
      <c r="AG40" s="1" t="s">
        <v>74</v>
      </c>
      <c r="AH40" s="1" t="s">
        <v>74</v>
      </c>
      <c r="AI40" s="1" t="s">
        <v>74</v>
      </c>
      <c r="AJ40" s="1" t="s">
        <v>74</v>
      </c>
      <c r="AK40" s="1" t="s">
        <v>74</v>
      </c>
      <c r="AL40" s="1" t="s">
        <v>74</v>
      </c>
      <c r="AM40" s="1" t="s">
        <v>74</v>
      </c>
      <c r="AN40" s="1" t="s">
        <v>74</v>
      </c>
      <c r="AO40" s="1" t="s">
        <v>527</v>
      </c>
      <c r="AP40" s="1" t="s">
        <v>528</v>
      </c>
      <c r="AQ40" s="1" t="s">
        <v>74</v>
      </c>
      <c r="AR40" s="1" t="s">
        <v>74</v>
      </c>
      <c r="AS40" s="1" t="s">
        <v>74</v>
      </c>
      <c r="AT40" s="1" t="s">
        <v>306</v>
      </c>
      <c r="AU40" s="1">
        <v>2015.0</v>
      </c>
      <c r="AV40" s="1">
        <v>28.0</v>
      </c>
      <c r="AW40" s="1">
        <v>4.0</v>
      </c>
      <c r="AX40" s="1" t="s">
        <v>74</v>
      </c>
      <c r="AY40" s="1" t="s">
        <v>74</v>
      </c>
      <c r="AZ40" s="1" t="s">
        <v>74</v>
      </c>
      <c r="BA40" s="1" t="s">
        <v>74</v>
      </c>
      <c r="BB40" s="1">
        <v>250.0</v>
      </c>
      <c r="BC40" s="1">
        <v>260.0</v>
      </c>
      <c r="BD40" s="1" t="s">
        <v>74</v>
      </c>
      <c r="BE40" s="1" t="s">
        <v>529</v>
      </c>
      <c r="BF40" s="2" t="str">
        <f>HYPERLINK("http://dx.doi.org/10.1002/poc.3402","http://dx.doi.org/10.1002/poc.3402")</f>
        <v>http://dx.doi.org/10.1002/poc.3402</v>
      </c>
      <c r="BG40" s="1" t="s">
        <v>74</v>
      </c>
      <c r="BH40" s="1" t="s">
        <v>74</v>
      </c>
      <c r="BI40" s="1" t="s">
        <v>74</v>
      </c>
      <c r="BJ40" s="1" t="s">
        <v>74</v>
      </c>
      <c r="BK40" s="1" t="s">
        <v>74</v>
      </c>
      <c r="BL40" s="1" t="s">
        <v>74</v>
      </c>
      <c r="BM40" s="1" t="s">
        <v>74</v>
      </c>
      <c r="BN40" s="1" t="s">
        <v>74</v>
      </c>
      <c r="BO40" s="1" t="s">
        <v>74</v>
      </c>
      <c r="BP40" s="1" t="s">
        <v>74</v>
      </c>
      <c r="BQ40" s="1" t="s">
        <v>74</v>
      </c>
      <c r="BR40" s="1" t="s">
        <v>74</v>
      </c>
      <c r="BS40" s="1" t="s">
        <v>530</v>
      </c>
      <c r="BT40" s="1" t="str">
        <f>HYPERLINK("https%3A%2F%2Fwww.webofscience.com%2Fwos%2Fwoscc%2Ffull-record%2FWOS:000351633400002","View Full Record in Web of Science")</f>
        <v>View Full Record in Web of Science</v>
      </c>
    </row>
    <row r="41" ht="12.75" customHeight="1">
      <c r="A41" s="1" t="s">
        <v>72</v>
      </c>
      <c r="B41" s="1" t="s">
        <v>531</v>
      </c>
      <c r="C41" s="1" t="s">
        <v>74</v>
      </c>
      <c r="D41" s="1" t="s">
        <v>74</v>
      </c>
      <c r="E41" s="1" t="s">
        <v>74</v>
      </c>
      <c r="F41" s="1" t="s">
        <v>532</v>
      </c>
      <c r="G41" s="1" t="s">
        <v>74</v>
      </c>
      <c r="H41" s="1" t="s">
        <v>74</v>
      </c>
      <c r="I41" s="1" t="s">
        <v>533</v>
      </c>
      <c r="J41" s="1" t="s">
        <v>534</v>
      </c>
      <c r="K41" s="1" t="s">
        <v>74</v>
      </c>
      <c r="L41" s="1" t="s">
        <v>74</v>
      </c>
      <c r="M41" s="1" t="s">
        <v>74</v>
      </c>
      <c r="N41" s="1" t="s">
        <v>74</v>
      </c>
      <c r="O41" s="1" t="s">
        <v>74</v>
      </c>
      <c r="P41" s="1" t="s">
        <v>74</v>
      </c>
      <c r="Q41" s="1" t="s">
        <v>74</v>
      </c>
      <c r="R41" s="1" t="s">
        <v>74</v>
      </c>
      <c r="S41" s="1" t="s">
        <v>74</v>
      </c>
      <c r="T41" s="1" t="s">
        <v>74</v>
      </c>
      <c r="U41" s="1" t="s">
        <v>74</v>
      </c>
      <c r="V41" s="1" t="s">
        <v>535</v>
      </c>
      <c r="W41" s="1" t="s">
        <v>74</v>
      </c>
      <c r="X41" s="1" t="s">
        <v>74</v>
      </c>
      <c r="Y41" s="1" t="s">
        <v>74</v>
      </c>
      <c r="Z41" s="1" t="s">
        <v>74</v>
      </c>
      <c r="AA41" s="1" t="s">
        <v>536</v>
      </c>
      <c r="AB41" s="1" t="s">
        <v>537</v>
      </c>
      <c r="AC41" s="1" t="s">
        <v>74</v>
      </c>
      <c r="AD41" s="1" t="s">
        <v>74</v>
      </c>
      <c r="AE41" s="1" t="s">
        <v>74</v>
      </c>
      <c r="AF41" s="1" t="s">
        <v>74</v>
      </c>
      <c r="AG41" s="1" t="s">
        <v>74</v>
      </c>
      <c r="AH41" s="1" t="s">
        <v>74</v>
      </c>
      <c r="AI41" s="1" t="s">
        <v>74</v>
      </c>
      <c r="AJ41" s="1" t="s">
        <v>74</v>
      </c>
      <c r="AK41" s="1" t="s">
        <v>74</v>
      </c>
      <c r="AL41" s="1" t="s">
        <v>74</v>
      </c>
      <c r="AM41" s="1" t="s">
        <v>74</v>
      </c>
      <c r="AN41" s="1" t="s">
        <v>74</v>
      </c>
      <c r="AO41" s="1" t="s">
        <v>538</v>
      </c>
      <c r="AP41" s="1" t="s">
        <v>539</v>
      </c>
      <c r="AQ41" s="1" t="s">
        <v>74</v>
      </c>
      <c r="AR41" s="1" t="s">
        <v>74</v>
      </c>
      <c r="AS41" s="1" t="s">
        <v>74</v>
      </c>
      <c r="AT41" s="1" t="s">
        <v>306</v>
      </c>
      <c r="AU41" s="1">
        <v>2015.0</v>
      </c>
      <c r="AV41" s="1">
        <v>18.0</v>
      </c>
      <c r="AW41" s="1">
        <v>2.0</v>
      </c>
      <c r="AX41" s="1" t="s">
        <v>74</v>
      </c>
      <c r="AY41" s="1" t="s">
        <v>74</v>
      </c>
      <c r="AZ41" s="1" t="s">
        <v>74</v>
      </c>
      <c r="BA41" s="1" t="s">
        <v>74</v>
      </c>
      <c r="BB41" s="1">
        <v>290.0</v>
      </c>
      <c r="BC41" s="1">
        <v>306.0</v>
      </c>
      <c r="BD41" s="1" t="s">
        <v>74</v>
      </c>
      <c r="BE41" s="1" t="s">
        <v>540</v>
      </c>
      <c r="BF41" s="2" t="str">
        <f>HYPERLINK("http://dx.doi.org/10.1515/fca-2015-0020","http://dx.doi.org/10.1515/fca-2015-0020")</f>
        <v>http://dx.doi.org/10.1515/fca-2015-0020</v>
      </c>
      <c r="BG41" s="1" t="s">
        <v>74</v>
      </c>
      <c r="BH41" s="1" t="s">
        <v>74</v>
      </c>
      <c r="BI41" s="1" t="s">
        <v>74</v>
      </c>
      <c r="BJ41" s="1" t="s">
        <v>74</v>
      </c>
      <c r="BK41" s="1" t="s">
        <v>74</v>
      </c>
      <c r="BL41" s="1" t="s">
        <v>74</v>
      </c>
      <c r="BM41" s="1" t="s">
        <v>74</v>
      </c>
      <c r="BN41" s="1" t="s">
        <v>74</v>
      </c>
      <c r="BO41" s="1" t="s">
        <v>74</v>
      </c>
      <c r="BP41" s="1" t="s">
        <v>74</v>
      </c>
      <c r="BQ41" s="1" t="s">
        <v>74</v>
      </c>
      <c r="BR41" s="1" t="s">
        <v>74</v>
      </c>
      <c r="BS41" s="1" t="s">
        <v>541</v>
      </c>
      <c r="BT41" s="1" t="str">
        <f>HYPERLINK("https%3A%2F%2Fwww.webofscience.com%2Fwos%2Fwoscc%2Ffull-record%2FWOS:000355200300002","View Full Record in Web of Science")</f>
        <v>View Full Record in Web of Science</v>
      </c>
    </row>
    <row r="42" ht="12.75" customHeight="1">
      <c r="A42" s="1" t="s">
        <v>72</v>
      </c>
      <c r="B42" s="1" t="s">
        <v>542</v>
      </c>
      <c r="C42" s="1" t="s">
        <v>74</v>
      </c>
      <c r="D42" s="1" t="s">
        <v>74</v>
      </c>
      <c r="E42" s="1" t="s">
        <v>74</v>
      </c>
      <c r="F42" s="1" t="s">
        <v>543</v>
      </c>
      <c r="G42" s="1" t="s">
        <v>74</v>
      </c>
      <c r="H42" s="1" t="s">
        <v>74</v>
      </c>
      <c r="I42" s="1" t="s">
        <v>544</v>
      </c>
      <c r="J42" s="1" t="s">
        <v>545</v>
      </c>
      <c r="K42" s="1" t="s">
        <v>74</v>
      </c>
      <c r="L42" s="1" t="s">
        <v>74</v>
      </c>
      <c r="M42" s="1" t="s">
        <v>74</v>
      </c>
      <c r="N42" s="1" t="s">
        <v>74</v>
      </c>
      <c r="O42" s="1" t="s">
        <v>74</v>
      </c>
      <c r="P42" s="1" t="s">
        <v>74</v>
      </c>
      <c r="Q42" s="1" t="s">
        <v>74</v>
      </c>
      <c r="R42" s="1" t="s">
        <v>74</v>
      </c>
      <c r="S42" s="1" t="s">
        <v>74</v>
      </c>
      <c r="T42" s="1" t="s">
        <v>74</v>
      </c>
      <c r="U42" s="1" t="s">
        <v>74</v>
      </c>
      <c r="V42" s="1" t="s">
        <v>546</v>
      </c>
      <c r="W42" s="1" t="s">
        <v>74</v>
      </c>
      <c r="X42" s="1" t="s">
        <v>74</v>
      </c>
      <c r="Y42" s="1" t="s">
        <v>74</v>
      </c>
      <c r="Z42" s="1" t="s">
        <v>74</v>
      </c>
      <c r="AA42" s="1" t="s">
        <v>547</v>
      </c>
      <c r="AB42" s="1" t="s">
        <v>548</v>
      </c>
      <c r="AC42" s="1" t="s">
        <v>74</v>
      </c>
      <c r="AD42" s="1" t="s">
        <v>74</v>
      </c>
      <c r="AE42" s="1" t="s">
        <v>74</v>
      </c>
      <c r="AF42" s="1" t="s">
        <v>74</v>
      </c>
      <c r="AG42" s="1" t="s">
        <v>74</v>
      </c>
      <c r="AH42" s="1" t="s">
        <v>74</v>
      </c>
      <c r="AI42" s="1" t="s">
        <v>74</v>
      </c>
      <c r="AJ42" s="1" t="s">
        <v>74</v>
      </c>
      <c r="AK42" s="1" t="s">
        <v>74</v>
      </c>
      <c r="AL42" s="1" t="s">
        <v>74</v>
      </c>
      <c r="AM42" s="1" t="s">
        <v>74</v>
      </c>
      <c r="AN42" s="1" t="s">
        <v>74</v>
      </c>
      <c r="AO42" s="1" t="s">
        <v>549</v>
      </c>
      <c r="AP42" s="1" t="s">
        <v>550</v>
      </c>
      <c r="AQ42" s="1" t="s">
        <v>74</v>
      </c>
      <c r="AR42" s="1" t="s">
        <v>74</v>
      </c>
      <c r="AS42" s="1" t="s">
        <v>74</v>
      </c>
      <c r="AT42" s="1" t="s">
        <v>551</v>
      </c>
      <c r="AU42" s="1">
        <v>2014.0</v>
      </c>
      <c r="AV42" s="1">
        <v>41.0</v>
      </c>
      <c r="AW42" s="1">
        <v>19.0</v>
      </c>
      <c r="AX42" s="1" t="s">
        <v>74</v>
      </c>
      <c r="AY42" s="1" t="s">
        <v>74</v>
      </c>
      <c r="AZ42" s="1" t="s">
        <v>74</v>
      </c>
      <c r="BA42" s="1" t="s">
        <v>74</v>
      </c>
      <c r="BB42" s="1">
        <v>6705.0</v>
      </c>
      <c r="BC42" s="1">
        <v>6711.0</v>
      </c>
      <c r="BD42" s="1" t="s">
        <v>74</v>
      </c>
      <c r="BE42" s="1" t="s">
        <v>552</v>
      </c>
      <c r="BF42" s="2" t="str">
        <f>HYPERLINK("http://dx.doi.org/10.1002/2014GL061068","http://dx.doi.org/10.1002/2014GL061068")</f>
        <v>http://dx.doi.org/10.1002/2014GL061068</v>
      </c>
      <c r="BG42" s="1" t="s">
        <v>74</v>
      </c>
      <c r="BH42" s="1" t="s">
        <v>74</v>
      </c>
      <c r="BI42" s="1" t="s">
        <v>74</v>
      </c>
      <c r="BJ42" s="1" t="s">
        <v>74</v>
      </c>
      <c r="BK42" s="1" t="s">
        <v>74</v>
      </c>
      <c r="BL42" s="1" t="s">
        <v>74</v>
      </c>
      <c r="BM42" s="1" t="s">
        <v>74</v>
      </c>
      <c r="BN42" s="1" t="s">
        <v>74</v>
      </c>
      <c r="BO42" s="1" t="s">
        <v>74</v>
      </c>
      <c r="BP42" s="1" t="s">
        <v>74</v>
      </c>
      <c r="BQ42" s="1" t="s">
        <v>74</v>
      </c>
      <c r="BR42" s="1" t="s">
        <v>74</v>
      </c>
      <c r="BS42" s="1" t="s">
        <v>553</v>
      </c>
      <c r="BT42" s="1" t="str">
        <f>HYPERLINK("https%3A%2F%2Fwww.webofscience.com%2Fwos%2Fwoscc%2Ffull-record%2FWOS:000344913800022","View Full Record in Web of Science")</f>
        <v>View Full Record in Web of Science</v>
      </c>
    </row>
    <row r="43" ht="12.75" customHeight="1">
      <c r="A43" s="1" t="s">
        <v>72</v>
      </c>
      <c r="B43" s="1" t="s">
        <v>554</v>
      </c>
      <c r="C43" s="1" t="s">
        <v>74</v>
      </c>
      <c r="D43" s="1" t="s">
        <v>74</v>
      </c>
      <c r="E43" s="1" t="s">
        <v>74</v>
      </c>
      <c r="F43" s="1" t="s">
        <v>555</v>
      </c>
      <c r="G43" s="1" t="s">
        <v>74</v>
      </c>
      <c r="H43" s="1" t="s">
        <v>74</v>
      </c>
      <c r="I43" s="1" t="s">
        <v>556</v>
      </c>
      <c r="J43" s="1" t="s">
        <v>557</v>
      </c>
      <c r="K43" s="1" t="s">
        <v>74</v>
      </c>
      <c r="L43" s="1" t="s">
        <v>74</v>
      </c>
      <c r="M43" s="1" t="s">
        <v>74</v>
      </c>
      <c r="N43" s="1" t="s">
        <v>74</v>
      </c>
      <c r="O43" s="1" t="s">
        <v>74</v>
      </c>
      <c r="P43" s="1" t="s">
        <v>74</v>
      </c>
      <c r="Q43" s="1" t="s">
        <v>74</v>
      </c>
      <c r="R43" s="1" t="s">
        <v>74</v>
      </c>
      <c r="S43" s="1" t="s">
        <v>74</v>
      </c>
      <c r="T43" s="1" t="s">
        <v>74</v>
      </c>
      <c r="U43" s="1" t="s">
        <v>74</v>
      </c>
      <c r="V43" s="1" t="s">
        <v>558</v>
      </c>
      <c r="W43" s="1" t="s">
        <v>74</v>
      </c>
      <c r="X43" s="1" t="s">
        <v>74</v>
      </c>
      <c r="Y43" s="1" t="s">
        <v>74</v>
      </c>
      <c r="Z43" s="1" t="s">
        <v>74</v>
      </c>
      <c r="AA43" s="1" t="s">
        <v>559</v>
      </c>
      <c r="AB43" s="1" t="s">
        <v>560</v>
      </c>
      <c r="AC43" s="1" t="s">
        <v>74</v>
      </c>
      <c r="AD43" s="1" t="s">
        <v>74</v>
      </c>
      <c r="AE43" s="1" t="s">
        <v>74</v>
      </c>
      <c r="AF43" s="1" t="s">
        <v>74</v>
      </c>
      <c r="AG43" s="1" t="s">
        <v>74</v>
      </c>
      <c r="AH43" s="1" t="s">
        <v>74</v>
      </c>
      <c r="AI43" s="1" t="s">
        <v>74</v>
      </c>
      <c r="AJ43" s="1" t="s">
        <v>74</v>
      </c>
      <c r="AK43" s="1" t="s">
        <v>74</v>
      </c>
      <c r="AL43" s="1" t="s">
        <v>74</v>
      </c>
      <c r="AM43" s="1" t="s">
        <v>74</v>
      </c>
      <c r="AN43" s="1" t="s">
        <v>74</v>
      </c>
      <c r="AO43" s="1" t="s">
        <v>561</v>
      </c>
      <c r="AP43" s="1" t="s">
        <v>562</v>
      </c>
      <c r="AQ43" s="1" t="s">
        <v>74</v>
      </c>
      <c r="AR43" s="1" t="s">
        <v>74</v>
      </c>
      <c r="AS43" s="1" t="s">
        <v>74</v>
      </c>
      <c r="AT43" s="1" t="s">
        <v>180</v>
      </c>
      <c r="AU43" s="1">
        <v>2014.0</v>
      </c>
      <c r="AV43" s="1">
        <v>46.0</v>
      </c>
      <c r="AW43" s="1">
        <v>5.0</v>
      </c>
      <c r="AX43" s="1" t="s">
        <v>74</v>
      </c>
      <c r="AY43" s="1" t="s">
        <v>74</v>
      </c>
      <c r="AZ43" s="1" t="s">
        <v>74</v>
      </c>
      <c r="BA43" s="1" t="s">
        <v>74</v>
      </c>
      <c r="BB43" s="1">
        <v>322.0</v>
      </c>
      <c r="BC43" s="1">
        <v>327.0</v>
      </c>
      <c r="BD43" s="1" t="s">
        <v>74</v>
      </c>
      <c r="BE43" s="1" t="s">
        <v>563</v>
      </c>
      <c r="BF43" s="2" t="str">
        <f>HYPERLINK("http://dx.doi.org/10.1055/s-0033-1361159","http://dx.doi.org/10.1055/s-0033-1361159")</f>
        <v>http://dx.doi.org/10.1055/s-0033-1361159</v>
      </c>
      <c r="BG43" s="1" t="s">
        <v>74</v>
      </c>
      <c r="BH43" s="1" t="s">
        <v>74</v>
      </c>
      <c r="BI43" s="1" t="s">
        <v>74</v>
      </c>
      <c r="BJ43" s="1" t="s">
        <v>74</v>
      </c>
      <c r="BK43" s="1" t="s">
        <v>74</v>
      </c>
      <c r="BL43" s="1" t="s">
        <v>74</v>
      </c>
      <c r="BM43" s="1" t="s">
        <v>74</v>
      </c>
      <c r="BN43" s="1">
        <v>2.432341E7</v>
      </c>
      <c r="BO43" s="1" t="s">
        <v>74</v>
      </c>
      <c r="BP43" s="1" t="s">
        <v>74</v>
      </c>
      <c r="BQ43" s="1" t="s">
        <v>74</v>
      </c>
      <c r="BR43" s="1" t="s">
        <v>74</v>
      </c>
      <c r="BS43" s="1" t="s">
        <v>564</v>
      </c>
      <c r="BT43" s="1" t="str">
        <f>HYPERLINK("https%3A%2F%2Fwww.webofscience.com%2Fwos%2Fwoscc%2Ffull-record%2FWOS:000335547900004","View Full Record in Web of Science")</f>
        <v>View Full Record in Web of Science</v>
      </c>
    </row>
    <row r="44" ht="12.75" customHeight="1">
      <c r="A44" s="1" t="s">
        <v>72</v>
      </c>
      <c r="B44" s="1" t="s">
        <v>565</v>
      </c>
      <c r="C44" s="1" t="s">
        <v>74</v>
      </c>
      <c r="D44" s="1" t="s">
        <v>74</v>
      </c>
      <c r="E44" s="1" t="s">
        <v>74</v>
      </c>
      <c r="F44" s="1" t="s">
        <v>566</v>
      </c>
      <c r="G44" s="1" t="s">
        <v>74</v>
      </c>
      <c r="H44" s="1" t="s">
        <v>74</v>
      </c>
      <c r="I44" s="1" t="s">
        <v>567</v>
      </c>
      <c r="J44" s="1" t="s">
        <v>568</v>
      </c>
      <c r="K44" s="1" t="s">
        <v>74</v>
      </c>
      <c r="L44" s="1" t="s">
        <v>74</v>
      </c>
      <c r="M44" s="1" t="s">
        <v>74</v>
      </c>
      <c r="N44" s="1" t="s">
        <v>74</v>
      </c>
      <c r="O44" s="1" t="s">
        <v>74</v>
      </c>
      <c r="P44" s="1" t="s">
        <v>74</v>
      </c>
      <c r="Q44" s="1" t="s">
        <v>74</v>
      </c>
      <c r="R44" s="1" t="s">
        <v>74</v>
      </c>
      <c r="S44" s="1" t="s">
        <v>74</v>
      </c>
      <c r="T44" s="1" t="s">
        <v>74</v>
      </c>
      <c r="U44" s="1" t="s">
        <v>74</v>
      </c>
      <c r="V44" s="1" t="s">
        <v>569</v>
      </c>
      <c r="W44" s="1" t="s">
        <v>74</v>
      </c>
      <c r="X44" s="1" t="s">
        <v>74</v>
      </c>
      <c r="Y44" s="1" t="s">
        <v>74</v>
      </c>
      <c r="Z44" s="1" t="s">
        <v>74</v>
      </c>
      <c r="AA44" s="1" t="s">
        <v>570</v>
      </c>
      <c r="AB44" s="1" t="s">
        <v>571</v>
      </c>
      <c r="AC44" s="1" t="s">
        <v>74</v>
      </c>
      <c r="AD44" s="1" t="s">
        <v>74</v>
      </c>
      <c r="AE44" s="1" t="s">
        <v>74</v>
      </c>
      <c r="AF44" s="1" t="s">
        <v>74</v>
      </c>
      <c r="AG44" s="1" t="s">
        <v>74</v>
      </c>
      <c r="AH44" s="1" t="s">
        <v>74</v>
      </c>
      <c r="AI44" s="1" t="s">
        <v>74</v>
      </c>
      <c r="AJ44" s="1" t="s">
        <v>74</v>
      </c>
      <c r="AK44" s="1" t="s">
        <v>74</v>
      </c>
      <c r="AL44" s="1" t="s">
        <v>74</v>
      </c>
      <c r="AM44" s="1" t="s">
        <v>74</v>
      </c>
      <c r="AN44" s="1" t="s">
        <v>74</v>
      </c>
      <c r="AO44" s="1" t="s">
        <v>572</v>
      </c>
      <c r="AP44" s="1" t="s">
        <v>573</v>
      </c>
      <c r="AQ44" s="1" t="s">
        <v>74</v>
      </c>
      <c r="AR44" s="1" t="s">
        <v>74</v>
      </c>
      <c r="AS44" s="1" t="s">
        <v>74</v>
      </c>
      <c r="AT44" s="1" t="s">
        <v>180</v>
      </c>
      <c r="AU44" s="1">
        <v>2014.0</v>
      </c>
      <c r="AV44" s="1">
        <v>28.0</v>
      </c>
      <c r="AW44" s="1">
        <v>5.0</v>
      </c>
      <c r="AX44" s="1" t="s">
        <v>74</v>
      </c>
      <c r="AY44" s="1" t="s">
        <v>74</v>
      </c>
      <c r="AZ44" s="1" t="s">
        <v>74</v>
      </c>
      <c r="BA44" s="1" t="s">
        <v>74</v>
      </c>
      <c r="BB44" s="1">
        <v>364.0</v>
      </c>
      <c r="BC44" s="1">
        <v>371.0</v>
      </c>
      <c r="BD44" s="1" t="s">
        <v>74</v>
      </c>
      <c r="BE44" s="1" t="s">
        <v>574</v>
      </c>
      <c r="BF44" s="2" t="str">
        <f>HYPERLINK("http://dx.doi.org/10.1002/aoc.3137","http://dx.doi.org/10.1002/aoc.3137")</f>
        <v>http://dx.doi.org/10.1002/aoc.3137</v>
      </c>
      <c r="BG44" s="1" t="s">
        <v>74</v>
      </c>
      <c r="BH44" s="1" t="s">
        <v>74</v>
      </c>
      <c r="BI44" s="1" t="s">
        <v>74</v>
      </c>
      <c r="BJ44" s="1" t="s">
        <v>74</v>
      </c>
      <c r="BK44" s="1" t="s">
        <v>74</v>
      </c>
      <c r="BL44" s="1" t="s">
        <v>74</v>
      </c>
      <c r="BM44" s="1" t="s">
        <v>74</v>
      </c>
      <c r="BN44" s="1" t="s">
        <v>74</v>
      </c>
      <c r="BO44" s="1" t="s">
        <v>74</v>
      </c>
      <c r="BP44" s="1" t="s">
        <v>74</v>
      </c>
      <c r="BQ44" s="1" t="s">
        <v>74</v>
      </c>
      <c r="BR44" s="1" t="s">
        <v>74</v>
      </c>
      <c r="BS44" s="1" t="s">
        <v>575</v>
      </c>
      <c r="BT44" s="1" t="str">
        <f>HYPERLINK("https%3A%2F%2Fwww.webofscience.com%2Fwos%2Fwoscc%2Ffull-record%2FWOS:000334780700009","View Full Record in Web of Science")</f>
        <v>View Full Record in Web of Science</v>
      </c>
    </row>
    <row r="45" ht="12.75" customHeight="1">
      <c r="A45" s="1" t="s">
        <v>72</v>
      </c>
      <c r="B45" s="1" t="s">
        <v>576</v>
      </c>
      <c r="C45" s="1" t="s">
        <v>74</v>
      </c>
      <c r="D45" s="1" t="s">
        <v>74</v>
      </c>
      <c r="E45" s="1" t="s">
        <v>74</v>
      </c>
      <c r="F45" s="1" t="s">
        <v>577</v>
      </c>
      <c r="G45" s="1" t="s">
        <v>74</v>
      </c>
      <c r="H45" s="1" t="s">
        <v>74</v>
      </c>
      <c r="I45" s="1" t="s">
        <v>578</v>
      </c>
      <c r="J45" s="1" t="s">
        <v>579</v>
      </c>
      <c r="K45" s="1" t="s">
        <v>74</v>
      </c>
      <c r="L45" s="1" t="s">
        <v>74</v>
      </c>
      <c r="M45" s="1" t="s">
        <v>74</v>
      </c>
      <c r="N45" s="1" t="s">
        <v>74</v>
      </c>
      <c r="O45" s="1" t="s">
        <v>74</v>
      </c>
      <c r="P45" s="1" t="s">
        <v>74</v>
      </c>
      <c r="Q45" s="1" t="s">
        <v>74</v>
      </c>
      <c r="R45" s="1" t="s">
        <v>74</v>
      </c>
      <c r="S45" s="1" t="s">
        <v>74</v>
      </c>
      <c r="T45" s="1" t="s">
        <v>74</v>
      </c>
      <c r="U45" s="1" t="s">
        <v>74</v>
      </c>
      <c r="V45" s="1" t="s">
        <v>580</v>
      </c>
      <c r="W45" s="1" t="s">
        <v>74</v>
      </c>
      <c r="X45" s="1" t="s">
        <v>74</v>
      </c>
      <c r="Y45" s="1" t="s">
        <v>74</v>
      </c>
      <c r="Z45" s="1" t="s">
        <v>74</v>
      </c>
      <c r="AA45" s="1" t="s">
        <v>581</v>
      </c>
      <c r="AB45" s="1" t="s">
        <v>582</v>
      </c>
      <c r="AC45" s="1" t="s">
        <v>74</v>
      </c>
      <c r="AD45" s="1" t="s">
        <v>74</v>
      </c>
      <c r="AE45" s="1" t="s">
        <v>74</v>
      </c>
      <c r="AF45" s="1" t="s">
        <v>74</v>
      </c>
      <c r="AG45" s="1" t="s">
        <v>74</v>
      </c>
      <c r="AH45" s="1" t="s">
        <v>74</v>
      </c>
      <c r="AI45" s="1" t="s">
        <v>74</v>
      </c>
      <c r="AJ45" s="1" t="s">
        <v>74</v>
      </c>
      <c r="AK45" s="1" t="s">
        <v>74</v>
      </c>
      <c r="AL45" s="1" t="s">
        <v>74</v>
      </c>
      <c r="AM45" s="1" t="s">
        <v>74</v>
      </c>
      <c r="AN45" s="1" t="s">
        <v>74</v>
      </c>
      <c r="AO45" s="1" t="s">
        <v>583</v>
      </c>
      <c r="AP45" s="1" t="s">
        <v>74</v>
      </c>
      <c r="AQ45" s="1" t="s">
        <v>74</v>
      </c>
      <c r="AR45" s="1" t="s">
        <v>74</v>
      </c>
      <c r="AS45" s="1" t="s">
        <v>74</v>
      </c>
      <c r="AT45" s="1" t="s">
        <v>74</v>
      </c>
      <c r="AU45" s="1">
        <v>2013.0</v>
      </c>
      <c r="AV45" s="1">
        <v>9.0</v>
      </c>
      <c r="AW45" s="1">
        <v>34.0</v>
      </c>
      <c r="AX45" s="1" t="s">
        <v>74</v>
      </c>
      <c r="AY45" s="1" t="s">
        <v>74</v>
      </c>
      <c r="AZ45" s="1" t="s">
        <v>74</v>
      </c>
      <c r="BA45" s="1" t="s">
        <v>74</v>
      </c>
      <c r="BB45" s="1">
        <v>8359.0</v>
      </c>
      <c r="BC45" s="1">
        <v>8367.0</v>
      </c>
      <c r="BD45" s="1" t="s">
        <v>74</v>
      </c>
      <c r="BE45" s="1" t="s">
        <v>584</v>
      </c>
      <c r="BF45" s="2" t="str">
        <f>HYPERLINK("http://dx.doi.org/10.1039/c3sm50575h","http://dx.doi.org/10.1039/c3sm50575h")</f>
        <v>http://dx.doi.org/10.1039/c3sm50575h</v>
      </c>
      <c r="BG45" s="1" t="s">
        <v>74</v>
      </c>
      <c r="BH45" s="1" t="s">
        <v>74</v>
      </c>
      <c r="BI45" s="1" t="s">
        <v>74</v>
      </c>
      <c r="BJ45" s="1" t="s">
        <v>74</v>
      </c>
      <c r="BK45" s="1" t="s">
        <v>74</v>
      </c>
      <c r="BL45" s="1" t="s">
        <v>74</v>
      </c>
      <c r="BM45" s="1" t="s">
        <v>74</v>
      </c>
      <c r="BN45" s="1" t="s">
        <v>74</v>
      </c>
      <c r="BO45" s="1" t="s">
        <v>74</v>
      </c>
      <c r="BP45" s="1" t="s">
        <v>74</v>
      </c>
      <c r="BQ45" s="1" t="s">
        <v>74</v>
      </c>
      <c r="BR45" s="1" t="s">
        <v>74</v>
      </c>
      <c r="BS45" s="1" t="s">
        <v>585</v>
      </c>
      <c r="BT45" s="1" t="str">
        <f>HYPERLINK("https%3A%2F%2Fwww.webofscience.com%2Fwos%2Fwoscc%2Ffull-record%2FWOS:000322906900027","View Full Record in Web of Science")</f>
        <v>View Full Record in Web of Science</v>
      </c>
    </row>
    <row r="46" ht="12.75" customHeight="1">
      <c r="A46" s="1" t="s">
        <v>72</v>
      </c>
      <c r="B46" s="1" t="s">
        <v>586</v>
      </c>
      <c r="C46" s="1" t="s">
        <v>74</v>
      </c>
      <c r="D46" s="1" t="s">
        <v>74</v>
      </c>
      <c r="E46" s="1" t="s">
        <v>74</v>
      </c>
      <c r="F46" s="1" t="s">
        <v>587</v>
      </c>
      <c r="G46" s="1" t="s">
        <v>74</v>
      </c>
      <c r="H46" s="1" t="s">
        <v>74</v>
      </c>
      <c r="I46" s="1" t="s">
        <v>588</v>
      </c>
      <c r="J46" s="1" t="s">
        <v>589</v>
      </c>
      <c r="K46" s="1" t="s">
        <v>74</v>
      </c>
      <c r="L46" s="1" t="s">
        <v>74</v>
      </c>
      <c r="M46" s="1" t="s">
        <v>74</v>
      </c>
      <c r="N46" s="1" t="s">
        <v>74</v>
      </c>
      <c r="O46" s="1" t="s">
        <v>74</v>
      </c>
      <c r="P46" s="1" t="s">
        <v>74</v>
      </c>
      <c r="Q46" s="1" t="s">
        <v>74</v>
      </c>
      <c r="R46" s="1" t="s">
        <v>74</v>
      </c>
      <c r="S46" s="1" t="s">
        <v>74</v>
      </c>
      <c r="T46" s="1" t="s">
        <v>74</v>
      </c>
      <c r="U46" s="1" t="s">
        <v>74</v>
      </c>
      <c r="V46" s="1" t="s">
        <v>590</v>
      </c>
      <c r="W46" s="1" t="s">
        <v>74</v>
      </c>
      <c r="X46" s="1" t="s">
        <v>74</v>
      </c>
      <c r="Y46" s="1" t="s">
        <v>74</v>
      </c>
      <c r="Z46" s="1" t="s">
        <v>74</v>
      </c>
      <c r="AA46" s="1" t="s">
        <v>591</v>
      </c>
      <c r="AB46" s="1" t="s">
        <v>74</v>
      </c>
      <c r="AC46" s="1" t="s">
        <v>74</v>
      </c>
      <c r="AD46" s="1" t="s">
        <v>74</v>
      </c>
      <c r="AE46" s="1" t="s">
        <v>74</v>
      </c>
      <c r="AF46" s="1" t="s">
        <v>74</v>
      </c>
      <c r="AG46" s="1" t="s">
        <v>74</v>
      </c>
      <c r="AH46" s="1" t="s">
        <v>74</v>
      </c>
      <c r="AI46" s="1" t="s">
        <v>74</v>
      </c>
      <c r="AJ46" s="1" t="s">
        <v>74</v>
      </c>
      <c r="AK46" s="1" t="s">
        <v>74</v>
      </c>
      <c r="AL46" s="1" t="s">
        <v>74</v>
      </c>
      <c r="AM46" s="1" t="s">
        <v>74</v>
      </c>
      <c r="AN46" s="1" t="s">
        <v>74</v>
      </c>
      <c r="AO46" s="1" t="s">
        <v>592</v>
      </c>
      <c r="AP46" s="1" t="s">
        <v>593</v>
      </c>
      <c r="AQ46" s="1" t="s">
        <v>74</v>
      </c>
      <c r="AR46" s="1" t="s">
        <v>74</v>
      </c>
      <c r="AS46" s="1" t="s">
        <v>74</v>
      </c>
      <c r="AT46" s="1" t="s">
        <v>74</v>
      </c>
      <c r="AU46" s="1">
        <v>2011.0</v>
      </c>
      <c r="AV46" s="1">
        <v>21.0</v>
      </c>
      <c r="AW46" s="1" t="s">
        <v>594</v>
      </c>
      <c r="AX46" s="1" t="s">
        <v>74</v>
      </c>
      <c r="AY46" s="1" t="s">
        <v>74</v>
      </c>
      <c r="AZ46" s="1" t="s">
        <v>74</v>
      </c>
      <c r="BA46" s="1" t="s">
        <v>74</v>
      </c>
      <c r="BB46" s="1">
        <v>366.0</v>
      </c>
      <c r="BC46" s="1">
        <v>376.0</v>
      </c>
      <c r="BD46" s="1" t="s">
        <v>74</v>
      </c>
      <c r="BE46" s="1" t="s">
        <v>595</v>
      </c>
      <c r="BF46" s="2" t="str">
        <f>HYPERLINK("http://dx.doi.org/10.1108/09615531111123065","http://dx.doi.org/10.1108/09615531111123065")</f>
        <v>http://dx.doi.org/10.1108/09615531111123065</v>
      </c>
      <c r="BG46" s="1" t="s">
        <v>74</v>
      </c>
      <c r="BH46" s="1" t="s">
        <v>74</v>
      </c>
      <c r="BI46" s="1" t="s">
        <v>74</v>
      </c>
      <c r="BJ46" s="1" t="s">
        <v>74</v>
      </c>
      <c r="BK46" s="1" t="s">
        <v>74</v>
      </c>
      <c r="BL46" s="1" t="s">
        <v>74</v>
      </c>
      <c r="BM46" s="1" t="s">
        <v>74</v>
      </c>
      <c r="BN46" s="1" t="s">
        <v>74</v>
      </c>
      <c r="BO46" s="1" t="s">
        <v>74</v>
      </c>
      <c r="BP46" s="1" t="s">
        <v>74</v>
      </c>
      <c r="BQ46" s="1" t="s">
        <v>74</v>
      </c>
      <c r="BR46" s="1" t="s">
        <v>74</v>
      </c>
      <c r="BS46" s="1" t="s">
        <v>596</v>
      </c>
      <c r="BT46" s="1" t="str">
        <f>HYPERLINK("https%3A%2F%2Fwww.webofscience.com%2Fwos%2Fwoscc%2Ffull-record%2FWOS:000292344300008","View Full Record in Web of Science")</f>
        <v>View Full Record in Web of Science</v>
      </c>
    </row>
    <row r="47" ht="12.75" customHeight="1">
      <c r="A47" s="1" t="s">
        <v>72</v>
      </c>
      <c r="B47" s="1" t="s">
        <v>597</v>
      </c>
      <c r="C47" s="1" t="s">
        <v>74</v>
      </c>
      <c r="D47" s="1" t="s">
        <v>74</v>
      </c>
      <c r="E47" s="1" t="s">
        <v>74</v>
      </c>
      <c r="F47" s="1" t="s">
        <v>598</v>
      </c>
      <c r="G47" s="1" t="s">
        <v>74</v>
      </c>
      <c r="H47" s="1" t="s">
        <v>74</v>
      </c>
      <c r="I47" s="1" t="s">
        <v>599</v>
      </c>
      <c r="J47" s="1" t="s">
        <v>600</v>
      </c>
      <c r="K47" s="1" t="s">
        <v>74</v>
      </c>
      <c r="L47" s="1" t="s">
        <v>74</v>
      </c>
      <c r="M47" s="1" t="s">
        <v>74</v>
      </c>
      <c r="N47" s="1" t="s">
        <v>74</v>
      </c>
      <c r="O47" s="1" t="s">
        <v>74</v>
      </c>
      <c r="P47" s="1" t="s">
        <v>74</v>
      </c>
      <c r="Q47" s="1" t="s">
        <v>74</v>
      </c>
      <c r="R47" s="1" t="s">
        <v>74</v>
      </c>
      <c r="S47" s="1" t="s">
        <v>74</v>
      </c>
      <c r="T47" s="1" t="s">
        <v>74</v>
      </c>
      <c r="U47" s="1" t="s">
        <v>74</v>
      </c>
      <c r="V47" s="1" t="s">
        <v>601</v>
      </c>
      <c r="W47" s="1" t="s">
        <v>74</v>
      </c>
      <c r="X47" s="1" t="s">
        <v>74</v>
      </c>
      <c r="Y47" s="1" t="s">
        <v>74</v>
      </c>
      <c r="Z47" s="1" t="s">
        <v>74</v>
      </c>
      <c r="AA47" s="1" t="s">
        <v>602</v>
      </c>
      <c r="AB47" s="1" t="s">
        <v>603</v>
      </c>
      <c r="AC47" s="1" t="s">
        <v>74</v>
      </c>
      <c r="AD47" s="1" t="s">
        <v>74</v>
      </c>
      <c r="AE47" s="1" t="s">
        <v>74</v>
      </c>
      <c r="AF47" s="1" t="s">
        <v>74</v>
      </c>
      <c r="AG47" s="1" t="s">
        <v>74</v>
      </c>
      <c r="AH47" s="1" t="s">
        <v>74</v>
      </c>
      <c r="AI47" s="1" t="s">
        <v>74</v>
      </c>
      <c r="AJ47" s="1" t="s">
        <v>74</v>
      </c>
      <c r="AK47" s="1" t="s">
        <v>74</v>
      </c>
      <c r="AL47" s="1" t="s">
        <v>74</v>
      </c>
      <c r="AM47" s="1" t="s">
        <v>74</v>
      </c>
      <c r="AN47" s="1" t="s">
        <v>74</v>
      </c>
      <c r="AO47" s="1" t="s">
        <v>604</v>
      </c>
      <c r="AP47" s="1" t="s">
        <v>605</v>
      </c>
      <c r="AQ47" s="1" t="s">
        <v>74</v>
      </c>
      <c r="AR47" s="1" t="s">
        <v>74</v>
      </c>
      <c r="AS47" s="1" t="s">
        <v>74</v>
      </c>
      <c r="AT47" s="1" t="s">
        <v>606</v>
      </c>
      <c r="AU47" s="1">
        <v>2010.0</v>
      </c>
      <c r="AV47" s="1">
        <v>16.0</v>
      </c>
      <c r="AW47" s="1">
        <v>5.0</v>
      </c>
      <c r="AX47" s="1" t="s">
        <v>74</v>
      </c>
      <c r="AY47" s="1" t="s">
        <v>74</v>
      </c>
      <c r="AZ47" s="1" t="s">
        <v>74</v>
      </c>
      <c r="BA47" s="1" t="s">
        <v>74</v>
      </c>
      <c r="BB47" s="1">
        <v>443.0</v>
      </c>
      <c r="BC47" s="1">
        <v>450.0</v>
      </c>
      <c r="BD47" s="1" t="s">
        <v>74</v>
      </c>
      <c r="BE47" s="1" t="s">
        <v>607</v>
      </c>
      <c r="BF47" s="2" t="str">
        <f>HYPERLINK("http://dx.doi.org/10.1177/1082013210367956","http://dx.doi.org/10.1177/1082013210367956")</f>
        <v>http://dx.doi.org/10.1177/1082013210367956</v>
      </c>
      <c r="BG47" s="1" t="s">
        <v>74</v>
      </c>
      <c r="BH47" s="1" t="s">
        <v>74</v>
      </c>
      <c r="BI47" s="1" t="s">
        <v>74</v>
      </c>
      <c r="BJ47" s="1" t="s">
        <v>74</v>
      </c>
      <c r="BK47" s="1" t="s">
        <v>74</v>
      </c>
      <c r="BL47" s="1" t="s">
        <v>74</v>
      </c>
      <c r="BM47" s="1" t="s">
        <v>74</v>
      </c>
      <c r="BN47" s="1">
        <v>2.1339163E7</v>
      </c>
      <c r="BO47" s="1" t="s">
        <v>74</v>
      </c>
      <c r="BP47" s="1" t="s">
        <v>74</v>
      </c>
      <c r="BQ47" s="1" t="s">
        <v>74</v>
      </c>
      <c r="BR47" s="1" t="s">
        <v>74</v>
      </c>
      <c r="BS47" s="1" t="s">
        <v>608</v>
      </c>
      <c r="BT47" s="1" t="str">
        <f>HYPERLINK("https%3A%2F%2Fwww.webofscience.com%2Fwos%2Fwoscc%2Ffull-record%2FWOS:000285185900010","View Full Record in Web of Science")</f>
        <v>View Full Record in Web of Science</v>
      </c>
    </row>
    <row r="48" ht="12.75" customHeight="1">
      <c r="A48" s="1" t="s">
        <v>72</v>
      </c>
      <c r="B48" s="1" t="s">
        <v>609</v>
      </c>
      <c r="C48" s="1" t="s">
        <v>74</v>
      </c>
      <c r="D48" s="1" t="s">
        <v>74</v>
      </c>
      <c r="E48" s="1" t="s">
        <v>74</v>
      </c>
      <c r="F48" s="1" t="s">
        <v>610</v>
      </c>
      <c r="G48" s="1" t="s">
        <v>74</v>
      </c>
      <c r="H48" s="1" t="s">
        <v>74</v>
      </c>
      <c r="I48" s="1" t="s">
        <v>611</v>
      </c>
      <c r="J48" s="1" t="s">
        <v>612</v>
      </c>
      <c r="K48" s="1" t="s">
        <v>74</v>
      </c>
      <c r="L48" s="1" t="s">
        <v>74</v>
      </c>
      <c r="M48" s="1" t="s">
        <v>74</v>
      </c>
      <c r="N48" s="1" t="s">
        <v>74</v>
      </c>
      <c r="O48" s="1" t="s">
        <v>74</v>
      </c>
      <c r="P48" s="1" t="s">
        <v>74</v>
      </c>
      <c r="Q48" s="1" t="s">
        <v>74</v>
      </c>
      <c r="R48" s="1" t="s">
        <v>74</v>
      </c>
      <c r="S48" s="1" t="s">
        <v>74</v>
      </c>
      <c r="T48" s="1" t="s">
        <v>74</v>
      </c>
      <c r="U48" s="1" t="s">
        <v>74</v>
      </c>
      <c r="V48" s="1" t="s">
        <v>613</v>
      </c>
      <c r="W48" s="1" t="s">
        <v>74</v>
      </c>
      <c r="X48" s="1" t="s">
        <v>74</v>
      </c>
      <c r="Y48" s="1" t="s">
        <v>74</v>
      </c>
      <c r="Z48" s="1" t="s">
        <v>74</v>
      </c>
      <c r="AA48" s="1" t="s">
        <v>74</v>
      </c>
      <c r="AB48" s="1" t="s">
        <v>614</v>
      </c>
      <c r="AC48" s="1" t="s">
        <v>74</v>
      </c>
      <c r="AD48" s="1" t="s">
        <v>74</v>
      </c>
      <c r="AE48" s="1" t="s">
        <v>74</v>
      </c>
      <c r="AF48" s="1" t="s">
        <v>74</v>
      </c>
      <c r="AG48" s="1" t="s">
        <v>74</v>
      </c>
      <c r="AH48" s="1" t="s">
        <v>74</v>
      </c>
      <c r="AI48" s="1" t="s">
        <v>74</v>
      </c>
      <c r="AJ48" s="1" t="s">
        <v>74</v>
      </c>
      <c r="AK48" s="1" t="s">
        <v>74</v>
      </c>
      <c r="AL48" s="1" t="s">
        <v>74</v>
      </c>
      <c r="AM48" s="1" t="s">
        <v>74</v>
      </c>
      <c r="AN48" s="1" t="s">
        <v>74</v>
      </c>
      <c r="AO48" s="1" t="s">
        <v>615</v>
      </c>
      <c r="AP48" s="1" t="s">
        <v>616</v>
      </c>
      <c r="AQ48" s="1" t="s">
        <v>74</v>
      </c>
      <c r="AR48" s="1" t="s">
        <v>74</v>
      </c>
      <c r="AS48" s="1" t="s">
        <v>74</v>
      </c>
      <c r="AT48" s="1" t="s">
        <v>617</v>
      </c>
      <c r="AU48" s="1">
        <v>2009.0</v>
      </c>
      <c r="AV48" s="1">
        <v>19.0</v>
      </c>
      <c r="AW48" s="1">
        <v>21.0</v>
      </c>
      <c r="AX48" s="1" t="s">
        <v>74</v>
      </c>
      <c r="AY48" s="1" t="s">
        <v>74</v>
      </c>
      <c r="AZ48" s="1" t="s">
        <v>74</v>
      </c>
      <c r="BA48" s="1" t="s">
        <v>74</v>
      </c>
      <c r="BB48" s="1">
        <v>6172.0</v>
      </c>
      <c r="BC48" s="1">
        <v>6175.0</v>
      </c>
      <c r="BD48" s="1" t="s">
        <v>74</v>
      </c>
      <c r="BE48" s="1" t="s">
        <v>618</v>
      </c>
      <c r="BF48" s="2" t="str">
        <f>HYPERLINK("http://dx.doi.org/10.1016/j.bmcl.2009.09.007","http://dx.doi.org/10.1016/j.bmcl.2009.09.007")</f>
        <v>http://dx.doi.org/10.1016/j.bmcl.2009.09.007</v>
      </c>
      <c r="BG48" s="1" t="s">
        <v>74</v>
      </c>
      <c r="BH48" s="1" t="s">
        <v>74</v>
      </c>
      <c r="BI48" s="1" t="s">
        <v>74</v>
      </c>
      <c r="BJ48" s="1" t="s">
        <v>74</v>
      </c>
      <c r="BK48" s="1" t="s">
        <v>74</v>
      </c>
      <c r="BL48" s="1" t="s">
        <v>74</v>
      </c>
      <c r="BM48" s="1" t="s">
        <v>74</v>
      </c>
      <c r="BN48" s="1">
        <v>1.9793652E7</v>
      </c>
      <c r="BO48" s="1" t="s">
        <v>74</v>
      </c>
      <c r="BP48" s="1" t="s">
        <v>74</v>
      </c>
      <c r="BQ48" s="1" t="s">
        <v>74</v>
      </c>
      <c r="BR48" s="1" t="s">
        <v>74</v>
      </c>
      <c r="BS48" s="1" t="s">
        <v>619</v>
      </c>
      <c r="BT48" s="1" t="str">
        <f>HYPERLINK("https%3A%2F%2Fwww.webofscience.com%2Fwos%2Fwoscc%2Ffull-record%2FWOS:000270561300039","View Full Record in Web of Science")</f>
        <v>View Full Record in Web of Science</v>
      </c>
    </row>
    <row r="49" ht="12.75" customHeight="1">
      <c r="A49" s="1" t="s">
        <v>72</v>
      </c>
      <c r="B49" s="1" t="s">
        <v>620</v>
      </c>
      <c r="C49" s="1" t="s">
        <v>74</v>
      </c>
      <c r="D49" s="1" t="s">
        <v>74</v>
      </c>
      <c r="E49" s="1" t="s">
        <v>74</v>
      </c>
      <c r="F49" s="1" t="s">
        <v>621</v>
      </c>
      <c r="G49" s="1" t="s">
        <v>74</v>
      </c>
      <c r="H49" s="1" t="s">
        <v>74</v>
      </c>
      <c r="I49" s="1" t="s">
        <v>622</v>
      </c>
      <c r="J49" s="1" t="s">
        <v>623</v>
      </c>
      <c r="K49" s="1" t="s">
        <v>74</v>
      </c>
      <c r="L49" s="1" t="s">
        <v>74</v>
      </c>
      <c r="M49" s="1" t="s">
        <v>74</v>
      </c>
      <c r="N49" s="1" t="s">
        <v>74</v>
      </c>
      <c r="O49" s="1" t="s">
        <v>74</v>
      </c>
      <c r="P49" s="1" t="s">
        <v>74</v>
      </c>
      <c r="Q49" s="1" t="s">
        <v>74</v>
      </c>
      <c r="R49" s="1" t="s">
        <v>74</v>
      </c>
      <c r="S49" s="1" t="s">
        <v>74</v>
      </c>
      <c r="T49" s="1" t="s">
        <v>74</v>
      </c>
      <c r="U49" s="1" t="s">
        <v>74</v>
      </c>
      <c r="V49" s="1" t="s">
        <v>624</v>
      </c>
      <c r="W49" s="1" t="s">
        <v>74</v>
      </c>
      <c r="X49" s="1" t="s">
        <v>74</v>
      </c>
      <c r="Y49" s="1" t="s">
        <v>74</v>
      </c>
      <c r="Z49" s="1" t="s">
        <v>74</v>
      </c>
      <c r="AA49" s="1" t="s">
        <v>625</v>
      </c>
      <c r="AB49" s="1" t="s">
        <v>626</v>
      </c>
      <c r="AC49" s="1" t="s">
        <v>74</v>
      </c>
      <c r="AD49" s="1" t="s">
        <v>74</v>
      </c>
      <c r="AE49" s="1" t="s">
        <v>74</v>
      </c>
      <c r="AF49" s="1" t="s">
        <v>74</v>
      </c>
      <c r="AG49" s="1" t="s">
        <v>74</v>
      </c>
      <c r="AH49" s="1" t="s">
        <v>74</v>
      </c>
      <c r="AI49" s="1" t="s">
        <v>74</v>
      </c>
      <c r="AJ49" s="1" t="s">
        <v>74</v>
      </c>
      <c r="AK49" s="1" t="s">
        <v>74</v>
      </c>
      <c r="AL49" s="1" t="s">
        <v>74</v>
      </c>
      <c r="AM49" s="1" t="s">
        <v>74</v>
      </c>
      <c r="AN49" s="1" t="s">
        <v>74</v>
      </c>
      <c r="AO49" s="1" t="s">
        <v>627</v>
      </c>
      <c r="AP49" s="1" t="s">
        <v>628</v>
      </c>
      <c r="AQ49" s="1" t="s">
        <v>74</v>
      </c>
      <c r="AR49" s="1" t="s">
        <v>74</v>
      </c>
      <c r="AS49" s="1" t="s">
        <v>74</v>
      </c>
      <c r="AT49" s="1" t="s">
        <v>629</v>
      </c>
      <c r="AU49" s="1">
        <v>2008.0</v>
      </c>
      <c r="AV49" s="1">
        <v>668.0</v>
      </c>
      <c r="AW49" s="1">
        <v>5.0</v>
      </c>
      <c r="AX49" s="1" t="s">
        <v>74</v>
      </c>
      <c r="AY49" s="1" t="s">
        <v>74</v>
      </c>
      <c r="AZ49" s="1" t="s">
        <v>74</v>
      </c>
      <c r="BA49" s="1" t="s">
        <v>74</v>
      </c>
      <c r="BB49" s="1">
        <v>447.0</v>
      </c>
      <c r="BC49" s="1">
        <v>452.0</v>
      </c>
      <c r="BD49" s="1" t="s">
        <v>74</v>
      </c>
      <c r="BE49" s="1" t="s">
        <v>630</v>
      </c>
      <c r="BF49" s="2" t="str">
        <f>HYPERLINK("http://dx.doi.org/10.1016/j.physletb.2008.08.064","http://dx.doi.org/10.1016/j.physletb.2008.08.064")</f>
        <v>http://dx.doi.org/10.1016/j.physletb.2008.08.064</v>
      </c>
      <c r="BG49" s="1" t="s">
        <v>74</v>
      </c>
      <c r="BH49" s="1" t="s">
        <v>74</v>
      </c>
      <c r="BI49" s="1" t="s">
        <v>74</v>
      </c>
      <c r="BJ49" s="1" t="s">
        <v>74</v>
      </c>
      <c r="BK49" s="1" t="s">
        <v>74</v>
      </c>
      <c r="BL49" s="1" t="s">
        <v>74</v>
      </c>
      <c r="BM49" s="1" t="s">
        <v>74</v>
      </c>
      <c r="BN49" s="1" t="s">
        <v>74</v>
      </c>
      <c r="BO49" s="1" t="s">
        <v>74</v>
      </c>
      <c r="BP49" s="1" t="s">
        <v>74</v>
      </c>
      <c r="BQ49" s="1" t="s">
        <v>74</v>
      </c>
      <c r="BR49" s="1" t="s">
        <v>74</v>
      </c>
      <c r="BS49" s="1" t="s">
        <v>631</v>
      </c>
      <c r="BT49" s="1" t="str">
        <f>HYPERLINK("https%3A%2F%2Fwww.webofscience.com%2Fwos%2Fwoscc%2Ffull-record%2FWOS:000260717000018","View Full Record in Web of Science")</f>
        <v>View Full Record in Web of Science</v>
      </c>
    </row>
    <row r="50" ht="12.75" customHeight="1">
      <c r="A50" s="1" t="s">
        <v>72</v>
      </c>
      <c r="B50" s="1" t="s">
        <v>632</v>
      </c>
      <c r="C50" s="1" t="s">
        <v>74</v>
      </c>
      <c r="D50" s="1" t="s">
        <v>74</v>
      </c>
      <c r="E50" s="1" t="s">
        <v>74</v>
      </c>
      <c r="F50" s="1" t="s">
        <v>633</v>
      </c>
      <c r="G50" s="1" t="s">
        <v>74</v>
      </c>
      <c r="H50" s="1" t="s">
        <v>74</v>
      </c>
      <c r="I50" s="1" t="s">
        <v>634</v>
      </c>
      <c r="J50" s="1" t="s">
        <v>635</v>
      </c>
      <c r="K50" s="1" t="s">
        <v>74</v>
      </c>
      <c r="L50" s="1" t="s">
        <v>74</v>
      </c>
      <c r="M50" s="1" t="s">
        <v>74</v>
      </c>
      <c r="N50" s="1" t="s">
        <v>74</v>
      </c>
      <c r="O50" s="1" t="s">
        <v>74</v>
      </c>
      <c r="P50" s="1" t="s">
        <v>74</v>
      </c>
      <c r="Q50" s="1" t="s">
        <v>74</v>
      </c>
      <c r="R50" s="1" t="s">
        <v>74</v>
      </c>
      <c r="S50" s="1" t="s">
        <v>74</v>
      </c>
      <c r="T50" s="1" t="s">
        <v>74</v>
      </c>
      <c r="U50" s="1" t="s">
        <v>74</v>
      </c>
      <c r="V50" s="1" t="s">
        <v>636</v>
      </c>
      <c r="W50" s="1" t="s">
        <v>74</v>
      </c>
      <c r="X50" s="1" t="s">
        <v>74</v>
      </c>
      <c r="Y50" s="1" t="s">
        <v>74</v>
      </c>
      <c r="Z50" s="1" t="s">
        <v>74</v>
      </c>
      <c r="AA50" s="1" t="s">
        <v>637</v>
      </c>
      <c r="AB50" s="1" t="s">
        <v>638</v>
      </c>
      <c r="AC50" s="1" t="s">
        <v>74</v>
      </c>
      <c r="AD50" s="1" t="s">
        <v>74</v>
      </c>
      <c r="AE50" s="1" t="s">
        <v>74</v>
      </c>
      <c r="AF50" s="1" t="s">
        <v>74</v>
      </c>
      <c r="AG50" s="1" t="s">
        <v>74</v>
      </c>
      <c r="AH50" s="1" t="s">
        <v>74</v>
      </c>
      <c r="AI50" s="1" t="s">
        <v>74</v>
      </c>
      <c r="AJ50" s="1" t="s">
        <v>74</v>
      </c>
      <c r="AK50" s="1" t="s">
        <v>74</v>
      </c>
      <c r="AL50" s="1" t="s">
        <v>74</v>
      </c>
      <c r="AM50" s="1" t="s">
        <v>74</v>
      </c>
      <c r="AN50" s="1" t="s">
        <v>74</v>
      </c>
      <c r="AO50" s="1" t="s">
        <v>639</v>
      </c>
      <c r="AP50" s="1" t="s">
        <v>640</v>
      </c>
      <c r="AQ50" s="1" t="s">
        <v>74</v>
      </c>
      <c r="AR50" s="1" t="s">
        <v>74</v>
      </c>
      <c r="AS50" s="1" t="s">
        <v>74</v>
      </c>
      <c r="AT50" s="1" t="s">
        <v>641</v>
      </c>
      <c r="AU50" s="1">
        <v>2008.0</v>
      </c>
      <c r="AV50" s="1">
        <v>53.0</v>
      </c>
      <c r="AW50" s="1">
        <v>6.0</v>
      </c>
      <c r="AX50" s="1" t="s">
        <v>74</v>
      </c>
      <c r="AY50" s="1" t="s">
        <v>74</v>
      </c>
      <c r="AZ50" s="1" t="s">
        <v>74</v>
      </c>
      <c r="BA50" s="1" t="s">
        <v>74</v>
      </c>
      <c r="BB50" s="1">
        <v>2768.0</v>
      </c>
      <c r="BC50" s="1">
        <v>2775.0</v>
      </c>
      <c r="BD50" s="1" t="s">
        <v>74</v>
      </c>
      <c r="BE50" s="1" t="s">
        <v>642</v>
      </c>
      <c r="BF50" s="2" t="str">
        <f>HYPERLINK("http://dx.doi.org/10.1016/j.electacta.2007.10.053","http://dx.doi.org/10.1016/j.electacta.2007.10.053")</f>
        <v>http://dx.doi.org/10.1016/j.electacta.2007.10.053</v>
      </c>
      <c r="BG50" s="1" t="s">
        <v>74</v>
      </c>
      <c r="BH50" s="1" t="s">
        <v>74</v>
      </c>
      <c r="BI50" s="1" t="s">
        <v>74</v>
      </c>
      <c r="BJ50" s="1" t="s">
        <v>74</v>
      </c>
      <c r="BK50" s="1" t="s">
        <v>74</v>
      </c>
      <c r="BL50" s="1" t="s">
        <v>74</v>
      </c>
      <c r="BM50" s="1" t="s">
        <v>74</v>
      </c>
      <c r="BN50" s="1" t="s">
        <v>74</v>
      </c>
      <c r="BO50" s="1" t="s">
        <v>74</v>
      </c>
      <c r="BP50" s="1" t="s">
        <v>74</v>
      </c>
      <c r="BQ50" s="1" t="s">
        <v>74</v>
      </c>
      <c r="BR50" s="1" t="s">
        <v>74</v>
      </c>
      <c r="BS50" s="1" t="s">
        <v>643</v>
      </c>
      <c r="BT50" s="1" t="str">
        <f>HYPERLINK("https%3A%2F%2Fwww.webofscience.com%2Fwos%2Fwoscc%2Ffull-record%2FWOS:000253213600014","View Full Record in Web of Science")</f>
        <v>View Full Record in Web of Science</v>
      </c>
    </row>
    <row r="51" ht="12.75" customHeight="1">
      <c r="A51" s="1" t="s">
        <v>72</v>
      </c>
      <c r="B51" s="1" t="s">
        <v>644</v>
      </c>
      <c r="C51" s="1" t="s">
        <v>74</v>
      </c>
      <c r="D51" s="1" t="s">
        <v>74</v>
      </c>
      <c r="E51" s="1" t="s">
        <v>74</v>
      </c>
      <c r="F51" s="1" t="s">
        <v>645</v>
      </c>
      <c r="G51" s="1" t="s">
        <v>74</v>
      </c>
      <c r="H51" s="1" t="s">
        <v>74</v>
      </c>
      <c r="I51" s="1" t="s">
        <v>646</v>
      </c>
      <c r="J51" s="1" t="s">
        <v>647</v>
      </c>
      <c r="K51" s="1" t="s">
        <v>74</v>
      </c>
      <c r="L51" s="1" t="s">
        <v>74</v>
      </c>
      <c r="M51" s="1" t="s">
        <v>74</v>
      </c>
      <c r="N51" s="1" t="s">
        <v>74</v>
      </c>
      <c r="O51" s="1" t="s">
        <v>74</v>
      </c>
      <c r="P51" s="1" t="s">
        <v>74</v>
      </c>
      <c r="Q51" s="1" t="s">
        <v>74</v>
      </c>
      <c r="R51" s="1" t="s">
        <v>74</v>
      </c>
      <c r="S51" s="1" t="s">
        <v>74</v>
      </c>
      <c r="T51" s="1" t="s">
        <v>74</v>
      </c>
      <c r="U51" s="1" t="s">
        <v>74</v>
      </c>
      <c r="V51" s="1" t="s">
        <v>648</v>
      </c>
      <c r="W51" s="1" t="s">
        <v>74</v>
      </c>
      <c r="X51" s="1" t="s">
        <v>74</v>
      </c>
      <c r="Y51" s="1" t="s">
        <v>74</v>
      </c>
      <c r="Z51" s="1" t="s">
        <v>74</v>
      </c>
      <c r="AA51" s="1" t="s">
        <v>649</v>
      </c>
      <c r="AB51" s="1" t="s">
        <v>650</v>
      </c>
      <c r="AC51" s="1" t="s">
        <v>74</v>
      </c>
      <c r="AD51" s="1" t="s">
        <v>74</v>
      </c>
      <c r="AE51" s="1" t="s">
        <v>74</v>
      </c>
      <c r="AF51" s="1" t="s">
        <v>74</v>
      </c>
      <c r="AG51" s="1" t="s">
        <v>74</v>
      </c>
      <c r="AH51" s="1" t="s">
        <v>74</v>
      </c>
      <c r="AI51" s="1" t="s">
        <v>74</v>
      </c>
      <c r="AJ51" s="1" t="s">
        <v>74</v>
      </c>
      <c r="AK51" s="1" t="s">
        <v>74</v>
      </c>
      <c r="AL51" s="1" t="s">
        <v>74</v>
      </c>
      <c r="AM51" s="1" t="s">
        <v>74</v>
      </c>
      <c r="AN51" s="1" t="s">
        <v>74</v>
      </c>
      <c r="AO51" s="1" t="s">
        <v>651</v>
      </c>
      <c r="AP51" s="1" t="s">
        <v>74</v>
      </c>
      <c r="AQ51" s="1" t="s">
        <v>74</v>
      </c>
      <c r="AR51" s="1" t="s">
        <v>74</v>
      </c>
      <c r="AS51" s="1" t="s">
        <v>74</v>
      </c>
      <c r="AT51" s="1" t="s">
        <v>652</v>
      </c>
      <c r="AU51" s="1">
        <v>2007.0</v>
      </c>
      <c r="AV51" s="1">
        <v>43.0</v>
      </c>
      <c r="AW51" s="1">
        <v>6.0</v>
      </c>
      <c r="AX51" s="1" t="s">
        <v>74</v>
      </c>
      <c r="AY51" s="1" t="s">
        <v>74</v>
      </c>
      <c r="AZ51" s="1" t="s">
        <v>74</v>
      </c>
      <c r="BA51" s="1" t="s">
        <v>74</v>
      </c>
      <c r="BB51" s="1">
        <v>799.0</v>
      </c>
      <c r="BC51" s="1">
        <v>804.0</v>
      </c>
      <c r="BD51" s="1" t="s">
        <v>74</v>
      </c>
      <c r="BE51" s="1" t="s">
        <v>653</v>
      </c>
      <c r="BF51" s="2" t="str">
        <f>HYPERLINK("http://dx.doi.org/10.2144/000112594","http://dx.doi.org/10.2144/000112594")</f>
        <v>http://dx.doi.org/10.2144/000112594</v>
      </c>
      <c r="BG51" s="1" t="s">
        <v>74</v>
      </c>
      <c r="BH51" s="1" t="s">
        <v>74</v>
      </c>
      <c r="BI51" s="1" t="s">
        <v>74</v>
      </c>
      <c r="BJ51" s="1" t="s">
        <v>74</v>
      </c>
      <c r="BK51" s="1" t="s">
        <v>74</v>
      </c>
      <c r="BL51" s="1" t="s">
        <v>74</v>
      </c>
      <c r="BM51" s="1" t="s">
        <v>74</v>
      </c>
      <c r="BN51" s="1">
        <v>1.8251257E7</v>
      </c>
      <c r="BO51" s="1" t="s">
        <v>74</v>
      </c>
      <c r="BP51" s="1" t="s">
        <v>74</v>
      </c>
      <c r="BQ51" s="1" t="s">
        <v>74</v>
      </c>
      <c r="BR51" s="1" t="s">
        <v>74</v>
      </c>
      <c r="BS51" s="1" t="s">
        <v>654</v>
      </c>
      <c r="BT51" s="1" t="str">
        <f>HYPERLINK("https%3A%2F%2Fwww.webofscience.com%2Fwos%2Fwoscc%2Ffull-record%2FWOS:000205886100022","View Full Record in Web of Science")</f>
        <v>View Full Record in Web of Science</v>
      </c>
    </row>
    <row r="52" ht="12.75" customHeight="1">
      <c r="A52" s="1" t="s">
        <v>72</v>
      </c>
      <c r="B52" s="1" t="s">
        <v>655</v>
      </c>
      <c r="C52" s="1" t="s">
        <v>74</v>
      </c>
      <c r="D52" s="1" t="s">
        <v>74</v>
      </c>
      <c r="E52" s="1" t="s">
        <v>74</v>
      </c>
      <c r="F52" s="1" t="s">
        <v>656</v>
      </c>
      <c r="G52" s="1" t="s">
        <v>74</v>
      </c>
      <c r="H52" s="1" t="s">
        <v>74</v>
      </c>
      <c r="I52" s="1" t="s">
        <v>657</v>
      </c>
      <c r="J52" s="1" t="s">
        <v>658</v>
      </c>
      <c r="K52" s="1" t="s">
        <v>74</v>
      </c>
      <c r="L52" s="1" t="s">
        <v>74</v>
      </c>
      <c r="M52" s="1" t="s">
        <v>74</v>
      </c>
      <c r="N52" s="1" t="s">
        <v>74</v>
      </c>
      <c r="O52" s="1" t="s">
        <v>74</v>
      </c>
      <c r="P52" s="1" t="s">
        <v>74</v>
      </c>
      <c r="Q52" s="1" t="s">
        <v>74</v>
      </c>
      <c r="R52" s="1" t="s">
        <v>74</v>
      </c>
      <c r="S52" s="1" t="s">
        <v>74</v>
      </c>
      <c r="T52" s="1" t="s">
        <v>74</v>
      </c>
      <c r="U52" s="1" t="s">
        <v>74</v>
      </c>
      <c r="V52" s="1" t="s">
        <v>659</v>
      </c>
      <c r="W52" s="1" t="s">
        <v>74</v>
      </c>
      <c r="X52" s="1" t="s">
        <v>74</v>
      </c>
      <c r="Y52" s="1" t="s">
        <v>74</v>
      </c>
      <c r="Z52" s="1" t="s">
        <v>74</v>
      </c>
      <c r="AA52" s="1" t="s">
        <v>74</v>
      </c>
      <c r="AB52" s="1" t="s">
        <v>74</v>
      </c>
      <c r="AC52" s="1" t="s">
        <v>74</v>
      </c>
      <c r="AD52" s="1" t="s">
        <v>74</v>
      </c>
      <c r="AE52" s="1" t="s">
        <v>74</v>
      </c>
      <c r="AF52" s="1" t="s">
        <v>74</v>
      </c>
      <c r="AG52" s="1" t="s">
        <v>74</v>
      </c>
      <c r="AH52" s="1" t="s">
        <v>74</v>
      </c>
      <c r="AI52" s="1" t="s">
        <v>74</v>
      </c>
      <c r="AJ52" s="1" t="s">
        <v>74</v>
      </c>
      <c r="AK52" s="1" t="s">
        <v>74</v>
      </c>
      <c r="AL52" s="1" t="s">
        <v>74</v>
      </c>
      <c r="AM52" s="1" t="s">
        <v>74</v>
      </c>
      <c r="AN52" s="1" t="s">
        <v>74</v>
      </c>
      <c r="AO52" s="1" t="s">
        <v>660</v>
      </c>
      <c r="AP52" s="1" t="s">
        <v>74</v>
      </c>
      <c r="AQ52" s="1" t="s">
        <v>74</v>
      </c>
      <c r="AR52" s="1" t="s">
        <v>74</v>
      </c>
      <c r="AS52" s="1" t="s">
        <v>74</v>
      </c>
      <c r="AT52" s="1" t="s">
        <v>306</v>
      </c>
      <c r="AU52" s="1">
        <v>2007.0</v>
      </c>
      <c r="AV52" s="1">
        <v>37.0</v>
      </c>
      <c r="AW52" s="1">
        <v>2.0</v>
      </c>
      <c r="AX52" s="1" t="s">
        <v>74</v>
      </c>
      <c r="AY52" s="1" t="s">
        <v>74</v>
      </c>
      <c r="AZ52" s="1" t="s">
        <v>74</v>
      </c>
      <c r="BA52" s="1" t="s">
        <v>74</v>
      </c>
      <c r="BB52" s="1">
        <v>105.0</v>
      </c>
      <c r="BC52" s="1">
        <v>113.0</v>
      </c>
      <c r="BD52" s="1" t="s">
        <v>74</v>
      </c>
      <c r="BE52" s="1" t="s">
        <v>74</v>
      </c>
      <c r="BF52" s="1" t="s">
        <v>74</v>
      </c>
      <c r="BG52" s="1" t="s">
        <v>74</v>
      </c>
      <c r="BH52" s="1" t="s">
        <v>74</v>
      </c>
      <c r="BI52" s="1" t="s">
        <v>74</v>
      </c>
      <c r="BJ52" s="1" t="s">
        <v>74</v>
      </c>
      <c r="BK52" s="1" t="s">
        <v>74</v>
      </c>
      <c r="BL52" s="1" t="s">
        <v>74</v>
      </c>
      <c r="BM52" s="1" t="s">
        <v>74</v>
      </c>
      <c r="BN52" s="1" t="s">
        <v>74</v>
      </c>
      <c r="BO52" s="1" t="s">
        <v>74</v>
      </c>
      <c r="BP52" s="1" t="s">
        <v>74</v>
      </c>
      <c r="BQ52" s="1" t="s">
        <v>74</v>
      </c>
      <c r="BR52" s="1" t="s">
        <v>74</v>
      </c>
      <c r="BS52" s="1" t="s">
        <v>661</v>
      </c>
      <c r="BT52" s="1" t="str">
        <f>HYPERLINK("https%3A%2F%2Fwww.webofscience.com%2Fwos%2Fwoscc%2Ffull-record%2FWOS:000246097100001","View Full Record in Web of Science")</f>
        <v>View Full Record in Web of Science</v>
      </c>
    </row>
    <row r="53" ht="12.75" customHeight="1">
      <c r="A53" s="1" t="s">
        <v>72</v>
      </c>
      <c r="B53" s="1" t="s">
        <v>662</v>
      </c>
      <c r="C53" s="1" t="s">
        <v>74</v>
      </c>
      <c r="D53" s="1" t="s">
        <v>74</v>
      </c>
      <c r="E53" s="1" t="s">
        <v>74</v>
      </c>
      <c r="F53" s="1" t="s">
        <v>663</v>
      </c>
      <c r="G53" s="1" t="s">
        <v>74</v>
      </c>
      <c r="H53" s="1" t="s">
        <v>74</v>
      </c>
      <c r="I53" s="1" t="s">
        <v>664</v>
      </c>
      <c r="J53" s="1" t="s">
        <v>312</v>
      </c>
      <c r="K53" s="1" t="s">
        <v>74</v>
      </c>
      <c r="L53" s="1" t="s">
        <v>74</v>
      </c>
      <c r="M53" s="1" t="s">
        <v>74</v>
      </c>
      <c r="N53" s="1" t="s">
        <v>74</v>
      </c>
      <c r="O53" s="1" t="s">
        <v>74</v>
      </c>
      <c r="P53" s="1" t="s">
        <v>74</v>
      </c>
      <c r="Q53" s="1" t="s">
        <v>74</v>
      </c>
      <c r="R53" s="1" t="s">
        <v>74</v>
      </c>
      <c r="S53" s="1" t="s">
        <v>74</v>
      </c>
      <c r="T53" s="1" t="s">
        <v>74</v>
      </c>
      <c r="U53" s="1" t="s">
        <v>74</v>
      </c>
      <c r="V53" s="1" t="s">
        <v>665</v>
      </c>
      <c r="W53" s="1" t="s">
        <v>74</v>
      </c>
      <c r="X53" s="1" t="s">
        <v>74</v>
      </c>
      <c r="Y53" s="1" t="s">
        <v>74</v>
      </c>
      <c r="Z53" s="1" t="s">
        <v>74</v>
      </c>
      <c r="AA53" s="1" t="s">
        <v>666</v>
      </c>
      <c r="AB53" s="1" t="s">
        <v>667</v>
      </c>
      <c r="AC53" s="1" t="s">
        <v>74</v>
      </c>
      <c r="AD53" s="1" t="s">
        <v>74</v>
      </c>
      <c r="AE53" s="1" t="s">
        <v>74</v>
      </c>
      <c r="AF53" s="1" t="s">
        <v>74</v>
      </c>
      <c r="AG53" s="1" t="s">
        <v>74</v>
      </c>
      <c r="AH53" s="1" t="s">
        <v>74</v>
      </c>
      <c r="AI53" s="1" t="s">
        <v>74</v>
      </c>
      <c r="AJ53" s="1" t="s">
        <v>74</v>
      </c>
      <c r="AK53" s="1" t="s">
        <v>74</v>
      </c>
      <c r="AL53" s="1" t="s">
        <v>74</v>
      </c>
      <c r="AM53" s="1" t="s">
        <v>74</v>
      </c>
      <c r="AN53" s="1" t="s">
        <v>74</v>
      </c>
      <c r="AO53" s="1" t="s">
        <v>315</v>
      </c>
      <c r="AP53" s="1" t="s">
        <v>316</v>
      </c>
      <c r="AQ53" s="1" t="s">
        <v>74</v>
      </c>
      <c r="AR53" s="1" t="s">
        <v>74</v>
      </c>
      <c r="AS53" s="1" t="s">
        <v>74</v>
      </c>
      <c r="AT53" s="1" t="s">
        <v>306</v>
      </c>
      <c r="AU53" s="1">
        <v>2007.0</v>
      </c>
      <c r="AV53" s="1">
        <v>135.0</v>
      </c>
      <c r="AW53" s="1">
        <v>4.0</v>
      </c>
      <c r="AX53" s="1" t="s">
        <v>74</v>
      </c>
      <c r="AY53" s="1" t="s">
        <v>74</v>
      </c>
      <c r="AZ53" s="1" t="s">
        <v>74</v>
      </c>
      <c r="BA53" s="1" t="s">
        <v>74</v>
      </c>
      <c r="BB53" s="1">
        <v>449.0</v>
      </c>
      <c r="BC53" s="1">
        <v>456.0</v>
      </c>
      <c r="BD53" s="1" t="s">
        <v>74</v>
      </c>
      <c r="BE53" s="1" t="s">
        <v>74</v>
      </c>
      <c r="BF53" s="1" t="s">
        <v>74</v>
      </c>
      <c r="BG53" s="1" t="s">
        <v>74</v>
      </c>
      <c r="BH53" s="1" t="s">
        <v>74</v>
      </c>
      <c r="BI53" s="1" t="s">
        <v>74</v>
      </c>
      <c r="BJ53" s="1" t="s">
        <v>74</v>
      </c>
      <c r="BK53" s="1" t="s">
        <v>74</v>
      </c>
      <c r="BL53" s="1" t="s">
        <v>74</v>
      </c>
      <c r="BM53" s="1" t="s">
        <v>74</v>
      </c>
      <c r="BN53" s="1">
        <v>1.7554453E7</v>
      </c>
      <c r="BO53" s="1" t="s">
        <v>74</v>
      </c>
      <c r="BP53" s="1" t="s">
        <v>74</v>
      </c>
      <c r="BQ53" s="1" t="s">
        <v>74</v>
      </c>
      <c r="BR53" s="1" t="s">
        <v>74</v>
      </c>
      <c r="BS53" s="1" t="s">
        <v>668</v>
      </c>
      <c r="BT53" s="1" t="str">
        <f>HYPERLINK("https%3A%2F%2Fwww.webofscience.com%2Fwos%2Fwoscc%2Ffull-record%2FWOS:000247022900006","View Full Record in Web of Science")</f>
        <v>View Full Record in Web of Science</v>
      </c>
    </row>
    <row r="54" ht="12.75" customHeight="1">
      <c r="A54" s="1" t="s">
        <v>72</v>
      </c>
      <c r="B54" s="1" t="s">
        <v>669</v>
      </c>
      <c r="C54" s="1" t="s">
        <v>74</v>
      </c>
      <c r="D54" s="1" t="s">
        <v>74</v>
      </c>
      <c r="E54" s="1" t="s">
        <v>74</v>
      </c>
      <c r="F54" s="1" t="s">
        <v>670</v>
      </c>
      <c r="G54" s="1" t="s">
        <v>74</v>
      </c>
      <c r="H54" s="1" t="s">
        <v>74</v>
      </c>
      <c r="I54" s="1" t="s">
        <v>671</v>
      </c>
      <c r="J54" s="1" t="s">
        <v>672</v>
      </c>
      <c r="K54" s="1" t="s">
        <v>74</v>
      </c>
      <c r="L54" s="1" t="s">
        <v>74</v>
      </c>
      <c r="M54" s="1" t="s">
        <v>74</v>
      </c>
      <c r="N54" s="1" t="s">
        <v>74</v>
      </c>
      <c r="O54" s="1" t="s">
        <v>74</v>
      </c>
      <c r="P54" s="1" t="s">
        <v>74</v>
      </c>
      <c r="Q54" s="1" t="s">
        <v>74</v>
      </c>
      <c r="R54" s="1" t="s">
        <v>74</v>
      </c>
      <c r="S54" s="1" t="s">
        <v>74</v>
      </c>
      <c r="T54" s="1" t="s">
        <v>74</v>
      </c>
      <c r="U54" s="1" t="s">
        <v>74</v>
      </c>
      <c r="V54" s="1" t="s">
        <v>673</v>
      </c>
      <c r="W54" s="1" t="s">
        <v>74</v>
      </c>
      <c r="X54" s="1" t="s">
        <v>74</v>
      </c>
      <c r="Y54" s="1" t="s">
        <v>74</v>
      </c>
      <c r="Z54" s="1" t="s">
        <v>74</v>
      </c>
      <c r="AA54" s="1" t="s">
        <v>674</v>
      </c>
      <c r="AB54" s="1" t="s">
        <v>675</v>
      </c>
      <c r="AC54" s="1" t="s">
        <v>74</v>
      </c>
      <c r="AD54" s="1" t="s">
        <v>74</v>
      </c>
      <c r="AE54" s="1" t="s">
        <v>74</v>
      </c>
      <c r="AF54" s="1" t="s">
        <v>74</v>
      </c>
      <c r="AG54" s="1" t="s">
        <v>74</v>
      </c>
      <c r="AH54" s="1" t="s">
        <v>74</v>
      </c>
      <c r="AI54" s="1" t="s">
        <v>74</v>
      </c>
      <c r="AJ54" s="1" t="s">
        <v>74</v>
      </c>
      <c r="AK54" s="1" t="s">
        <v>74</v>
      </c>
      <c r="AL54" s="1" t="s">
        <v>74</v>
      </c>
      <c r="AM54" s="1" t="s">
        <v>74</v>
      </c>
      <c r="AN54" s="1" t="s">
        <v>74</v>
      </c>
      <c r="AO54" s="1" t="s">
        <v>676</v>
      </c>
      <c r="AP54" s="1" t="s">
        <v>677</v>
      </c>
      <c r="AQ54" s="1" t="s">
        <v>74</v>
      </c>
      <c r="AR54" s="1" t="s">
        <v>74</v>
      </c>
      <c r="AS54" s="1" t="s">
        <v>74</v>
      </c>
      <c r="AT54" s="1" t="s">
        <v>678</v>
      </c>
      <c r="AU54" s="1">
        <v>2006.0</v>
      </c>
      <c r="AV54" s="1">
        <v>209.0</v>
      </c>
      <c r="AW54" s="1">
        <v>2.0</v>
      </c>
      <c r="AX54" s="1" t="s">
        <v>74</v>
      </c>
      <c r="AY54" s="1" t="s">
        <v>74</v>
      </c>
      <c r="AZ54" s="1" t="s">
        <v>74</v>
      </c>
      <c r="BA54" s="1" t="s">
        <v>74</v>
      </c>
      <c r="BB54" s="1">
        <v>379.0</v>
      </c>
      <c r="BC54" s="1">
        <v>388.0</v>
      </c>
      <c r="BD54" s="1" t="s">
        <v>74</v>
      </c>
      <c r="BE54" s="1" t="s">
        <v>679</v>
      </c>
      <c r="BF54" s="2" t="str">
        <f>HYPERLINK("http://dx.doi.org/10.1002/jcp.20745","http://dx.doi.org/10.1002/jcp.20745")</f>
        <v>http://dx.doi.org/10.1002/jcp.20745</v>
      </c>
      <c r="BG54" s="1" t="s">
        <v>74</v>
      </c>
      <c r="BH54" s="1" t="s">
        <v>74</v>
      </c>
      <c r="BI54" s="1" t="s">
        <v>74</v>
      </c>
      <c r="BJ54" s="1" t="s">
        <v>74</v>
      </c>
      <c r="BK54" s="1" t="s">
        <v>74</v>
      </c>
      <c r="BL54" s="1" t="s">
        <v>74</v>
      </c>
      <c r="BM54" s="1" t="s">
        <v>74</v>
      </c>
      <c r="BN54" s="1">
        <v>1.6897752E7</v>
      </c>
      <c r="BO54" s="1" t="s">
        <v>74</v>
      </c>
      <c r="BP54" s="1" t="s">
        <v>74</v>
      </c>
      <c r="BQ54" s="1" t="s">
        <v>74</v>
      </c>
      <c r="BR54" s="1" t="s">
        <v>74</v>
      </c>
      <c r="BS54" s="1" t="s">
        <v>680</v>
      </c>
      <c r="BT54" s="1" t="str">
        <f>HYPERLINK("https%3A%2F%2Fwww.webofscience.com%2Fwos%2Fwoscc%2Ffull-record%2FWOS:000240884100016","View Full Record in Web of Science")</f>
        <v>View Full Record in Web of Science</v>
      </c>
    </row>
    <row r="55" ht="12.75" customHeight="1">
      <c r="A55" s="1" t="s">
        <v>72</v>
      </c>
      <c r="B55" s="1" t="s">
        <v>681</v>
      </c>
      <c r="C55" s="1" t="s">
        <v>74</v>
      </c>
      <c r="D55" s="1" t="s">
        <v>74</v>
      </c>
      <c r="E55" s="1" t="s">
        <v>74</v>
      </c>
      <c r="F55" s="1" t="s">
        <v>681</v>
      </c>
      <c r="G55" s="1" t="s">
        <v>74</v>
      </c>
      <c r="H55" s="1" t="s">
        <v>74</v>
      </c>
      <c r="I55" s="1" t="s">
        <v>682</v>
      </c>
      <c r="J55" s="1" t="s">
        <v>489</v>
      </c>
      <c r="K55" s="1" t="s">
        <v>74</v>
      </c>
      <c r="L55" s="1" t="s">
        <v>74</v>
      </c>
      <c r="M55" s="1" t="s">
        <v>74</v>
      </c>
      <c r="N55" s="1" t="s">
        <v>74</v>
      </c>
      <c r="O55" s="1" t="s">
        <v>74</v>
      </c>
      <c r="P55" s="1" t="s">
        <v>74</v>
      </c>
      <c r="Q55" s="1" t="s">
        <v>74</v>
      </c>
      <c r="R55" s="1" t="s">
        <v>74</v>
      </c>
      <c r="S55" s="1" t="s">
        <v>74</v>
      </c>
      <c r="T55" s="1" t="s">
        <v>74</v>
      </c>
      <c r="U55" s="1" t="s">
        <v>74</v>
      </c>
      <c r="V55" s="1" t="s">
        <v>683</v>
      </c>
      <c r="W55" s="1" t="s">
        <v>74</v>
      </c>
      <c r="X55" s="1" t="s">
        <v>74</v>
      </c>
      <c r="Y55" s="1" t="s">
        <v>74</v>
      </c>
      <c r="Z55" s="1" t="s">
        <v>74</v>
      </c>
      <c r="AA55" s="1" t="s">
        <v>684</v>
      </c>
      <c r="AB55" s="1" t="s">
        <v>685</v>
      </c>
      <c r="AC55" s="1" t="s">
        <v>74</v>
      </c>
      <c r="AD55" s="1" t="s">
        <v>74</v>
      </c>
      <c r="AE55" s="1" t="s">
        <v>74</v>
      </c>
      <c r="AF55" s="1" t="s">
        <v>74</v>
      </c>
      <c r="AG55" s="1" t="s">
        <v>74</v>
      </c>
      <c r="AH55" s="1" t="s">
        <v>74</v>
      </c>
      <c r="AI55" s="1" t="s">
        <v>74</v>
      </c>
      <c r="AJ55" s="1" t="s">
        <v>74</v>
      </c>
      <c r="AK55" s="1" t="s">
        <v>74</v>
      </c>
      <c r="AL55" s="1" t="s">
        <v>74</v>
      </c>
      <c r="AM55" s="1" t="s">
        <v>74</v>
      </c>
      <c r="AN55" s="1" t="s">
        <v>74</v>
      </c>
      <c r="AO55" s="1" t="s">
        <v>492</v>
      </c>
      <c r="AP55" s="1" t="s">
        <v>74</v>
      </c>
      <c r="AQ55" s="1" t="s">
        <v>74</v>
      </c>
      <c r="AR55" s="1" t="s">
        <v>74</v>
      </c>
      <c r="AS55" s="1" t="s">
        <v>74</v>
      </c>
      <c r="AT55" s="1" t="s">
        <v>257</v>
      </c>
      <c r="AU55" s="1">
        <v>2006.0</v>
      </c>
      <c r="AV55" s="1">
        <v>51.0</v>
      </c>
      <c r="AW55" s="1">
        <v>1.0</v>
      </c>
      <c r="AX55" s="1" t="s">
        <v>74</v>
      </c>
      <c r="AY55" s="1" t="s">
        <v>74</v>
      </c>
      <c r="AZ55" s="1" t="s">
        <v>74</v>
      </c>
      <c r="BA55" s="1" t="s">
        <v>74</v>
      </c>
      <c r="BB55" s="1">
        <v>781.0</v>
      </c>
      <c r="BC55" s="1">
        <v>783.0</v>
      </c>
      <c r="BD55" s="1" t="s">
        <v>74</v>
      </c>
      <c r="BE55" s="1" t="s">
        <v>686</v>
      </c>
      <c r="BF55" s="2" t="str">
        <f>HYPERLINK("http://dx.doi.org/10.4067/S0717-97072006000100006","http://dx.doi.org/10.4067/S0717-97072006000100006")</f>
        <v>http://dx.doi.org/10.4067/S0717-97072006000100006</v>
      </c>
      <c r="BG55" s="1" t="s">
        <v>74</v>
      </c>
      <c r="BH55" s="1" t="s">
        <v>74</v>
      </c>
      <c r="BI55" s="1" t="s">
        <v>74</v>
      </c>
      <c r="BJ55" s="1" t="s">
        <v>74</v>
      </c>
      <c r="BK55" s="1" t="s">
        <v>74</v>
      </c>
      <c r="BL55" s="1" t="s">
        <v>74</v>
      </c>
      <c r="BM55" s="1" t="s">
        <v>74</v>
      </c>
      <c r="BN55" s="1" t="s">
        <v>74</v>
      </c>
      <c r="BO55" s="1" t="s">
        <v>74</v>
      </c>
      <c r="BP55" s="1" t="s">
        <v>74</v>
      </c>
      <c r="BQ55" s="1" t="s">
        <v>74</v>
      </c>
      <c r="BR55" s="1" t="s">
        <v>74</v>
      </c>
      <c r="BS55" s="1" t="s">
        <v>687</v>
      </c>
      <c r="BT55" s="1" t="str">
        <f>HYPERLINK("https%3A%2F%2Fwww.webofscience.com%2Fwos%2Fwoscc%2Ffull-record%2FWOS:000236260500006","View Full Record in Web of Science")</f>
        <v>View Full Record in Web of Science</v>
      </c>
    </row>
    <row r="56" ht="12.75" customHeight="1">
      <c r="A56" s="1" t="s">
        <v>72</v>
      </c>
      <c r="B56" s="1" t="s">
        <v>688</v>
      </c>
      <c r="C56" s="1" t="s">
        <v>74</v>
      </c>
      <c r="D56" s="1" t="s">
        <v>74</v>
      </c>
      <c r="E56" s="1" t="s">
        <v>74</v>
      </c>
      <c r="F56" s="1" t="s">
        <v>688</v>
      </c>
      <c r="G56" s="1" t="s">
        <v>74</v>
      </c>
      <c r="H56" s="1" t="s">
        <v>74</v>
      </c>
      <c r="I56" s="1" t="s">
        <v>689</v>
      </c>
      <c r="J56" s="1" t="s">
        <v>690</v>
      </c>
      <c r="K56" s="1" t="s">
        <v>74</v>
      </c>
      <c r="L56" s="1" t="s">
        <v>74</v>
      </c>
      <c r="M56" s="1" t="s">
        <v>74</v>
      </c>
      <c r="N56" s="1" t="s">
        <v>74</v>
      </c>
      <c r="O56" s="1" t="s">
        <v>74</v>
      </c>
      <c r="P56" s="1" t="s">
        <v>74</v>
      </c>
      <c r="Q56" s="1" t="s">
        <v>74</v>
      </c>
      <c r="R56" s="1" t="s">
        <v>74</v>
      </c>
      <c r="S56" s="1" t="s">
        <v>74</v>
      </c>
      <c r="T56" s="1" t="s">
        <v>74</v>
      </c>
      <c r="U56" s="1" t="s">
        <v>74</v>
      </c>
      <c r="V56" s="1" t="s">
        <v>691</v>
      </c>
      <c r="W56" s="1" t="s">
        <v>74</v>
      </c>
      <c r="X56" s="1" t="s">
        <v>74</v>
      </c>
      <c r="Y56" s="1" t="s">
        <v>74</v>
      </c>
      <c r="Z56" s="1" t="s">
        <v>74</v>
      </c>
      <c r="AA56" s="1" t="s">
        <v>692</v>
      </c>
      <c r="AB56" s="1" t="s">
        <v>693</v>
      </c>
      <c r="AC56" s="1" t="s">
        <v>74</v>
      </c>
      <c r="AD56" s="1" t="s">
        <v>74</v>
      </c>
      <c r="AE56" s="1" t="s">
        <v>74</v>
      </c>
      <c r="AF56" s="1" t="s">
        <v>74</v>
      </c>
      <c r="AG56" s="1" t="s">
        <v>74</v>
      </c>
      <c r="AH56" s="1" t="s">
        <v>74</v>
      </c>
      <c r="AI56" s="1" t="s">
        <v>74</v>
      </c>
      <c r="AJ56" s="1" t="s">
        <v>74</v>
      </c>
      <c r="AK56" s="1" t="s">
        <v>74</v>
      </c>
      <c r="AL56" s="1" t="s">
        <v>74</v>
      </c>
      <c r="AM56" s="1" t="s">
        <v>74</v>
      </c>
      <c r="AN56" s="1" t="s">
        <v>74</v>
      </c>
      <c r="AO56" s="1" t="s">
        <v>694</v>
      </c>
      <c r="AP56" s="1" t="s">
        <v>695</v>
      </c>
      <c r="AQ56" s="1" t="s">
        <v>74</v>
      </c>
      <c r="AR56" s="1" t="s">
        <v>74</v>
      </c>
      <c r="AS56" s="1" t="s">
        <v>74</v>
      </c>
      <c r="AT56" s="1" t="s">
        <v>696</v>
      </c>
      <c r="AU56" s="1">
        <v>2006.0</v>
      </c>
      <c r="AV56" s="1">
        <v>73.0</v>
      </c>
      <c r="AW56" s="1">
        <v>1.0</v>
      </c>
      <c r="AX56" s="1" t="s">
        <v>74</v>
      </c>
      <c r="AY56" s="1" t="s">
        <v>74</v>
      </c>
      <c r="AZ56" s="1" t="s">
        <v>74</v>
      </c>
      <c r="BA56" s="1" t="s">
        <v>74</v>
      </c>
      <c r="BB56" s="1" t="s">
        <v>74</v>
      </c>
      <c r="BC56" s="1" t="s">
        <v>74</v>
      </c>
      <c r="BD56" s="1">
        <v>13808.0</v>
      </c>
      <c r="BE56" s="1" t="s">
        <v>697</v>
      </c>
      <c r="BF56" s="2" t="str">
        <f>HYPERLINK("http://dx.doi.org/10.1103/PhysRevA.73.013808","http://dx.doi.org/10.1103/PhysRevA.73.013808")</f>
        <v>http://dx.doi.org/10.1103/PhysRevA.73.013808</v>
      </c>
      <c r="BG56" s="1" t="s">
        <v>74</v>
      </c>
      <c r="BH56" s="1" t="s">
        <v>74</v>
      </c>
      <c r="BI56" s="1" t="s">
        <v>74</v>
      </c>
      <c r="BJ56" s="1" t="s">
        <v>74</v>
      </c>
      <c r="BK56" s="1" t="s">
        <v>74</v>
      </c>
      <c r="BL56" s="1" t="s">
        <v>74</v>
      </c>
      <c r="BM56" s="1" t="s">
        <v>74</v>
      </c>
      <c r="BN56" s="1" t="s">
        <v>74</v>
      </c>
      <c r="BO56" s="1" t="s">
        <v>74</v>
      </c>
      <c r="BP56" s="1" t="s">
        <v>74</v>
      </c>
      <c r="BQ56" s="1" t="s">
        <v>74</v>
      </c>
      <c r="BR56" s="1" t="s">
        <v>74</v>
      </c>
      <c r="BS56" s="1" t="s">
        <v>698</v>
      </c>
      <c r="BT56" s="1" t="str">
        <f>HYPERLINK("https%3A%2F%2Fwww.webofscience.com%2Fwos%2Fwoscc%2Ffull-record%2FWOS:000235008900163","View Full Record in Web of Science")</f>
        <v>View Full Record in Web of Science</v>
      </c>
    </row>
    <row r="57" ht="12.75" customHeight="1">
      <c r="A57" s="1" t="s">
        <v>72</v>
      </c>
      <c r="B57" s="1" t="s">
        <v>699</v>
      </c>
      <c r="C57" s="1" t="s">
        <v>74</v>
      </c>
      <c r="D57" s="1" t="s">
        <v>74</v>
      </c>
      <c r="E57" s="1" t="s">
        <v>74</v>
      </c>
      <c r="F57" s="1" t="s">
        <v>699</v>
      </c>
      <c r="G57" s="1" t="s">
        <v>74</v>
      </c>
      <c r="H57" s="1" t="s">
        <v>74</v>
      </c>
      <c r="I57" s="1" t="s">
        <v>700</v>
      </c>
      <c r="J57" s="1" t="s">
        <v>623</v>
      </c>
      <c r="K57" s="1" t="s">
        <v>74</v>
      </c>
      <c r="L57" s="1" t="s">
        <v>74</v>
      </c>
      <c r="M57" s="1" t="s">
        <v>74</v>
      </c>
      <c r="N57" s="1" t="s">
        <v>74</v>
      </c>
      <c r="O57" s="1" t="s">
        <v>74</v>
      </c>
      <c r="P57" s="1" t="s">
        <v>74</v>
      </c>
      <c r="Q57" s="1" t="s">
        <v>74</v>
      </c>
      <c r="R57" s="1" t="s">
        <v>74</v>
      </c>
      <c r="S57" s="1" t="s">
        <v>74</v>
      </c>
      <c r="T57" s="1" t="s">
        <v>74</v>
      </c>
      <c r="U57" s="1" t="s">
        <v>74</v>
      </c>
      <c r="V57" s="1" t="s">
        <v>701</v>
      </c>
      <c r="W57" s="1" t="s">
        <v>74</v>
      </c>
      <c r="X57" s="1" t="s">
        <v>74</v>
      </c>
      <c r="Y57" s="1" t="s">
        <v>74</v>
      </c>
      <c r="Z57" s="1" t="s">
        <v>74</v>
      </c>
      <c r="AA57" s="1" t="s">
        <v>74</v>
      </c>
      <c r="AB57" s="1" t="s">
        <v>74</v>
      </c>
      <c r="AC57" s="1" t="s">
        <v>74</v>
      </c>
      <c r="AD57" s="1" t="s">
        <v>74</v>
      </c>
      <c r="AE57" s="1" t="s">
        <v>74</v>
      </c>
      <c r="AF57" s="1" t="s">
        <v>74</v>
      </c>
      <c r="AG57" s="1" t="s">
        <v>74</v>
      </c>
      <c r="AH57" s="1" t="s">
        <v>74</v>
      </c>
      <c r="AI57" s="1" t="s">
        <v>74</v>
      </c>
      <c r="AJ57" s="1" t="s">
        <v>74</v>
      </c>
      <c r="AK57" s="1" t="s">
        <v>74</v>
      </c>
      <c r="AL57" s="1" t="s">
        <v>74</v>
      </c>
      <c r="AM57" s="1" t="s">
        <v>74</v>
      </c>
      <c r="AN57" s="1" t="s">
        <v>74</v>
      </c>
      <c r="AO57" s="1" t="s">
        <v>627</v>
      </c>
      <c r="AP57" s="1" t="s">
        <v>74</v>
      </c>
      <c r="AQ57" s="1" t="s">
        <v>74</v>
      </c>
      <c r="AR57" s="1" t="s">
        <v>74</v>
      </c>
      <c r="AS57" s="1" t="s">
        <v>74</v>
      </c>
      <c r="AT57" s="1" t="s">
        <v>702</v>
      </c>
      <c r="AU57" s="1">
        <v>2005.0</v>
      </c>
      <c r="AV57" s="1">
        <v>619.0</v>
      </c>
      <c r="AW57" s="1" t="s">
        <v>703</v>
      </c>
      <c r="AX57" s="1" t="s">
        <v>74</v>
      </c>
      <c r="AY57" s="1" t="s">
        <v>74</v>
      </c>
      <c r="AZ57" s="1" t="s">
        <v>74</v>
      </c>
      <c r="BA57" s="1" t="s">
        <v>74</v>
      </c>
      <c r="BB57" s="1">
        <v>5.0</v>
      </c>
      <c r="BC57" s="1">
        <v>10.0</v>
      </c>
      <c r="BD57" s="1" t="s">
        <v>74</v>
      </c>
      <c r="BE57" s="1" t="s">
        <v>704</v>
      </c>
      <c r="BF57" s="2" t="str">
        <f>HYPERLINK("http://dx.doi.org/10.1016/j.physletb.2005.05.029","http://dx.doi.org/10.1016/j.physletb.2005.05.029")</f>
        <v>http://dx.doi.org/10.1016/j.physletb.2005.05.029</v>
      </c>
      <c r="BG57" s="1" t="s">
        <v>74</v>
      </c>
      <c r="BH57" s="1" t="s">
        <v>74</v>
      </c>
      <c r="BI57" s="1" t="s">
        <v>74</v>
      </c>
      <c r="BJ57" s="1" t="s">
        <v>74</v>
      </c>
      <c r="BK57" s="1" t="s">
        <v>74</v>
      </c>
      <c r="BL57" s="1" t="s">
        <v>74</v>
      </c>
      <c r="BM57" s="1" t="s">
        <v>74</v>
      </c>
      <c r="BN57" s="1" t="s">
        <v>74</v>
      </c>
      <c r="BO57" s="1" t="s">
        <v>74</v>
      </c>
      <c r="BP57" s="1" t="s">
        <v>74</v>
      </c>
      <c r="BQ57" s="1" t="s">
        <v>74</v>
      </c>
      <c r="BR57" s="1" t="s">
        <v>74</v>
      </c>
      <c r="BS57" s="1" t="s">
        <v>705</v>
      </c>
      <c r="BT57" s="1" t="str">
        <f>HYPERLINK("https%3A%2F%2Fwww.webofscience.com%2Fwos%2Fwoscc%2Ffull-record%2FWOS:000230280100002","View Full Record in Web of Science")</f>
        <v>View Full Record in Web of Science</v>
      </c>
    </row>
    <row r="58" ht="12.75" customHeight="1">
      <c r="A58" s="1" t="s">
        <v>72</v>
      </c>
      <c r="B58" s="1" t="s">
        <v>706</v>
      </c>
      <c r="C58" s="1" t="s">
        <v>74</v>
      </c>
      <c r="D58" s="1" t="s">
        <v>74</v>
      </c>
      <c r="E58" s="1" t="s">
        <v>74</v>
      </c>
      <c r="F58" s="1" t="s">
        <v>706</v>
      </c>
      <c r="G58" s="1" t="s">
        <v>74</v>
      </c>
      <c r="H58" s="1" t="s">
        <v>74</v>
      </c>
      <c r="I58" s="1" t="s">
        <v>707</v>
      </c>
      <c r="J58" s="1" t="s">
        <v>708</v>
      </c>
      <c r="K58" s="1" t="s">
        <v>74</v>
      </c>
      <c r="L58" s="1" t="s">
        <v>74</v>
      </c>
      <c r="M58" s="1" t="s">
        <v>74</v>
      </c>
      <c r="N58" s="1" t="s">
        <v>74</v>
      </c>
      <c r="O58" s="1" t="s">
        <v>74</v>
      </c>
      <c r="P58" s="1" t="s">
        <v>74</v>
      </c>
      <c r="Q58" s="1" t="s">
        <v>74</v>
      </c>
      <c r="R58" s="1" t="s">
        <v>74</v>
      </c>
      <c r="S58" s="1" t="s">
        <v>74</v>
      </c>
      <c r="T58" s="1" t="s">
        <v>74</v>
      </c>
      <c r="U58" s="1" t="s">
        <v>74</v>
      </c>
      <c r="V58" s="1" t="s">
        <v>709</v>
      </c>
      <c r="W58" s="1" t="s">
        <v>74</v>
      </c>
      <c r="X58" s="1" t="s">
        <v>74</v>
      </c>
      <c r="Y58" s="1" t="s">
        <v>74</v>
      </c>
      <c r="Z58" s="1" t="s">
        <v>74</v>
      </c>
      <c r="AA58" s="1" t="s">
        <v>74</v>
      </c>
      <c r="AB58" s="1" t="s">
        <v>710</v>
      </c>
      <c r="AC58" s="1" t="s">
        <v>74</v>
      </c>
      <c r="AD58" s="1" t="s">
        <v>74</v>
      </c>
      <c r="AE58" s="1" t="s">
        <v>74</v>
      </c>
      <c r="AF58" s="1" t="s">
        <v>74</v>
      </c>
      <c r="AG58" s="1" t="s">
        <v>74</v>
      </c>
      <c r="AH58" s="1" t="s">
        <v>74</v>
      </c>
      <c r="AI58" s="1" t="s">
        <v>74</v>
      </c>
      <c r="AJ58" s="1" t="s">
        <v>74</v>
      </c>
      <c r="AK58" s="1" t="s">
        <v>74</v>
      </c>
      <c r="AL58" s="1" t="s">
        <v>74</v>
      </c>
      <c r="AM58" s="1" t="s">
        <v>74</v>
      </c>
      <c r="AN58" s="1" t="s">
        <v>74</v>
      </c>
      <c r="AO58" s="1" t="s">
        <v>711</v>
      </c>
      <c r="AP58" s="1" t="s">
        <v>74</v>
      </c>
      <c r="AQ58" s="1" t="s">
        <v>74</v>
      </c>
      <c r="AR58" s="1" t="s">
        <v>74</v>
      </c>
      <c r="AS58" s="1" t="s">
        <v>74</v>
      </c>
      <c r="AT58" s="1" t="s">
        <v>306</v>
      </c>
      <c r="AU58" s="1">
        <v>2001.0</v>
      </c>
      <c r="AV58" s="1">
        <v>20.0</v>
      </c>
      <c r="AW58" s="1">
        <v>3.0</v>
      </c>
      <c r="AX58" s="1" t="s">
        <v>74</v>
      </c>
      <c r="AY58" s="1" t="s">
        <v>74</v>
      </c>
      <c r="AZ58" s="1" t="s">
        <v>74</v>
      </c>
      <c r="BA58" s="1" t="s">
        <v>74</v>
      </c>
      <c r="BB58" s="1">
        <v>181.0</v>
      </c>
      <c r="BC58" s="1">
        <v>189.0</v>
      </c>
      <c r="BD58" s="1" t="s">
        <v>74</v>
      </c>
      <c r="BE58" s="1" t="s">
        <v>712</v>
      </c>
      <c r="BF58" s="2" t="str">
        <f>HYPERLINK("http://dx.doi.org/10.1023/A:1010996528884","http://dx.doi.org/10.1023/A:1010996528884")</f>
        <v>http://dx.doi.org/10.1023/A:1010996528884</v>
      </c>
      <c r="BG58" s="1" t="s">
        <v>74</v>
      </c>
      <c r="BH58" s="1" t="s">
        <v>74</v>
      </c>
      <c r="BI58" s="1" t="s">
        <v>74</v>
      </c>
      <c r="BJ58" s="1" t="s">
        <v>74</v>
      </c>
      <c r="BK58" s="1" t="s">
        <v>74</v>
      </c>
      <c r="BL58" s="1" t="s">
        <v>74</v>
      </c>
      <c r="BM58" s="1" t="s">
        <v>74</v>
      </c>
      <c r="BN58" s="1">
        <v>1.1565898E7</v>
      </c>
      <c r="BO58" s="1" t="s">
        <v>74</v>
      </c>
      <c r="BP58" s="1" t="s">
        <v>74</v>
      </c>
      <c r="BQ58" s="1" t="s">
        <v>74</v>
      </c>
      <c r="BR58" s="1" t="s">
        <v>74</v>
      </c>
      <c r="BS58" s="1" t="s">
        <v>713</v>
      </c>
      <c r="BT58" s="1" t="str">
        <f>HYPERLINK("https%3A%2F%2Fwww.webofscience.com%2Fwos%2Fwoscc%2Ffull-record%2FWOS:000170693700001","View Full Record in Web of Science")</f>
        <v>View Full Record in Web of Science</v>
      </c>
    </row>
    <row r="59" ht="12.75" customHeight="1">
      <c r="A59" s="1" t="s">
        <v>72</v>
      </c>
      <c r="B59" s="1" t="s">
        <v>714</v>
      </c>
      <c r="C59" s="1" t="s">
        <v>74</v>
      </c>
      <c r="D59" s="1" t="s">
        <v>74</v>
      </c>
      <c r="E59" s="1" t="s">
        <v>74</v>
      </c>
      <c r="F59" s="1" t="s">
        <v>714</v>
      </c>
      <c r="G59" s="1" t="s">
        <v>74</v>
      </c>
      <c r="H59" s="1" t="s">
        <v>74</v>
      </c>
      <c r="I59" s="1" t="s">
        <v>715</v>
      </c>
      <c r="J59" s="1" t="s">
        <v>716</v>
      </c>
      <c r="K59" s="1" t="s">
        <v>74</v>
      </c>
      <c r="L59" s="1" t="s">
        <v>74</v>
      </c>
      <c r="M59" s="1" t="s">
        <v>74</v>
      </c>
      <c r="N59" s="1" t="s">
        <v>74</v>
      </c>
      <c r="O59" s="1" t="s">
        <v>74</v>
      </c>
      <c r="P59" s="1" t="s">
        <v>74</v>
      </c>
      <c r="Q59" s="1" t="s">
        <v>74</v>
      </c>
      <c r="R59" s="1" t="s">
        <v>74</v>
      </c>
      <c r="S59" s="1" t="s">
        <v>74</v>
      </c>
      <c r="T59" s="1" t="s">
        <v>74</v>
      </c>
      <c r="U59" s="1" t="s">
        <v>74</v>
      </c>
      <c r="V59" s="1" t="s">
        <v>717</v>
      </c>
      <c r="W59" s="1" t="s">
        <v>74</v>
      </c>
      <c r="X59" s="1" t="s">
        <v>74</v>
      </c>
      <c r="Y59" s="1" t="s">
        <v>74</v>
      </c>
      <c r="Z59" s="1" t="s">
        <v>74</v>
      </c>
      <c r="AA59" s="1" t="s">
        <v>718</v>
      </c>
      <c r="AB59" s="1" t="s">
        <v>719</v>
      </c>
      <c r="AC59" s="1" t="s">
        <v>74</v>
      </c>
      <c r="AD59" s="1" t="s">
        <v>74</v>
      </c>
      <c r="AE59" s="1" t="s">
        <v>74</v>
      </c>
      <c r="AF59" s="1" t="s">
        <v>74</v>
      </c>
      <c r="AG59" s="1" t="s">
        <v>74</v>
      </c>
      <c r="AH59" s="1" t="s">
        <v>74</v>
      </c>
      <c r="AI59" s="1" t="s">
        <v>74</v>
      </c>
      <c r="AJ59" s="1" t="s">
        <v>74</v>
      </c>
      <c r="AK59" s="1" t="s">
        <v>74</v>
      </c>
      <c r="AL59" s="1" t="s">
        <v>74</v>
      </c>
      <c r="AM59" s="1" t="s">
        <v>74</v>
      </c>
      <c r="AN59" s="1" t="s">
        <v>74</v>
      </c>
      <c r="AO59" s="1" t="s">
        <v>720</v>
      </c>
      <c r="AP59" s="1" t="s">
        <v>74</v>
      </c>
      <c r="AQ59" s="1" t="s">
        <v>74</v>
      </c>
      <c r="AR59" s="1" t="s">
        <v>74</v>
      </c>
      <c r="AS59" s="1" t="s">
        <v>74</v>
      </c>
      <c r="AT59" s="1" t="s">
        <v>721</v>
      </c>
      <c r="AU59" s="1">
        <v>2001.0</v>
      </c>
      <c r="AV59" s="1">
        <v>497.0</v>
      </c>
      <c r="AW59" s="1" t="s">
        <v>703</v>
      </c>
      <c r="AX59" s="1" t="s">
        <v>74</v>
      </c>
      <c r="AY59" s="1" t="s">
        <v>74</v>
      </c>
      <c r="AZ59" s="1" t="s">
        <v>74</v>
      </c>
      <c r="BA59" s="1" t="s">
        <v>74</v>
      </c>
      <c r="BB59" s="1">
        <v>106.0</v>
      </c>
      <c r="BC59" s="1">
        <v>113.0</v>
      </c>
      <c r="BD59" s="1" t="s">
        <v>74</v>
      </c>
      <c r="BE59" s="1" t="s">
        <v>722</v>
      </c>
      <c r="BF59" s="2" t="str">
        <f>HYPERLINK("http://dx.doi.org/10.1016/S0022-0728(00)00463-0","http://dx.doi.org/10.1016/S0022-0728(00)00463-0")</f>
        <v>http://dx.doi.org/10.1016/S0022-0728(00)00463-0</v>
      </c>
      <c r="BG59" s="1" t="s">
        <v>74</v>
      </c>
      <c r="BH59" s="1" t="s">
        <v>74</v>
      </c>
      <c r="BI59" s="1" t="s">
        <v>74</v>
      </c>
      <c r="BJ59" s="1" t="s">
        <v>74</v>
      </c>
      <c r="BK59" s="1" t="s">
        <v>74</v>
      </c>
      <c r="BL59" s="1" t="s">
        <v>74</v>
      </c>
      <c r="BM59" s="1" t="s">
        <v>74</v>
      </c>
      <c r="BN59" s="1" t="s">
        <v>74</v>
      </c>
      <c r="BO59" s="1" t="s">
        <v>74</v>
      </c>
      <c r="BP59" s="1" t="s">
        <v>74</v>
      </c>
      <c r="BQ59" s="1" t="s">
        <v>74</v>
      </c>
      <c r="BR59" s="1" t="s">
        <v>74</v>
      </c>
      <c r="BS59" s="1" t="s">
        <v>723</v>
      </c>
      <c r="BT59" s="1" t="str">
        <f>HYPERLINK("https%3A%2F%2Fwww.webofscience.com%2Fwos%2Fwoscc%2Ffull-record%2FWOS:000167193100012","View Full Record in Web of Science")</f>
        <v>View Full Record in Web of Science</v>
      </c>
    </row>
    <row r="60" ht="12.75" customHeight="1">
      <c r="A60" s="1" t="s">
        <v>72</v>
      </c>
      <c r="B60" s="1" t="s">
        <v>724</v>
      </c>
      <c r="C60" s="1" t="s">
        <v>74</v>
      </c>
      <c r="D60" s="1" t="s">
        <v>74</v>
      </c>
      <c r="E60" s="1" t="s">
        <v>74</v>
      </c>
      <c r="F60" s="1" t="s">
        <v>724</v>
      </c>
      <c r="G60" s="1" t="s">
        <v>74</v>
      </c>
      <c r="H60" s="1" t="s">
        <v>74</v>
      </c>
      <c r="I60" s="1" t="s">
        <v>725</v>
      </c>
      <c r="J60" s="1" t="s">
        <v>716</v>
      </c>
      <c r="K60" s="1" t="s">
        <v>74</v>
      </c>
      <c r="L60" s="1" t="s">
        <v>74</v>
      </c>
      <c r="M60" s="1" t="s">
        <v>74</v>
      </c>
      <c r="N60" s="1" t="s">
        <v>74</v>
      </c>
      <c r="O60" s="1" t="s">
        <v>74</v>
      </c>
      <c r="P60" s="1" t="s">
        <v>74</v>
      </c>
      <c r="Q60" s="1" t="s">
        <v>74</v>
      </c>
      <c r="R60" s="1" t="s">
        <v>74</v>
      </c>
      <c r="S60" s="1" t="s">
        <v>74</v>
      </c>
      <c r="T60" s="1" t="s">
        <v>74</v>
      </c>
      <c r="U60" s="1" t="s">
        <v>74</v>
      </c>
      <c r="V60" s="1" t="s">
        <v>726</v>
      </c>
      <c r="W60" s="1" t="s">
        <v>74</v>
      </c>
      <c r="X60" s="1" t="s">
        <v>74</v>
      </c>
      <c r="Y60" s="1" t="s">
        <v>74</v>
      </c>
      <c r="Z60" s="1" t="s">
        <v>74</v>
      </c>
      <c r="AA60" s="1" t="s">
        <v>727</v>
      </c>
      <c r="AB60" s="1" t="s">
        <v>74</v>
      </c>
      <c r="AC60" s="1" t="s">
        <v>74</v>
      </c>
      <c r="AD60" s="1" t="s">
        <v>74</v>
      </c>
      <c r="AE60" s="1" t="s">
        <v>74</v>
      </c>
      <c r="AF60" s="1" t="s">
        <v>74</v>
      </c>
      <c r="AG60" s="1" t="s">
        <v>74</v>
      </c>
      <c r="AH60" s="1" t="s">
        <v>74</v>
      </c>
      <c r="AI60" s="1" t="s">
        <v>74</v>
      </c>
      <c r="AJ60" s="1" t="s">
        <v>74</v>
      </c>
      <c r="AK60" s="1" t="s">
        <v>74</v>
      </c>
      <c r="AL60" s="1" t="s">
        <v>74</v>
      </c>
      <c r="AM60" s="1" t="s">
        <v>74</v>
      </c>
      <c r="AN60" s="1" t="s">
        <v>74</v>
      </c>
      <c r="AO60" s="1" t="s">
        <v>720</v>
      </c>
      <c r="AP60" s="1" t="s">
        <v>74</v>
      </c>
      <c r="AQ60" s="1" t="s">
        <v>74</v>
      </c>
      <c r="AR60" s="1" t="s">
        <v>74</v>
      </c>
      <c r="AS60" s="1" t="s">
        <v>74</v>
      </c>
      <c r="AT60" s="1" t="s">
        <v>728</v>
      </c>
      <c r="AU60" s="1">
        <v>1998.0</v>
      </c>
      <c r="AV60" s="1">
        <v>452.0</v>
      </c>
      <c r="AW60" s="1">
        <v>2.0</v>
      </c>
      <c r="AX60" s="1" t="s">
        <v>74</v>
      </c>
      <c r="AY60" s="1" t="s">
        <v>74</v>
      </c>
      <c r="AZ60" s="1" t="s">
        <v>74</v>
      </c>
      <c r="BA60" s="1" t="s">
        <v>74</v>
      </c>
      <c r="BB60" s="1">
        <v>221.0</v>
      </c>
      <c r="BC60" s="1">
        <v>228.0</v>
      </c>
      <c r="BD60" s="1" t="s">
        <v>74</v>
      </c>
      <c r="BE60" s="1" t="s">
        <v>729</v>
      </c>
      <c r="BF60" s="2" t="str">
        <f>HYPERLINK("http://dx.doi.org/10.1016/S0022-0728(98)00127-2","http://dx.doi.org/10.1016/S0022-0728(98)00127-2")</f>
        <v>http://dx.doi.org/10.1016/S0022-0728(98)00127-2</v>
      </c>
      <c r="BG60" s="1" t="s">
        <v>74</v>
      </c>
      <c r="BH60" s="1" t="s">
        <v>74</v>
      </c>
      <c r="BI60" s="1" t="s">
        <v>74</v>
      </c>
      <c r="BJ60" s="1" t="s">
        <v>74</v>
      </c>
      <c r="BK60" s="1" t="s">
        <v>74</v>
      </c>
      <c r="BL60" s="1" t="s">
        <v>74</v>
      </c>
      <c r="BM60" s="1" t="s">
        <v>74</v>
      </c>
      <c r="BN60" s="1" t="s">
        <v>74</v>
      </c>
      <c r="BO60" s="1" t="s">
        <v>74</v>
      </c>
      <c r="BP60" s="1" t="s">
        <v>74</v>
      </c>
      <c r="BQ60" s="1" t="s">
        <v>74</v>
      </c>
      <c r="BR60" s="1" t="s">
        <v>74</v>
      </c>
      <c r="BS60" s="1" t="s">
        <v>730</v>
      </c>
      <c r="BT60" s="1" t="str">
        <f>HYPERLINK("https%3A%2F%2Fwww.webofscience.com%2Fwos%2Fwoscc%2Ffull-record%2FWOS:000074999000011","View Full Record in Web of Science")</f>
        <v>View Full Record in Web of Science</v>
      </c>
    </row>
    <row r="61" ht="12.75" customHeight="1">
      <c r="A61" s="1" t="s">
        <v>72</v>
      </c>
      <c r="B61" s="1" t="s">
        <v>731</v>
      </c>
      <c r="C61" s="1" t="s">
        <v>74</v>
      </c>
      <c r="D61" s="1" t="s">
        <v>74</v>
      </c>
      <c r="E61" s="1" t="s">
        <v>74</v>
      </c>
      <c r="F61" s="1" t="s">
        <v>732</v>
      </c>
      <c r="G61" s="1" t="s">
        <v>74</v>
      </c>
      <c r="H61" s="1" t="s">
        <v>74</v>
      </c>
      <c r="I61" s="1" t="s">
        <v>733</v>
      </c>
      <c r="J61" s="1" t="s">
        <v>734</v>
      </c>
      <c r="K61" s="1" t="s">
        <v>74</v>
      </c>
      <c r="L61" s="1" t="s">
        <v>74</v>
      </c>
      <c r="M61" s="1" t="s">
        <v>74</v>
      </c>
      <c r="N61" s="1" t="s">
        <v>74</v>
      </c>
      <c r="O61" s="1" t="s">
        <v>74</v>
      </c>
      <c r="P61" s="1" t="s">
        <v>74</v>
      </c>
      <c r="Q61" s="1" t="s">
        <v>74</v>
      </c>
      <c r="R61" s="1" t="s">
        <v>74</v>
      </c>
      <c r="S61" s="1" t="s">
        <v>74</v>
      </c>
      <c r="T61" s="1" t="s">
        <v>74</v>
      </c>
      <c r="U61" s="1" t="s">
        <v>74</v>
      </c>
      <c r="V61" s="1" t="s">
        <v>735</v>
      </c>
      <c r="W61" s="1" t="s">
        <v>74</v>
      </c>
      <c r="X61" s="1" t="s">
        <v>74</v>
      </c>
      <c r="Y61" s="1" t="s">
        <v>74</v>
      </c>
      <c r="Z61" s="1" t="s">
        <v>74</v>
      </c>
      <c r="AA61" s="1" t="s">
        <v>736</v>
      </c>
      <c r="AB61" s="1" t="s">
        <v>74</v>
      </c>
      <c r="AC61" s="1" t="s">
        <v>74</v>
      </c>
      <c r="AD61" s="1" t="s">
        <v>74</v>
      </c>
      <c r="AE61" s="1" t="s">
        <v>74</v>
      </c>
      <c r="AF61" s="1" t="s">
        <v>74</v>
      </c>
      <c r="AG61" s="1" t="s">
        <v>74</v>
      </c>
      <c r="AH61" s="1" t="s">
        <v>74</v>
      </c>
      <c r="AI61" s="1" t="s">
        <v>74</v>
      </c>
      <c r="AJ61" s="1" t="s">
        <v>74</v>
      </c>
      <c r="AK61" s="1" t="s">
        <v>74</v>
      </c>
      <c r="AL61" s="1" t="s">
        <v>74</v>
      </c>
      <c r="AM61" s="1" t="s">
        <v>74</v>
      </c>
      <c r="AN61" s="1" t="s">
        <v>74</v>
      </c>
      <c r="AO61" s="1" t="s">
        <v>737</v>
      </c>
      <c r="AP61" s="1" t="s">
        <v>738</v>
      </c>
      <c r="AQ61" s="1" t="s">
        <v>74</v>
      </c>
      <c r="AR61" s="1" t="s">
        <v>74</v>
      </c>
      <c r="AS61" s="1" t="s">
        <v>74</v>
      </c>
      <c r="AT61" s="1" t="s">
        <v>739</v>
      </c>
      <c r="AU61" s="1">
        <v>2025.0</v>
      </c>
      <c r="AV61" s="1">
        <v>314.0</v>
      </c>
      <c r="AW61" s="1" t="s">
        <v>74</v>
      </c>
      <c r="AX61" s="1" t="s">
        <v>74</v>
      </c>
      <c r="AY61" s="1" t="s">
        <v>74</v>
      </c>
      <c r="AZ61" s="1" t="s">
        <v>74</v>
      </c>
      <c r="BA61" s="1" t="s">
        <v>74</v>
      </c>
      <c r="BB61" s="1" t="s">
        <v>74</v>
      </c>
      <c r="BC61" s="1" t="s">
        <v>74</v>
      </c>
      <c r="BD61" s="1">
        <v>113314.0</v>
      </c>
      <c r="BE61" s="1" t="s">
        <v>740</v>
      </c>
      <c r="BF61" s="2" t="str">
        <f>HYPERLINK("http://dx.doi.org/10.1016/j.ijsolstr.2025.113314","http://dx.doi.org/10.1016/j.ijsolstr.2025.113314")</f>
        <v>http://dx.doi.org/10.1016/j.ijsolstr.2025.113314</v>
      </c>
      <c r="BG61" s="1" t="s">
        <v>74</v>
      </c>
      <c r="BH61" s="1" t="s">
        <v>113</v>
      </c>
      <c r="BI61" s="1" t="s">
        <v>74</v>
      </c>
      <c r="BJ61" s="1" t="s">
        <v>74</v>
      </c>
      <c r="BK61" s="1" t="s">
        <v>74</v>
      </c>
      <c r="BL61" s="1" t="s">
        <v>74</v>
      </c>
      <c r="BM61" s="1" t="s">
        <v>74</v>
      </c>
      <c r="BN61" s="1" t="s">
        <v>74</v>
      </c>
      <c r="BO61" s="1" t="s">
        <v>74</v>
      </c>
      <c r="BP61" s="1" t="s">
        <v>74</v>
      </c>
      <c r="BQ61" s="1" t="s">
        <v>74</v>
      </c>
      <c r="BR61" s="1" t="s">
        <v>74</v>
      </c>
      <c r="BS61" s="1" t="s">
        <v>741</v>
      </c>
      <c r="BT61" s="1" t="str">
        <f>HYPERLINK("https%3A%2F%2Fwww.webofscience.com%2Fwos%2Fwoscc%2Ffull-record%2FWOS:001447968800001","View Full Record in Web of Science")</f>
        <v>View Full Record in Web of Science</v>
      </c>
    </row>
    <row r="62" ht="12.75" customHeight="1">
      <c r="A62" s="1" t="s">
        <v>72</v>
      </c>
      <c r="B62" s="1" t="s">
        <v>742</v>
      </c>
      <c r="C62" s="1" t="s">
        <v>74</v>
      </c>
      <c r="D62" s="1" t="s">
        <v>74</v>
      </c>
      <c r="E62" s="1" t="s">
        <v>74</v>
      </c>
      <c r="F62" s="1" t="s">
        <v>743</v>
      </c>
      <c r="G62" s="1" t="s">
        <v>74</v>
      </c>
      <c r="H62" s="1" t="s">
        <v>74</v>
      </c>
      <c r="I62" s="1" t="s">
        <v>744</v>
      </c>
      <c r="J62" s="1" t="s">
        <v>745</v>
      </c>
      <c r="K62" s="1" t="s">
        <v>74</v>
      </c>
      <c r="L62" s="1" t="s">
        <v>74</v>
      </c>
      <c r="M62" s="1" t="s">
        <v>74</v>
      </c>
      <c r="N62" s="1" t="s">
        <v>74</v>
      </c>
      <c r="O62" s="1" t="s">
        <v>74</v>
      </c>
      <c r="P62" s="1" t="s">
        <v>74</v>
      </c>
      <c r="Q62" s="1" t="s">
        <v>74</v>
      </c>
      <c r="R62" s="1" t="s">
        <v>74</v>
      </c>
      <c r="S62" s="1" t="s">
        <v>74</v>
      </c>
      <c r="T62" s="1" t="s">
        <v>74</v>
      </c>
      <c r="U62" s="1" t="s">
        <v>74</v>
      </c>
      <c r="V62" s="1" t="s">
        <v>746</v>
      </c>
      <c r="W62" s="1" t="s">
        <v>74</v>
      </c>
      <c r="X62" s="1" t="s">
        <v>74</v>
      </c>
      <c r="Y62" s="1" t="s">
        <v>74</v>
      </c>
      <c r="Z62" s="1" t="s">
        <v>74</v>
      </c>
      <c r="AA62" s="1" t="s">
        <v>747</v>
      </c>
      <c r="AB62" s="1" t="s">
        <v>748</v>
      </c>
      <c r="AC62" s="1" t="s">
        <v>74</v>
      </c>
      <c r="AD62" s="1" t="s">
        <v>74</v>
      </c>
      <c r="AE62" s="1" t="s">
        <v>74</v>
      </c>
      <c r="AF62" s="1" t="s">
        <v>74</v>
      </c>
      <c r="AG62" s="1" t="s">
        <v>74</v>
      </c>
      <c r="AH62" s="1" t="s">
        <v>74</v>
      </c>
      <c r="AI62" s="1" t="s">
        <v>74</v>
      </c>
      <c r="AJ62" s="1" t="s">
        <v>74</v>
      </c>
      <c r="AK62" s="1" t="s">
        <v>74</v>
      </c>
      <c r="AL62" s="1" t="s">
        <v>74</v>
      </c>
      <c r="AM62" s="1" t="s">
        <v>74</v>
      </c>
      <c r="AN62" s="1" t="s">
        <v>74</v>
      </c>
      <c r="AO62" s="1" t="s">
        <v>74</v>
      </c>
      <c r="AP62" s="1" t="s">
        <v>749</v>
      </c>
      <c r="AQ62" s="1" t="s">
        <v>74</v>
      </c>
      <c r="AR62" s="1" t="s">
        <v>74</v>
      </c>
      <c r="AS62" s="1" t="s">
        <v>74</v>
      </c>
      <c r="AT62" s="1" t="s">
        <v>235</v>
      </c>
      <c r="AU62" s="1">
        <v>2025.0</v>
      </c>
      <c r="AV62" s="1">
        <v>11.0</v>
      </c>
      <c r="AW62" s="1">
        <v>2.0</v>
      </c>
      <c r="AX62" s="1" t="s">
        <v>74</v>
      </c>
      <c r="AY62" s="1" t="s">
        <v>74</v>
      </c>
      <c r="AZ62" s="1" t="s">
        <v>74</v>
      </c>
      <c r="BA62" s="1" t="s">
        <v>74</v>
      </c>
      <c r="BB62" s="1" t="s">
        <v>74</v>
      </c>
      <c r="BC62" s="1" t="s">
        <v>74</v>
      </c>
      <c r="BD62" s="1">
        <v>137.0</v>
      </c>
      <c r="BE62" s="1" t="s">
        <v>750</v>
      </c>
      <c r="BF62" s="2" t="str">
        <f>HYPERLINK("http://dx.doi.org/10.3390/jof11020137","http://dx.doi.org/10.3390/jof11020137")</f>
        <v>http://dx.doi.org/10.3390/jof11020137</v>
      </c>
      <c r="BG62" s="1" t="s">
        <v>74</v>
      </c>
      <c r="BH62" s="1" t="s">
        <v>74</v>
      </c>
      <c r="BI62" s="1" t="s">
        <v>74</v>
      </c>
      <c r="BJ62" s="1" t="s">
        <v>74</v>
      </c>
      <c r="BK62" s="1" t="s">
        <v>74</v>
      </c>
      <c r="BL62" s="1" t="s">
        <v>74</v>
      </c>
      <c r="BM62" s="1" t="s">
        <v>74</v>
      </c>
      <c r="BN62" s="1">
        <v>3.9997431E7</v>
      </c>
      <c r="BO62" s="1" t="s">
        <v>74</v>
      </c>
      <c r="BP62" s="1" t="s">
        <v>74</v>
      </c>
      <c r="BQ62" s="1" t="s">
        <v>74</v>
      </c>
      <c r="BR62" s="1" t="s">
        <v>74</v>
      </c>
      <c r="BS62" s="1" t="s">
        <v>751</v>
      </c>
      <c r="BT62" s="1" t="str">
        <f>HYPERLINK("https%3A%2F%2Fwww.webofscience.com%2Fwos%2Fwoscc%2Ffull-record%2FWOS:001430064500001","View Full Record in Web of Science")</f>
        <v>View Full Record in Web of Science</v>
      </c>
    </row>
    <row r="63" ht="12.75" customHeight="1">
      <c r="A63" s="1" t="s">
        <v>72</v>
      </c>
      <c r="B63" s="1" t="s">
        <v>752</v>
      </c>
      <c r="C63" s="1" t="s">
        <v>74</v>
      </c>
      <c r="D63" s="1" t="s">
        <v>74</v>
      </c>
      <c r="E63" s="1" t="s">
        <v>74</v>
      </c>
      <c r="F63" s="1" t="s">
        <v>753</v>
      </c>
      <c r="G63" s="1" t="s">
        <v>74</v>
      </c>
      <c r="H63" s="1" t="s">
        <v>74</v>
      </c>
      <c r="I63" s="1" t="s">
        <v>754</v>
      </c>
      <c r="J63" s="1" t="s">
        <v>755</v>
      </c>
      <c r="K63" s="1" t="s">
        <v>74</v>
      </c>
      <c r="L63" s="1" t="s">
        <v>74</v>
      </c>
      <c r="M63" s="1" t="s">
        <v>74</v>
      </c>
      <c r="N63" s="1" t="s">
        <v>74</v>
      </c>
      <c r="O63" s="1" t="s">
        <v>74</v>
      </c>
      <c r="P63" s="1" t="s">
        <v>74</v>
      </c>
      <c r="Q63" s="1" t="s">
        <v>74</v>
      </c>
      <c r="R63" s="1" t="s">
        <v>74</v>
      </c>
      <c r="S63" s="1" t="s">
        <v>74</v>
      </c>
      <c r="T63" s="1" t="s">
        <v>74</v>
      </c>
      <c r="U63" s="1" t="s">
        <v>74</v>
      </c>
      <c r="V63" s="1" t="s">
        <v>756</v>
      </c>
      <c r="W63" s="1" t="s">
        <v>74</v>
      </c>
      <c r="X63" s="1" t="s">
        <v>74</v>
      </c>
      <c r="Y63" s="1" t="s">
        <v>74</v>
      </c>
      <c r="Z63" s="1" t="s">
        <v>74</v>
      </c>
      <c r="AA63" s="1" t="s">
        <v>757</v>
      </c>
      <c r="AB63" s="1" t="s">
        <v>758</v>
      </c>
      <c r="AC63" s="1" t="s">
        <v>74</v>
      </c>
      <c r="AD63" s="1" t="s">
        <v>74</v>
      </c>
      <c r="AE63" s="1" t="s">
        <v>74</v>
      </c>
      <c r="AF63" s="1" t="s">
        <v>74</v>
      </c>
      <c r="AG63" s="1" t="s">
        <v>74</v>
      </c>
      <c r="AH63" s="1" t="s">
        <v>74</v>
      </c>
      <c r="AI63" s="1" t="s">
        <v>74</v>
      </c>
      <c r="AJ63" s="1" t="s">
        <v>74</v>
      </c>
      <c r="AK63" s="1" t="s">
        <v>74</v>
      </c>
      <c r="AL63" s="1" t="s">
        <v>74</v>
      </c>
      <c r="AM63" s="1" t="s">
        <v>74</v>
      </c>
      <c r="AN63" s="1" t="s">
        <v>74</v>
      </c>
      <c r="AO63" s="1" t="s">
        <v>74</v>
      </c>
      <c r="AP63" s="1" t="s">
        <v>759</v>
      </c>
      <c r="AQ63" s="1" t="s">
        <v>74</v>
      </c>
      <c r="AR63" s="1" t="s">
        <v>74</v>
      </c>
      <c r="AS63" s="1" t="s">
        <v>74</v>
      </c>
      <c r="AT63" s="1" t="s">
        <v>678</v>
      </c>
      <c r="AU63" s="1">
        <v>2024.0</v>
      </c>
      <c r="AV63" s="1">
        <v>16.0</v>
      </c>
      <c r="AW63" s="1">
        <v>22.0</v>
      </c>
      <c r="AX63" s="1" t="s">
        <v>74</v>
      </c>
      <c r="AY63" s="1" t="s">
        <v>74</v>
      </c>
      <c r="AZ63" s="1" t="s">
        <v>74</v>
      </c>
      <c r="BA63" s="1" t="s">
        <v>74</v>
      </c>
      <c r="BB63" s="1" t="s">
        <v>74</v>
      </c>
      <c r="BC63" s="1" t="s">
        <v>74</v>
      </c>
      <c r="BD63" s="1">
        <v>9876.0</v>
      </c>
      <c r="BE63" s="1" t="s">
        <v>760</v>
      </c>
      <c r="BF63" s="2" t="str">
        <f>HYPERLINK("http://dx.doi.org/10.3390/su16229876","http://dx.doi.org/10.3390/su16229876")</f>
        <v>http://dx.doi.org/10.3390/su16229876</v>
      </c>
      <c r="BG63" s="1" t="s">
        <v>74</v>
      </c>
      <c r="BH63" s="1" t="s">
        <v>74</v>
      </c>
      <c r="BI63" s="1" t="s">
        <v>74</v>
      </c>
      <c r="BJ63" s="1" t="s">
        <v>74</v>
      </c>
      <c r="BK63" s="1" t="s">
        <v>74</v>
      </c>
      <c r="BL63" s="1" t="s">
        <v>74</v>
      </c>
      <c r="BM63" s="1" t="s">
        <v>74</v>
      </c>
      <c r="BN63" s="1" t="s">
        <v>74</v>
      </c>
      <c r="BO63" s="1" t="s">
        <v>74</v>
      </c>
      <c r="BP63" s="1" t="s">
        <v>74</v>
      </c>
      <c r="BQ63" s="1" t="s">
        <v>74</v>
      </c>
      <c r="BR63" s="1" t="s">
        <v>74</v>
      </c>
      <c r="BS63" s="1" t="s">
        <v>761</v>
      </c>
      <c r="BT63" s="1" t="str">
        <f>HYPERLINK("https%3A%2F%2Fwww.webofscience.com%2Fwos%2Fwoscc%2Ffull-record%2FWOS:001366021000001","View Full Record in Web of Science")</f>
        <v>View Full Record in Web of Science</v>
      </c>
    </row>
    <row r="64" ht="12.75" customHeight="1">
      <c r="A64" s="1" t="s">
        <v>72</v>
      </c>
      <c r="B64" s="1" t="s">
        <v>762</v>
      </c>
      <c r="C64" s="1" t="s">
        <v>74</v>
      </c>
      <c r="D64" s="1" t="s">
        <v>74</v>
      </c>
      <c r="E64" s="1" t="s">
        <v>74</v>
      </c>
      <c r="F64" s="1" t="s">
        <v>763</v>
      </c>
      <c r="G64" s="1" t="s">
        <v>74</v>
      </c>
      <c r="H64" s="1" t="s">
        <v>74</v>
      </c>
      <c r="I64" s="1" t="s">
        <v>764</v>
      </c>
      <c r="J64" s="1" t="s">
        <v>765</v>
      </c>
      <c r="K64" s="1" t="s">
        <v>74</v>
      </c>
      <c r="L64" s="1" t="s">
        <v>74</v>
      </c>
      <c r="M64" s="1" t="s">
        <v>74</v>
      </c>
      <c r="N64" s="1" t="s">
        <v>74</v>
      </c>
      <c r="O64" s="1" t="s">
        <v>74</v>
      </c>
      <c r="P64" s="1" t="s">
        <v>74</v>
      </c>
      <c r="Q64" s="1" t="s">
        <v>74</v>
      </c>
      <c r="R64" s="1" t="s">
        <v>74</v>
      </c>
      <c r="S64" s="1" t="s">
        <v>74</v>
      </c>
      <c r="T64" s="1" t="s">
        <v>74</v>
      </c>
      <c r="U64" s="1" t="s">
        <v>74</v>
      </c>
      <c r="V64" s="1" t="s">
        <v>766</v>
      </c>
      <c r="W64" s="1" t="s">
        <v>74</v>
      </c>
      <c r="X64" s="1" t="s">
        <v>74</v>
      </c>
      <c r="Y64" s="1" t="s">
        <v>74</v>
      </c>
      <c r="Z64" s="1" t="s">
        <v>74</v>
      </c>
      <c r="AA64" s="1" t="s">
        <v>767</v>
      </c>
      <c r="AB64" s="1" t="s">
        <v>768</v>
      </c>
      <c r="AC64" s="1" t="s">
        <v>74</v>
      </c>
      <c r="AD64" s="1" t="s">
        <v>74</v>
      </c>
      <c r="AE64" s="1" t="s">
        <v>74</v>
      </c>
      <c r="AF64" s="1" t="s">
        <v>74</v>
      </c>
      <c r="AG64" s="1" t="s">
        <v>74</v>
      </c>
      <c r="AH64" s="1" t="s">
        <v>74</v>
      </c>
      <c r="AI64" s="1" t="s">
        <v>74</v>
      </c>
      <c r="AJ64" s="1" t="s">
        <v>74</v>
      </c>
      <c r="AK64" s="1" t="s">
        <v>74</v>
      </c>
      <c r="AL64" s="1" t="s">
        <v>74</v>
      </c>
      <c r="AM64" s="1" t="s">
        <v>74</v>
      </c>
      <c r="AN64" s="1" t="s">
        <v>74</v>
      </c>
      <c r="AO64" s="1" t="s">
        <v>769</v>
      </c>
      <c r="AP64" s="1" t="s">
        <v>74</v>
      </c>
      <c r="AQ64" s="1" t="s">
        <v>74</v>
      </c>
      <c r="AR64" s="1" t="s">
        <v>74</v>
      </c>
      <c r="AS64" s="1" t="s">
        <v>74</v>
      </c>
      <c r="AT64" s="1" t="s">
        <v>770</v>
      </c>
      <c r="AU64" s="1">
        <v>2024.0</v>
      </c>
      <c r="AV64" s="1">
        <v>14.0</v>
      </c>
      <c r="AW64" s="1">
        <v>1.0</v>
      </c>
      <c r="AX64" s="1" t="s">
        <v>74</v>
      </c>
      <c r="AY64" s="1" t="s">
        <v>74</v>
      </c>
      <c r="AZ64" s="1" t="s">
        <v>74</v>
      </c>
      <c r="BA64" s="1" t="s">
        <v>74</v>
      </c>
      <c r="BB64" s="1" t="s">
        <v>74</v>
      </c>
      <c r="BC64" s="1" t="s">
        <v>74</v>
      </c>
      <c r="BD64" s="1">
        <v>12754.0</v>
      </c>
      <c r="BE64" s="1" t="s">
        <v>771</v>
      </c>
      <c r="BF64" s="2" t="str">
        <f>HYPERLINK("http://dx.doi.org/10.1038/s41598-024-58913-y","http://dx.doi.org/10.1038/s41598-024-58913-y")</f>
        <v>http://dx.doi.org/10.1038/s41598-024-58913-y</v>
      </c>
      <c r="BG64" s="1" t="s">
        <v>74</v>
      </c>
      <c r="BH64" s="1" t="s">
        <v>74</v>
      </c>
      <c r="BI64" s="1" t="s">
        <v>74</v>
      </c>
      <c r="BJ64" s="1" t="s">
        <v>74</v>
      </c>
      <c r="BK64" s="1" t="s">
        <v>74</v>
      </c>
      <c r="BL64" s="1" t="s">
        <v>74</v>
      </c>
      <c r="BM64" s="1" t="s">
        <v>74</v>
      </c>
      <c r="BN64" s="1">
        <v>3.8830936E7</v>
      </c>
      <c r="BO64" s="1" t="s">
        <v>74</v>
      </c>
      <c r="BP64" s="1" t="s">
        <v>74</v>
      </c>
      <c r="BQ64" s="1" t="s">
        <v>74</v>
      </c>
      <c r="BR64" s="1" t="s">
        <v>74</v>
      </c>
      <c r="BS64" s="1" t="s">
        <v>772</v>
      </c>
      <c r="BT64" s="1" t="str">
        <f>HYPERLINK("https%3A%2F%2Fwww.webofscience.com%2Fwos%2Fwoscc%2Ffull-record%2FWOS:001238382700002","View Full Record in Web of Science")</f>
        <v>View Full Record in Web of Science</v>
      </c>
    </row>
    <row r="65" ht="12.75" customHeight="1">
      <c r="A65" s="1" t="s">
        <v>72</v>
      </c>
      <c r="B65" s="1" t="s">
        <v>773</v>
      </c>
      <c r="C65" s="1" t="s">
        <v>74</v>
      </c>
      <c r="D65" s="1" t="s">
        <v>74</v>
      </c>
      <c r="E65" s="1" t="s">
        <v>74</v>
      </c>
      <c r="F65" s="1" t="s">
        <v>774</v>
      </c>
      <c r="G65" s="1" t="s">
        <v>74</v>
      </c>
      <c r="H65" s="1" t="s">
        <v>74</v>
      </c>
      <c r="I65" s="1" t="s">
        <v>775</v>
      </c>
      <c r="J65" s="1" t="s">
        <v>776</v>
      </c>
      <c r="K65" s="1" t="s">
        <v>74</v>
      </c>
      <c r="L65" s="1" t="s">
        <v>74</v>
      </c>
      <c r="M65" s="1" t="s">
        <v>74</v>
      </c>
      <c r="N65" s="1" t="s">
        <v>74</v>
      </c>
      <c r="O65" s="1" t="s">
        <v>74</v>
      </c>
      <c r="P65" s="1" t="s">
        <v>74</v>
      </c>
      <c r="Q65" s="1" t="s">
        <v>74</v>
      </c>
      <c r="R65" s="1" t="s">
        <v>74</v>
      </c>
      <c r="S65" s="1" t="s">
        <v>74</v>
      </c>
      <c r="T65" s="1" t="s">
        <v>74</v>
      </c>
      <c r="U65" s="1" t="s">
        <v>74</v>
      </c>
      <c r="V65" s="1" t="s">
        <v>777</v>
      </c>
      <c r="W65" s="1" t="s">
        <v>74</v>
      </c>
      <c r="X65" s="1" t="s">
        <v>74</v>
      </c>
      <c r="Y65" s="1" t="s">
        <v>74</v>
      </c>
      <c r="Z65" s="1" t="s">
        <v>74</v>
      </c>
      <c r="AA65" s="1" t="s">
        <v>778</v>
      </c>
      <c r="AB65" s="1" t="s">
        <v>74</v>
      </c>
      <c r="AC65" s="1" t="s">
        <v>74</v>
      </c>
      <c r="AD65" s="1" t="s">
        <v>74</v>
      </c>
      <c r="AE65" s="1" t="s">
        <v>74</v>
      </c>
      <c r="AF65" s="1" t="s">
        <v>74</v>
      </c>
      <c r="AG65" s="1" t="s">
        <v>74</v>
      </c>
      <c r="AH65" s="1" t="s">
        <v>74</v>
      </c>
      <c r="AI65" s="1" t="s">
        <v>74</v>
      </c>
      <c r="AJ65" s="1" t="s">
        <v>74</v>
      </c>
      <c r="AK65" s="1" t="s">
        <v>74</v>
      </c>
      <c r="AL65" s="1" t="s">
        <v>74</v>
      </c>
      <c r="AM65" s="1" t="s">
        <v>74</v>
      </c>
      <c r="AN65" s="1" t="s">
        <v>74</v>
      </c>
      <c r="AO65" s="1" t="s">
        <v>779</v>
      </c>
      <c r="AP65" s="1" t="s">
        <v>780</v>
      </c>
      <c r="AQ65" s="1" t="s">
        <v>74</v>
      </c>
      <c r="AR65" s="1" t="s">
        <v>74</v>
      </c>
      <c r="AS65" s="1" t="s">
        <v>74</v>
      </c>
      <c r="AT65" s="1" t="s">
        <v>350</v>
      </c>
      <c r="AU65" s="1">
        <v>2024.0</v>
      </c>
      <c r="AV65" s="1">
        <v>214.0</v>
      </c>
      <c r="AW65" s="1" t="s">
        <v>74</v>
      </c>
      <c r="AX65" s="1" t="s">
        <v>74</v>
      </c>
      <c r="AY65" s="1" t="s">
        <v>74</v>
      </c>
      <c r="AZ65" s="1" t="s">
        <v>74</v>
      </c>
      <c r="BA65" s="1" t="s">
        <v>74</v>
      </c>
      <c r="BB65" s="1" t="s">
        <v>74</v>
      </c>
      <c r="BC65" s="1" t="s">
        <v>74</v>
      </c>
      <c r="BD65" s="1">
        <v>118531.0</v>
      </c>
      <c r="BE65" s="1" t="s">
        <v>781</v>
      </c>
      <c r="BF65" s="2" t="str">
        <f>HYPERLINK("http://dx.doi.org/10.1016/j.indcrop.2024.118531","http://dx.doi.org/10.1016/j.indcrop.2024.118531")</f>
        <v>http://dx.doi.org/10.1016/j.indcrop.2024.118531</v>
      </c>
      <c r="BG65" s="1" t="s">
        <v>74</v>
      </c>
      <c r="BH65" s="1" t="s">
        <v>782</v>
      </c>
      <c r="BI65" s="1" t="s">
        <v>74</v>
      </c>
      <c r="BJ65" s="1" t="s">
        <v>74</v>
      </c>
      <c r="BK65" s="1" t="s">
        <v>74</v>
      </c>
      <c r="BL65" s="1" t="s">
        <v>74</v>
      </c>
      <c r="BM65" s="1" t="s">
        <v>74</v>
      </c>
      <c r="BN65" s="1" t="s">
        <v>74</v>
      </c>
      <c r="BO65" s="1" t="s">
        <v>74</v>
      </c>
      <c r="BP65" s="1" t="s">
        <v>74</v>
      </c>
      <c r="BQ65" s="1" t="s">
        <v>74</v>
      </c>
      <c r="BR65" s="1" t="s">
        <v>74</v>
      </c>
      <c r="BS65" s="1" t="s">
        <v>783</v>
      </c>
      <c r="BT65" s="1" t="str">
        <f>HYPERLINK("https%3A%2F%2Fwww.webofscience.com%2Fwos%2Fwoscc%2Ffull-record%2FWOS:001333918400001","View Full Record in Web of Science")</f>
        <v>View Full Record in Web of Science</v>
      </c>
    </row>
    <row r="66" ht="12.75" customHeight="1">
      <c r="A66" s="1" t="s">
        <v>72</v>
      </c>
      <c r="B66" s="1" t="s">
        <v>784</v>
      </c>
      <c r="C66" s="1" t="s">
        <v>74</v>
      </c>
      <c r="D66" s="1" t="s">
        <v>74</v>
      </c>
      <c r="E66" s="1" t="s">
        <v>74</v>
      </c>
      <c r="F66" s="1" t="s">
        <v>785</v>
      </c>
      <c r="G66" s="1" t="s">
        <v>74</v>
      </c>
      <c r="H66" s="1" t="s">
        <v>74</v>
      </c>
      <c r="I66" s="1" t="s">
        <v>786</v>
      </c>
      <c r="J66" s="1" t="s">
        <v>787</v>
      </c>
      <c r="K66" s="1" t="s">
        <v>74</v>
      </c>
      <c r="L66" s="1" t="s">
        <v>74</v>
      </c>
      <c r="M66" s="1" t="s">
        <v>74</v>
      </c>
      <c r="N66" s="1" t="s">
        <v>74</v>
      </c>
      <c r="O66" s="1" t="s">
        <v>74</v>
      </c>
      <c r="P66" s="1" t="s">
        <v>74</v>
      </c>
      <c r="Q66" s="1" t="s">
        <v>74</v>
      </c>
      <c r="R66" s="1" t="s">
        <v>74</v>
      </c>
      <c r="S66" s="1" t="s">
        <v>74</v>
      </c>
      <c r="T66" s="1" t="s">
        <v>74</v>
      </c>
      <c r="U66" s="1" t="s">
        <v>74</v>
      </c>
      <c r="V66" s="1" t="s">
        <v>788</v>
      </c>
      <c r="W66" s="1" t="s">
        <v>74</v>
      </c>
      <c r="X66" s="1" t="s">
        <v>74</v>
      </c>
      <c r="Y66" s="1" t="s">
        <v>74</v>
      </c>
      <c r="Z66" s="1" t="s">
        <v>74</v>
      </c>
      <c r="AA66" s="1" t="s">
        <v>789</v>
      </c>
      <c r="AB66" s="1" t="s">
        <v>790</v>
      </c>
      <c r="AC66" s="1" t="s">
        <v>74</v>
      </c>
      <c r="AD66" s="1" t="s">
        <v>74</v>
      </c>
      <c r="AE66" s="1" t="s">
        <v>74</v>
      </c>
      <c r="AF66" s="1" t="s">
        <v>74</v>
      </c>
      <c r="AG66" s="1" t="s">
        <v>74</v>
      </c>
      <c r="AH66" s="1" t="s">
        <v>74</v>
      </c>
      <c r="AI66" s="1" t="s">
        <v>74</v>
      </c>
      <c r="AJ66" s="1" t="s">
        <v>74</v>
      </c>
      <c r="AK66" s="1" t="s">
        <v>74</v>
      </c>
      <c r="AL66" s="1" t="s">
        <v>74</v>
      </c>
      <c r="AM66" s="1" t="s">
        <v>74</v>
      </c>
      <c r="AN66" s="1" t="s">
        <v>74</v>
      </c>
      <c r="AO66" s="1" t="s">
        <v>791</v>
      </c>
      <c r="AP66" s="1" t="s">
        <v>792</v>
      </c>
      <c r="AQ66" s="1" t="s">
        <v>74</v>
      </c>
      <c r="AR66" s="1" t="s">
        <v>74</v>
      </c>
      <c r="AS66" s="1" t="s">
        <v>74</v>
      </c>
      <c r="AT66" s="1" t="s">
        <v>306</v>
      </c>
      <c r="AU66" s="1">
        <v>2024.0</v>
      </c>
      <c r="AV66" s="1">
        <v>58.0</v>
      </c>
      <c r="AW66" s="1" t="s">
        <v>74</v>
      </c>
      <c r="AX66" s="1" t="s">
        <v>74</v>
      </c>
      <c r="AY66" s="1" t="s">
        <v>74</v>
      </c>
      <c r="AZ66" s="1" t="s">
        <v>74</v>
      </c>
      <c r="BA66" s="1" t="s">
        <v>74</v>
      </c>
      <c r="BB66" s="1" t="s">
        <v>74</v>
      </c>
      <c r="BC66" s="1" t="s">
        <v>74</v>
      </c>
      <c r="BD66" s="1">
        <v>103687.0</v>
      </c>
      <c r="BE66" s="1" t="s">
        <v>793</v>
      </c>
      <c r="BF66" s="2" t="str">
        <f>HYPERLINK("http://dx.doi.org/10.1016/j.fbio.2024.103687","http://dx.doi.org/10.1016/j.fbio.2024.103687")</f>
        <v>http://dx.doi.org/10.1016/j.fbio.2024.103687</v>
      </c>
      <c r="BG66" s="1" t="s">
        <v>74</v>
      </c>
      <c r="BH66" s="1" t="s">
        <v>794</v>
      </c>
      <c r="BI66" s="1" t="s">
        <v>74</v>
      </c>
      <c r="BJ66" s="1" t="s">
        <v>74</v>
      </c>
      <c r="BK66" s="1" t="s">
        <v>74</v>
      </c>
      <c r="BL66" s="1" t="s">
        <v>74</v>
      </c>
      <c r="BM66" s="1" t="s">
        <v>74</v>
      </c>
      <c r="BN66" s="1" t="s">
        <v>74</v>
      </c>
      <c r="BO66" s="1" t="s">
        <v>74</v>
      </c>
      <c r="BP66" s="1" t="s">
        <v>74</v>
      </c>
      <c r="BQ66" s="1" t="s">
        <v>74</v>
      </c>
      <c r="BR66" s="1" t="s">
        <v>74</v>
      </c>
      <c r="BS66" s="1" t="s">
        <v>795</v>
      </c>
      <c r="BT66" s="1" t="str">
        <f>HYPERLINK("https%3A%2F%2Fwww.webofscience.com%2Fwos%2Fwoscc%2Ffull-record%2FWOS:001193919100001","View Full Record in Web of Science")</f>
        <v>View Full Record in Web of Science</v>
      </c>
    </row>
    <row r="67" ht="12.75" customHeight="1">
      <c r="A67" s="1" t="s">
        <v>72</v>
      </c>
      <c r="B67" s="1" t="s">
        <v>796</v>
      </c>
      <c r="C67" s="1" t="s">
        <v>74</v>
      </c>
      <c r="D67" s="1" t="s">
        <v>74</v>
      </c>
      <c r="E67" s="1" t="s">
        <v>74</v>
      </c>
      <c r="F67" s="1" t="s">
        <v>797</v>
      </c>
      <c r="G67" s="1" t="s">
        <v>74</v>
      </c>
      <c r="H67" s="1" t="s">
        <v>74</v>
      </c>
      <c r="I67" s="1" t="s">
        <v>798</v>
      </c>
      <c r="J67" s="1" t="s">
        <v>799</v>
      </c>
      <c r="K67" s="1" t="s">
        <v>74</v>
      </c>
      <c r="L67" s="1" t="s">
        <v>74</v>
      </c>
      <c r="M67" s="1" t="s">
        <v>74</v>
      </c>
      <c r="N67" s="1" t="s">
        <v>74</v>
      </c>
      <c r="O67" s="1" t="s">
        <v>74</v>
      </c>
      <c r="P67" s="1" t="s">
        <v>74</v>
      </c>
      <c r="Q67" s="1" t="s">
        <v>74</v>
      </c>
      <c r="R67" s="1" t="s">
        <v>74</v>
      </c>
      <c r="S67" s="1" t="s">
        <v>74</v>
      </c>
      <c r="T67" s="1" t="s">
        <v>74</v>
      </c>
      <c r="U67" s="1" t="s">
        <v>74</v>
      </c>
      <c r="V67" s="1" t="s">
        <v>800</v>
      </c>
      <c r="W67" s="1" t="s">
        <v>74</v>
      </c>
      <c r="X67" s="1" t="s">
        <v>74</v>
      </c>
      <c r="Y67" s="1" t="s">
        <v>74</v>
      </c>
      <c r="Z67" s="1" t="s">
        <v>74</v>
      </c>
      <c r="AA67" s="1" t="s">
        <v>801</v>
      </c>
      <c r="AB67" s="1" t="s">
        <v>802</v>
      </c>
      <c r="AC67" s="1" t="s">
        <v>74</v>
      </c>
      <c r="AD67" s="1" t="s">
        <v>74</v>
      </c>
      <c r="AE67" s="1" t="s">
        <v>74</v>
      </c>
      <c r="AF67" s="1" t="s">
        <v>74</v>
      </c>
      <c r="AG67" s="1" t="s">
        <v>74</v>
      </c>
      <c r="AH67" s="1" t="s">
        <v>74</v>
      </c>
      <c r="AI67" s="1" t="s">
        <v>74</v>
      </c>
      <c r="AJ67" s="1" t="s">
        <v>74</v>
      </c>
      <c r="AK67" s="1" t="s">
        <v>74</v>
      </c>
      <c r="AL67" s="1" t="s">
        <v>74</v>
      </c>
      <c r="AM67" s="1" t="s">
        <v>74</v>
      </c>
      <c r="AN67" s="1" t="s">
        <v>74</v>
      </c>
      <c r="AO67" s="1" t="s">
        <v>803</v>
      </c>
      <c r="AP67" s="1" t="s">
        <v>74</v>
      </c>
      <c r="AQ67" s="1" t="s">
        <v>74</v>
      </c>
      <c r="AR67" s="1" t="s">
        <v>74</v>
      </c>
      <c r="AS67" s="1" t="s">
        <v>74</v>
      </c>
      <c r="AT67" s="1" t="s">
        <v>74</v>
      </c>
      <c r="AU67" s="1">
        <v>2024.0</v>
      </c>
      <c r="AV67" s="1" t="s">
        <v>74</v>
      </c>
      <c r="AW67" s="1">
        <v>53.0</v>
      </c>
      <c r="AX67" s="1" t="s">
        <v>74</v>
      </c>
      <c r="AY67" s="1" t="s">
        <v>74</v>
      </c>
      <c r="AZ67" s="1" t="s">
        <v>74</v>
      </c>
      <c r="BA67" s="1" t="s">
        <v>74</v>
      </c>
      <c r="BB67" s="1" t="s">
        <v>74</v>
      </c>
      <c r="BC67" s="1" t="s">
        <v>74</v>
      </c>
      <c r="BD67" s="1">
        <v>1084.0</v>
      </c>
      <c r="BE67" s="1" t="s">
        <v>804</v>
      </c>
      <c r="BF67" s="2" t="str">
        <f>HYPERLINK("http://dx.doi.org/10.32995/rev180.Num-53.(2024).art-1084","http://dx.doi.org/10.32995/rev180.Num-53.(2024).art-1084")</f>
        <v>http://dx.doi.org/10.32995/rev180.Num-53.(2024).art-1084</v>
      </c>
      <c r="BG67" s="1" t="s">
        <v>74</v>
      </c>
      <c r="BH67" s="1" t="s">
        <v>74</v>
      </c>
      <c r="BI67" s="1" t="s">
        <v>74</v>
      </c>
      <c r="BJ67" s="1" t="s">
        <v>74</v>
      </c>
      <c r="BK67" s="1" t="s">
        <v>74</v>
      </c>
      <c r="BL67" s="1" t="s">
        <v>74</v>
      </c>
      <c r="BM67" s="1" t="s">
        <v>74</v>
      </c>
      <c r="BN67" s="1" t="s">
        <v>74</v>
      </c>
      <c r="BO67" s="1" t="s">
        <v>74</v>
      </c>
      <c r="BP67" s="1" t="s">
        <v>74</v>
      </c>
      <c r="BQ67" s="1" t="s">
        <v>74</v>
      </c>
      <c r="BR67" s="1" t="s">
        <v>74</v>
      </c>
      <c r="BS67" s="1" t="s">
        <v>805</v>
      </c>
      <c r="BT67" s="1" t="str">
        <f>HYPERLINK("https%3A%2F%2Fwww.webofscience.com%2Fwos%2Fwoscc%2Ffull-record%2FWOS:001343080200002","View Full Record in Web of Science")</f>
        <v>View Full Record in Web of Science</v>
      </c>
    </row>
    <row r="68" ht="12.75" customHeight="1">
      <c r="A68" s="1" t="s">
        <v>72</v>
      </c>
      <c r="B68" s="1" t="s">
        <v>806</v>
      </c>
      <c r="C68" s="1" t="s">
        <v>74</v>
      </c>
      <c r="D68" s="1" t="s">
        <v>74</v>
      </c>
      <c r="E68" s="1" t="s">
        <v>74</v>
      </c>
      <c r="F68" s="1" t="s">
        <v>807</v>
      </c>
      <c r="G68" s="1" t="s">
        <v>74</v>
      </c>
      <c r="H68" s="1" t="s">
        <v>74</v>
      </c>
      <c r="I68" s="1" t="s">
        <v>808</v>
      </c>
      <c r="J68" s="1" t="s">
        <v>809</v>
      </c>
      <c r="K68" s="1" t="s">
        <v>74</v>
      </c>
      <c r="L68" s="1" t="s">
        <v>74</v>
      </c>
      <c r="M68" s="1" t="s">
        <v>74</v>
      </c>
      <c r="N68" s="1" t="s">
        <v>74</v>
      </c>
      <c r="O68" s="1" t="s">
        <v>74</v>
      </c>
      <c r="P68" s="1" t="s">
        <v>74</v>
      </c>
      <c r="Q68" s="1" t="s">
        <v>74</v>
      </c>
      <c r="R68" s="1" t="s">
        <v>74</v>
      </c>
      <c r="S68" s="1" t="s">
        <v>74</v>
      </c>
      <c r="T68" s="1" t="s">
        <v>74</v>
      </c>
      <c r="U68" s="1" t="s">
        <v>74</v>
      </c>
      <c r="V68" s="1" t="s">
        <v>810</v>
      </c>
      <c r="W68" s="1" t="s">
        <v>74</v>
      </c>
      <c r="X68" s="1" t="s">
        <v>74</v>
      </c>
      <c r="Y68" s="1" t="s">
        <v>74</v>
      </c>
      <c r="Z68" s="1" t="s">
        <v>74</v>
      </c>
      <c r="AA68" s="1" t="s">
        <v>811</v>
      </c>
      <c r="AB68" s="1" t="s">
        <v>812</v>
      </c>
      <c r="AC68" s="1" t="s">
        <v>74</v>
      </c>
      <c r="AD68" s="1" t="s">
        <v>74</v>
      </c>
      <c r="AE68" s="1" t="s">
        <v>74</v>
      </c>
      <c r="AF68" s="1" t="s">
        <v>74</v>
      </c>
      <c r="AG68" s="1" t="s">
        <v>74</v>
      </c>
      <c r="AH68" s="1" t="s">
        <v>74</v>
      </c>
      <c r="AI68" s="1" t="s">
        <v>74</v>
      </c>
      <c r="AJ68" s="1" t="s">
        <v>74</v>
      </c>
      <c r="AK68" s="1" t="s">
        <v>74</v>
      </c>
      <c r="AL68" s="1" t="s">
        <v>74</v>
      </c>
      <c r="AM68" s="1" t="s">
        <v>74</v>
      </c>
      <c r="AN68" s="1" t="s">
        <v>74</v>
      </c>
      <c r="AO68" s="1" t="s">
        <v>813</v>
      </c>
      <c r="AP68" s="1" t="s">
        <v>814</v>
      </c>
      <c r="AQ68" s="1" t="s">
        <v>74</v>
      </c>
      <c r="AR68" s="1" t="s">
        <v>74</v>
      </c>
      <c r="AS68" s="1" t="s">
        <v>74</v>
      </c>
      <c r="AT68" s="1" t="s">
        <v>235</v>
      </c>
      <c r="AU68" s="1">
        <v>2024.0</v>
      </c>
      <c r="AV68" s="1">
        <v>38.0</v>
      </c>
      <c r="AW68" s="1">
        <v>2.0</v>
      </c>
      <c r="AX68" s="1" t="s">
        <v>74</v>
      </c>
      <c r="AY68" s="1" t="s">
        <v>74</v>
      </c>
      <c r="AZ68" s="1" t="s">
        <v>74</v>
      </c>
      <c r="BA68" s="1" t="s">
        <v>74</v>
      </c>
      <c r="BB68" s="1">
        <v>534.0</v>
      </c>
      <c r="BC68" s="1">
        <v>557.0</v>
      </c>
      <c r="BD68" s="1" t="s">
        <v>74</v>
      </c>
      <c r="BE68" s="1" t="s">
        <v>815</v>
      </c>
      <c r="BF68" s="2" t="str">
        <f>HYPERLINK("http://dx.doi.org/10.1002/acs.3715","http://dx.doi.org/10.1002/acs.3715")</f>
        <v>http://dx.doi.org/10.1002/acs.3715</v>
      </c>
      <c r="BG68" s="1" t="s">
        <v>74</v>
      </c>
      <c r="BH68" s="1" t="s">
        <v>816</v>
      </c>
      <c r="BI68" s="1" t="s">
        <v>74</v>
      </c>
      <c r="BJ68" s="1" t="s">
        <v>74</v>
      </c>
      <c r="BK68" s="1" t="s">
        <v>74</v>
      </c>
      <c r="BL68" s="1" t="s">
        <v>74</v>
      </c>
      <c r="BM68" s="1" t="s">
        <v>74</v>
      </c>
      <c r="BN68" s="1" t="s">
        <v>74</v>
      </c>
      <c r="BO68" s="1" t="s">
        <v>74</v>
      </c>
      <c r="BP68" s="1" t="s">
        <v>74</v>
      </c>
      <c r="BQ68" s="1" t="s">
        <v>74</v>
      </c>
      <c r="BR68" s="1" t="s">
        <v>74</v>
      </c>
      <c r="BS68" s="1" t="s">
        <v>817</v>
      </c>
      <c r="BT68" s="1" t="str">
        <f>HYPERLINK("https%3A%2F%2Fwww.webofscience.com%2Fwos%2Fwoscc%2Ffull-record%2FWOS:001104700200001","View Full Record in Web of Science")</f>
        <v>View Full Record in Web of Science</v>
      </c>
    </row>
    <row r="69" ht="12.75" customHeight="1">
      <c r="A69" s="1" t="s">
        <v>72</v>
      </c>
      <c r="B69" s="1" t="s">
        <v>818</v>
      </c>
      <c r="C69" s="1" t="s">
        <v>74</v>
      </c>
      <c r="D69" s="1" t="s">
        <v>74</v>
      </c>
      <c r="E69" s="1" t="s">
        <v>74</v>
      </c>
      <c r="F69" s="1" t="s">
        <v>819</v>
      </c>
      <c r="G69" s="1" t="s">
        <v>74</v>
      </c>
      <c r="H69" s="1" t="s">
        <v>74</v>
      </c>
      <c r="I69" s="1" t="s">
        <v>820</v>
      </c>
      <c r="J69" s="1" t="s">
        <v>821</v>
      </c>
      <c r="K69" s="1" t="s">
        <v>74</v>
      </c>
      <c r="L69" s="1" t="s">
        <v>74</v>
      </c>
      <c r="M69" s="1" t="s">
        <v>74</v>
      </c>
      <c r="N69" s="1" t="s">
        <v>74</v>
      </c>
      <c r="O69" s="1" t="s">
        <v>74</v>
      </c>
      <c r="P69" s="1" t="s">
        <v>74</v>
      </c>
      <c r="Q69" s="1" t="s">
        <v>74</v>
      </c>
      <c r="R69" s="1" t="s">
        <v>74</v>
      </c>
      <c r="S69" s="1" t="s">
        <v>74</v>
      </c>
      <c r="T69" s="1" t="s">
        <v>74</v>
      </c>
      <c r="U69" s="1" t="s">
        <v>74</v>
      </c>
      <c r="V69" s="1" t="s">
        <v>822</v>
      </c>
      <c r="W69" s="1" t="s">
        <v>74</v>
      </c>
      <c r="X69" s="1" t="s">
        <v>74</v>
      </c>
      <c r="Y69" s="1" t="s">
        <v>74</v>
      </c>
      <c r="Z69" s="1" t="s">
        <v>74</v>
      </c>
      <c r="AA69" s="1" t="s">
        <v>74</v>
      </c>
      <c r="AB69" s="1" t="s">
        <v>74</v>
      </c>
      <c r="AC69" s="1" t="s">
        <v>74</v>
      </c>
      <c r="AD69" s="1" t="s">
        <v>74</v>
      </c>
      <c r="AE69" s="1" t="s">
        <v>74</v>
      </c>
      <c r="AF69" s="1" t="s">
        <v>74</v>
      </c>
      <c r="AG69" s="1" t="s">
        <v>74</v>
      </c>
      <c r="AH69" s="1" t="s">
        <v>74</v>
      </c>
      <c r="AI69" s="1" t="s">
        <v>74</v>
      </c>
      <c r="AJ69" s="1" t="s">
        <v>74</v>
      </c>
      <c r="AK69" s="1" t="s">
        <v>74</v>
      </c>
      <c r="AL69" s="1" t="s">
        <v>74</v>
      </c>
      <c r="AM69" s="1" t="s">
        <v>74</v>
      </c>
      <c r="AN69" s="1" t="s">
        <v>74</v>
      </c>
      <c r="AO69" s="1" t="s">
        <v>823</v>
      </c>
      <c r="AP69" s="1" t="s">
        <v>824</v>
      </c>
      <c r="AQ69" s="1" t="s">
        <v>74</v>
      </c>
      <c r="AR69" s="1" t="s">
        <v>74</v>
      </c>
      <c r="AS69" s="1" t="s">
        <v>74</v>
      </c>
      <c r="AT69" s="1" t="s">
        <v>350</v>
      </c>
      <c r="AU69" s="1">
        <v>2023.0</v>
      </c>
      <c r="AV69" s="1">
        <v>88.0</v>
      </c>
      <c r="AW69" s="1">
        <v>1.0</v>
      </c>
      <c r="AX69" s="1" t="s">
        <v>74</v>
      </c>
      <c r="AY69" s="1" t="s">
        <v>74</v>
      </c>
      <c r="AZ69" s="1" t="s">
        <v>74</v>
      </c>
      <c r="BA69" s="1" t="s">
        <v>74</v>
      </c>
      <c r="BB69" s="1" t="s">
        <v>74</v>
      </c>
      <c r="BC69" s="1" t="s">
        <v>74</v>
      </c>
      <c r="BD69" s="1">
        <v>5.0</v>
      </c>
      <c r="BE69" s="1" t="s">
        <v>825</v>
      </c>
      <c r="BF69" s="2" t="str">
        <f>HYPERLINK("http://dx.doi.org/10.1007/s00245-023-09979-z","http://dx.doi.org/10.1007/s00245-023-09979-z")</f>
        <v>http://dx.doi.org/10.1007/s00245-023-09979-z</v>
      </c>
      <c r="BG69" s="1" t="s">
        <v>74</v>
      </c>
      <c r="BH69" s="1" t="s">
        <v>74</v>
      </c>
      <c r="BI69" s="1" t="s">
        <v>74</v>
      </c>
      <c r="BJ69" s="1" t="s">
        <v>74</v>
      </c>
      <c r="BK69" s="1" t="s">
        <v>74</v>
      </c>
      <c r="BL69" s="1" t="s">
        <v>74</v>
      </c>
      <c r="BM69" s="1" t="s">
        <v>74</v>
      </c>
      <c r="BN69" s="1" t="s">
        <v>74</v>
      </c>
      <c r="BO69" s="1" t="s">
        <v>74</v>
      </c>
      <c r="BP69" s="1" t="s">
        <v>74</v>
      </c>
      <c r="BQ69" s="1" t="s">
        <v>74</v>
      </c>
      <c r="BR69" s="1" t="s">
        <v>74</v>
      </c>
      <c r="BS69" s="1" t="s">
        <v>826</v>
      </c>
      <c r="BT69" s="1" t="str">
        <f>HYPERLINK("https%3A%2F%2Fwww.webofscience.com%2Fwos%2Fwoscc%2Ffull-record%2FWOS:000985464800010","View Full Record in Web of Science")</f>
        <v>View Full Record in Web of Science</v>
      </c>
    </row>
    <row r="70" ht="12.75" customHeight="1">
      <c r="A70" s="1" t="s">
        <v>72</v>
      </c>
      <c r="B70" s="1" t="s">
        <v>827</v>
      </c>
      <c r="C70" s="1" t="s">
        <v>74</v>
      </c>
      <c r="D70" s="1" t="s">
        <v>74</v>
      </c>
      <c r="E70" s="1" t="s">
        <v>74</v>
      </c>
      <c r="F70" s="1" t="s">
        <v>828</v>
      </c>
      <c r="G70" s="1" t="s">
        <v>74</v>
      </c>
      <c r="H70" s="1" t="s">
        <v>74</v>
      </c>
      <c r="I70" s="1" t="s">
        <v>829</v>
      </c>
      <c r="J70" s="1" t="s">
        <v>830</v>
      </c>
      <c r="K70" s="1" t="s">
        <v>74</v>
      </c>
      <c r="L70" s="1" t="s">
        <v>74</v>
      </c>
      <c r="M70" s="1" t="s">
        <v>74</v>
      </c>
      <c r="N70" s="1" t="s">
        <v>74</v>
      </c>
      <c r="O70" s="1" t="s">
        <v>74</v>
      </c>
      <c r="P70" s="1" t="s">
        <v>74</v>
      </c>
      <c r="Q70" s="1" t="s">
        <v>74</v>
      </c>
      <c r="R70" s="1" t="s">
        <v>74</v>
      </c>
      <c r="S70" s="1" t="s">
        <v>74</v>
      </c>
      <c r="T70" s="1" t="s">
        <v>74</v>
      </c>
      <c r="U70" s="1" t="s">
        <v>74</v>
      </c>
      <c r="V70" s="1" t="s">
        <v>831</v>
      </c>
      <c r="W70" s="1" t="s">
        <v>74</v>
      </c>
      <c r="X70" s="1" t="s">
        <v>74</v>
      </c>
      <c r="Y70" s="1" t="s">
        <v>74</v>
      </c>
      <c r="Z70" s="1" t="s">
        <v>74</v>
      </c>
      <c r="AA70" s="1" t="s">
        <v>832</v>
      </c>
      <c r="AB70" s="1" t="s">
        <v>833</v>
      </c>
      <c r="AC70" s="1" t="s">
        <v>74</v>
      </c>
      <c r="AD70" s="1" t="s">
        <v>74</v>
      </c>
      <c r="AE70" s="1" t="s">
        <v>74</v>
      </c>
      <c r="AF70" s="1" t="s">
        <v>74</v>
      </c>
      <c r="AG70" s="1" t="s">
        <v>74</v>
      </c>
      <c r="AH70" s="1" t="s">
        <v>74</v>
      </c>
      <c r="AI70" s="1" t="s">
        <v>74</v>
      </c>
      <c r="AJ70" s="1" t="s">
        <v>74</v>
      </c>
      <c r="AK70" s="1" t="s">
        <v>74</v>
      </c>
      <c r="AL70" s="1" t="s">
        <v>74</v>
      </c>
      <c r="AM70" s="1" t="s">
        <v>74</v>
      </c>
      <c r="AN70" s="1" t="s">
        <v>74</v>
      </c>
      <c r="AO70" s="1" t="s">
        <v>834</v>
      </c>
      <c r="AP70" s="1" t="s">
        <v>835</v>
      </c>
      <c r="AQ70" s="1" t="s">
        <v>74</v>
      </c>
      <c r="AR70" s="1" t="s">
        <v>74</v>
      </c>
      <c r="AS70" s="1" t="s">
        <v>74</v>
      </c>
      <c r="AT70" s="1" t="s">
        <v>350</v>
      </c>
      <c r="AU70" s="1">
        <v>2023.0</v>
      </c>
      <c r="AV70" s="1">
        <v>83.0</v>
      </c>
      <c r="AW70" s="1" t="s">
        <v>74</v>
      </c>
      <c r="AX70" s="1" t="s">
        <v>74</v>
      </c>
      <c r="AY70" s="1" t="s">
        <v>74</v>
      </c>
      <c r="AZ70" s="1" t="s">
        <v>74</v>
      </c>
      <c r="BA70" s="1" t="s">
        <v>74</v>
      </c>
      <c r="BB70" s="1" t="s">
        <v>74</v>
      </c>
      <c r="BC70" s="1" t="s">
        <v>74</v>
      </c>
      <c r="BD70" s="1">
        <v>101891.0</v>
      </c>
      <c r="BE70" s="1" t="s">
        <v>836</v>
      </c>
      <c r="BF70" s="2" t="str">
        <f>HYPERLINK("http://dx.doi.org/10.1016/j.lmot.2023.101891","http://dx.doi.org/10.1016/j.lmot.2023.101891")</f>
        <v>http://dx.doi.org/10.1016/j.lmot.2023.101891</v>
      </c>
      <c r="BG70" s="1" t="s">
        <v>74</v>
      </c>
      <c r="BH70" s="1" t="s">
        <v>837</v>
      </c>
      <c r="BI70" s="1" t="s">
        <v>74</v>
      </c>
      <c r="BJ70" s="1" t="s">
        <v>74</v>
      </c>
      <c r="BK70" s="1" t="s">
        <v>74</v>
      </c>
      <c r="BL70" s="1" t="s">
        <v>74</v>
      </c>
      <c r="BM70" s="1" t="s">
        <v>74</v>
      </c>
      <c r="BN70" s="1" t="s">
        <v>74</v>
      </c>
      <c r="BO70" s="1" t="s">
        <v>74</v>
      </c>
      <c r="BP70" s="1" t="s">
        <v>74</v>
      </c>
      <c r="BQ70" s="1" t="s">
        <v>74</v>
      </c>
      <c r="BR70" s="1" t="s">
        <v>74</v>
      </c>
      <c r="BS70" s="1" t="s">
        <v>838</v>
      </c>
      <c r="BT70" s="1" t="str">
        <f>HYPERLINK("https%3A%2F%2Fwww.webofscience.com%2Fwos%2Fwoscc%2Ffull-record%2FWOS:001052846600001","View Full Record in Web of Science")</f>
        <v>View Full Record in Web of Science</v>
      </c>
    </row>
    <row r="71" ht="12.75" customHeight="1">
      <c r="A71" s="1" t="s">
        <v>72</v>
      </c>
      <c r="B71" s="1" t="s">
        <v>839</v>
      </c>
      <c r="C71" s="1" t="s">
        <v>74</v>
      </c>
      <c r="D71" s="1" t="s">
        <v>74</v>
      </c>
      <c r="E71" s="1" t="s">
        <v>74</v>
      </c>
      <c r="F71" s="1" t="s">
        <v>840</v>
      </c>
      <c r="G71" s="1" t="s">
        <v>74</v>
      </c>
      <c r="H71" s="1" t="s">
        <v>74</v>
      </c>
      <c r="I71" s="1" t="s">
        <v>841</v>
      </c>
      <c r="J71" s="1" t="s">
        <v>755</v>
      </c>
      <c r="K71" s="1" t="s">
        <v>74</v>
      </c>
      <c r="L71" s="1" t="s">
        <v>74</v>
      </c>
      <c r="M71" s="1" t="s">
        <v>74</v>
      </c>
      <c r="N71" s="1" t="s">
        <v>74</v>
      </c>
      <c r="O71" s="1" t="s">
        <v>74</v>
      </c>
      <c r="P71" s="1" t="s">
        <v>74</v>
      </c>
      <c r="Q71" s="1" t="s">
        <v>74</v>
      </c>
      <c r="R71" s="1" t="s">
        <v>74</v>
      </c>
      <c r="S71" s="1" t="s">
        <v>74</v>
      </c>
      <c r="T71" s="1" t="s">
        <v>74</v>
      </c>
      <c r="U71" s="1" t="s">
        <v>74</v>
      </c>
      <c r="V71" s="1" t="s">
        <v>842</v>
      </c>
      <c r="W71" s="1" t="s">
        <v>74</v>
      </c>
      <c r="X71" s="1" t="s">
        <v>74</v>
      </c>
      <c r="Y71" s="1" t="s">
        <v>74</v>
      </c>
      <c r="Z71" s="1" t="s">
        <v>74</v>
      </c>
      <c r="AA71" s="1" t="s">
        <v>843</v>
      </c>
      <c r="AB71" s="1" t="s">
        <v>844</v>
      </c>
      <c r="AC71" s="1" t="s">
        <v>74</v>
      </c>
      <c r="AD71" s="1" t="s">
        <v>74</v>
      </c>
      <c r="AE71" s="1" t="s">
        <v>74</v>
      </c>
      <c r="AF71" s="1" t="s">
        <v>74</v>
      </c>
      <c r="AG71" s="1" t="s">
        <v>74</v>
      </c>
      <c r="AH71" s="1" t="s">
        <v>74</v>
      </c>
      <c r="AI71" s="1" t="s">
        <v>74</v>
      </c>
      <c r="AJ71" s="1" t="s">
        <v>74</v>
      </c>
      <c r="AK71" s="1" t="s">
        <v>74</v>
      </c>
      <c r="AL71" s="1" t="s">
        <v>74</v>
      </c>
      <c r="AM71" s="1" t="s">
        <v>74</v>
      </c>
      <c r="AN71" s="1" t="s">
        <v>74</v>
      </c>
      <c r="AO71" s="1" t="s">
        <v>74</v>
      </c>
      <c r="AP71" s="1" t="s">
        <v>759</v>
      </c>
      <c r="AQ71" s="1" t="s">
        <v>74</v>
      </c>
      <c r="AR71" s="1" t="s">
        <v>74</v>
      </c>
      <c r="AS71" s="1" t="s">
        <v>74</v>
      </c>
      <c r="AT71" s="1" t="s">
        <v>306</v>
      </c>
      <c r="AU71" s="1">
        <v>2023.0</v>
      </c>
      <c r="AV71" s="1">
        <v>15.0</v>
      </c>
      <c r="AW71" s="1">
        <v>7.0</v>
      </c>
      <c r="AX71" s="1" t="s">
        <v>74</v>
      </c>
      <c r="AY71" s="1" t="s">
        <v>74</v>
      </c>
      <c r="AZ71" s="1" t="s">
        <v>74</v>
      </c>
      <c r="BA71" s="1" t="s">
        <v>74</v>
      </c>
      <c r="BB71" s="1" t="s">
        <v>74</v>
      </c>
      <c r="BC71" s="1" t="s">
        <v>74</v>
      </c>
      <c r="BD71" s="1">
        <v>6176.0</v>
      </c>
      <c r="BE71" s="1" t="s">
        <v>845</v>
      </c>
      <c r="BF71" s="2" t="str">
        <f>HYPERLINK("http://dx.doi.org/10.3390/su15076176","http://dx.doi.org/10.3390/su15076176")</f>
        <v>http://dx.doi.org/10.3390/su15076176</v>
      </c>
      <c r="BG71" s="1" t="s">
        <v>74</v>
      </c>
      <c r="BH71" s="1" t="s">
        <v>74</v>
      </c>
      <c r="BI71" s="1" t="s">
        <v>74</v>
      </c>
      <c r="BJ71" s="1" t="s">
        <v>74</v>
      </c>
      <c r="BK71" s="1" t="s">
        <v>74</v>
      </c>
      <c r="BL71" s="1" t="s">
        <v>74</v>
      </c>
      <c r="BM71" s="1" t="s">
        <v>74</v>
      </c>
      <c r="BN71" s="1" t="s">
        <v>74</v>
      </c>
      <c r="BO71" s="1" t="s">
        <v>74</v>
      </c>
      <c r="BP71" s="1" t="s">
        <v>74</v>
      </c>
      <c r="BQ71" s="1" t="s">
        <v>74</v>
      </c>
      <c r="BR71" s="1" t="s">
        <v>74</v>
      </c>
      <c r="BS71" s="1" t="s">
        <v>846</v>
      </c>
      <c r="BT71" s="1" t="str">
        <f>HYPERLINK("https%3A%2F%2Fwww.webofscience.com%2Fwos%2Fwoscc%2Ffull-record%2FWOS:000970181500001","View Full Record in Web of Science")</f>
        <v>View Full Record in Web of Science</v>
      </c>
    </row>
    <row r="72" ht="12.75" customHeight="1">
      <c r="A72" s="1" t="s">
        <v>72</v>
      </c>
      <c r="B72" s="1" t="s">
        <v>847</v>
      </c>
      <c r="C72" s="1" t="s">
        <v>74</v>
      </c>
      <c r="D72" s="1" t="s">
        <v>74</v>
      </c>
      <c r="E72" s="1" t="s">
        <v>74</v>
      </c>
      <c r="F72" s="1" t="s">
        <v>848</v>
      </c>
      <c r="G72" s="1" t="s">
        <v>74</v>
      </c>
      <c r="H72" s="1" t="s">
        <v>74</v>
      </c>
      <c r="I72" s="1" t="s">
        <v>849</v>
      </c>
      <c r="J72" s="1" t="s">
        <v>850</v>
      </c>
      <c r="K72" s="1" t="s">
        <v>74</v>
      </c>
      <c r="L72" s="1" t="s">
        <v>74</v>
      </c>
      <c r="M72" s="1" t="s">
        <v>74</v>
      </c>
      <c r="N72" s="1" t="s">
        <v>74</v>
      </c>
      <c r="O72" s="1" t="s">
        <v>74</v>
      </c>
      <c r="P72" s="1" t="s">
        <v>74</v>
      </c>
      <c r="Q72" s="1" t="s">
        <v>74</v>
      </c>
      <c r="R72" s="1" t="s">
        <v>74</v>
      </c>
      <c r="S72" s="1" t="s">
        <v>74</v>
      </c>
      <c r="T72" s="1" t="s">
        <v>74</v>
      </c>
      <c r="U72" s="1" t="s">
        <v>74</v>
      </c>
      <c r="V72" s="1" t="s">
        <v>851</v>
      </c>
      <c r="W72" s="1" t="s">
        <v>74</v>
      </c>
      <c r="X72" s="1" t="s">
        <v>74</v>
      </c>
      <c r="Y72" s="1" t="s">
        <v>74</v>
      </c>
      <c r="Z72" s="1" t="s">
        <v>74</v>
      </c>
      <c r="AA72" s="1" t="s">
        <v>852</v>
      </c>
      <c r="AB72" s="1" t="s">
        <v>853</v>
      </c>
      <c r="AC72" s="1" t="s">
        <v>74</v>
      </c>
      <c r="AD72" s="1" t="s">
        <v>74</v>
      </c>
      <c r="AE72" s="1" t="s">
        <v>74</v>
      </c>
      <c r="AF72" s="1" t="s">
        <v>74</v>
      </c>
      <c r="AG72" s="1" t="s">
        <v>74</v>
      </c>
      <c r="AH72" s="1" t="s">
        <v>74</v>
      </c>
      <c r="AI72" s="1" t="s">
        <v>74</v>
      </c>
      <c r="AJ72" s="1" t="s">
        <v>74</v>
      </c>
      <c r="AK72" s="1" t="s">
        <v>74</v>
      </c>
      <c r="AL72" s="1" t="s">
        <v>74</v>
      </c>
      <c r="AM72" s="1" t="s">
        <v>74</v>
      </c>
      <c r="AN72" s="1" t="s">
        <v>74</v>
      </c>
      <c r="AO72" s="1" t="s">
        <v>854</v>
      </c>
      <c r="AP72" s="1" t="s">
        <v>855</v>
      </c>
      <c r="AQ72" s="1" t="s">
        <v>74</v>
      </c>
      <c r="AR72" s="1" t="s">
        <v>74</v>
      </c>
      <c r="AS72" s="1" t="s">
        <v>74</v>
      </c>
      <c r="AT72" s="1" t="s">
        <v>306</v>
      </c>
      <c r="AU72" s="1">
        <v>2023.0</v>
      </c>
      <c r="AV72" s="1">
        <v>60.0</v>
      </c>
      <c r="AW72" s="1" t="s">
        <v>74</v>
      </c>
      <c r="AX72" s="1" t="s">
        <v>74</v>
      </c>
      <c r="AY72" s="1" t="s">
        <v>74</v>
      </c>
      <c r="AZ72" s="1" t="s">
        <v>74</v>
      </c>
      <c r="BA72" s="1" t="s">
        <v>74</v>
      </c>
      <c r="BB72" s="1" t="s">
        <v>74</v>
      </c>
      <c r="BC72" s="1" t="s">
        <v>74</v>
      </c>
      <c r="BD72" s="1">
        <v>106665.0</v>
      </c>
      <c r="BE72" s="1" t="s">
        <v>856</v>
      </c>
      <c r="BF72" s="2" t="str">
        <f>HYPERLINK("http://dx.doi.org/10.1016/j.est.2023.106665","http://dx.doi.org/10.1016/j.est.2023.106665")</f>
        <v>http://dx.doi.org/10.1016/j.est.2023.106665</v>
      </c>
      <c r="BG72" s="1" t="s">
        <v>74</v>
      </c>
      <c r="BH72" s="1" t="s">
        <v>237</v>
      </c>
      <c r="BI72" s="1" t="s">
        <v>74</v>
      </c>
      <c r="BJ72" s="1" t="s">
        <v>74</v>
      </c>
      <c r="BK72" s="1" t="s">
        <v>74</v>
      </c>
      <c r="BL72" s="1" t="s">
        <v>74</v>
      </c>
      <c r="BM72" s="1" t="s">
        <v>74</v>
      </c>
      <c r="BN72" s="1" t="s">
        <v>74</v>
      </c>
      <c r="BO72" s="1" t="s">
        <v>74</v>
      </c>
      <c r="BP72" s="1" t="s">
        <v>74</v>
      </c>
      <c r="BQ72" s="1" t="s">
        <v>74</v>
      </c>
      <c r="BR72" s="1" t="s">
        <v>74</v>
      </c>
      <c r="BS72" s="1" t="s">
        <v>857</v>
      </c>
      <c r="BT72" s="1" t="str">
        <f>HYPERLINK("https%3A%2F%2Fwww.webofscience.com%2Fwos%2Fwoscc%2Ffull-record%2FWOS:000923631600001","View Full Record in Web of Science")</f>
        <v>View Full Record in Web of Science</v>
      </c>
    </row>
    <row r="73" ht="12.75" customHeight="1">
      <c r="A73" s="1" t="s">
        <v>72</v>
      </c>
      <c r="B73" s="1" t="s">
        <v>858</v>
      </c>
      <c r="C73" s="1" t="s">
        <v>74</v>
      </c>
      <c r="D73" s="1" t="s">
        <v>74</v>
      </c>
      <c r="E73" s="1" t="s">
        <v>74</v>
      </c>
      <c r="F73" s="1" t="s">
        <v>859</v>
      </c>
      <c r="G73" s="1" t="s">
        <v>74</v>
      </c>
      <c r="H73" s="1" t="s">
        <v>74</v>
      </c>
      <c r="I73" s="1" t="s">
        <v>860</v>
      </c>
      <c r="J73" s="1" t="s">
        <v>861</v>
      </c>
      <c r="K73" s="1" t="s">
        <v>74</v>
      </c>
      <c r="L73" s="1" t="s">
        <v>74</v>
      </c>
      <c r="M73" s="1" t="s">
        <v>74</v>
      </c>
      <c r="N73" s="1" t="s">
        <v>74</v>
      </c>
      <c r="O73" s="1" t="s">
        <v>74</v>
      </c>
      <c r="P73" s="1" t="s">
        <v>74</v>
      </c>
      <c r="Q73" s="1" t="s">
        <v>74</v>
      </c>
      <c r="R73" s="1" t="s">
        <v>74</v>
      </c>
      <c r="S73" s="1" t="s">
        <v>74</v>
      </c>
      <c r="T73" s="1" t="s">
        <v>74</v>
      </c>
      <c r="U73" s="1" t="s">
        <v>74</v>
      </c>
      <c r="V73" s="1" t="s">
        <v>862</v>
      </c>
      <c r="W73" s="1" t="s">
        <v>74</v>
      </c>
      <c r="X73" s="1" t="s">
        <v>74</v>
      </c>
      <c r="Y73" s="1" t="s">
        <v>74</v>
      </c>
      <c r="Z73" s="1" t="s">
        <v>74</v>
      </c>
      <c r="AA73" s="1" t="s">
        <v>863</v>
      </c>
      <c r="AB73" s="1" t="s">
        <v>864</v>
      </c>
      <c r="AC73" s="1" t="s">
        <v>74</v>
      </c>
      <c r="AD73" s="1" t="s">
        <v>74</v>
      </c>
      <c r="AE73" s="1" t="s">
        <v>74</v>
      </c>
      <c r="AF73" s="1" t="s">
        <v>74</v>
      </c>
      <c r="AG73" s="1" t="s">
        <v>74</v>
      </c>
      <c r="AH73" s="1" t="s">
        <v>74</v>
      </c>
      <c r="AI73" s="1" t="s">
        <v>74</v>
      </c>
      <c r="AJ73" s="1" t="s">
        <v>74</v>
      </c>
      <c r="AK73" s="1" t="s">
        <v>74</v>
      </c>
      <c r="AL73" s="1" t="s">
        <v>74</v>
      </c>
      <c r="AM73" s="1" t="s">
        <v>74</v>
      </c>
      <c r="AN73" s="1" t="s">
        <v>74</v>
      </c>
      <c r="AO73" s="1" t="s">
        <v>865</v>
      </c>
      <c r="AP73" s="1" t="s">
        <v>866</v>
      </c>
      <c r="AQ73" s="1" t="s">
        <v>74</v>
      </c>
      <c r="AR73" s="1" t="s">
        <v>74</v>
      </c>
      <c r="AS73" s="1" t="s">
        <v>74</v>
      </c>
      <c r="AT73" s="1" t="s">
        <v>696</v>
      </c>
      <c r="AU73" s="1">
        <v>2023.0</v>
      </c>
      <c r="AV73" s="1">
        <v>43.0</v>
      </c>
      <c r="AW73" s="1">
        <v>1.0</v>
      </c>
      <c r="AX73" s="1" t="s">
        <v>74</v>
      </c>
      <c r="AY73" s="1" t="s">
        <v>74</v>
      </c>
      <c r="AZ73" s="1" t="s">
        <v>74</v>
      </c>
      <c r="BA73" s="1" t="s">
        <v>74</v>
      </c>
      <c r="BB73" s="1">
        <v>507.0</v>
      </c>
      <c r="BC73" s="1">
        <v>536.0</v>
      </c>
      <c r="BD73" s="1" t="s">
        <v>74</v>
      </c>
      <c r="BE73" s="1" t="s">
        <v>867</v>
      </c>
      <c r="BF73" s="2" t="str">
        <f>HYPERLINK("http://dx.doi.org/10.3934/dcds.2022158","http://dx.doi.org/10.3934/dcds.2022158")</f>
        <v>http://dx.doi.org/10.3934/dcds.2022158</v>
      </c>
      <c r="BG73" s="1" t="s">
        <v>74</v>
      </c>
      <c r="BH73" s="1" t="s">
        <v>868</v>
      </c>
      <c r="BI73" s="1" t="s">
        <v>74</v>
      </c>
      <c r="BJ73" s="1" t="s">
        <v>74</v>
      </c>
      <c r="BK73" s="1" t="s">
        <v>74</v>
      </c>
      <c r="BL73" s="1" t="s">
        <v>74</v>
      </c>
      <c r="BM73" s="1" t="s">
        <v>74</v>
      </c>
      <c r="BN73" s="1" t="s">
        <v>74</v>
      </c>
      <c r="BO73" s="1" t="s">
        <v>74</v>
      </c>
      <c r="BP73" s="1" t="s">
        <v>74</v>
      </c>
      <c r="BQ73" s="1" t="s">
        <v>74</v>
      </c>
      <c r="BR73" s="1" t="s">
        <v>74</v>
      </c>
      <c r="BS73" s="1" t="s">
        <v>869</v>
      </c>
      <c r="BT73" s="1" t="str">
        <f>HYPERLINK("https%3A%2F%2Fwww.webofscience.com%2Fwos%2Fwoscc%2Ffull-record%2FWOS:000884804700001","View Full Record in Web of Science")</f>
        <v>View Full Record in Web of Science</v>
      </c>
    </row>
    <row r="74" ht="12.75" customHeight="1">
      <c r="A74" s="1" t="s">
        <v>72</v>
      </c>
      <c r="B74" s="1" t="s">
        <v>870</v>
      </c>
      <c r="C74" s="1" t="s">
        <v>74</v>
      </c>
      <c r="D74" s="1" t="s">
        <v>74</v>
      </c>
      <c r="E74" s="1" t="s">
        <v>74</v>
      </c>
      <c r="F74" s="1" t="s">
        <v>871</v>
      </c>
      <c r="G74" s="1" t="s">
        <v>74</v>
      </c>
      <c r="H74" s="1" t="s">
        <v>74</v>
      </c>
      <c r="I74" s="1" t="s">
        <v>872</v>
      </c>
      <c r="J74" s="1" t="s">
        <v>755</v>
      </c>
      <c r="K74" s="1" t="s">
        <v>74</v>
      </c>
      <c r="L74" s="1" t="s">
        <v>74</v>
      </c>
      <c r="M74" s="1" t="s">
        <v>74</v>
      </c>
      <c r="N74" s="1" t="s">
        <v>74</v>
      </c>
      <c r="O74" s="1" t="s">
        <v>74</v>
      </c>
      <c r="P74" s="1" t="s">
        <v>74</v>
      </c>
      <c r="Q74" s="1" t="s">
        <v>74</v>
      </c>
      <c r="R74" s="1" t="s">
        <v>74</v>
      </c>
      <c r="S74" s="1" t="s">
        <v>74</v>
      </c>
      <c r="T74" s="1" t="s">
        <v>74</v>
      </c>
      <c r="U74" s="1" t="s">
        <v>74</v>
      </c>
      <c r="V74" s="1" t="s">
        <v>873</v>
      </c>
      <c r="W74" s="1" t="s">
        <v>74</v>
      </c>
      <c r="X74" s="1" t="s">
        <v>74</v>
      </c>
      <c r="Y74" s="1" t="s">
        <v>74</v>
      </c>
      <c r="Z74" s="1" t="s">
        <v>74</v>
      </c>
      <c r="AA74" s="1" t="s">
        <v>874</v>
      </c>
      <c r="AB74" s="1" t="s">
        <v>875</v>
      </c>
      <c r="AC74" s="1" t="s">
        <v>74</v>
      </c>
      <c r="AD74" s="1" t="s">
        <v>74</v>
      </c>
      <c r="AE74" s="1" t="s">
        <v>74</v>
      </c>
      <c r="AF74" s="1" t="s">
        <v>74</v>
      </c>
      <c r="AG74" s="1" t="s">
        <v>74</v>
      </c>
      <c r="AH74" s="1" t="s">
        <v>74</v>
      </c>
      <c r="AI74" s="1" t="s">
        <v>74</v>
      </c>
      <c r="AJ74" s="1" t="s">
        <v>74</v>
      </c>
      <c r="AK74" s="1" t="s">
        <v>74</v>
      </c>
      <c r="AL74" s="1" t="s">
        <v>74</v>
      </c>
      <c r="AM74" s="1" t="s">
        <v>74</v>
      </c>
      <c r="AN74" s="1" t="s">
        <v>74</v>
      </c>
      <c r="AO74" s="1" t="s">
        <v>74</v>
      </c>
      <c r="AP74" s="1" t="s">
        <v>759</v>
      </c>
      <c r="AQ74" s="1" t="s">
        <v>74</v>
      </c>
      <c r="AR74" s="1" t="s">
        <v>74</v>
      </c>
      <c r="AS74" s="1" t="s">
        <v>74</v>
      </c>
      <c r="AT74" s="1" t="s">
        <v>606</v>
      </c>
      <c r="AU74" s="1">
        <v>2022.0</v>
      </c>
      <c r="AV74" s="1">
        <v>14.0</v>
      </c>
      <c r="AW74" s="1">
        <v>20.0</v>
      </c>
      <c r="AX74" s="1" t="s">
        <v>74</v>
      </c>
      <c r="AY74" s="1" t="s">
        <v>74</v>
      </c>
      <c r="AZ74" s="1" t="s">
        <v>74</v>
      </c>
      <c r="BA74" s="1" t="s">
        <v>74</v>
      </c>
      <c r="BB74" s="1" t="s">
        <v>74</v>
      </c>
      <c r="BC74" s="1" t="s">
        <v>74</v>
      </c>
      <c r="BD74" s="1">
        <v>13517.0</v>
      </c>
      <c r="BE74" s="1" t="s">
        <v>876</v>
      </c>
      <c r="BF74" s="2" t="str">
        <f>HYPERLINK("http://dx.doi.org/10.3390/su142013517","http://dx.doi.org/10.3390/su142013517")</f>
        <v>http://dx.doi.org/10.3390/su142013517</v>
      </c>
      <c r="BG74" s="1" t="s">
        <v>74</v>
      </c>
      <c r="BH74" s="1" t="s">
        <v>74</v>
      </c>
      <c r="BI74" s="1" t="s">
        <v>74</v>
      </c>
      <c r="BJ74" s="1" t="s">
        <v>74</v>
      </c>
      <c r="BK74" s="1" t="s">
        <v>74</v>
      </c>
      <c r="BL74" s="1" t="s">
        <v>74</v>
      </c>
      <c r="BM74" s="1" t="s">
        <v>74</v>
      </c>
      <c r="BN74" s="1" t="s">
        <v>74</v>
      </c>
      <c r="BO74" s="1" t="s">
        <v>74</v>
      </c>
      <c r="BP74" s="1" t="s">
        <v>74</v>
      </c>
      <c r="BQ74" s="1" t="s">
        <v>74</v>
      </c>
      <c r="BR74" s="1" t="s">
        <v>74</v>
      </c>
      <c r="BS74" s="1" t="s">
        <v>877</v>
      </c>
      <c r="BT74" s="1" t="str">
        <f>HYPERLINK("https%3A%2F%2Fwww.webofscience.com%2Fwos%2Fwoscc%2Ffull-record%2FWOS:000873716200001","View Full Record in Web of Science")</f>
        <v>View Full Record in Web of Science</v>
      </c>
    </row>
    <row r="75" ht="12.75" customHeight="1">
      <c r="A75" s="1" t="s">
        <v>72</v>
      </c>
      <c r="B75" s="1" t="s">
        <v>878</v>
      </c>
      <c r="C75" s="1" t="s">
        <v>74</v>
      </c>
      <c r="D75" s="1" t="s">
        <v>74</v>
      </c>
      <c r="E75" s="1" t="s">
        <v>74</v>
      </c>
      <c r="F75" s="1" t="s">
        <v>879</v>
      </c>
      <c r="G75" s="1" t="s">
        <v>74</v>
      </c>
      <c r="H75" s="1" t="s">
        <v>74</v>
      </c>
      <c r="I75" s="1" t="s">
        <v>880</v>
      </c>
      <c r="J75" s="1" t="s">
        <v>881</v>
      </c>
      <c r="K75" s="1" t="s">
        <v>74</v>
      </c>
      <c r="L75" s="1" t="s">
        <v>74</v>
      </c>
      <c r="M75" s="1" t="s">
        <v>74</v>
      </c>
      <c r="N75" s="1" t="s">
        <v>74</v>
      </c>
      <c r="O75" s="1" t="s">
        <v>74</v>
      </c>
      <c r="P75" s="1" t="s">
        <v>74</v>
      </c>
      <c r="Q75" s="1" t="s">
        <v>74</v>
      </c>
      <c r="R75" s="1" t="s">
        <v>74</v>
      </c>
      <c r="S75" s="1" t="s">
        <v>74</v>
      </c>
      <c r="T75" s="1" t="s">
        <v>74</v>
      </c>
      <c r="U75" s="1" t="s">
        <v>74</v>
      </c>
      <c r="V75" s="1" t="s">
        <v>882</v>
      </c>
      <c r="W75" s="1" t="s">
        <v>74</v>
      </c>
      <c r="X75" s="1" t="s">
        <v>74</v>
      </c>
      <c r="Y75" s="1" t="s">
        <v>74</v>
      </c>
      <c r="Z75" s="1" t="s">
        <v>74</v>
      </c>
      <c r="AA75" s="1" t="s">
        <v>883</v>
      </c>
      <c r="AB75" s="1" t="s">
        <v>884</v>
      </c>
      <c r="AC75" s="1" t="s">
        <v>74</v>
      </c>
      <c r="AD75" s="1" t="s">
        <v>74</v>
      </c>
      <c r="AE75" s="1" t="s">
        <v>74</v>
      </c>
      <c r="AF75" s="1" t="s">
        <v>74</v>
      </c>
      <c r="AG75" s="1" t="s">
        <v>74</v>
      </c>
      <c r="AH75" s="1" t="s">
        <v>74</v>
      </c>
      <c r="AI75" s="1" t="s">
        <v>74</v>
      </c>
      <c r="AJ75" s="1" t="s">
        <v>74</v>
      </c>
      <c r="AK75" s="1" t="s">
        <v>74</v>
      </c>
      <c r="AL75" s="1" t="s">
        <v>74</v>
      </c>
      <c r="AM75" s="1" t="s">
        <v>74</v>
      </c>
      <c r="AN75" s="1" t="s">
        <v>74</v>
      </c>
      <c r="AO75" s="1" t="s">
        <v>885</v>
      </c>
      <c r="AP75" s="1" t="s">
        <v>74</v>
      </c>
      <c r="AQ75" s="1" t="s">
        <v>74</v>
      </c>
      <c r="AR75" s="1" t="s">
        <v>74</v>
      </c>
      <c r="AS75" s="1" t="s">
        <v>74</v>
      </c>
      <c r="AT75" s="1" t="s">
        <v>350</v>
      </c>
      <c r="AU75" s="1">
        <v>2022.0</v>
      </c>
      <c r="AV75" s="1">
        <v>9.0</v>
      </c>
      <c r="AW75" s="1" t="s">
        <v>74</v>
      </c>
      <c r="AX75" s="1" t="s">
        <v>74</v>
      </c>
      <c r="AY75" s="1" t="s">
        <v>74</v>
      </c>
      <c r="AZ75" s="1" t="s">
        <v>74</v>
      </c>
      <c r="BA75" s="1" t="s">
        <v>74</v>
      </c>
      <c r="BB75" s="1" t="s">
        <v>74</v>
      </c>
      <c r="BC75" s="1" t="s">
        <v>74</v>
      </c>
      <c r="BD75" s="1">
        <v>100515.0</v>
      </c>
      <c r="BE75" s="1" t="s">
        <v>886</v>
      </c>
      <c r="BF75" s="2" t="str">
        <f>HYPERLINK("http://dx.doi.org/10.1016/j.clet.2022.100515","http://dx.doi.org/10.1016/j.clet.2022.100515")</f>
        <v>http://dx.doi.org/10.1016/j.clet.2022.100515</v>
      </c>
      <c r="BG75" s="1" t="s">
        <v>74</v>
      </c>
      <c r="BH75" s="1" t="s">
        <v>74</v>
      </c>
      <c r="BI75" s="1" t="s">
        <v>74</v>
      </c>
      <c r="BJ75" s="1" t="s">
        <v>74</v>
      </c>
      <c r="BK75" s="1" t="s">
        <v>74</v>
      </c>
      <c r="BL75" s="1" t="s">
        <v>74</v>
      </c>
      <c r="BM75" s="1" t="s">
        <v>74</v>
      </c>
      <c r="BN75" s="1" t="s">
        <v>74</v>
      </c>
      <c r="BO75" s="1" t="s">
        <v>74</v>
      </c>
      <c r="BP75" s="1" t="s">
        <v>74</v>
      </c>
      <c r="BQ75" s="1" t="s">
        <v>74</v>
      </c>
      <c r="BR75" s="1" t="s">
        <v>74</v>
      </c>
      <c r="BS75" s="1" t="s">
        <v>887</v>
      </c>
      <c r="BT75" s="1" t="str">
        <f>HYPERLINK("https%3A%2F%2Fwww.webofscience.com%2Fwos%2Fwoscc%2Ffull-record%2FWOS:000981177200006","View Full Record in Web of Science")</f>
        <v>View Full Record in Web of Science</v>
      </c>
    </row>
    <row r="76" ht="12.75" customHeight="1">
      <c r="A76" s="1" t="s">
        <v>72</v>
      </c>
      <c r="B76" s="1" t="s">
        <v>888</v>
      </c>
      <c r="C76" s="1" t="s">
        <v>74</v>
      </c>
      <c r="D76" s="1" t="s">
        <v>74</v>
      </c>
      <c r="E76" s="1" t="s">
        <v>74</v>
      </c>
      <c r="F76" s="1" t="s">
        <v>889</v>
      </c>
      <c r="G76" s="1" t="s">
        <v>74</v>
      </c>
      <c r="H76" s="1" t="s">
        <v>74</v>
      </c>
      <c r="I76" s="1" t="s">
        <v>890</v>
      </c>
      <c r="J76" s="1" t="s">
        <v>891</v>
      </c>
      <c r="K76" s="1" t="s">
        <v>74</v>
      </c>
      <c r="L76" s="1" t="s">
        <v>74</v>
      </c>
      <c r="M76" s="1" t="s">
        <v>74</v>
      </c>
      <c r="N76" s="1" t="s">
        <v>74</v>
      </c>
      <c r="O76" s="1" t="s">
        <v>74</v>
      </c>
      <c r="P76" s="1" t="s">
        <v>74</v>
      </c>
      <c r="Q76" s="1" t="s">
        <v>74</v>
      </c>
      <c r="R76" s="1" t="s">
        <v>74</v>
      </c>
      <c r="S76" s="1" t="s">
        <v>74</v>
      </c>
      <c r="T76" s="1" t="s">
        <v>74</v>
      </c>
      <c r="U76" s="1" t="s">
        <v>74</v>
      </c>
      <c r="V76" s="1" t="s">
        <v>892</v>
      </c>
      <c r="W76" s="1" t="s">
        <v>74</v>
      </c>
      <c r="X76" s="1" t="s">
        <v>74</v>
      </c>
      <c r="Y76" s="1" t="s">
        <v>74</v>
      </c>
      <c r="Z76" s="1" t="s">
        <v>74</v>
      </c>
      <c r="AA76" s="1" t="s">
        <v>74</v>
      </c>
      <c r="AB76" s="1" t="s">
        <v>74</v>
      </c>
      <c r="AC76" s="1" t="s">
        <v>74</v>
      </c>
      <c r="AD76" s="1" t="s">
        <v>74</v>
      </c>
      <c r="AE76" s="1" t="s">
        <v>74</v>
      </c>
      <c r="AF76" s="1" t="s">
        <v>74</v>
      </c>
      <c r="AG76" s="1" t="s">
        <v>74</v>
      </c>
      <c r="AH76" s="1" t="s">
        <v>74</v>
      </c>
      <c r="AI76" s="1" t="s">
        <v>74</v>
      </c>
      <c r="AJ76" s="1" t="s">
        <v>74</v>
      </c>
      <c r="AK76" s="1" t="s">
        <v>74</v>
      </c>
      <c r="AL76" s="1" t="s">
        <v>74</v>
      </c>
      <c r="AM76" s="1" t="s">
        <v>74</v>
      </c>
      <c r="AN76" s="1" t="s">
        <v>74</v>
      </c>
      <c r="AO76" s="1" t="s">
        <v>893</v>
      </c>
      <c r="AP76" s="1" t="s">
        <v>894</v>
      </c>
      <c r="AQ76" s="1" t="s">
        <v>74</v>
      </c>
      <c r="AR76" s="1" t="s">
        <v>74</v>
      </c>
      <c r="AS76" s="1" t="s">
        <v>74</v>
      </c>
      <c r="AT76" s="1" t="s">
        <v>180</v>
      </c>
      <c r="AU76" s="1">
        <v>2022.0</v>
      </c>
      <c r="AV76" s="1">
        <v>29.0</v>
      </c>
      <c r="AW76" s="1">
        <v>3.0</v>
      </c>
      <c r="AX76" s="1" t="s">
        <v>74</v>
      </c>
      <c r="AY76" s="1" t="s">
        <v>74</v>
      </c>
      <c r="AZ76" s="1" t="s">
        <v>74</v>
      </c>
      <c r="BA76" s="1" t="s">
        <v>74</v>
      </c>
      <c r="BB76" s="1" t="s">
        <v>74</v>
      </c>
      <c r="BC76" s="1" t="s">
        <v>74</v>
      </c>
      <c r="BD76" s="1">
        <v>26.0</v>
      </c>
      <c r="BE76" s="1" t="s">
        <v>895</v>
      </c>
      <c r="BF76" s="2" t="str">
        <f>HYPERLINK("http://dx.doi.org/10.1007/s00030-022-00757-4","http://dx.doi.org/10.1007/s00030-022-00757-4")</f>
        <v>http://dx.doi.org/10.1007/s00030-022-00757-4</v>
      </c>
      <c r="BG76" s="1" t="s">
        <v>74</v>
      </c>
      <c r="BH76" s="1" t="s">
        <v>74</v>
      </c>
      <c r="BI76" s="1" t="s">
        <v>74</v>
      </c>
      <c r="BJ76" s="1" t="s">
        <v>74</v>
      </c>
      <c r="BK76" s="1" t="s">
        <v>74</v>
      </c>
      <c r="BL76" s="1" t="s">
        <v>74</v>
      </c>
      <c r="BM76" s="1" t="s">
        <v>74</v>
      </c>
      <c r="BN76" s="1" t="s">
        <v>74</v>
      </c>
      <c r="BO76" s="1" t="s">
        <v>74</v>
      </c>
      <c r="BP76" s="1" t="s">
        <v>74</v>
      </c>
      <c r="BQ76" s="1" t="s">
        <v>74</v>
      </c>
      <c r="BR76" s="1" t="s">
        <v>74</v>
      </c>
      <c r="BS76" s="1" t="s">
        <v>896</v>
      </c>
      <c r="BT76" s="1" t="str">
        <f>HYPERLINK("https%3A%2F%2Fwww.webofscience.com%2Fwos%2Fwoscc%2Ffull-record%2FWOS:000767793800001","View Full Record in Web of Science")</f>
        <v>View Full Record in Web of Science</v>
      </c>
    </row>
    <row r="77" ht="12.75" customHeight="1">
      <c r="A77" s="1" t="s">
        <v>72</v>
      </c>
      <c r="B77" s="1" t="s">
        <v>897</v>
      </c>
      <c r="C77" s="1" t="s">
        <v>74</v>
      </c>
      <c r="D77" s="1" t="s">
        <v>74</v>
      </c>
      <c r="E77" s="1" t="s">
        <v>74</v>
      </c>
      <c r="F77" s="1" t="s">
        <v>898</v>
      </c>
      <c r="G77" s="1" t="s">
        <v>74</v>
      </c>
      <c r="H77" s="1" t="s">
        <v>74</v>
      </c>
      <c r="I77" s="1" t="s">
        <v>899</v>
      </c>
      <c r="J77" s="1" t="s">
        <v>900</v>
      </c>
      <c r="K77" s="1" t="s">
        <v>74</v>
      </c>
      <c r="L77" s="1" t="s">
        <v>74</v>
      </c>
      <c r="M77" s="1" t="s">
        <v>74</v>
      </c>
      <c r="N77" s="1" t="s">
        <v>74</v>
      </c>
      <c r="O77" s="1" t="s">
        <v>74</v>
      </c>
      <c r="P77" s="1" t="s">
        <v>74</v>
      </c>
      <c r="Q77" s="1" t="s">
        <v>74</v>
      </c>
      <c r="R77" s="1" t="s">
        <v>74</v>
      </c>
      <c r="S77" s="1" t="s">
        <v>74</v>
      </c>
      <c r="T77" s="1" t="s">
        <v>74</v>
      </c>
      <c r="U77" s="1" t="s">
        <v>74</v>
      </c>
      <c r="V77" s="1" t="s">
        <v>74</v>
      </c>
      <c r="W77" s="1" t="s">
        <v>74</v>
      </c>
      <c r="X77" s="1" t="s">
        <v>74</v>
      </c>
      <c r="Y77" s="1" t="s">
        <v>74</v>
      </c>
      <c r="Z77" s="1" t="s">
        <v>74</v>
      </c>
      <c r="AA77" s="1" t="s">
        <v>901</v>
      </c>
      <c r="AB77" s="1" t="s">
        <v>902</v>
      </c>
      <c r="AC77" s="1" t="s">
        <v>74</v>
      </c>
      <c r="AD77" s="1" t="s">
        <v>74</v>
      </c>
      <c r="AE77" s="1" t="s">
        <v>74</v>
      </c>
      <c r="AF77" s="1" t="s">
        <v>74</v>
      </c>
      <c r="AG77" s="1" t="s">
        <v>74</v>
      </c>
      <c r="AH77" s="1" t="s">
        <v>74</v>
      </c>
      <c r="AI77" s="1" t="s">
        <v>74</v>
      </c>
      <c r="AJ77" s="1" t="s">
        <v>74</v>
      </c>
      <c r="AK77" s="1" t="s">
        <v>74</v>
      </c>
      <c r="AL77" s="1" t="s">
        <v>74</v>
      </c>
      <c r="AM77" s="1" t="s">
        <v>74</v>
      </c>
      <c r="AN77" s="1" t="s">
        <v>74</v>
      </c>
      <c r="AO77" s="1" t="s">
        <v>903</v>
      </c>
      <c r="AP77" s="1" t="s">
        <v>904</v>
      </c>
      <c r="AQ77" s="1" t="s">
        <v>74</v>
      </c>
      <c r="AR77" s="1" t="s">
        <v>74</v>
      </c>
      <c r="AS77" s="1" t="s">
        <v>74</v>
      </c>
      <c r="AT77" s="1" t="s">
        <v>905</v>
      </c>
      <c r="AU77" s="1">
        <v>2021.0</v>
      </c>
      <c r="AV77" s="1">
        <v>398.0</v>
      </c>
      <c r="AW77" s="1">
        <v>10301.0</v>
      </c>
      <c r="AX77" s="1" t="s">
        <v>74</v>
      </c>
      <c r="AY77" s="1" t="s">
        <v>74</v>
      </c>
      <c r="AZ77" s="1" t="s">
        <v>74</v>
      </c>
      <c r="BA77" s="1" t="s">
        <v>74</v>
      </c>
      <c r="BB77" s="1">
        <v>663.0</v>
      </c>
      <c r="BC77" s="1">
        <v>664.0</v>
      </c>
      <c r="BD77" s="1" t="s">
        <v>74</v>
      </c>
      <c r="BE77" s="1" t="s">
        <v>74</v>
      </c>
      <c r="BF77" s="1" t="s">
        <v>74</v>
      </c>
      <c r="BG77" s="1" t="s">
        <v>74</v>
      </c>
      <c r="BH77" s="1" t="s">
        <v>74</v>
      </c>
      <c r="BI77" s="1" t="s">
        <v>74</v>
      </c>
      <c r="BJ77" s="1" t="s">
        <v>74</v>
      </c>
      <c r="BK77" s="1" t="s">
        <v>74</v>
      </c>
      <c r="BL77" s="1" t="s">
        <v>74</v>
      </c>
      <c r="BM77" s="1" t="s">
        <v>74</v>
      </c>
      <c r="BN77" s="1">
        <v>3.4419202E7</v>
      </c>
      <c r="BO77" s="1" t="s">
        <v>74</v>
      </c>
      <c r="BP77" s="1" t="s">
        <v>74</v>
      </c>
      <c r="BQ77" s="1" t="s">
        <v>74</v>
      </c>
      <c r="BR77" s="1" t="s">
        <v>74</v>
      </c>
      <c r="BS77" s="1" t="s">
        <v>906</v>
      </c>
      <c r="BT77" s="1" t="str">
        <f>HYPERLINK("https%3A%2F%2Fwww.webofscience.com%2Fwos%2Fwoscc%2Ffull-record%2FWOS:000687280700022","View Full Record in Web of Science")</f>
        <v>View Full Record in Web of Science</v>
      </c>
    </row>
    <row r="78" ht="12.75" customHeight="1">
      <c r="A78" s="1" t="s">
        <v>72</v>
      </c>
      <c r="B78" s="1" t="s">
        <v>907</v>
      </c>
      <c r="C78" s="1" t="s">
        <v>74</v>
      </c>
      <c r="D78" s="1" t="s">
        <v>74</v>
      </c>
      <c r="E78" s="1" t="s">
        <v>74</v>
      </c>
      <c r="F78" s="1" t="s">
        <v>908</v>
      </c>
      <c r="G78" s="1" t="s">
        <v>74</v>
      </c>
      <c r="H78" s="1" t="s">
        <v>74</v>
      </c>
      <c r="I78" s="1" t="s">
        <v>909</v>
      </c>
      <c r="J78" s="1" t="s">
        <v>910</v>
      </c>
      <c r="K78" s="1" t="s">
        <v>74</v>
      </c>
      <c r="L78" s="1" t="s">
        <v>74</v>
      </c>
      <c r="M78" s="1" t="s">
        <v>74</v>
      </c>
      <c r="N78" s="1" t="s">
        <v>74</v>
      </c>
      <c r="O78" s="1" t="s">
        <v>74</v>
      </c>
      <c r="P78" s="1" t="s">
        <v>74</v>
      </c>
      <c r="Q78" s="1" t="s">
        <v>74</v>
      </c>
      <c r="R78" s="1" t="s">
        <v>74</v>
      </c>
      <c r="S78" s="1" t="s">
        <v>74</v>
      </c>
      <c r="T78" s="1" t="s">
        <v>74</v>
      </c>
      <c r="U78" s="1" t="s">
        <v>74</v>
      </c>
      <c r="V78" s="1" t="s">
        <v>911</v>
      </c>
      <c r="W78" s="1" t="s">
        <v>74</v>
      </c>
      <c r="X78" s="1" t="s">
        <v>74</v>
      </c>
      <c r="Y78" s="1" t="s">
        <v>74</v>
      </c>
      <c r="Z78" s="1" t="s">
        <v>74</v>
      </c>
      <c r="AA78" s="1" t="s">
        <v>912</v>
      </c>
      <c r="AB78" s="1" t="s">
        <v>913</v>
      </c>
      <c r="AC78" s="1" t="s">
        <v>74</v>
      </c>
      <c r="AD78" s="1" t="s">
        <v>74</v>
      </c>
      <c r="AE78" s="1" t="s">
        <v>74</v>
      </c>
      <c r="AF78" s="1" t="s">
        <v>74</v>
      </c>
      <c r="AG78" s="1" t="s">
        <v>74</v>
      </c>
      <c r="AH78" s="1" t="s">
        <v>74</v>
      </c>
      <c r="AI78" s="1" t="s">
        <v>74</v>
      </c>
      <c r="AJ78" s="1" t="s">
        <v>74</v>
      </c>
      <c r="AK78" s="1" t="s">
        <v>74</v>
      </c>
      <c r="AL78" s="1" t="s">
        <v>74</v>
      </c>
      <c r="AM78" s="1" t="s">
        <v>74</v>
      </c>
      <c r="AN78" s="1" t="s">
        <v>74</v>
      </c>
      <c r="AO78" s="1" t="s">
        <v>914</v>
      </c>
      <c r="AP78" s="1" t="s">
        <v>74</v>
      </c>
      <c r="AQ78" s="1" t="s">
        <v>74</v>
      </c>
      <c r="AR78" s="1" t="s">
        <v>74</v>
      </c>
      <c r="AS78" s="1" t="s">
        <v>74</v>
      </c>
      <c r="AT78" s="1" t="s">
        <v>257</v>
      </c>
      <c r="AU78" s="1">
        <v>2021.0</v>
      </c>
      <c r="AV78" s="1">
        <v>10.0</v>
      </c>
      <c r="AW78" s="1">
        <v>12.0</v>
      </c>
      <c r="AX78" s="1" t="s">
        <v>74</v>
      </c>
      <c r="AY78" s="1" t="s">
        <v>74</v>
      </c>
      <c r="AZ78" s="1" t="s">
        <v>74</v>
      </c>
      <c r="BA78" s="1" t="s">
        <v>74</v>
      </c>
      <c r="BB78" s="1" t="s">
        <v>74</v>
      </c>
      <c r="BC78" s="1" t="s">
        <v>74</v>
      </c>
      <c r="BD78" s="1" t="s">
        <v>915</v>
      </c>
      <c r="BE78" s="1" t="s">
        <v>916</v>
      </c>
      <c r="BF78" s="2" t="str">
        <f>HYPERLINK("http://dx.doi.org/10.1128/MRA.00590-20","http://dx.doi.org/10.1128/MRA.00590-20")</f>
        <v>http://dx.doi.org/10.1128/MRA.00590-20</v>
      </c>
      <c r="BG78" s="1" t="s">
        <v>74</v>
      </c>
      <c r="BH78" s="1" t="s">
        <v>74</v>
      </c>
      <c r="BI78" s="1" t="s">
        <v>74</v>
      </c>
      <c r="BJ78" s="1" t="s">
        <v>74</v>
      </c>
      <c r="BK78" s="1" t="s">
        <v>74</v>
      </c>
      <c r="BL78" s="1" t="s">
        <v>74</v>
      </c>
      <c r="BM78" s="1" t="s">
        <v>74</v>
      </c>
      <c r="BN78" s="1">
        <v>3.3766903E7</v>
      </c>
      <c r="BO78" s="1" t="s">
        <v>74</v>
      </c>
      <c r="BP78" s="1" t="s">
        <v>74</v>
      </c>
      <c r="BQ78" s="1" t="s">
        <v>74</v>
      </c>
      <c r="BR78" s="1" t="s">
        <v>74</v>
      </c>
      <c r="BS78" s="1" t="s">
        <v>917</v>
      </c>
      <c r="BT78" s="1" t="str">
        <f>HYPERLINK("https%3A%2F%2Fwww.webofscience.com%2Fwos%2Fwoscc%2Ffull-record%2FWOS:000634789200013","View Full Record in Web of Science")</f>
        <v>View Full Record in Web of Science</v>
      </c>
    </row>
    <row r="79" ht="12.75" customHeight="1">
      <c r="A79" s="1" t="s">
        <v>72</v>
      </c>
      <c r="B79" s="1" t="s">
        <v>918</v>
      </c>
      <c r="C79" s="1" t="s">
        <v>74</v>
      </c>
      <c r="D79" s="1" t="s">
        <v>74</v>
      </c>
      <c r="E79" s="1" t="s">
        <v>74</v>
      </c>
      <c r="F79" s="1" t="s">
        <v>919</v>
      </c>
      <c r="G79" s="1" t="s">
        <v>74</v>
      </c>
      <c r="H79" s="1" t="s">
        <v>74</v>
      </c>
      <c r="I79" s="1" t="s">
        <v>920</v>
      </c>
      <c r="J79" s="1" t="s">
        <v>921</v>
      </c>
      <c r="K79" s="1" t="s">
        <v>74</v>
      </c>
      <c r="L79" s="1" t="s">
        <v>74</v>
      </c>
      <c r="M79" s="1" t="s">
        <v>74</v>
      </c>
      <c r="N79" s="1" t="s">
        <v>74</v>
      </c>
      <c r="O79" s="1" t="s">
        <v>74</v>
      </c>
      <c r="P79" s="1" t="s">
        <v>74</v>
      </c>
      <c r="Q79" s="1" t="s">
        <v>74</v>
      </c>
      <c r="R79" s="1" t="s">
        <v>74</v>
      </c>
      <c r="S79" s="1" t="s">
        <v>74</v>
      </c>
      <c r="T79" s="1" t="s">
        <v>74</v>
      </c>
      <c r="U79" s="1" t="s">
        <v>74</v>
      </c>
      <c r="V79" s="1" t="s">
        <v>922</v>
      </c>
      <c r="W79" s="1" t="s">
        <v>74</v>
      </c>
      <c r="X79" s="1" t="s">
        <v>74</v>
      </c>
      <c r="Y79" s="1" t="s">
        <v>74</v>
      </c>
      <c r="Z79" s="1" t="s">
        <v>74</v>
      </c>
      <c r="AA79" s="1" t="s">
        <v>74</v>
      </c>
      <c r="AB79" s="1" t="s">
        <v>74</v>
      </c>
      <c r="AC79" s="1" t="s">
        <v>74</v>
      </c>
      <c r="AD79" s="1" t="s">
        <v>74</v>
      </c>
      <c r="AE79" s="1" t="s">
        <v>74</v>
      </c>
      <c r="AF79" s="1" t="s">
        <v>74</v>
      </c>
      <c r="AG79" s="1" t="s">
        <v>74</v>
      </c>
      <c r="AH79" s="1" t="s">
        <v>74</v>
      </c>
      <c r="AI79" s="1" t="s">
        <v>74</v>
      </c>
      <c r="AJ79" s="1" t="s">
        <v>74</v>
      </c>
      <c r="AK79" s="1" t="s">
        <v>74</v>
      </c>
      <c r="AL79" s="1" t="s">
        <v>74</v>
      </c>
      <c r="AM79" s="1" t="s">
        <v>74</v>
      </c>
      <c r="AN79" s="1" t="s">
        <v>74</v>
      </c>
      <c r="AO79" s="1" t="s">
        <v>923</v>
      </c>
      <c r="AP79" s="1" t="s">
        <v>924</v>
      </c>
      <c r="AQ79" s="1" t="s">
        <v>74</v>
      </c>
      <c r="AR79" s="1" t="s">
        <v>74</v>
      </c>
      <c r="AS79" s="1" t="s">
        <v>74</v>
      </c>
      <c r="AT79" s="1" t="s">
        <v>74</v>
      </c>
      <c r="AU79" s="1">
        <v>2021.0</v>
      </c>
      <c r="AV79" s="1">
        <v>33.0</v>
      </c>
      <c r="AW79" s="1">
        <v>3.0</v>
      </c>
      <c r="AX79" s="1">
        <v>1.0</v>
      </c>
      <c r="AY79" s="1" t="s">
        <v>74</v>
      </c>
      <c r="AZ79" s="1" t="s">
        <v>74</v>
      </c>
      <c r="BA79" s="1" t="s">
        <v>74</v>
      </c>
      <c r="BB79" s="1">
        <v>659.0</v>
      </c>
      <c r="BC79" s="1">
        <v>701.0</v>
      </c>
      <c r="BD79" s="1" t="s">
        <v>74</v>
      </c>
      <c r="BE79" s="1" t="s">
        <v>74</v>
      </c>
      <c r="BF79" s="1" t="s">
        <v>74</v>
      </c>
      <c r="BG79" s="1" t="s">
        <v>74</v>
      </c>
      <c r="BH79" s="1" t="s">
        <v>74</v>
      </c>
      <c r="BI79" s="1" t="s">
        <v>74</v>
      </c>
      <c r="BJ79" s="1" t="s">
        <v>74</v>
      </c>
      <c r="BK79" s="1" t="s">
        <v>74</v>
      </c>
      <c r="BL79" s="1" t="s">
        <v>74</v>
      </c>
      <c r="BM79" s="1" t="s">
        <v>74</v>
      </c>
      <c r="BN79" s="1" t="s">
        <v>74</v>
      </c>
      <c r="BO79" s="1" t="s">
        <v>74</v>
      </c>
      <c r="BP79" s="1" t="s">
        <v>74</v>
      </c>
      <c r="BQ79" s="1" t="s">
        <v>74</v>
      </c>
      <c r="BR79" s="1" t="s">
        <v>74</v>
      </c>
      <c r="BS79" s="1" t="s">
        <v>925</v>
      </c>
      <c r="BT79" s="1" t="str">
        <f>HYPERLINK("https%3A%2F%2Fwww.webofscience.com%2Fwos%2Fwoscc%2Ffull-record%2FWOS:000749167400002","View Full Record in Web of Science")</f>
        <v>View Full Record in Web of Science</v>
      </c>
    </row>
    <row r="80" ht="12.75" customHeight="1">
      <c r="A80" s="1" t="s">
        <v>72</v>
      </c>
      <c r="B80" s="1" t="s">
        <v>926</v>
      </c>
      <c r="C80" s="1" t="s">
        <v>74</v>
      </c>
      <c r="D80" s="1" t="s">
        <v>74</v>
      </c>
      <c r="E80" s="1" t="s">
        <v>74</v>
      </c>
      <c r="F80" s="1" t="s">
        <v>927</v>
      </c>
      <c r="G80" s="1" t="s">
        <v>74</v>
      </c>
      <c r="H80" s="1" t="s">
        <v>74</v>
      </c>
      <c r="I80" s="1" t="s">
        <v>928</v>
      </c>
      <c r="J80" s="1" t="s">
        <v>929</v>
      </c>
      <c r="K80" s="1" t="s">
        <v>74</v>
      </c>
      <c r="L80" s="1" t="s">
        <v>74</v>
      </c>
      <c r="M80" s="1" t="s">
        <v>74</v>
      </c>
      <c r="N80" s="1" t="s">
        <v>74</v>
      </c>
      <c r="O80" s="1" t="s">
        <v>74</v>
      </c>
      <c r="P80" s="1" t="s">
        <v>74</v>
      </c>
      <c r="Q80" s="1" t="s">
        <v>74</v>
      </c>
      <c r="R80" s="1" t="s">
        <v>74</v>
      </c>
      <c r="S80" s="1" t="s">
        <v>74</v>
      </c>
      <c r="T80" s="1" t="s">
        <v>74</v>
      </c>
      <c r="U80" s="1" t="s">
        <v>74</v>
      </c>
      <c r="V80" s="1" t="s">
        <v>930</v>
      </c>
      <c r="W80" s="1" t="s">
        <v>74</v>
      </c>
      <c r="X80" s="1" t="s">
        <v>74</v>
      </c>
      <c r="Y80" s="1" t="s">
        <v>74</v>
      </c>
      <c r="Z80" s="1" t="s">
        <v>74</v>
      </c>
      <c r="AA80" s="1" t="s">
        <v>74</v>
      </c>
      <c r="AB80" s="1" t="s">
        <v>74</v>
      </c>
      <c r="AC80" s="1" t="s">
        <v>74</v>
      </c>
      <c r="AD80" s="1" t="s">
        <v>74</v>
      </c>
      <c r="AE80" s="1" t="s">
        <v>74</v>
      </c>
      <c r="AF80" s="1" t="s">
        <v>74</v>
      </c>
      <c r="AG80" s="1" t="s">
        <v>74</v>
      </c>
      <c r="AH80" s="1" t="s">
        <v>74</v>
      </c>
      <c r="AI80" s="1" t="s">
        <v>74</v>
      </c>
      <c r="AJ80" s="1" t="s">
        <v>74</v>
      </c>
      <c r="AK80" s="1" t="s">
        <v>74</v>
      </c>
      <c r="AL80" s="1" t="s">
        <v>74</v>
      </c>
      <c r="AM80" s="1" t="s">
        <v>74</v>
      </c>
      <c r="AN80" s="1" t="s">
        <v>74</v>
      </c>
      <c r="AO80" s="1" t="s">
        <v>931</v>
      </c>
      <c r="AP80" s="1" t="s">
        <v>932</v>
      </c>
      <c r="AQ80" s="1" t="s">
        <v>74</v>
      </c>
      <c r="AR80" s="1" t="s">
        <v>74</v>
      </c>
      <c r="AS80" s="1" t="s">
        <v>74</v>
      </c>
      <c r="AT80" s="1" t="s">
        <v>606</v>
      </c>
      <c r="AU80" s="1">
        <v>2020.0</v>
      </c>
      <c r="AV80" s="1">
        <v>198.0</v>
      </c>
      <c r="AW80" s="1" t="s">
        <v>74</v>
      </c>
      <c r="AX80" s="1" t="s">
        <v>74</v>
      </c>
      <c r="AY80" s="1" t="s">
        <v>74</v>
      </c>
      <c r="AZ80" s="1" t="s">
        <v>74</v>
      </c>
      <c r="BA80" s="1" t="s">
        <v>74</v>
      </c>
      <c r="BB80" s="1">
        <v>163.0</v>
      </c>
      <c r="BC80" s="1">
        <v>171.0</v>
      </c>
      <c r="BD80" s="1" t="s">
        <v>74</v>
      </c>
      <c r="BE80" s="1" t="s">
        <v>933</v>
      </c>
      <c r="BF80" s="2" t="str">
        <f>HYPERLINK("http://dx.doi.org/10.1016/j.biosystemseng.2020.08.003","http://dx.doi.org/10.1016/j.biosystemseng.2020.08.003")</f>
        <v>http://dx.doi.org/10.1016/j.biosystemseng.2020.08.003</v>
      </c>
      <c r="BG80" s="1" t="s">
        <v>74</v>
      </c>
      <c r="BH80" s="1" t="s">
        <v>74</v>
      </c>
      <c r="BI80" s="1" t="s">
        <v>74</v>
      </c>
      <c r="BJ80" s="1" t="s">
        <v>74</v>
      </c>
      <c r="BK80" s="1" t="s">
        <v>74</v>
      </c>
      <c r="BL80" s="1" t="s">
        <v>74</v>
      </c>
      <c r="BM80" s="1" t="s">
        <v>74</v>
      </c>
      <c r="BN80" s="1" t="s">
        <v>74</v>
      </c>
      <c r="BO80" s="1" t="s">
        <v>74</v>
      </c>
      <c r="BP80" s="1" t="s">
        <v>74</v>
      </c>
      <c r="BQ80" s="1" t="s">
        <v>74</v>
      </c>
      <c r="BR80" s="1" t="s">
        <v>74</v>
      </c>
      <c r="BS80" s="1" t="s">
        <v>934</v>
      </c>
      <c r="BT80" s="1" t="str">
        <f>HYPERLINK("https%3A%2F%2Fwww.webofscience.com%2Fwos%2Fwoscc%2Ffull-record%2FWOS:000579074300013","View Full Record in Web of Science")</f>
        <v>View Full Record in Web of Science</v>
      </c>
    </row>
    <row r="81" ht="12.75" customHeight="1">
      <c r="A81" s="1" t="s">
        <v>72</v>
      </c>
      <c r="B81" s="1" t="s">
        <v>935</v>
      </c>
      <c r="C81" s="1" t="s">
        <v>74</v>
      </c>
      <c r="D81" s="1" t="s">
        <v>74</v>
      </c>
      <c r="E81" s="1" t="s">
        <v>74</v>
      </c>
      <c r="F81" s="1" t="s">
        <v>936</v>
      </c>
      <c r="G81" s="1" t="s">
        <v>74</v>
      </c>
      <c r="H81" s="1" t="s">
        <v>74</v>
      </c>
      <c r="I81" s="1" t="s">
        <v>937</v>
      </c>
      <c r="J81" s="1" t="s">
        <v>938</v>
      </c>
      <c r="K81" s="1" t="s">
        <v>74</v>
      </c>
      <c r="L81" s="1" t="s">
        <v>74</v>
      </c>
      <c r="M81" s="1" t="s">
        <v>74</v>
      </c>
      <c r="N81" s="1" t="s">
        <v>74</v>
      </c>
      <c r="O81" s="1" t="s">
        <v>74</v>
      </c>
      <c r="P81" s="1" t="s">
        <v>74</v>
      </c>
      <c r="Q81" s="1" t="s">
        <v>74</v>
      </c>
      <c r="R81" s="1" t="s">
        <v>74</v>
      </c>
      <c r="S81" s="1" t="s">
        <v>74</v>
      </c>
      <c r="T81" s="1" t="s">
        <v>74</v>
      </c>
      <c r="U81" s="1" t="s">
        <v>74</v>
      </c>
      <c r="V81" s="1" t="s">
        <v>939</v>
      </c>
      <c r="W81" s="1" t="s">
        <v>74</v>
      </c>
      <c r="X81" s="1" t="s">
        <v>74</v>
      </c>
      <c r="Y81" s="1" t="s">
        <v>74</v>
      </c>
      <c r="Z81" s="1" t="s">
        <v>74</v>
      </c>
      <c r="AA81" s="1" t="s">
        <v>74</v>
      </c>
      <c r="AB81" s="1" t="s">
        <v>940</v>
      </c>
      <c r="AC81" s="1" t="s">
        <v>74</v>
      </c>
      <c r="AD81" s="1" t="s">
        <v>74</v>
      </c>
      <c r="AE81" s="1" t="s">
        <v>74</v>
      </c>
      <c r="AF81" s="1" t="s">
        <v>74</v>
      </c>
      <c r="AG81" s="1" t="s">
        <v>74</v>
      </c>
      <c r="AH81" s="1" t="s">
        <v>74</v>
      </c>
      <c r="AI81" s="1" t="s">
        <v>74</v>
      </c>
      <c r="AJ81" s="1" t="s">
        <v>74</v>
      </c>
      <c r="AK81" s="1" t="s">
        <v>74</v>
      </c>
      <c r="AL81" s="1" t="s">
        <v>74</v>
      </c>
      <c r="AM81" s="1" t="s">
        <v>74</v>
      </c>
      <c r="AN81" s="1" t="s">
        <v>74</v>
      </c>
      <c r="AO81" s="1" t="s">
        <v>941</v>
      </c>
      <c r="AP81" s="1" t="s">
        <v>942</v>
      </c>
      <c r="AQ81" s="1" t="s">
        <v>74</v>
      </c>
      <c r="AR81" s="1" t="s">
        <v>74</v>
      </c>
      <c r="AS81" s="1" t="s">
        <v>74</v>
      </c>
      <c r="AT81" s="1" t="s">
        <v>223</v>
      </c>
      <c r="AU81" s="1">
        <v>2020.0</v>
      </c>
      <c r="AV81" s="1">
        <v>61.0</v>
      </c>
      <c r="AW81" s="1">
        <v>3.0</v>
      </c>
      <c r="AX81" s="1" t="s">
        <v>74</v>
      </c>
      <c r="AY81" s="1" t="s">
        <v>74</v>
      </c>
      <c r="AZ81" s="1" t="s">
        <v>74</v>
      </c>
      <c r="BA81" s="1" t="s">
        <v>74</v>
      </c>
      <c r="BB81" s="1" t="s">
        <v>74</v>
      </c>
      <c r="BC81" s="1" t="s">
        <v>74</v>
      </c>
      <c r="BD81" s="1">
        <v>31501.0</v>
      </c>
      <c r="BE81" s="1" t="s">
        <v>943</v>
      </c>
      <c r="BF81" s="2" t="str">
        <f>HYPERLINK("http://dx.doi.org/10.1063/1.5142272","http://dx.doi.org/10.1063/1.5142272")</f>
        <v>http://dx.doi.org/10.1063/1.5142272</v>
      </c>
      <c r="BG81" s="1" t="s">
        <v>74</v>
      </c>
      <c r="BH81" s="1" t="s">
        <v>74</v>
      </c>
      <c r="BI81" s="1" t="s">
        <v>74</v>
      </c>
      <c r="BJ81" s="1" t="s">
        <v>74</v>
      </c>
      <c r="BK81" s="1" t="s">
        <v>74</v>
      </c>
      <c r="BL81" s="1" t="s">
        <v>74</v>
      </c>
      <c r="BM81" s="1" t="s">
        <v>74</v>
      </c>
      <c r="BN81" s="1" t="s">
        <v>74</v>
      </c>
      <c r="BO81" s="1" t="s">
        <v>74</v>
      </c>
      <c r="BP81" s="1" t="s">
        <v>74</v>
      </c>
      <c r="BQ81" s="1" t="s">
        <v>74</v>
      </c>
      <c r="BR81" s="1" t="s">
        <v>74</v>
      </c>
      <c r="BS81" s="1" t="s">
        <v>944</v>
      </c>
      <c r="BT81" s="1" t="str">
        <f>HYPERLINK("https%3A%2F%2Fwww.webofscience.com%2Fwos%2Fwoscc%2Ffull-record%2FWOS:000519101500001","View Full Record in Web of Science")</f>
        <v>View Full Record in Web of Science</v>
      </c>
    </row>
    <row r="82" ht="12.75" customHeight="1">
      <c r="A82" s="1" t="s">
        <v>72</v>
      </c>
      <c r="B82" s="1" t="s">
        <v>945</v>
      </c>
      <c r="C82" s="1" t="s">
        <v>74</v>
      </c>
      <c r="D82" s="1" t="s">
        <v>74</v>
      </c>
      <c r="E82" s="1" t="s">
        <v>74</v>
      </c>
      <c r="F82" s="1" t="s">
        <v>946</v>
      </c>
      <c r="G82" s="1" t="s">
        <v>74</v>
      </c>
      <c r="H82" s="1" t="s">
        <v>74</v>
      </c>
      <c r="I82" s="1" t="s">
        <v>947</v>
      </c>
      <c r="J82" s="1" t="s">
        <v>948</v>
      </c>
      <c r="K82" s="1" t="s">
        <v>74</v>
      </c>
      <c r="L82" s="1" t="s">
        <v>74</v>
      </c>
      <c r="M82" s="1" t="s">
        <v>74</v>
      </c>
      <c r="N82" s="1" t="s">
        <v>74</v>
      </c>
      <c r="O82" s="1" t="s">
        <v>74</v>
      </c>
      <c r="P82" s="1" t="s">
        <v>74</v>
      </c>
      <c r="Q82" s="1" t="s">
        <v>74</v>
      </c>
      <c r="R82" s="1" t="s">
        <v>74</v>
      </c>
      <c r="S82" s="1" t="s">
        <v>74</v>
      </c>
      <c r="T82" s="1" t="s">
        <v>74</v>
      </c>
      <c r="U82" s="1" t="s">
        <v>74</v>
      </c>
      <c r="V82" s="1" t="s">
        <v>949</v>
      </c>
      <c r="W82" s="1" t="s">
        <v>74</v>
      </c>
      <c r="X82" s="1" t="s">
        <v>74</v>
      </c>
      <c r="Y82" s="1" t="s">
        <v>74</v>
      </c>
      <c r="Z82" s="1" t="s">
        <v>74</v>
      </c>
      <c r="AA82" s="1" t="s">
        <v>74</v>
      </c>
      <c r="AB82" s="1" t="s">
        <v>950</v>
      </c>
      <c r="AC82" s="1" t="s">
        <v>74</v>
      </c>
      <c r="AD82" s="1" t="s">
        <v>74</v>
      </c>
      <c r="AE82" s="1" t="s">
        <v>74</v>
      </c>
      <c r="AF82" s="1" t="s">
        <v>74</v>
      </c>
      <c r="AG82" s="1" t="s">
        <v>74</v>
      </c>
      <c r="AH82" s="1" t="s">
        <v>74</v>
      </c>
      <c r="AI82" s="1" t="s">
        <v>74</v>
      </c>
      <c r="AJ82" s="1" t="s">
        <v>74</v>
      </c>
      <c r="AK82" s="1" t="s">
        <v>74</v>
      </c>
      <c r="AL82" s="1" t="s">
        <v>74</v>
      </c>
      <c r="AM82" s="1" t="s">
        <v>74</v>
      </c>
      <c r="AN82" s="1" t="s">
        <v>74</v>
      </c>
      <c r="AO82" s="1" t="s">
        <v>951</v>
      </c>
      <c r="AP82" s="1" t="s">
        <v>952</v>
      </c>
      <c r="AQ82" s="1" t="s">
        <v>74</v>
      </c>
      <c r="AR82" s="1" t="s">
        <v>74</v>
      </c>
      <c r="AS82" s="1" t="s">
        <v>74</v>
      </c>
      <c r="AT82" s="1" t="s">
        <v>953</v>
      </c>
      <c r="AU82" s="1">
        <v>2019.0</v>
      </c>
      <c r="AV82" s="1">
        <v>123.0</v>
      </c>
      <c r="AW82" s="1">
        <v>43.0</v>
      </c>
      <c r="AX82" s="1" t="s">
        <v>74</v>
      </c>
      <c r="AY82" s="1" t="s">
        <v>74</v>
      </c>
      <c r="AZ82" s="1" t="s">
        <v>74</v>
      </c>
      <c r="BA82" s="1" t="s">
        <v>74</v>
      </c>
      <c r="BB82" s="1">
        <v>9274.0</v>
      </c>
      <c r="BC82" s="1">
        <v>9281.0</v>
      </c>
      <c r="BD82" s="1" t="s">
        <v>74</v>
      </c>
      <c r="BE82" s="1" t="s">
        <v>954</v>
      </c>
      <c r="BF82" s="2" t="str">
        <f>HYPERLINK("http://dx.doi.org/10.1021/acs.jpca.9b06603","http://dx.doi.org/10.1021/acs.jpca.9b06603")</f>
        <v>http://dx.doi.org/10.1021/acs.jpca.9b06603</v>
      </c>
      <c r="BG82" s="1" t="s">
        <v>74</v>
      </c>
      <c r="BH82" s="1" t="s">
        <v>74</v>
      </c>
      <c r="BI82" s="1" t="s">
        <v>74</v>
      </c>
      <c r="BJ82" s="1" t="s">
        <v>74</v>
      </c>
      <c r="BK82" s="1" t="s">
        <v>74</v>
      </c>
      <c r="BL82" s="1" t="s">
        <v>74</v>
      </c>
      <c r="BM82" s="1" t="s">
        <v>74</v>
      </c>
      <c r="BN82" s="1">
        <v>3.1587556E7</v>
      </c>
      <c r="BO82" s="1" t="s">
        <v>74</v>
      </c>
      <c r="BP82" s="1" t="s">
        <v>74</v>
      </c>
      <c r="BQ82" s="1" t="s">
        <v>74</v>
      </c>
      <c r="BR82" s="1" t="s">
        <v>74</v>
      </c>
      <c r="BS82" s="1" t="s">
        <v>955</v>
      </c>
      <c r="BT82" s="1" t="str">
        <f>HYPERLINK("https%3A%2F%2Fwww.webofscience.com%2Fwos%2Fwoscc%2Ffull-record%2FWOS:000493864800004","View Full Record in Web of Science")</f>
        <v>View Full Record in Web of Science</v>
      </c>
    </row>
    <row r="83" ht="12.75" customHeight="1">
      <c r="A83" s="1" t="s">
        <v>72</v>
      </c>
      <c r="B83" s="1" t="s">
        <v>956</v>
      </c>
      <c r="C83" s="1" t="s">
        <v>74</v>
      </c>
      <c r="D83" s="1" t="s">
        <v>74</v>
      </c>
      <c r="E83" s="1" t="s">
        <v>74</v>
      </c>
      <c r="F83" s="1" t="s">
        <v>957</v>
      </c>
      <c r="G83" s="1" t="s">
        <v>74</v>
      </c>
      <c r="H83" s="1" t="s">
        <v>74</v>
      </c>
      <c r="I83" s="1" t="s">
        <v>958</v>
      </c>
      <c r="J83" s="1" t="s">
        <v>959</v>
      </c>
      <c r="K83" s="1" t="s">
        <v>74</v>
      </c>
      <c r="L83" s="1" t="s">
        <v>74</v>
      </c>
      <c r="M83" s="1" t="s">
        <v>74</v>
      </c>
      <c r="N83" s="1" t="s">
        <v>74</v>
      </c>
      <c r="O83" s="1" t="s">
        <v>74</v>
      </c>
      <c r="P83" s="1" t="s">
        <v>74</v>
      </c>
      <c r="Q83" s="1" t="s">
        <v>74</v>
      </c>
      <c r="R83" s="1" t="s">
        <v>74</v>
      </c>
      <c r="S83" s="1" t="s">
        <v>74</v>
      </c>
      <c r="T83" s="1" t="s">
        <v>74</v>
      </c>
      <c r="U83" s="1" t="s">
        <v>74</v>
      </c>
      <c r="V83" s="1" t="s">
        <v>960</v>
      </c>
      <c r="W83" s="1" t="s">
        <v>74</v>
      </c>
      <c r="X83" s="1" t="s">
        <v>74</v>
      </c>
      <c r="Y83" s="1" t="s">
        <v>74</v>
      </c>
      <c r="Z83" s="1" t="s">
        <v>74</v>
      </c>
      <c r="AA83" s="1" t="s">
        <v>961</v>
      </c>
      <c r="AB83" s="1" t="s">
        <v>962</v>
      </c>
      <c r="AC83" s="1" t="s">
        <v>74</v>
      </c>
      <c r="AD83" s="1" t="s">
        <v>74</v>
      </c>
      <c r="AE83" s="1" t="s">
        <v>74</v>
      </c>
      <c r="AF83" s="1" t="s">
        <v>74</v>
      </c>
      <c r="AG83" s="1" t="s">
        <v>74</v>
      </c>
      <c r="AH83" s="1" t="s">
        <v>74</v>
      </c>
      <c r="AI83" s="1" t="s">
        <v>74</v>
      </c>
      <c r="AJ83" s="1" t="s">
        <v>74</v>
      </c>
      <c r="AK83" s="1" t="s">
        <v>74</v>
      </c>
      <c r="AL83" s="1" t="s">
        <v>74</v>
      </c>
      <c r="AM83" s="1" t="s">
        <v>74</v>
      </c>
      <c r="AN83" s="1" t="s">
        <v>74</v>
      </c>
      <c r="AO83" s="1" t="s">
        <v>963</v>
      </c>
      <c r="AP83" s="1" t="s">
        <v>964</v>
      </c>
      <c r="AQ83" s="1" t="s">
        <v>74</v>
      </c>
      <c r="AR83" s="1" t="s">
        <v>74</v>
      </c>
      <c r="AS83" s="1" t="s">
        <v>74</v>
      </c>
      <c r="AT83" s="1" t="s">
        <v>180</v>
      </c>
      <c r="AU83" s="1">
        <v>2019.0</v>
      </c>
      <c r="AV83" s="1">
        <v>31.0</v>
      </c>
      <c r="AW83" s="1">
        <v>5.0</v>
      </c>
      <c r="AX83" s="1" t="s">
        <v>74</v>
      </c>
      <c r="AY83" s="1" t="s">
        <v>74</v>
      </c>
      <c r="AZ83" s="1" t="s">
        <v>74</v>
      </c>
      <c r="BA83" s="1" t="s">
        <v>74</v>
      </c>
      <c r="BB83" s="1">
        <v>883.0</v>
      </c>
      <c r="BC83" s="1">
        <v>890.0</v>
      </c>
      <c r="BD83" s="1" t="s">
        <v>74</v>
      </c>
      <c r="BE83" s="1" t="s">
        <v>965</v>
      </c>
      <c r="BF83" s="2" t="str">
        <f>HYPERLINK("http://dx.doi.org/10.1002/elan.201800786","http://dx.doi.org/10.1002/elan.201800786")</f>
        <v>http://dx.doi.org/10.1002/elan.201800786</v>
      </c>
      <c r="BG83" s="1" t="s">
        <v>74</v>
      </c>
      <c r="BH83" s="1" t="s">
        <v>74</v>
      </c>
      <c r="BI83" s="1" t="s">
        <v>74</v>
      </c>
      <c r="BJ83" s="1" t="s">
        <v>74</v>
      </c>
      <c r="BK83" s="1" t="s">
        <v>74</v>
      </c>
      <c r="BL83" s="1" t="s">
        <v>74</v>
      </c>
      <c r="BM83" s="1" t="s">
        <v>74</v>
      </c>
      <c r="BN83" s="1" t="s">
        <v>74</v>
      </c>
      <c r="BO83" s="1" t="s">
        <v>74</v>
      </c>
      <c r="BP83" s="1" t="s">
        <v>74</v>
      </c>
      <c r="BQ83" s="1" t="s">
        <v>74</v>
      </c>
      <c r="BR83" s="1" t="s">
        <v>74</v>
      </c>
      <c r="BS83" s="1" t="s">
        <v>966</v>
      </c>
      <c r="BT83" s="1" t="str">
        <f>HYPERLINK("https%3A%2F%2Fwww.webofscience.com%2Fwos%2Fwoscc%2Ffull-record%2FWOS:000466514900013","View Full Record in Web of Science")</f>
        <v>View Full Record in Web of Science</v>
      </c>
    </row>
    <row r="84" ht="12.75" customHeight="1">
      <c r="A84" s="1" t="s">
        <v>72</v>
      </c>
      <c r="B84" s="1" t="s">
        <v>967</v>
      </c>
      <c r="C84" s="1" t="s">
        <v>74</v>
      </c>
      <c r="D84" s="1" t="s">
        <v>74</v>
      </c>
      <c r="E84" s="1" t="s">
        <v>74</v>
      </c>
      <c r="F84" s="1" t="s">
        <v>968</v>
      </c>
      <c r="G84" s="1" t="s">
        <v>74</v>
      </c>
      <c r="H84" s="1" t="s">
        <v>74</v>
      </c>
      <c r="I84" s="1" t="s">
        <v>969</v>
      </c>
      <c r="J84" s="1" t="s">
        <v>970</v>
      </c>
      <c r="K84" s="1" t="s">
        <v>74</v>
      </c>
      <c r="L84" s="1" t="s">
        <v>74</v>
      </c>
      <c r="M84" s="1" t="s">
        <v>74</v>
      </c>
      <c r="N84" s="1" t="s">
        <v>74</v>
      </c>
      <c r="O84" s="1" t="s">
        <v>74</v>
      </c>
      <c r="P84" s="1" t="s">
        <v>74</v>
      </c>
      <c r="Q84" s="1" t="s">
        <v>74</v>
      </c>
      <c r="R84" s="1" t="s">
        <v>74</v>
      </c>
      <c r="S84" s="1" t="s">
        <v>74</v>
      </c>
      <c r="T84" s="1" t="s">
        <v>74</v>
      </c>
      <c r="U84" s="1" t="s">
        <v>74</v>
      </c>
      <c r="V84" s="1" t="s">
        <v>971</v>
      </c>
      <c r="W84" s="1" t="s">
        <v>74</v>
      </c>
      <c r="X84" s="1" t="s">
        <v>74</v>
      </c>
      <c r="Y84" s="1" t="s">
        <v>74</v>
      </c>
      <c r="Z84" s="1" t="s">
        <v>74</v>
      </c>
      <c r="AA84" s="1" t="s">
        <v>972</v>
      </c>
      <c r="AB84" s="1" t="s">
        <v>973</v>
      </c>
      <c r="AC84" s="1" t="s">
        <v>74</v>
      </c>
      <c r="AD84" s="1" t="s">
        <v>74</v>
      </c>
      <c r="AE84" s="1" t="s">
        <v>74</v>
      </c>
      <c r="AF84" s="1" t="s">
        <v>74</v>
      </c>
      <c r="AG84" s="1" t="s">
        <v>74</v>
      </c>
      <c r="AH84" s="1" t="s">
        <v>74</v>
      </c>
      <c r="AI84" s="1" t="s">
        <v>74</v>
      </c>
      <c r="AJ84" s="1" t="s">
        <v>74</v>
      </c>
      <c r="AK84" s="1" t="s">
        <v>74</v>
      </c>
      <c r="AL84" s="1" t="s">
        <v>74</v>
      </c>
      <c r="AM84" s="1" t="s">
        <v>74</v>
      </c>
      <c r="AN84" s="1" t="s">
        <v>74</v>
      </c>
      <c r="AO84" s="1" t="s">
        <v>974</v>
      </c>
      <c r="AP84" s="1" t="s">
        <v>975</v>
      </c>
      <c r="AQ84" s="1" t="s">
        <v>74</v>
      </c>
      <c r="AR84" s="1" t="s">
        <v>74</v>
      </c>
      <c r="AS84" s="1" t="s">
        <v>74</v>
      </c>
      <c r="AT84" s="1" t="s">
        <v>976</v>
      </c>
      <c r="AU84" s="1">
        <v>2018.0</v>
      </c>
      <c r="AV84" s="1">
        <v>47.0</v>
      </c>
      <c r="AW84" s="1">
        <v>39.0</v>
      </c>
      <c r="AX84" s="1" t="s">
        <v>74</v>
      </c>
      <c r="AY84" s="1" t="s">
        <v>74</v>
      </c>
      <c r="AZ84" s="1" t="s">
        <v>74</v>
      </c>
      <c r="BA84" s="1" t="s">
        <v>74</v>
      </c>
      <c r="BB84" s="1">
        <v>13861.0</v>
      </c>
      <c r="BC84" s="1">
        <v>13869.0</v>
      </c>
      <c r="BD84" s="1" t="s">
        <v>74</v>
      </c>
      <c r="BE84" s="1" t="s">
        <v>977</v>
      </c>
      <c r="BF84" s="2" t="str">
        <f>HYPERLINK("http://dx.doi.org/10.1039/c8dt03160f","http://dx.doi.org/10.1039/c8dt03160f")</f>
        <v>http://dx.doi.org/10.1039/c8dt03160f</v>
      </c>
      <c r="BG84" s="1" t="s">
        <v>74</v>
      </c>
      <c r="BH84" s="1" t="s">
        <v>74</v>
      </c>
      <c r="BI84" s="1" t="s">
        <v>74</v>
      </c>
      <c r="BJ84" s="1" t="s">
        <v>74</v>
      </c>
      <c r="BK84" s="1" t="s">
        <v>74</v>
      </c>
      <c r="BL84" s="1" t="s">
        <v>74</v>
      </c>
      <c r="BM84" s="1" t="s">
        <v>74</v>
      </c>
      <c r="BN84" s="1">
        <v>3.0225486E7</v>
      </c>
      <c r="BO84" s="1" t="s">
        <v>74</v>
      </c>
      <c r="BP84" s="1" t="s">
        <v>74</v>
      </c>
      <c r="BQ84" s="1" t="s">
        <v>74</v>
      </c>
      <c r="BR84" s="1" t="s">
        <v>74</v>
      </c>
      <c r="BS84" s="1" t="s">
        <v>978</v>
      </c>
      <c r="BT84" s="1" t="str">
        <f>HYPERLINK("https%3A%2F%2Fwww.webofscience.com%2Fwos%2Fwoscc%2Ffull-record%2FWOS:000446852200016","View Full Record in Web of Science")</f>
        <v>View Full Record in Web of Science</v>
      </c>
    </row>
    <row r="85" ht="12.75" customHeight="1">
      <c r="A85" s="1" t="s">
        <v>182</v>
      </c>
      <c r="B85" s="1" t="s">
        <v>979</v>
      </c>
      <c r="C85" s="1" t="s">
        <v>74</v>
      </c>
      <c r="D85" s="1" t="s">
        <v>980</v>
      </c>
      <c r="E85" s="1" t="s">
        <v>74</v>
      </c>
      <c r="F85" s="1" t="s">
        <v>981</v>
      </c>
      <c r="G85" s="1" t="s">
        <v>74</v>
      </c>
      <c r="H85" s="1" t="s">
        <v>74</v>
      </c>
      <c r="I85" s="1" t="s">
        <v>982</v>
      </c>
      <c r="J85" s="1" t="s">
        <v>983</v>
      </c>
      <c r="K85" s="1" t="s">
        <v>74</v>
      </c>
      <c r="L85" s="1" t="s">
        <v>74</v>
      </c>
      <c r="M85" s="1" t="s">
        <v>74</v>
      </c>
      <c r="N85" s="1" t="s">
        <v>74</v>
      </c>
      <c r="O85" s="1" t="s">
        <v>984</v>
      </c>
      <c r="P85" s="1" t="s">
        <v>985</v>
      </c>
      <c r="Q85" s="1" t="s">
        <v>986</v>
      </c>
      <c r="R85" s="1" t="s">
        <v>987</v>
      </c>
      <c r="S85" s="1" t="s">
        <v>74</v>
      </c>
      <c r="T85" s="1" t="s">
        <v>74</v>
      </c>
      <c r="U85" s="1" t="s">
        <v>74</v>
      </c>
      <c r="V85" s="1" t="s">
        <v>988</v>
      </c>
      <c r="W85" s="1" t="s">
        <v>74</v>
      </c>
      <c r="X85" s="1" t="s">
        <v>74</v>
      </c>
      <c r="Y85" s="1" t="s">
        <v>74</v>
      </c>
      <c r="Z85" s="1" t="s">
        <v>74</v>
      </c>
      <c r="AA85" s="1" t="s">
        <v>989</v>
      </c>
      <c r="AB85" s="1" t="s">
        <v>990</v>
      </c>
      <c r="AC85" s="1" t="s">
        <v>74</v>
      </c>
      <c r="AD85" s="1" t="s">
        <v>74</v>
      </c>
      <c r="AE85" s="1" t="s">
        <v>74</v>
      </c>
      <c r="AF85" s="1" t="s">
        <v>74</v>
      </c>
      <c r="AG85" s="1" t="s">
        <v>74</v>
      </c>
      <c r="AH85" s="1" t="s">
        <v>74</v>
      </c>
      <c r="AI85" s="1" t="s">
        <v>74</v>
      </c>
      <c r="AJ85" s="1" t="s">
        <v>74</v>
      </c>
      <c r="AK85" s="1" t="s">
        <v>74</v>
      </c>
      <c r="AL85" s="1" t="s">
        <v>74</v>
      </c>
      <c r="AM85" s="1" t="s">
        <v>74</v>
      </c>
      <c r="AN85" s="1" t="s">
        <v>74</v>
      </c>
      <c r="AO85" s="1" t="s">
        <v>74</v>
      </c>
      <c r="AP85" s="1" t="s">
        <v>74</v>
      </c>
      <c r="AQ85" s="1" t="s">
        <v>991</v>
      </c>
      <c r="AR85" s="1" t="s">
        <v>74</v>
      </c>
      <c r="AS85" s="1" t="s">
        <v>74</v>
      </c>
      <c r="AT85" s="1" t="s">
        <v>74</v>
      </c>
      <c r="AU85" s="1">
        <v>2018.0</v>
      </c>
      <c r="AV85" s="1" t="s">
        <v>74</v>
      </c>
      <c r="AW85" s="1" t="s">
        <v>74</v>
      </c>
      <c r="AX85" s="1" t="s">
        <v>74</v>
      </c>
      <c r="AY85" s="1" t="s">
        <v>74</v>
      </c>
      <c r="AZ85" s="1" t="s">
        <v>74</v>
      </c>
      <c r="BA85" s="1" t="s">
        <v>74</v>
      </c>
      <c r="BB85" s="1">
        <v>52.0</v>
      </c>
      <c r="BC85" s="1">
        <v>57.0</v>
      </c>
      <c r="BD85" s="1" t="s">
        <v>74</v>
      </c>
      <c r="BE85" s="1" t="s">
        <v>74</v>
      </c>
      <c r="BF85" s="1" t="s">
        <v>74</v>
      </c>
      <c r="BG85" s="1" t="s">
        <v>74</v>
      </c>
      <c r="BH85" s="1" t="s">
        <v>74</v>
      </c>
      <c r="BI85" s="1" t="s">
        <v>74</v>
      </c>
      <c r="BJ85" s="1" t="s">
        <v>74</v>
      </c>
      <c r="BK85" s="1" t="s">
        <v>74</v>
      </c>
      <c r="BL85" s="1" t="s">
        <v>74</v>
      </c>
      <c r="BM85" s="1" t="s">
        <v>74</v>
      </c>
      <c r="BN85" s="1" t="s">
        <v>74</v>
      </c>
      <c r="BO85" s="1" t="s">
        <v>74</v>
      </c>
      <c r="BP85" s="1" t="s">
        <v>74</v>
      </c>
      <c r="BQ85" s="1" t="s">
        <v>74</v>
      </c>
      <c r="BR85" s="1" t="s">
        <v>74</v>
      </c>
      <c r="BS85" s="1" t="s">
        <v>992</v>
      </c>
      <c r="BT85" s="1" t="str">
        <f>HYPERLINK("https%3A%2F%2Fwww.webofscience.com%2Fwos%2Fwoscc%2Ffull-record%2FWOS:000437157500007","View Full Record in Web of Science")</f>
        <v>View Full Record in Web of Science</v>
      </c>
    </row>
    <row r="86" ht="12.75" customHeight="1">
      <c r="A86" s="1" t="s">
        <v>72</v>
      </c>
      <c r="B86" s="1" t="s">
        <v>993</v>
      </c>
      <c r="C86" s="1" t="s">
        <v>74</v>
      </c>
      <c r="D86" s="1" t="s">
        <v>74</v>
      </c>
      <c r="E86" s="1" t="s">
        <v>74</v>
      </c>
      <c r="F86" s="1" t="s">
        <v>994</v>
      </c>
      <c r="G86" s="1" t="s">
        <v>74</v>
      </c>
      <c r="H86" s="1" t="s">
        <v>74</v>
      </c>
      <c r="I86" s="1" t="s">
        <v>995</v>
      </c>
      <c r="J86" s="1" t="s">
        <v>996</v>
      </c>
      <c r="K86" s="1" t="s">
        <v>74</v>
      </c>
      <c r="L86" s="1" t="s">
        <v>74</v>
      </c>
      <c r="M86" s="1" t="s">
        <v>74</v>
      </c>
      <c r="N86" s="1" t="s">
        <v>74</v>
      </c>
      <c r="O86" s="1" t="s">
        <v>74</v>
      </c>
      <c r="P86" s="1" t="s">
        <v>74</v>
      </c>
      <c r="Q86" s="1" t="s">
        <v>74</v>
      </c>
      <c r="R86" s="1" t="s">
        <v>74</v>
      </c>
      <c r="S86" s="1" t="s">
        <v>74</v>
      </c>
      <c r="T86" s="1" t="s">
        <v>74</v>
      </c>
      <c r="U86" s="1" t="s">
        <v>74</v>
      </c>
      <c r="V86" s="1" t="s">
        <v>997</v>
      </c>
      <c r="W86" s="1" t="s">
        <v>74</v>
      </c>
      <c r="X86" s="1" t="s">
        <v>74</v>
      </c>
      <c r="Y86" s="1" t="s">
        <v>74</v>
      </c>
      <c r="Z86" s="1" t="s">
        <v>74</v>
      </c>
      <c r="AA86" s="1" t="s">
        <v>74</v>
      </c>
      <c r="AB86" s="1" t="s">
        <v>998</v>
      </c>
      <c r="AC86" s="1" t="s">
        <v>74</v>
      </c>
      <c r="AD86" s="1" t="s">
        <v>74</v>
      </c>
      <c r="AE86" s="1" t="s">
        <v>74</v>
      </c>
      <c r="AF86" s="1" t="s">
        <v>74</v>
      </c>
      <c r="AG86" s="1" t="s">
        <v>74</v>
      </c>
      <c r="AH86" s="1" t="s">
        <v>74</v>
      </c>
      <c r="AI86" s="1" t="s">
        <v>74</v>
      </c>
      <c r="AJ86" s="1" t="s">
        <v>74</v>
      </c>
      <c r="AK86" s="1" t="s">
        <v>74</v>
      </c>
      <c r="AL86" s="1" t="s">
        <v>74</v>
      </c>
      <c r="AM86" s="1" t="s">
        <v>74</v>
      </c>
      <c r="AN86" s="1" t="s">
        <v>74</v>
      </c>
      <c r="AO86" s="1" t="s">
        <v>999</v>
      </c>
      <c r="AP86" s="1" t="s">
        <v>1000</v>
      </c>
      <c r="AQ86" s="1" t="s">
        <v>74</v>
      </c>
      <c r="AR86" s="1" t="s">
        <v>74</v>
      </c>
      <c r="AS86" s="1" t="s">
        <v>74</v>
      </c>
      <c r="AT86" s="1" t="s">
        <v>652</v>
      </c>
      <c r="AU86" s="1">
        <v>2016.0</v>
      </c>
      <c r="AV86" s="1">
        <v>195.0</v>
      </c>
      <c r="AW86" s="1">
        <v>6.0</v>
      </c>
      <c r="AX86" s="1" t="s">
        <v>74</v>
      </c>
      <c r="AY86" s="1" t="s">
        <v>74</v>
      </c>
      <c r="AZ86" s="1" t="s">
        <v>74</v>
      </c>
      <c r="BA86" s="1" t="s">
        <v>74</v>
      </c>
      <c r="BB86" s="1">
        <v>1833.0</v>
      </c>
      <c r="BC86" s="1">
        <v>1863.0</v>
      </c>
      <c r="BD86" s="1" t="s">
        <v>74</v>
      </c>
      <c r="BE86" s="1" t="s">
        <v>1001</v>
      </c>
      <c r="BF86" s="2" t="str">
        <f>HYPERLINK("http://dx.doi.org/10.1007/s10231-015-0531-x","http://dx.doi.org/10.1007/s10231-015-0531-x")</f>
        <v>http://dx.doi.org/10.1007/s10231-015-0531-x</v>
      </c>
      <c r="BG86" s="1" t="s">
        <v>74</v>
      </c>
      <c r="BH86" s="1" t="s">
        <v>74</v>
      </c>
      <c r="BI86" s="1" t="s">
        <v>74</v>
      </c>
      <c r="BJ86" s="1" t="s">
        <v>74</v>
      </c>
      <c r="BK86" s="1" t="s">
        <v>74</v>
      </c>
      <c r="BL86" s="1" t="s">
        <v>74</v>
      </c>
      <c r="BM86" s="1" t="s">
        <v>74</v>
      </c>
      <c r="BN86" s="1" t="s">
        <v>74</v>
      </c>
      <c r="BO86" s="1" t="s">
        <v>74</v>
      </c>
      <c r="BP86" s="1" t="s">
        <v>74</v>
      </c>
      <c r="BQ86" s="1" t="s">
        <v>74</v>
      </c>
      <c r="BR86" s="1" t="s">
        <v>74</v>
      </c>
      <c r="BS86" s="1" t="s">
        <v>1002</v>
      </c>
      <c r="BT86" s="1" t="str">
        <f>HYPERLINK("https%3A%2F%2Fwww.webofscience.com%2Fwos%2Fwoscc%2Ffull-record%2FWOS:000386522800002","View Full Record in Web of Science")</f>
        <v>View Full Record in Web of Science</v>
      </c>
    </row>
    <row r="87" ht="12.75" customHeight="1">
      <c r="A87" s="1" t="s">
        <v>72</v>
      </c>
      <c r="B87" s="1" t="s">
        <v>1003</v>
      </c>
      <c r="C87" s="1" t="s">
        <v>74</v>
      </c>
      <c r="D87" s="1" t="s">
        <v>74</v>
      </c>
      <c r="E87" s="1" t="s">
        <v>74</v>
      </c>
      <c r="F87" s="1" t="s">
        <v>1004</v>
      </c>
      <c r="G87" s="1" t="s">
        <v>74</v>
      </c>
      <c r="H87" s="1" t="s">
        <v>74</v>
      </c>
      <c r="I87" s="1" t="s">
        <v>1005</v>
      </c>
      <c r="J87" s="1" t="s">
        <v>489</v>
      </c>
      <c r="K87" s="1" t="s">
        <v>74</v>
      </c>
      <c r="L87" s="1" t="s">
        <v>74</v>
      </c>
      <c r="M87" s="1" t="s">
        <v>74</v>
      </c>
      <c r="N87" s="1" t="s">
        <v>74</v>
      </c>
      <c r="O87" s="1" t="s">
        <v>74</v>
      </c>
      <c r="P87" s="1" t="s">
        <v>74</v>
      </c>
      <c r="Q87" s="1" t="s">
        <v>74</v>
      </c>
      <c r="R87" s="1" t="s">
        <v>74</v>
      </c>
      <c r="S87" s="1" t="s">
        <v>74</v>
      </c>
      <c r="T87" s="1" t="s">
        <v>74</v>
      </c>
      <c r="U87" s="1" t="s">
        <v>74</v>
      </c>
      <c r="V87" s="1" t="s">
        <v>1006</v>
      </c>
      <c r="W87" s="1" t="s">
        <v>74</v>
      </c>
      <c r="X87" s="1" t="s">
        <v>74</v>
      </c>
      <c r="Y87" s="1" t="s">
        <v>74</v>
      </c>
      <c r="Z87" s="1" t="s">
        <v>74</v>
      </c>
      <c r="AA87" s="1" t="s">
        <v>1007</v>
      </c>
      <c r="AB87" s="1" t="s">
        <v>1008</v>
      </c>
      <c r="AC87" s="1" t="s">
        <v>74</v>
      </c>
      <c r="AD87" s="1" t="s">
        <v>74</v>
      </c>
      <c r="AE87" s="1" t="s">
        <v>74</v>
      </c>
      <c r="AF87" s="1" t="s">
        <v>74</v>
      </c>
      <c r="AG87" s="1" t="s">
        <v>74</v>
      </c>
      <c r="AH87" s="1" t="s">
        <v>74</v>
      </c>
      <c r="AI87" s="1" t="s">
        <v>74</v>
      </c>
      <c r="AJ87" s="1" t="s">
        <v>74</v>
      </c>
      <c r="AK87" s="1" t="s">
        <v>74</v>
      </c>
      <c r="AL87" s="1" t="s">
        <v>74</v>
      </c>
      <c r="AM87" s="1" t="s">
        <v>74</v>
      </c>
      <c r="AN87" s="1" t="s">
        <v>74</v>
      </c>
      <c r="AO87" s="1" t="s">
        <v>492</v>
      </c>
      <c r="AP87" s="1" t="s">
        <v>74</v>
      </c>
      <c r="AQ87" s="1" t="s">
        <v>74</v>
      </c>
      <c r="AR87" s="1" t="s">
        <v>74</v>
      </c>
      <c r="AS87" s="1" t="s">
        <v>74</v>
      </c>
      <c r="AT87" s="1" t="s">
        <v>339</v>
      </c>
      <c r="AU87" s="1">
        <v>2016.0</v>
      </c>
      <c r="AV87" s="1">
        <v>61.0</v>
      </c>
      <c r="AW87" s="1">
        <v>3.0</v>
      </c>
      <c r="AX87" s="1" t="s">
        <v>74</v>
      </c>
      <c r="AY87" s="1" t="s">
        <v>74</v>
      </c>
      <c r="AZ87" s="1" t="s">
        <v>74</v>
      </c>
      <c r="BA87" s="1" t="s">
        <v>74</v>
      </c>
      <c r="BB87" s="1">
        <v>3125.0</v>
      </c>
      <c r="BC87" s="1">
        <v>3129.0</v>
      </c>
      <c r="BD87" s="1" t="s">
        <v>74</v>
      </c>
      <c r="BE87" s="1" t="s">
        <v>1009</v>
      </c>
      <c r="BF87" s="2" t="str">
        <f>HYPERLINK("http://dx.doi.org/10.4067/S0717-97072016000300024","http://dx.doi.org/10.4067/S0717-97072016000300024")</f>
        <v>http://dx.doi.org/10.4067/S0717-97072016000300024</v>
      </c>
      <c r="BG87" s="1" t="s">
        <v>74</v>
      </c>
      <c r="BH87" s="1" t="s">
        <v>74</v>
      </c>
      <c r="BI87" s="1" t="s">
        <v>74</v>
      </c>
      <c r="BJ87" s="1" t="s">
        <v>74</v>
      </c>
      <c r="BK87" s="1" t="s">
        <v>74</v>
      </c>
      <c r="BL87" s="1" t="s">
        <v>74</v>
      </c>
      <c r="BM87" s="1" t="s">
        <v>74</v>
      </c>
      <c r="BN87" s="1" t="s">
        <v>74</v>
      </c>
      <c r="BO87" s="1" t="s">
        <v>74</v>
      </c>
      <c r="BP87" s="1" t="s">
        <v>74</v>
      </c>
      <c r="BQ87" s="1" t="s">
        <v>74</v>
      </c>
      <c r="BR87" s="1" t="s">
        <v>74</v>
      </c>
      <c r="BS87" s="1" t="s">
        <v>1010</v>
      </c>
      <c r="BT87" s="1" t="str">
        <f>HYPERLINK("https%3A%2F%2Fwww.webofscience.com%2Fwos%2Fwoscc%2Ffull-record%2FWOS:000389063700024","View Full Record in Web of Science")</f>
        <v>View Full Record in Web of Science</v>
      </c>
    </row>
    <row r="88" ht="12.75" customHeight="1">
      <c r="A88" s="1" t="s">
        <v>182</v>
      </c>
      <c r="B88" s="1" t="s">
        <v>1011</v>
      </c>
      <c r="C88" s="1" t="s">
        <v>74</v>
      </c>
      <c r="D88" s="1" t="s">
        <v>74</v>
      </c>
      <c r="E88" s="1" t="s">
        <v>184</v>
      </c>
      <c r="F88" s="1" t="s">
        <v>1012</v>
      </c>
      <c r="G88" s="1" t="s">
        <v>74</v>
      </c>
      <c r="H88" s="1" t="s">
        <v>74</v>
      </c>
      <c r="I88" s="1" t="s">
        <v>1013</v>
      </c>
      <c r="J88" s="1" t="s">
        <v>1014</v>
      </c>
      <c r="K88" s="1" t="s">
        <v>1015</v>
      </c>
      <c r="L88" s="1" t="s">
        <v>74</v>
      </c>
      <c r="M88" s="1" t="s">
        <v>74</v>
      </c>
      <c r="N88" s="1" t="s">
        <v>74</v>
      </c>
      <c r="O88" s="1" t="s">
        <v>1016</v>
      </c>
      <c r="P88" s="1" t="s">
        <v>1017</v>
      </c>
      <c r="Q88" s="1" t="s">
        <v>1018</v>
      </c>
      <c r="R88" s="1" t="s">
        <v>1019</v>
      </c>
      <c r="S88" s="1" t="s">
        <v>74</v>
      </c>
      <c r="T88" s="1" t="s">
        <v>74</v>
      </c>
      <c r="U88" s="1" t="s">
        <v>74</v>
      </c>
      <c r="V88" s="1" t="s">
        <v>74</v>
      </c>
      <c r="W88" s="1" t="s">
        <v>74</v>
      </c>
      <c r="X88" s="1" t="s">
        <v>74</v>
      </c>
      <c r="Y88" s="1" t="s">
        <v>74</v>
      </c>
      <c r="Z88" s="1" t="s">
        <v>74</v>
      </c>
      <c r="AA88" s="1" t="s">
        <v>74</v>
      </c>
      <c r="AB88" s="1" t="s">
        <v>74</v>
      </c>
      <c r="AC88" s="1" t="s">
        <v>74</v>
      </c>
      <c r="AD88" s="1" t="s">
        <v>74</v>
      </c>
      <c r="AE88" s="1" t="s">
        <v>74</v>
      </c>
      <c r="AF88" s="1" t="s">
        <v>74</v>
      </c>
      <c r="AG88" s="1" t="s">
        <v>74</v>
      </c>
      <c r="AH88" s="1" t="s">
        <v>74</v>
      </c>
      <c r="AI88" s="1" t="s">
        <v>74</v>
      </c>
      <c r="AJ88" s="1" t="s">
        <v>74</v>
      </c>
      <c r="AK88" s="1" t="s">
        <v>74</v>
      </c>
      <c r="AL88" s="1" t="s">
        <v>74</v>
      </c>
      <c r="AM88" s="1" t="s">
        <v>74</v>
      </c>
      <c r="AN88" s="1" t="s">
        <v>74</v>
      </c>
      <c r="AO88" s="1" t="s">
        <v>1020</v>
      </c>
      <c r="AP88" s="1" t="s">
        <v>74</v>
      </c>
      <c r="AQ88" s="1" t="s">
        <v>1021</v>
      </c>
      <c r="AR88" s="1" t="s">
        <v>74</v>
      </c>
      <c r="AS88" s="1" t="s">
        <v>74</v>
      </c>
      <c r="AT88" s="1" t="s">
        <v>74</v>
      </c>
      <c r="AU88" s="1">
        <v>2016.0</v>
      </c>
      <c r="AV88" s="1" t="s">
        <v>74</v>
      </c>
      <c r="AW88" s="1" t="s">
        <v>74</v>
      </c>
      <c r="AX88" s="1" t="s">
        <v>74</v>
      </c>
      <c r="AY88" s="1" t="s">
        <v>74</v>
      </c>
      <c r="AZ88" s="1" t="s">
        <v>74</v>
      </c>
      <c r="BA88" s="1" t="s">
        <v>74</v>
      </c>
      <c r="BB88" s="1" t="s">
        <v>74</v>
      </c>
      <c r="BC88" s="1" t="s">
        <v>74</v>
      </c>
      <c r="BD88" s="1" t="s">
        <v>74</v>
      </c>
      <c r="BE88" s="1" t="s">
        <v>74</v>
      </c>
      <c r="BF88" s="1" t="s">
        <v>74</v>
      </c>
      <c r="BG88" s="1" t="s">
        <v>74</v>
      </c>
      <c r="BH88" s="1" t="s">
        <v>74</v>
      </c>
      <c r="BI88" s="1" t="s">
        <v>74</v>
      </c>
      <c r="BJ88" s="1" t="s">
        <v>74</v>
      </c>
      <c r="BK88" s="1" t="s">
        <v>74</v>
      </c>
      <c r="BL88" s="1" t="s">
        <v>74</v>
      </c>
      <c r="BM88" s="1" t="s">
        <v>74</v>
      </c>
      <c r="BN88" s="1" t="s">
        <v>74</v>
      </c>
      <c r="BO88" s="1" t="s">
        <v>74</v>
      </c>
      <c r="BP88" s="1" t="s">
        <v>74</v>
      </c>
      <c r="BQ88" s="1" t="s">
        <v>74</v>
      </c>
      <c r="BR88" s="1" t="s">
        <v>74</v>
      </c>
      <c r="BS88" s="1" t="s">
        <v>1022</v>
      </c>
      <c r="BT88" s="1" t="str">
        <f>HYPERLINK("https%3A%2F%2Fwww.webofscience.com%2Fwos%2Fwoscc%2Ffull-record%2FWOS:000399937900089","View Full Record in Web of Science")</f>
        <v>View Full Record in Web of Science</v>
      </c>
    </row>
    <row r="89" ht="12.75" customHeight="1">
      <c r="A89" s="1" t="s">
        <v>72</v>
      </c>
      <c r="B89" s="1" t="s">
        <v>1023</v>
      </c>
      <c r="C89" s="1" t="s">
        <v>74</v>
      </c>
      <c r="D89" s="1" t="s">
        <v>74</v>
      </c>
      <c r="E89" s="1" t="s">
        <v>74</v>
      </c>
      <c r="F89" s="1" t="s">
        <v>1024</v>
      </c>
      <c r="G89" s="1" t="s">
        <v>74</v>
      </c>
      <c r="H89" s="1" t="s">
        <v>74</v>
      </c>
      <c r="I89" s="1" t="s">
        <v>1025</v>
      </c>
      <c r="J89" s="1" t="s">
        <v>1026</v>
      </c>
      <c r="K89" s="1" t="s">
        <v>74</v>
      </c>
      <c r="L89" s="1" t="s">
        <v>74</v>
      </c>
      <c r="M89" s="1" t="s">
        <v>74</v>
      </c>
      <c r="N89" s="1" t="s">
        <v>74</v>
      </c>
      <c r="O89" s="1" t="s">
        <v>74</v>
      </c>
      <c r="P89" s="1" t="s">
        <v>74</v>
      </c>
      <c r="Q89" s="1" t="s">
        <v>74</v>
      </c>
      <c r="R89" s="1" t="s">
        <v>74</v>
      </c>
      <c r="S89" s="1" t="s">
        <v>74</v>
      </c>
      <c r="T89" s="1" t="s">
        <v>74</v>
      </c>
      <c r="U89" s="1" t="s">
        <v>74</v>
      </c>
      <c r="V89" s="1" t="s">
        <v>1027</v>
      </c>
      <c r="W89" s="1" t="s">
        <v>74</v>
      </c>
      <c r="X89" s="1" t="s">
        <v>74</v>
      </c>
      <c r="Y89" s="1" t="s">
        <v>74</v>
      </c>
      <c r="Z89" s="1" t="s">
        <v>74</v>
      </c>
      <c r="AA89" s="1" t="s">
        <v>74</v>
      </c>
      <c r="AB89" s="1" t="s">
        <v>1028</v>
      </c>
      <c r="AC89" s="1" t="s">
        <v>74</v>
      </c>
      <c r="AD89" s="1" t="s">
        <v>74</v>
      </c>
      <c r="AE89" s="1" t="s">
        <v>74</v>
      </c>
      <c r="AF89" s="1" t="s">
        <v>74</v>
      </c>
      <c r="AG89" s="1" t="s">
        <v>74</v>
      </c>
      <c r="AH89" s="1" t="s">
        <v>74</v>
      </c>
      <c r="AI89" s="1" t="s">
        <v>74</v>
      </c>
      <c r="AJ89" s="1" t="s">
        <v>74</v>
      </c>
      <c r="AK89" s="1" t="s">
        <v>74</v>
      </c>
      <c r="AL89" s="1" t="s">
        <v>74</v>
      </c>
      <c r="AM89" s="1" t="s">
        <v>74</v>
      </c>
      <c r="AN89" s="1" t="s">
        <v>74</v>
      </c>
      <c r="AO89" s="1" t="s">
        <v>1029</v>
      </c>
      <c r="AP89" s="1" t="s">
        <v>1030</v>
      </c>
      <c r="AQ89" s="1" t="s">
        <v>74</v>
      </c>
      <c r="AR89" s="1" t="s">
        <v>74</v>
      </c>
      <c r="AS89" s="1" t="s">
        <v>74</v>
      </c>
      <c r="AT89" s="1" t="s">
        <v>696</v>
      </c>
      <c r="AU89" s="1">
        <v>2016.0</v>
      </c>
      <c r="AV89" s="1">
        <v>7.0</v>
      </c>
      <c r="AW89" s="1">
        <v>1.0</v>
      </c>
      <c r="AX89" s="1" t="s">
        <v>74</v>
      </c>
      <c r="AY89" s="1" t="s">
        <v>74</v>
      </c>
      <c r="AZ89" s="1" t="s">
        <v>74</v>
      </c>
      <c r="BA89" s="1" t="s">
        <v>74</v>
      </c>
      <c r="BB89" s="1">
        <v>271.0</v>
      </c>
      <c r="BC89" s="1">
        <v>278.0</v>
      </c>
      <c r="BD89" s="1" t="s">
        <v>74</v>
      </c>
      <c r="BE89" s="1" t="s">
        <v>1031</v>
      </c>
      <c r="BF89" s="2" t="str">
        <f>HYPERLINK("http://dx.doi.org/10.1109/TSTE.2015.2491782","http://dx.doi.org/10.1109/TSTE.2015.2491782")</f>
        <v>http://dx.doi.org/10.1109/TSTE.2015.2491782</v>
      </c>
      <c r="BG89" s="1" t="s">
        <v>74</v>
      </c>
      <c r="BH89" s="1" t="s">
        <v>74</v>
      </c>
      <c r="BI89" s="1" t="s">
        <v>74</v>
      </c>
      <c r="BJ89" s="1" t="s">
        <v>74</v>
      </c>
      <c r="BK89" s="1" t="s">
        <v>74</v>
      </c>
      <c r="BL89" s="1" t="s">
        <v>74</v>
      </c>
      <c r="BM89" s="1" t="s">
        <v>74</v>
      </c>
      <c r="BN89" s="1" t="s">
        <v>74</v>
      </c>
      <c r="BO89" s="1" t="s">
        <v>74</v>
      </c>
      <c r="BP89" s="1" t="s">
        <v>74</v>
      </c>
      <c r="BQ89" s="1" t="s">
        <v>74</v>
      </c>
      <c r="BR89" s="1" t="s">
        <v>74</v>
      </c>
      <c r="BS89" s="1" t="s">
        <v>1032</v>
      </c>
      <c r="BT89" s="1" t="str">
        <f>HYPERLINK("https%3A%2F%2Fwww.webofscience.com%2Fwos%2Fwoscc%2Ffull-record%2FWOS:000367340700027","View Full Record in Web of Science")</f>
        <v>View Full Record in Web of Science</v>
      </c>
    </row>
    <row r="90" ht="12.75" customHeight="1">
      <c r="A90" s="1" t="s">
        <v>72</v>
      </c>
      <c r="B90" s="1" t="s">
        <v>1033</v>
      </c>
      <c r="C90" s="1" t="s">
        <v>74</v>
      </c>
      <c r="D90" s="1" t="s">
        <v>74</v>
      </c>
      <c r="E90" s="1" t="s">
        <v>74</v>
      </c>
      <c r="F90" s="1" t="s">
        <v>1034</v>
      </c>
      <c r="G90" s="1" t="s">
        <v>74</v>
      </c>
      <c r="H90" s="1" t="s">
        <v>74</v>
      </c>
      <c r="I90" s="1" t="s">
        <v>1035</v>
      </c>
      <c r="J90" s="1" t="s">
        <v>1036</v>
      </c>
      <c r="K90" s="1" t="s">
        <v>74</v>
      </c>
      <c r="L90" s="1" t="s">
        <v>74</v>
      </c>
      <c r="M90" s="1" t="s">
        <v>74</v>
      </c>
      <c r="N90" s="1" t="s">
        <v>74</v>
      </c>
      <c r="O90" s="1" t="s">
        <v>74</v>
      </c>
      <c r="P90" s="1" t="s">
        <v>74</v>
      </c>
      <c r="Q90" s="1" t="s">
        <v>74</v>
      </c>
      <c r="R90" s="1" t="s">
        <v>74</v>
      </c>
      <c r="S90" s="1" t="s">
        <v>74</v>
      </c>
      <c r="T90" s="1" t="s">
        <v>74</v>
      </c>
      <c r="U90" s="1" t="s">
        <v>74</v>
      </c>
      <c r="V90" s="1" t="s">
        <v>1037</v>
      </c>
      <c r="W90" s="1" t="s">
        <v>74</v>
      </c>
      <c r="X90" s="1" t="s">
        <v>74</v>
      </c>
      <c r="Y90" s="1" t="s">
        <v>74</v>
      </c>
      <c r="Z90" s="1" t="s">
        <v>74</v>
      </c>
      <c r="AA90" s="1" t="s">
        <v>74</v>
      </c>
      <c r="AB90" s="1" t="s">
        <v>1038</v>
      </c>
      <c r="AC90" s="1" t="s">
        <v>74</v>
      </c>
      <c r="AD90" s="1" t="s">
        <v>74</v>
      </c>
      <c r="AE90" s="1" t="s">
        <v>74</v>
      </c>
      <c r="AF90" s="1" t="s">
        <v>74</v>
      </c>
      <c r="AG90" s="1" t="s">
        <v>74</v>
      </c>
      <c r="AH90" s="1" t="s">
        <v>74</v>
      </c>
      <c r="AI90" s="1" t="s">
        <v>74</v>
      </c>
      <c r="AJ90" s="1" t="s">
        <v>74</v>
      </c>
      <c r="AK90" s="1" t="s">
        <v>74</v>
      </c>
      <c r="AL90" s="1" t="s">
        <v>74</v>
      </c>
      <c r="AM90" s="1" t="s">
        <v>74</v>
      </c>
      <c r="AN90" s="1" t="s">
        <v>74</v>
      </c>
      <c r="AO90" s="1" t="s">
        <v>1039</v>
      </c>
      <c r="AP90" s="1" t="s">
        <v>1040</v>
      </c>
      <c r="AQ90" s="1" t="s">
        <v>74</v>
      </c>
      <c r="AR90" s="1" t="s">
        <v>74</v>
      </c>
      <c r="AS90" s="1" t="s">
        <v>74</v>
      </c>
      <c r="AT90" s="1" t="s">
        <v>74</v>
      </c>
      <c r="AU90" s="1">
        <v>2016.0</v>
      </c>
      <c r="AV90" s="1">
        <v>8.0</v>
      </c>
      <c r="AW90" s="1">
        <v>1.0</v>
      </c>
      <c r="AX90" s="1" t="s">
        <v>74</v>
      </c>
      <c r="AY90" s="1" t="s">
        <v>74</v>
      </c>
      <c r="AZ90" s="1" t="s">
        <v>74</v>
      </c>
      <c r="BA90" s="1" t="s">
        <v>74</v>
      </c>
      <c r="BB90" s="1">
        <v>108.0</v>
      </c>
      <c r="BC90" s="1">
        <v>117.0</v>
      </c>
      <c r="BD90" s="1" t="s">
        <v>74</v>
      </c>
      <c r="BE90" s="1" t="s">
        <v>1041</v>
      </c>
      <c r="BF90" s="2" t="str">
        <f>HYPERLINK("http://dx.doi.org/10.1039/c5mt00256g","http://dx.doi.org/10.1039/c5mt00256g")</f>
        <v>http://dx.doi.org/10.1039/c5mt00256g</v>
      </c>
      <c r="BG90" s="1" t="s">
        <v>74</v>
      </c>
      <c r="BH90" s="1" t="s">
        <v>74</v>
      </c>
      <c r="BI90" s="1" t="s">
        <v>74</v>
      </c>
      <c r="BJ90" s="1" t="s">
        <v>74</v>
      </c>
      <c r="BK90" s="1" t="s">
        <v>74</v>
      </c>
      <c r="BL90" s="1" t="s">
        <v>74</v>
      </c>
      <c r="BM90" s="1" t="s">
        <v>74</v>
      </c>
      <c r="BN90" s="1">
        <v>2.6560799E7</v>
      </c>
      <c r="BO90" s="1" t="s">
        <v>74</v>
      </c>
      <c r="BP90" s="1" t="s">
        <v>74</v>
      </c>
      <c r="BQ90" s="1" t="s">
        <v>74</v>
      </c>
      <c r="BR90" s="1" t="s">
        <v>74</v>
      </c>
      <c r="BS90" s="1" t="s">
        <v>1042</v>
      </c>
      <c r="BT90" s="1" t="str">
        <f>HYPERLINK("https%3A%2F%2Fwww.webofscience.com%2Fwos%2Fwoscc%2Ffull-record%2FWOS:000370970800010","View Full Record in Web of Science")</f>
        <v>View Full Record in Web of Science</v>
      </c>
    </row>
    <row r="91" ht="12.75" customHeight="1">
      <c r="A91" s="1" t="s">
        <v>72</v>
      </c>
      <c r="B91" s="1" t="s">
        <v>993</v>
      </c>
      <c r="C91" s="1" t="s">
        <v>74</v>
      </c>
      <c r="D91" s="1" t="s">
        <v>74</v>
      </c>
      <c r="E91" s="1" t="s">
        <v>74</v>
      </c>
      <c r="F91" s="1" t="s">
        <v>1043</v>
      </c>
      <c r="G91" s="1" t="s">
        <v>74</v>
      </c>
      <c r="H91" s="1" t="s">
        <v>74</v>
      </c>
      <c r="I91" s="1" t="s">
        <v>1044</v>
      </c>
      <c r="J91" s="1" t="s">
        <v>1045</v>
      </c>
      <c r="K91" s="1" t="s">
        <v>74</v>
      </c>
      <c r="L91" s="1" t="s">
        <v>74</v>
      </c>
      <c r="M91" s="1" t="s">
        <v>74</v>
      </c>
      <c r="N91" s="1" t="s">
        <v>74</v>
      </c>
      <c r="O91" s="1" t="s">
        <v>74</v>
      </c>
      <c r="P91" s="1" t="s">
        <v>74</v>
      </c>
      <c r="Q91" s="1" t="s">
        <v>74</v>
      </c>
      <c r="R91" s="1" t="s">
        <v>74</v>
      </c>
      <c r="S91" s="1" t="s">
        <v>74</v>
      </c>
      <c r="T91" s="1" t="s">
        <v>74</v>
      </c>
      <c r="U91" s="1" t="s">
        <v>74</v>
      </c>
      <c r="V91" s="1" t="s">
        <v>1046</v>
      </c>
      <c r="W91" s="1" t="s">
        <v>74</v>
      </c>
      <c r="X91" s="1" t="s">
        <v>74</v>
      </c>
      <c r="Y91" s="1" t="s">
        <v>74</v>
      </c>
      <c r="Z91" s="1" t="s">
        <v>74</v>
      </c>
      <c r="AA91" s="1" t="s">
        <v>74</v>
      </c>
      <c r="AB91" s="1" t="s">
        <v>998</v>
      </c>
      <c r="AC91" s="1" t="s">
        <v>74</v>
      </c>
      <c r="AD91" s="1" t="s">
        <v>74</v>
      </c>
      <c r="AE91" s="1" t="s">
        <v>74</v>
      </c>
      <c r="AF91" s="1" t="s">
        <v>74</v>
      </c>
      <c r="AG91" s="1" t="s">
        <v>74</v>
      </c>
      <c r="AH91" s="1" t="s">
        <v>74</v>
      </c>
      <c r="AI91" s="1" t="s">
        <v>74</v>
      </c>
      <c r="AJ91" s="1" t="s">
        <v>74</v>
      </c>
      <c r="AK91" s="1" t="s">
        <v>74</v>
      </c>
      <c r="AL91" s="1" t="s">
        <v>74</v>
      </c>
      <c r="AM91" s="1" t="s">
        <v>74</v>
      </c>
      <c r="AN91" s="1" t="s">
        <v>74</v>
      </c>
      <c r="AO91" s="1" t="s">
        <v>1047</v>
      </c>
      <c r="AP91" s="1" t="s">
        <v>1048</v>
      </c>
      <c r="AQ91" s="1" t="s">
        <v>74</v>
      </c>
      <c r="AR91" s="1" t="s">
        <v>74</v>
      </c>
      <c r="AS91" s="1" t="s">
        <v>74</v>
      </c>
      <c r="AT91" s="1" t="s">
        <v>168</v>
      </c>
      <c r="AU91" s="1">
        <v>2015.0</v>
      </c>
      <c r="AV91" s="1">
        <v>428.0</v>
      </c>
      <c r="AW91" s="1">
        <v>2.0</v>
      </c>
      <c r="AX91" s="1" t="s">
        <v>74</v>
      </c>
      <c r="AY91" s="1" t="s">
        <v>74</v>
      </c>
      <c r="AZ91" s="1" t="s">
        <v>74</v>
      </c>
      <c r="BA91" s="1" t="s">
        <v>74</v>
      </c>
      <c r="BB91" s="1">
        <v>1265.0</v>
      </c>
      <c r="BC91" s="1">
        <v>1285.0</v>
      </c>
      <c r="BD91" s="1" t="s">
        <v>74</v>
      </c>
      <c r="BE91" s="1" t="s">
        <v>1049</v>
      </c>
      <c r="BF91" s="2" t="str">
        <f>HYPERLINK("http://dx.doi.org/10.1016/j.jmaa.2015.04.005","http://dx.doi.org/10.1016/j.jmaa.2015.04.005")</f>
        <v>http://dx.doi.org/10.1016/j.jmaa.2015.04.005</v>
      </c>
      <c r="BG91" s="1" t="s">
        <v>74</v>
      </c>
      <c r="BH91" s="1" t="s">
        <v>74</v>
      </c>
      <c r="BI91" s="1" t="s">
        <v>74</v>
      </c>
      <c r="BJ91" s="1" t="s">
        <v>74</v>
      </c>
      <c r="BK91" s="1" t="s">
        <v>74</v>
      </c>
      <c r="BL91" s="1" t="s">
        <v>74</v>
      </c>
      <c r="BM91" s="1" t="s">
        <v>74</v>
      </c>
      <c r="BN91" s="1" t="s">
        <v>74</v>
      </c>
      <c r="BO91" s="1" t="s">
        <v>74</v>
      </c>
      <c r="BP91" s="1" t="s">
        <v>74</v>
      </c>
      <c r="BQ91" s="1" t="s">
        <v>74</v>
      </c>
      <c r="BR91" s="1" t="s">
        <v>74</v>
      </c>
      <c r="BS91" s="1" t="s">
        <v>1050</v>
      </c>
      <c r="BT91" s="1" t="str">
        <f>HYPERLINK("https%3A%2F%2Fwww.webofscience.com%2Fwos%2Fwoscc%2Ffull-record%2FWOS:000366872400038","View Full Record in Web of Science")</f>
        <v>View Full Record in Web of Science</v>
      </c>
    </row>
    <row r="92" ht="12.75" customHeight="1">
      <c r="A92" s="1" t="s">
        <v>72</v>
      </c>
      <c r="B92" s="1" t="s">
        <v>993</v>
      </c>
      <c r="C92" s="1" t="s">
        <v>74</v>
      </c>
      <c r="D92" s="1" t="s">
        <v>74</v>
      </c>
      <c r="E92" s="1" t="s">
        <v>74</v>
      </c>
      <c r="F92" s="1" t="s">
        <v>994</v>
      </c>
      <c r="G92" s="1" t="s">
        <v>74</v>
      </c>
      <c r="H92" s="1" t="s">
        <v>74</v>
      </c>
      <c r="I92" s="1" t="s">
        <v>1051</v>
      </c>
      <c r="J92" s="1" t="s">
        <v>164</v>
      </c>
      <c r="K92" s="1" t="s">
        <v>74</v>
      </c>
      <c r="L92" s="1" t="s">
        <v>74</v>
      </c>
      <c r="M92" s="1" t="s">
        <v>74</v>
      </c>
      <c r="N92" s="1" t="s">
        <v>74</v>
      </c>
      <c r="O92" s="1" t="s">
        <v>74</v>
      </c>
      <c r="P92" s="1" t="s">
        <v>74</v>
      </c>
      <c r="Q92" s="1" t="s">
        <v>74</v>
      </c>
      <c r="R92" s="1" t="s">
        <v>74</v>
      </c>
      <c r="S92" s="1" t="s">
        <v>74</v>
      </c>
      <c r="T92" s="1" t="s">
        <v>74</v>
      </c>
      <c r="U92" s="1" t="s">
        <v>74</v>
      </c>
      <c r="V92" s="1" t="s">
        <v>1052</v>
      </c>
      <c r="W92" s="1" t="s">
        <v>74</v>
      </c>
      <c r="X92" s="1" t="s">
        <v>74</v>
      </c>
      <c r="Y92" s="1" t="s">
        <v>74</v>
      </c>
      <c r="Z92" s="1" t="s">
        <v>74</v>
      </c>
      <c r="AA92" s="1" t="s">
        <v>74</v>
      </c>
      <c r="AB92" s="1" t="s">
        <v>998</v>
      </c>
      <c r="AC92" s="1" t="s">
        <v>74</v>
      </c>
      <c r="AD92" s="1" t="s">
        <v>74</v>
      </c>
      <c r="AE92" s="1" t="s">
        <v>74</v>
      </c>
      <c r="AF92" s="1" t="s">
        <v>74</v>
      </c>
      <c r="AG92" s="1" t="s">
        <v>74</v>
      </c>
      <c r="AH92" s="1" t="s">
        <v>74</v>
      </c>
      <c r="AI92" s="1" t="s">
        <v>74</v>
      </c>
      <c r="AJ92" s="1" t="s">
        <v>74</v>
      </c>
      <c r="AK92" s="1" t="s">
        <v>74</v>
      </c>
      <c r="AL92" s="1" t="s">
        <v>74</v>
      </c>
      <c r="AM92" s="1" t="s">
        <v>74</v>
      </c>
      <c r="AN92" s="1" t="s">
        <v>74</v>
      </c>
      <c r="AO92" s="1" t="s">
        <v>166</v>
      </c>
      <c r="AP92" s="1" t="s">
        <v>167</v>
      </c>
      <c r="AQ92" s="1" t="s">
        <v>74</v>
      </c>
      <c r="AR92" s="1" t="s">
        <v>74</v>
      </c>
      <c r="AS92" s="1" t="s">
        <v>74</v>
      </c>
      <c r="AT92" s="1" t="s">
        <v>1053</v>
      </c>
      <c r="AU92" s="1">
        <v>2014.0</v>
      </c>
      <c r="AV92" s="1">
        <v>257.0</v>
      </c>
      <c r="AW92" s="1">
        <v>11.0</v>
      </c>
      <c r="AX92" s="1" t="s">
        <v>74</v>
      </c>
      <c r="AY92" s="1" t="s">
        <v>74</v>
      </c>
      <c r="AZ92" s="1" t="s">
        <v>74</v>
      </c>
      <c r="BA92" s="1" t="s">
        <v>74</v>
      </c>
      <c r="BB92" s="1">
        <v>3935.0</v>
      </c>
      <c r="BC92" s="1">
        <v>3977.0</v>
      </c>
      <c r="BD92" s="1" t="s">
        <v>74</v>
      </c>
      <c r="BE92" s="1" t="s">
        <v>1054</v>
      </c>
      <c r="BF92" s="2" t="str">
        <f>HYPERLINK("http://dx.doi.org/10.1016/j.jde.2014.07.016","http://dx.doi.org/10.1016/j.jde.2014.07.016")</f>
        <v>http://dx.doi.org/10.1016/j.jde.2014.07.016</v>
      </c>
      <c r="BG92" s="1" t="s">
        <v>74</v>
      </c>
      <c r="BH92" s="1" t="s">
        <v>74</v>
      </c>
      <c r="BI92" s="1" t="s">
        <v>74</v>
      </c>
      <c r="BJ92" s="1" t="s">
        <v>74</v>
      </c>
      <c r="BK92" s="1" t="s">
        <v>74</v>
      </c>
      <c r="BL92" s="1" t="s">
        <v>74</v>
      </c>
      <c r="BM92" s="1" t="s">
        <v>74</v>
      </c>
      <c r="BN92" s="1" t="s">
        <v>74</v>
      </c>
      <c r="BO92" s="1" t="s">
        <v>74</v>
      </c>
      <c r="BP92" s="1" t="s">
        <v>74</v>
      </c>
      <c r="BQ92" s="1" t="s">
        <v>74</v>
      </c>
      <c r="BR92" s="1" t="s">
        <v>74</v>
      </c>
      <c r="BS92" s="1" t="s">
        <v>1055</v>
      </c>
      <c r="BT92" s="1" t="str">
        <f>HYPERLINK("https%3A%2F%2Fwww.webofscience.com%2Fwos%2Fwoscc%2Ffull-record%2FWOS:000343187300001","View Full Record in Web of Science")</f>
        <v>View Full Record in Web of Science</v>
      </c>
    </row>
    <row r="93" ht="12.75" customHeight="1">
      <c r="A93" s="1" t="s">
        <v>72</v>
      </c>
      <c r="B93" s="1" t="s">
        <v>1056</v>
      </c>
      <c r="C93" s="1" t="s">
        <v>74</v>
      </c>
      <c r="D93" s="1" t="s">
        <v>74</v>
      </c>
      <c r="E93" s="1" t="s">
        <v>74</v>
      </c>
      <c r="F93" s="1" t="s">
        <v>1057</v>
      </c>
      <c r="G93" s="1" t="s">
        <v>74</v>
      </c>
      <c r="H93" s="1" t="s">
        <v>74</v>
      </c>
      <c r="I93" s="1" t="s">
        <v>1058</v>
      </c>
      <c r="J93" s="1" t="s">
        <v>1059</v>
      </c>
      <c r="K93" s="1" t="s">
        <v>74</v>
      </c>
      <c r="L93" s="1" t="s">
        <v>74</v>
      </c>
      <c r="M93" s="1" t="s">
        <v>74</v>
      </c>
      <c r="N93" s="1" t="s">
        <v>74</v>
      </c>
      <c r="O93" s="1" t="s">
        <v>74</v>
      </c>
      <c r="P93" s="1" t="s">
        <v>74</v>
      </c>
      <c r="Q93" s="1" t="s">
        <v>74</v>
      </c>
      <c r="R93" s="1" t="s">
        <v>74</v>
      </c>
      <c r="S93" s="1" t="s">
        <v>74</v>
      </c>
      <c r="T93" s="1" t="s">
        <v>74</v>
      </c>
      <c r="U93" s="1" t="s">
        <v>74</v>
      </c>
      <c r="V93" s="1" t="s">
        <v>1060</v>
      </c>
      <c r="W93" s="1" t="s">
        <v>74</v>
      </c>
      <c r="X93" s="1" t="s">
        <v>74</v>
      </c>
      <c r="Y93" s="1" t="s">
        <v>74</v>
      </c>
      <c r="Z93" s="1" t="s">
        <v>74</v>
      </c>
      <c r="AA93" s="1" t="s">
        <v>1061</v>
      </c>
      <c r="AB93" s="1" t="s">
        <v>1062</v>
      </c>
      <c r="AC93" s="1" t="s">
        <v>74</v>
      </c>
      <c r="AD93" s="1" t="s">
        <v>74</v>
      </c>
      <c r="AE93" s="1" t="s">
        <v>74</v>
      </c>
      <c r="AF93" s="1" t="s">
        <v>74</v>
      </c>
      <c r="AG93" s="1" t="s">
        <v>74</v>
      </c>
      <c r="AH93" s="1" t="s">
        <v>74</v>
      </c>
      <c r="AI93" s="1" t="s">
        <v>74</v>
      </c>
      <c r="AJ93" s="1" t="s">
        <v>74</v>
      </c>
      <c r="AK93" s="1" t="s">
        <v>74</v>
      </c>
      <c r="AL93" s="1" t="s">
        <v>74</v>
      </c>
      <c r="AM93" s="1" t="s">
        <v>74</v>
      </c>
      <c r="AN93" s="1" t="s">
        <v>74</v>
      </c>
      <c r="AO93" s="1" t="s">
        <v>74</v>
      </c>
      <c r="AP93" s="1" t="s">
        <v>1063</v>
      </c>
      <c r="AQ93" s="1" t="s">
        <v>74</v>
      </c>
      <c r="AR93" s="1" t="s">
        <v>74</v>
      </c>
      <c r="AS93" s="1" t="s">
        <v>74</v>
      </c>
      <c r="AT93" s="1" t="s">
        <v>1064</v>
      </c>
      <c r="AU93" s="1">
        <v>2014.0</v>
      </c>
      <c r="AV93" s="1">
        <v>289.0</v>
      </c>
      <c r="AW93" s="1">
        <v>32.0</v>
      </c>
      <c r="AX93" s="1" t="s">
        <v>74</v>
      </c>
      <c r="AY93" s="1" t="s">
        <v>74</v>
      </c>
      <c r="AZ93" s="1" t="s">
        <v>74</v>
      </c>
      <c r="BA93" s="1" t="s">
        <v>74</v>
      </c>
      <c r="BB93" s="1">
        <v>21828.0</v>
      </c>
      <c r="BC93" s="1">
        <v>21843.0</v>
      </c>
      <c r="BD93" s="1" t="s">
        <v>74</v>
      </c>
      <c r="BE93" s="1" t="s">
        <v>1065</v>
      </c>
      <c r="BF93" s="2" t="str">
        <f>HYPERLINK("http://dx.doi.org/10.1074/jbc.M114.565994","http://dx.doi.org/10.1074/jbc.M114.565994")</f>
        <v>http://dx.doi.org/10.1074/jbc.M114.565994</v>
      </c>
      <c r="BG93" s="1" t="s">
        <v>74</v>
      </c>
      <c r="BH93" s="1" t="s">
        <v>74</v>
      </c>
      <c r="BI93" s="1" t="s">
        <v>74</v>
      </c>
      <c r="BJ93" s="1" t="s">
        <v>74</v>
      </c>
      <c r="BK93" s="1" t="s">
        <v>74</v>
      </c>
      <c r="BL93" s="1" t="s">
        <v>74</v>
      </c>
      <c r="BM93" s="1" t="s">
        <v>74</v>
      </c>
      <c r="BN93" s="1">
        <v>2.491767E7</v>
      </c>
      <c r="BO93" s="1" t="s">
        <v>74</v>
      </c>
      <c r="BP93" s="1" t="s">
        <v>74</v>
      </c>
      <c r="BQ93" s="1" t="s">
        <v>74</v>
      </c>
      <c r="BR93" s="1" t="s">
        <v>74</v>
      </c>
      <c r="BS93" s="1" t="s">
        <v>1066</v>
      </c>
      <c r="BT93" s="1" t="str">
        <f>HYPERLINK("https%3A%2F%2Fwww.webofscience.com%2Fwos%2Fwoscc%2Ffull-record%2FWOS:000340593500003","View Full Record in Web of Science")</f>
        <v>View Full Record in Web of Science</v>
      </c>
    </row>
    <row r="94" ht="12.75" customHeight="1">
      <c r="A94" s="1" t="s">
        <v>72</v>
      </c>
      <c r="B94" s="1" t="s">
        <v>1067</v>
      </c>
      <c r="C94" s="1" t="s">
        <v>74</v>
      </c>
      <c r="D94" s="1" t="s">
        <v>74</v>
      </c>
      <c r="E94" s="1" t="s">
        <v>74</v>
      </c>
      <c r="F94" s="1" t="s">
        <v>1068</v>
      </c>
      <c r="G94" s="1" t="s">
        <v>74</v>
      </c>
      <c r="H94" s="1" t="s">
        <v>74</v>
      </c>
      <c r="I94" s="1" t="s">
        <v>1069</v>
      </c>
      <c r="J94" s="1" t="s">
        <v>252</v>
      </c>
      <c r="K94" s="1" t="s">
        <v>74</v>
      </c>
      <c r="L94" s="1" t="s">
        <v>74</v>
      </c>
      <c r="M94" s="1" t="s">
        <v>74</v>
      </c>
      <c r="N94" s="1" t="s">
        <v>74</v>
      </c>
      <c r="O94" s="1" t="s">
        <v>74</v>
      </c>
      <c r="P94" s="1" t="s">
        <v>74</v>
      </c>
      <c r="Q94" s="1" t="s">
        <v>74</v>
      </c>
      <c r="R94" s="1" t="s">
        <v>74</v>
      </c>
      <c r="S94" s="1" t="s">
        <v>74</v>
      </c>
      <c r="T94" s="1" t="s">
        <v>74</v>
      </c>
      <c r="U94" s="1" t="s">
        <v>74</v>
      </c>
      <c r="V94" s="1" t="s">
        <v>1070</v>
      </c>
      <c r="W94" s="1" t="s">
        <v>74</v>
      </c>
      <c r="X94" s="1" t="s">
        <v>74</v>
      </c>
      <c r="Y94" s="1" t="s">
        <v>74</v>
      </c>
      <c r="Z94" s="1" t="s">
        <v>74</v>
      </c>
      <c r="AA94" s="1" t="s">
        <v>1071</v>
      </c>
      <c r="AB94" s="1" t="s">
        <v>1072</v>
      </c>
      <c r="AC94" s="1" t="s">
        <v>74</v>
      </c>
      <c r="AD94" s="1" t="s">
        <v>74</v>
      </c>
      <c r="AE94" s="1" t="s">
        <v>74</v>
      </c>
      <c r="AF94" s="1" t="s">
        <v>74</v>
      </c>
      <c r="AG94" s="1" t="s">
        <v>74</v>
      </c>
      <c r="AH94" s="1" t="s">
        <v>74</v>
      </c>
      <c r="AI94" s="1" t="s">
        <v>74</v>
      </c>
      <c r="AJ94" s="1" t="s">
        <v>74</v>
      </c>
      <c r="AK94" s="1" t="s">
        <v>74</v>
      </c>
      <c r="AL94" s="1" t="s">
        <v>74</v>
      </c>
      <c r="AM94" s="1" t="s">
        <v>74</v>
      </c>
      <c r="AN94" s="1" t="s">
        <v>74</v>
      </c>
      <c r="AO94" s="1" t="s">
        <v>256</v>
      </c>
      <c r="AP94" s="1" t="s">
        <v>74</v>
      </c>
      <c r="AQ94" s="1" t="s">
        <v>74</v>
      </c>
      <c r="AR94" s="1" t="s">
        <v>74</v>
      </c>
      <c r="AS94" s="1" t="s">
        <v>74</v>
      </c>
      <c r="AT94" s="1" t="s">
        <v>90</v>
      </c>
      <c r="AU94" s="1">
        <v>2013.0</v>
      </c>
      <c r="AV94" s="1">
        <v>16.0</v>
      </c>
      <c r="AW94" s="1">
        <v>5.0</v>
      </c>
      <c r="AX94" s="1" t="s">
        <v>74</v>
      </c>
      <c r="AY94" s="1" t="s">
        <v>74</v>
      </c>
      <c r="AZ94" s="1" t="s">
        <v>74</v>
      </c>
      <c r="BA94" s="1" t="s">
        <v>74</v>
      </c>
      <c r="BB94" s="1" t="s">
        <v>74</v>
      </c>
      <c r="BC94" s="1" t="s">
        <v>74</v>
      </c>
      <c r="BD94" s="1">
        <v>8.0</v>
      </c>
      <c r="BE94" s="1" t="s">
        <v>1073</v>
      </c>
      <c r="BF94" s="2" t="str">
        <f>HYPERLINK("http://dx.doi.org/10.2225/vol16-issue5-fulltext-8","http://dx.doi.org/10.2225/vol16-issue5-fulltext-8")</f>
        <v>http://dx.doi.org/10.2225/vol16-issue5-fulltext-8</v>
      </c>
      <c r="BG94" s="1" t="s">
        <v>74</v>
      </c>
      <c r="BH94" s="1" t="s">
        <v>74</v>
      </c>
      <c r="BI94" s="1" t="s">
        <v>74</v>
      </c>
      <c r="BJ94" s="1" t="s">
        <v>74</v>
      </c>
      <c r="BK94" s="1" t="s">
        <v>74</v>
      </c>
      <c r="BL94" s="1" t="s">
        <v>74</v>
      </c>
      <c r="BM94" s="1" t="s">
        <v>74</v>
      </c>
      <c r="BN94" s="1" t="s">
        <v>74</v>
      </c>
      <c r="BO94" s="1" t="s">
        <v>74</v>
      </c>
      <c r="BP94" s="1" t="s">
        <v>74</v>
      </c>
      <c r="BQ94" s="1" t="s">
        <v>74</v>
      </c>
      <c r="BR94" s="1" t="s">
        <v>74</v>
      </c>
      <c r="BS94" s="1" t="s">
        <v>1074</v>
      </c>
      <c r="BT94" s="1" t="str">
        <f>HYPERLINK("https%3A%2F%2Fwww.webofscience.com%2Fwos%2Fwoscc%2Ffull-record%2FWOS:000328339900006","View Full Record in Web of Science")</f>
        <v>View Full Record in Web of Science</v>
      </c>
    </row>
    <row r="95" ht="12.75" customHeight="1">
      <c r="A95" s="1" t="s">
        <v>72</v>
      </c>
      <c r="B95" s="1" t="s">
        <v>1075</v>
      </c>
      <c r="C95" s="1" t="s">
        <v>74</v>
      </c>
      <c r="D95" s="1" t="s">
        <v>74</v>
      </c>
      <c r="E95" s="1" t="s">
        <v>74</v>
      </c>
      <c r="F95" s="1" t="s">
        <v>1076</v>
      </c>
      <c r="G95" s="1" t="s">
        <v>74</v>
      </c>
      <c r="H95" s="1" t="s">
        <v>74</v>
      </c>
      <c r="I95" s="1" t="s">
        <v>1077</v>
      </c>
      <c r="J95" s="1" t="s">
        <v>1078</v>
      </c>
      <c r="K95" s="1" t="s">
        <v>74</v>
      </c>
      <c r="L95" s="1" t="s">
        <v>74</v>
      </c>
      <c r="M95" s="1" t="s">
        <v>74</v>
      </c>
      <c r="N95" s="1" t="s">
        <v>74</v>
      </c>
      <c r="O95" s="1" t="s">
        <v>74</v>
      </c>
      <c r="P95" s="1" t="s">
        <v>74</v>
      </c>
      <c r="Q95" s="1" t="s">
        <v>74</v>
      </c>
      <c r="R95" s="1" t="s">
        <v>74</v>
      </c>
      <c r="S95" s="1" t="s">
        <v>74</v>
      </c>
      <c r="T95" s="1" t="s">
        <v>74</v>
      </c>
      <c r="U95" s="1" t="s">
        <v>74</v>
      </c>
      <c r="V95" s="1" t="s">
        <v>1079</v>
      </c>
      <c r="W95" s="1" t="s">
        <v>74</v>
      </c>
      <c r="X95" s="1" t="s">
        <v>74</v>
      </c>
      <c r="Y95" s="1" t="s">
        <v>74</v>
      </c>
      <c r="Z95" s="1" t="s">
        <v>74</v>
      </c>
      <c r="AA95" s="1" t="s">
        <v>1080</v>
      </c>
      <c r="AB95" s="1" t="s">
        <v>1081</v>
      </c>
      <c r="AC95" s="1" t="s">
        <v>74</v>
      </c>
      <c r="AD95" s="1" t="s">
        <v>74</v>
      </c>
      <c r="AE95" s="1" t="s">
        <v>74</v>
      </c>
      <c r="AF95" s="1" t="s">
        <v>74</v>
      </c>
      <c r="AG95" s="1" t="s">
        <v>74</v>
      </c>
      <c r="AH95" s="1" t="s">
        <v>74</v>
      </c>
      <c r="AI95" s="1" t="s">
        <v>74</v>
      </c>
      <c r="AJ95" s="1" t="s">
        <v>74</v>
      </c>
      <c r="AK95" s="1" t="s">
        <v>74</v>
      </c>
      <c r="AL95" s="1" t="s">
        <v>74</v>
      </c>
      <c r="AM95" s="1" t="s">
        <v>74</v>
      </c>
      <c r="AN95" s="1" t="s">
        <v>74</v>
      </c>
      <c r="AO95" s="1" t="s">
        <v>1082</v>
      </c>
      <c r="AP95" s="1" t="s">
        <v>1083</v>
      </c>
      <c r="AQ95" s="1" t="s">
        <v>74</v>
      </c>
      <c r="AR95" s="1" t="s">
        <v>74</v>
      </c>
      <c r="AS95" s="1" t="s">
        <v>74</v>
      </c>
      <c r="AT95" s="1" t="s">
        <v>400</v>
      </c>
      <c r="AU95" s="1">
        <v>2013.0</v>
      </c>
      <c r="AV95" s="1">
        <v>34.0</v>
      </c>
      <c r="AW95" s="1">
        <v>16.0</v>
      </c>
      <c r="AX95" s="1" t="s">
        <v>74</v>
      </c>
      <c r="AY95" s="1" t="s">
        <v>74</v>
      </c>
      <c r="AZ95" s="1" t="s">
        <v>74</v>
      </c>
      <c r="BA95" s="1" t="s">
        <v>74</v>
      </c>
      <c r="BB95" s="1">
        <v>5812.0</v>
      </c>
      <c r="BC95" s="1">
        <v>5833.0</v>
      </c>
      <c r="BD95" s="1" t="s">
        <v>74</v>
      </c>
      <c r="BE95" s="1" t="s">
        <v>1084</v>
      </c>
      <c r="BF95" s="2" t="str">
        <f>HYPERLINK("http://dx.doi.org/10.1080/01431161.2013.796101","http://dx.doi.org/10.1080/01431161.2013.796101")</f>
        <v>http://dx.doi.org/10.1080/01431161.2013.796101</v>
      </c>
      <c r="BG95" s="1" t="s">
        <v>74</v>
      </c>
      <c r="BH95" s="1" t="s">
        <v>74</v>
      </c>
      <c r="BI95" s="1" t="s">
        <v>74</v>
      </c>
      <c r="BJ95" s="1" t="s">
        <v>74</v>
      </c>
      <c r="BK95" s="1" t="s">
        <v>74</v>
      </c>
      <c r="BL95" s="1" t="s">
        <v>74</v>
      </c>
      <c r="BM95" s="1" t="s">
        <v>74</v>
      </c>
      <c r="BN95" s="1" t="s">
        <v>74</v>
      </c>
      <c r="BO95" s="1" t="s">
        <v>74</v>
      </c>
      <c r="BP95" s="1" t="s">
        <v>74</v>
      </c>
      <c r="BQ95" s="1" t="s">
        <v>74</v>
      </c>
      <c r="BR95" s="1" t="s">
        <v>74</v>
      </c>
      <c r="BS95" s="1" t="s">
        <v>1085</v>
      </c>
      <c r="BT95" s="1" t="str">
        <f>HYPERLINK("https%3A%2F%2Fwww.webofscience.com%2Fwos%2Fwoscc%2Ffull-record%2FWOS:000320187700011","View Full Record in Web of Science")</f>
        <v>View Full Record in Web of Science</v>
      </c>
    </row>
    <row r="96" ht="12.75" customHeight="1">
      <c r="A96" s="1" t="s">
        <v>72</v>
      </c>
      <c r="B96" s="1" t="s">
        <v>609</v>
      </c>
      <c r="C96" s="1" t="s">
        <v>74</v>
      </c>
      <c r="D96" s="1" t="s">
        <v>74</v>
      </c>
      <c r="E96" s="1" t="s">
        <v>74</v>
      </c>
      <c r="F96" s="1" t="s">
        <v>610</v>
      </c>
      <c r="G96" s="1" t="s">
        <v>74</v>
      </c>
      <c r="H96" s="1" t="s">
        <v>74</v>
      </c>
      <c r="I96" s="1" t="s">
        <v>1086</v>
      </c>
      <c r="J96" s="1" t="s">
        <v>1087</v>
      </c>
      <c r="K96" s="1" t="s">
        <v>74</v>
      </c>
      <c r="L96" s="1" t="s">
        <v>74</v>
      </c>
      <c r="M96" s="1" t="s">
        <v>74</v>
      </c>
      <c r="N96" s="1" t="s">
        <v>74</v>
      </c>
      <c r="O96" s="1" t="s">
        <v>74</v>
      </c>
      <c r="P96" s="1" t="s">
        <v>74</v>
      </c>
      <c r="Q96" s="1" t="s">
        <v>74</v>
      </c>
      <c r="R96" s="1" t="s">
        <v>74</v>
      </c>
      <c r="S96" s="1" t="s">
        <v>74</v>
      </c>
      <c r="T96" s="1" t="s">
        <v>74</v>
      </c>
      <c r="U96" s="1" t="s">
        <v>74</v>
      </c>
      <c r="V96" s="1" t="s">
        <v>1088</v>
      </c>
      <c r="W96" s="1" t="s">
        <v>74</v>
      </c>
      <c r="X96" s="1" t="s">
        <v>74</v>
      </c>
      <c r="Y96" s="1" t="s">
        <v>74</v>
      </c>
      <c r="Z96" s="1" t="s">
        <v>74</v>
      </c>
      <c r="AA96" s="1" t="s">
        <v>74</v>
      </c>
      <c r="AB96" s="1" t="s">
        <v>614</v>
      </c>
      <c r="AC96" s="1" t="s">
        <v>74</v>
      </c>
      <c r="AD96" s="1" t="s">
        <v>74</v>
      </c>
      <c r="AE96" s="1" t="s">
        <v>74</v>
      </c>
      <c r="AF96" s="1" t="s">
        <v>74</v>
      </c>
      <c r="AG96" s="1" t="s">
        <v>74</v>
      </c>
      <c r="AH96" s="1" t="s">
        <v>74</v>
      </c>
      <c r="AI96" s="1" t="s">
        <v>74</v>
      </c>
      <c r="AJ96" s="1" t="s">
        <v>74</v>
      </c>
      <c r="AK96" s="1" t="s">
        <v>74</v>
      </c>
      <c r="AL96" s="1" t="s">
        <v>74</v>
      </c>
      <c r="AM96" s="1" t="s">
        <v>74</v>
      </c>
      <c r="AN96" s="1" t="s">
        <v>74</v>
      </c>
      <c r="AO96" s="1" t="s">
        <v>1089</v>
      </c>
      <c r="AP96" s="1" t="s">
        <v>1090</v>
      </c>
      <c r="AQ96" s="1" t="s">
        <v>74</v>
      </c>
      <c r="AR96" s="1" t="s">
        <v>74</v>
      </c>
      <c r="AS96" s="1" t="s">
        <v>74</v>
      </c>
      <c r="AT96" s="1" t="s">
        <v>339</v>
      </c>
      <c r="AU96" s="1">
        <v>2012.0</v>
      </c>
      <c r="AV96" s="1">
        <v>55.0</v>
      </c>
      <c r="AW96" s="1" t="s">
        <v>74</v>
      </c>
      <c r="AX96" s="1" t="s">
        <v>74</v>
      </c>
      <c r="AY96" s="1" t="s">
        <v>74</v>
      </c>
      <c r="AZ96" s="1" t="s">
        <v>74</v>
      </c>
      <c r="BA96" s="1" t="s">
        <v>74</v>
      </c>
      <c r="BB96" s="1">
        <v>74.0</v>
      </c>
      <c r="BC96" s="1">
        <v>84.0</v>
      </c>
      <c r="BD96" s="1" t="s">
        <v>74</v>
      </c>
      <c r="BE96" s="1" t="s">
        <v>1091</v>
      </c>
      <c r="BF96" s="2" t="str">
        <f>HYPERLINK("http://dx.doi.org/10.1016/j.ejmech.2012.07.003","http://dx.doi.org/10.1016/j.ejmech.2012.07.003")</f>
        <v>http://dx.doi.org/10.1016/j.ejmech.2012.07.003</v>
      </c>
      <c r="BG96" s="1" t="s">
        <v>74</v>
      </c>
      <c r="BH96" s="1" t="s">
        <v>74</v>
      </c>
      <c r="BI96" s="1" t="s">
        <v>74</v>
      </c>
      <c r="BJ96" s="1" t="s">
        <v>74</v>
      </c>
      <c r="BK96" s="1" t="s">
        <v>74</v>
      </c>
      <c r="BL96" s="1" t="s">
        <v>74</v>
      </c>
      <c r="BM96" s="1" t="s">
        <v>74</v>
      </c>
      <c r="BN96" s="1">
        <v>2.2835722E7</v>
      </c>
      <c r="BO96" s="1" t="s">
        <v>74</v>
      </c>
      <c r="BP96" s="1" t="s">
        <v>74</v>
      </c>
      <c r="BQ96" s="1" t="s">
        <v>74</v>
      </c>
      <c r="BR96" s="1" t="s">
        <v>74</v>
      </c>
      <c r="BS96" s="1" t="s">
        <v>1092</v>
      </c>
      <c r="BT96" s="1" t="str">
        <f>HYPERLINK("https%3A%2F%2Fwww.webofscience.com%2Fwos%2Fwoscc%2Ffull-record%2FWOS:000309494100009","View Full Record in Web of Science")</f>
        <v>View Full Record in Web of Science</v>
      </c>
    </row>
    <row r="97" ht="12.75" customHeight="1">
      <c r="A97" s="1" t="s">
        <v>72</v>
      </c>
      <c r="B97" s="1" t="s">
        <v>1093</v>
      </c>
      <c r="C97" s="1" t="s">
        <v>74</v>
      </c>
      <c r="D97" s="1" t="s">
        <v>74</v>
      </c>
      <c r="E97" s="1" t="s">
        <v>74</v>
      </c>
      <c r="F97" s="1" t="s">
        <v>1094</v>
      </c>
      <c r="G97" s="1" t="s">
        <v>74</v>
      </c>
      <c r="H97" s="1" t="s">
        <v>74</v>
      </c>
      <c r="I97" s="1" t="s">
        <v>1095</v>
      </c>
      <c r="J97" s="1" t="s">
        <v>1096</v>
      </c>
      <c r="K97" s="1" t="s">
        <v>74</v>
      </c>
      <c r="L97" s="1" t="s">
        <v>74</v>
      </c>
      <c r="M97" s="1" t="s">
        <v>74</v>
      </c>
      <c r="N97" s="1" t="s">
        <v>74</v>
      </c>
      <c r="O97" s="1" t="s">
        <v>74</v>
      </c>
      <c r="P97" s="1" t="s">
        <v>74</v>
      </c>
      <c r="Q97" s="1" t="s">
        <v>74</v>
      </c>
      <c r="R97" s="1" t="s">
        <v>74</v>
      </c>
      <c r="S97" s="1" t="s">
        <v>74</v>
      </c>
      <c r="T97" s="1" t="s">
        <v>74</v>
      </c>
      <c r="U97" s="1" t="s">
        <v>74</v>
      </c>
      <c r="V97" s="1" t="s">
        <v>1097</v>
      </c>
      <c r="W97" s="1" t="s">
        <v>74</v>
      </c>
      <c r="X97" s="1" t="s">
        <v>74</v>
      </c>
      <c r="Y97" s="1" t="s">
        <v>74</v>
      </c>
      <c r="Z97" s="1" t="s">
        <v>74</v>
      </c>
      <c r="AA97" s="1" t="s">
        <v>1098</v>
      </c>
      <c r="AB97" s="1" t="s">
        <v>1099</v>
      </c>
      <c r="AC97" s="1" t="s">
        <v>74</v>
      </c>
      <c r="AD97" s="1" t="s">
        <v>74</v>
      </c>
      <c r="AE97" s="1" t="s">
        <v>74</v>
      </c>
      <c r="AF97" s="1" t="s">
        <v>74</v>
      </c>
      <c r="AG97" s="1" t="s">
        <v>74</v>
      </c>
      <c r="AH97" s="1" t="s">
        <v>74</v>
      </c>
      <c r="AI97" s="1" t="s">
        <v>74</v>
      </c>
      <c r="AJ97" s="1" t="s">
        <v>74</v>
      </c>
      <c r="AK97" s="1" t="s">
        <v>74</v>
      </c>
      <c r="AL97" s="1" t="s">
        <v>74</v>
      </c>
      <c r="AM97" s="1" t="s">
        <v>74</v>
      </c>
      <c r="AN97" s="1" t="s">
        <v>74</v>
      </c>
      <c r="AO97" s="1" t="s">
        <v>1100</v>
      </c>
      <c r="AP97" s="1" t="s">
        <v>74</v>
      </c>
      <c r="AQ97" s="1" t="s">
        <v>74</v>
      </c>
      <c r="AR97" s="1" t="s">
        <v>74</v>
      </c>
      <c r="AS97" s="1" t="s">
        <v>74</v>
      </c>
      <c r="AT97" s="1" t="s">
        <v>1101</v>
      </c>
      <c r="AU97" s="1">
        <v>2012.0</v>
      </c>
      <c r="AV97" s="1">
        <v>116.0</v>
      </c>
      <c r="AW97" s="1">
        <v>32.0</v>
      </c>
      <c r="AX97" s="1" t="s">
        <v>74</v>
      </c>
      <c r="AY97" s="1" t="s">
        <v>74</v>
      </c>
      <c r="AZ97" s="1" t="s">
        <v>74</v>
      </c>
      <c r="BA97" s="1" t="s">
        <v>74</v>
      </c>
      <c r="BB97" s="1">
        <v>16979.0</v>
      </c>
      <c r="BC97" s="1">
        <v>16984.0</v>
      </c>
      <c r="BD97" s="1" t="s">
        <v>74</v>
      </c>
      <c r="BE97" s="1" t="s">
        <v>1102</v>
      </c>
      <c r="BF97" s="2" t="str">
        <f>HYPERLINK("http://dx.doi.org/10.1021/jp3025232","http://dx.doi.org/10.1021/jp3025232")</f>
        <v>http://dx.doi.org/10.1021/jp3025232</v>
      </c>
      <c r="BG97" s="1" t="s">
        <v>74</v>
      </c>
      <c r="BH97" s="1" t="s">
        <v>74</v>
      </c>
      <c r="BI97" s="1" t="s">
        <v>74</v>
      </c>
      <c r="BJ97" s="1" t="s">
        <v>74</v>
      </c>
      <c r="BK97" s="1" t="s">
        <v>74</v>
      </c>
      <c r="BL97" s="1" t="s">
        <v>74</v>
      </c>
      <c r="BM97" s="1" t="s">
        <v>74</v>
      </c>
      <c r="BN97" s="1" t="s">
        <v>74</v>
      </c>
      <c r="BO97" s="1" t="s">
        <v>74</v>
      </c>
      <c r="BP97" s="1" t="s">
        <v>74</v>
      </c>
      <c r="BQ97" s="1" t="s">
        <v>74</v>
      </c>
      <c r="BR97" s="1" t="s">
        <v>74</v>
      </c>
      <c r="BS97" s="1" t="s">
        <v>1103</v>
      </c>
      <c r="BT97" s="1" t="str">
        <f>HYPERLINK("https%3A%2F%2Fwww.webofscience.com%2Fwos%2Fwoscc%2Ffull-record%2FWOS:000307494600021","View Full Record in Web of Science")</f>
        <v>View Full Record in Web of Science</v>
      </c>
    </row>
    <row r="98" ht="12.75" customHeight="1">
      <c r="A98" s="1" t="s">
        <v>72</v>
      </c>
      <c r="B98" s="1" t="s">
        <v>1104</v>
      </c>
      <c r="C98" s="1" t="s">
        <v>74</v>
      </c>
      <c r="D98" s="1" t="s">
        <v>74</v>
      </c>
      <c r="E98" s="1" t="s">
        <v>74</v>
      </c>
      <c r="F98" s="1" t="s">
        <v>1105</v>
      </c>
      <c r="G98" s="1" t="s">
        <v>74</v>
      </c>
      <c r="H98" s="1" t="s">
        <v>74</v>
      </c>
      <c r="I98" s="1" t="s">
        <v>1106</v>
      </c>
      <c r="J98" s="1" t="s">
        <v>1107</v>
      </c>
      <c r="K98" s="1" t="s">
        <v>74</v>
      </c>
      <c r="L98" s="1" t="s">
        <v>74</v>
      </c>
      <c r="M98" s="1" t="s">
        <v>74</v>
      </c>
      <c r="N98" s="1" t="s">
        <v>74</v>
      </c>
      <c r="O98" s="1" t="s">
        <v>74</v>
      </c>
      <c r="P98" s="1" t="s">
        <v>74</v>
      </c>
      <c r="Q98" s="1" t="s">
        <v>74</v>
      </c>
      <c r="R98" s="1" t="s">
        <v>74</v>
      </c>
      <c r="S98" s="1" t="s">
        <v>74</v>
      </c>
      <c r="T98" s="1" t="s">
        <v>74</v>
      </c>
      <c r="U98" s="1" t="s">
        <v>74</v>
      </c>
      <c r="V98" s="1" t="s">
        <v>1108</v>
      </c>
      <c r="W98" s="1" t="s">
        <v>74</v>
      </c>
      <c r="X98" s="1" t="s">
        <v>74</v>
      </c>
      <c r="Y98" s="1" t="s">
        <v>74</v>
      </c>
      <c r="Z98" s="1" t="s">
        <v>74</v>
      </c>
      <c r="AA98" s="1" t="s">
        <v>1109</v>
      </c>
      <c r="AB98" s="1" t="s">
        <v>1110</v>
      </c>
      <c r="AC98" s="1" t="s">
        <v>74</v>
      </c>
      <c r="AD98" s="1" t="s">
        <v>74</v>
      </c>
      <c r="AE98" s="1" t="s">
        <v>74</v>
      </c>
      <c r="AF98" s="1" t="s">
        <v>74</v>
      </c>
      <c r="AG98" s="1" t="s">
        <v>74</v>
      </c>
      <c r="AH98" s="1" t="s">
        <v>74</v>
      </c>
      <c r="AI98" s="1" t="s">
        <v>74</v>
      </c>
      <c r="AJ98" s="1" t="s">
        <v>74</v>
      </c>
      <c r="AK98" s="1" t="s">
        <v>74</v>
      </c>
      <c r="AL98" s="1" t="s">
        <v>74</v>
      </c>
      <c r="AM98" s="1" t="s">
        <v>74</v>
      </c>
      <c r="AN98" s="1" t="s">
        <v>74</v>
      </c>
      <c r="AO98" s="1" t="s">
        <v>1111</v>
      </c>
      <c r="AP98" s="1" t="s">
        <v>1112</v>
      </c>
      <c r="AQ98" s="1" t="s">
        <v>74</v>
      </c>
      <c r="AR98" s="1" t="s">
        <v>74</v>
      </c>
      <c r="AS98" s="1" t="s">
        <v>74</v>
      </c>
      <c r="AT98" s="1" t="s">
        <v>90</v>
      </c>
      <c r="AU98" s="1">
        <v>2010.0</v>
      </c>
      <c r="AV98" s="1">
        <v>349.0</v>
      </c>
      <c r="AW98" s="1">
        <v>2.0</v>
      </c>
      <c r="AX98" s="1" t="s">
        <v>74</v>
      </c>
      <c r="AY98" s="1" t="s">
        <v>74</v>
      </c>
      <c r="AZ98" s="1" t="s">
        <v>74</v>
      </c>
      <c r="BA98" s="1" t="s">
        <v>74</v>
      </c>
      <c r="BB98" s="1">
        <v>565.0</v>
      </c>
      <c r="BC98" s="1">
        <v>570.0</v>
      </c>
      <c r="BD98" s="1" t="s">
        <v>74</v>
      </c>
      <c r="BE98" s="1" t="s">
        <v>1113</v>
      </c>
      <c r="BF98" s="2" t="str">
        <f>HYPERLINK("http://dx.doi.org/10.1016/j.jcis.2010.05.088","http://dx.doi.org/10.1016/j.jcis.2010.05.088")</f>
        <v>http://dx.doi.org/10.1016/j.jcis.2010.05.088</v>
      </c>
      <c r="BG98" s="1" t="s">
        <v>74</v>
      </c>
      <c r="BH98" s="1" t="s">
        <v>74</v>
      </c>
      <c r="BI98" s="1" t="s">
        <v>74</v>
      </c>
      <c r="BJ98" s="1" t="s">
        <v>74</v>
      </c>
      <c r="BK98" s="1" t="s">
        <v>74</v>
      </c>
      <c r="BL98" s="1" t="s">
        <v>74</v>
      </c>
      <c r="BM98" s="1" t="s">
        <v>74</v>
      </c>
      <c r="BN98" s="1">
        <v>2.0566205E7</v>
      </c>
      <c r="BO98" s="1" t="s">
        <v>74</v>
      </c>
      <c r="BP98" s="1" t="s">
        <v>74</v>
      </c>
      <c r="BQ98" s="1" t="s">
        <v>74</v>
      </c>
      <c r="BR98" s="1" t="s">
        <v>74</v>
      </c>
      <c r="BS98" s="1" t="s">
        <v>1114</v>
      </c>
      <c r="BT98" s="1" t="str">
        <f>HYPERLINK("https%3A%2F%2Fwww.webofscience.com%2Fwos%2Fwoscc%2Ffull-record%2FWOS:000280692000015","View Full Record in Web of Science")</f>
        <v>View Full Record in Web of Science</v>
      </c>
    </row>
    <row r="99" ht="12.75" customHeight="1">
      <c r="A99" s="1" t="s">
        <v>72</v>
      </c>
      <c r="B99" s="1" t="s">
        <v>1115</v>
      </c>
      <c r="C99" s="1" t="s">
        <v>74</v>
      </c>
      <c r="D99" s="1" t="s">
        <v>74</v>
      </c>
      <c r="E99" s="1" t="s">
        <v>74</v>
      </c>
      <c r="F99" s="1" t="s">
        <v>1116</v>
      </c>
      <c r="G99" s="1" t="s">
        <v>74</v>
      </c>
      <c r="H99" s="1" t="s">
        <v>74</v>
      </c>
      <c r="I99" s="1" t="s">
        <v>1117</v>
      </c>
      <c r="J99" s="1" t="s">
        <v>1118</v>
      </c>
      <c r="K99" s="1" t="s">
        <v>74</v>
      </c>
      <c r="L99" s="1" t="s">
        <v>74</v>
      </c>
      <c r="M99" s="1" t="s">
        <v>74</v>
      </c>
      <c r="N99" s="1" t="s">
        <v>74</v>
      </c>
      <c r="O99" s="1" t="s">
        <v>74</v>
      </c>
      <c r="P99" s="1" t="s">
        <v>74</v>
      </c>
      <c r="Q99" s="1" t="s">
        <v>74</v>
      </c>
      <c r="R99" s="1" t="s">
        <v>74</v>
      </c>
      <c r="S99" s="1" t="s">
        <v>74</v>
      </c>
      <c r="T99" s="1" t="s">
        <v>74</v>
      </c>
      <c r="U99" s="1" t="s">
        <v>74</v>
      </c>
      <c r="V99" s="1" t="s">
        <v>1119</v>
      </c>
      <c r="W99" s="1" t="s">
        <v>74</v>
      </c>
      <c r="X99" s="1" t="s">
        <v>74</v>
      </c>
      <c r="Y99" s="1" t="s">
        <v>74</v>
      </c>
      <c r="Z99" s="1" t="s">
        <v>74</v>
      </c>
      <c r="AA99" s="1" t="s">
        <v>1120</v>
      </c>
      <c r="AB99" s="1" t="s">
        <v>1121</v>
      </c>
      <c r="AC99" s="1" t="s">
        <v>74</v>
      </c>
      <c r="AD99" s="1" t="s">
        <v>74</v>
      </c>
      <c r="AE99" s="1" t="s">
        <v>74</v>
      </c>
      <c r="AF99" s="1" t="s">
        <v>74</v>
      </c>
      <c r="AG99" s="1" t="s">
        <v>74</v>
      </c>
      <c r="AH99" s="1" t="s">
        <v>74</v>
      </c>
      <c r="AI99" s="1" t="s">
        <v>74</v>
      </c>
      <c r="AJ99" s="1" t="s">
        <v>74</v>
      </c>
      <c r="AK99" s="1" t="s">
        <v>74</v>
      </c>
      <c r="AL99" s="1" t="s">
        <v>74</v>
      </c>
      <c r="AM99" s="1" t="s">
        <v>74</v>
      </c>
      <c r="AN99" s="1" t="s">
        <v>74</v>
      </c>
      <c r="AO99" s="1" t="s">
        <v>1122</v>
      </c>
      <c r="AP99" s="1" t="s">
        <v>74</v>
      </c>
      <c r="AQ99" s="1" t="s">
        <v>74</v>
      </c>
      <c r="AR99" s="1" t="s">
        <v>74</v>
      </c>
      <c r="AS99" s="1" t="s">
        <v>74</v>
      </c>
      <c r="AT99" s="1" t="s">
        <v>350</v>
      </c>
      <c r="AU99" s="1">
        <v>2010.0</v>
      </c>
      <c r="AV99" s="1">
        <v>16.0</v>
      </c>
      <c r="AW99" s="1">
        <v>4.0</v>
      </c>
      <c r="AX99" s="1" t="s">
        <v>74</v>
      </c>
      <c r="AY99" s="1" t="s">
        <v>74</v>
      </c>
      <c r="AZ99" s="1" t="s">
        <v>74</v>
      </c>
      <c r="BA99" s="1" t="s">
        <v>74</v>
      </c>
      <c r="BB99" s="1">
        <v>575.0</v>
      </c>
      <c r="BC99" s="1">
        <v>591.0</v>
      </c>
      <c r="BD99" s="1" t="s">
        <v>74</v>
      </c>
      <c r="BE99" s="1" t="s">
        <v>1123</v>
      </c>
      <c r="BF99" s="2" t="str">
        <f>HYPERLINK("http://dx.doi.org/10.1007/s10732-009-9102-x","http://dx.doi.org/10.1007/s10732-009-9102-x")</f>
        <v>http://dx.doi.org/10.1007/s10732-009-9102-x</v>
      </c>
      <c r="BG99" s="1" t="s">
        <v>74</v>
      </c>
      <c r="BH99" s="1" t="s">
        <v>74</v>
      </c>
      <c r="BI99" s="1" t="s">
        <v>74</v>
      </c>
      <c r="BJ99" s="1" t="s">
        <v>74</v>
      </c>
      <c r="BK99" s="1" t="s">
        <v>74</v>
      </c>
      <c r="BL99" s="1" t="s">
        <v>74</v>
      </c>
      <c r="BM99" s="1" t="s">
        <v>74</v>
      </c>
      <c r="BN99" s="1" t="s">
        <v>74</v>
      </c>
      <c r="BO99" s="1" t="s">
        <v>74</v>
      </c>
      <c r="BP99" s="1" t="s">
        <v>74</v>
      </c>
      <c r="BQ99" s="1" t="s">
        <v>74</v>
      </c>
      <c r="BR99" s="1" t="s">
        <v>74</v>
      </c>
      <c r="BS99" s="1" t="s">
        <v>1124</v>
      </c>
      <c r="BT99" s="1" t="str">
        <f>HYPERLINK("https%3A%2F%2Fwww.webofscience.com%2Fwos%2Fwoscc%2Ffull-record%2FWOS:000279034100003","View Full Record in Web of Science")</f>
        <v>View Full Record in Web of Science</v>
      </c>
    </row>
    <row r="100" ht="12.75" customHeight="1">
      <c r="A100" s="1" t="s">
        <v>72</v>
      </c>
      <c r="B100" s="1" t="s">
        <v>1125</v>
      </c>
      <c r="C100" s="1" t="s">
        <v>74</v>
      </c>
      <c r="D100" s="1" t="s">
        <v>74</v>
      </c>
      <c r="E100" s="1" t="s">
        <v>74</v>
      </c>
      <c r="F100" s="1" t="s">
        <v>1126</v>
      </c>
      <c r="G100" s="1" t="s">
        <v>74</v>
      </c>
      <c r="H100" s="1" t="s">
        <v>74</v>
      </c>
      <c r="I100" s="1" t="s">
        <v>1127</v>
      </c>
      <c r="J100" s="1" t="s">
        <v>1128</v>
      </c>
      <c r="K100" s="1" t="s">
        <v>74</v>
      </c>
      <c r="L100" s="1" t="s">
        <v>74</v>
      </c>
      <c r="M100" s="1" t="s">
        <v>74</v>
      </c>
      <c r="N100" s="1" t="s">
        <v>74</v>
      </c>
      <c r="O100" s="1" t="s">
        <v>74</v>
      </c>
      <c r="P100" s="1" t="s">
        <v>74</v>
      </c>
      <c r="Q100" s="1" t="s">
        <v>74</v>
      </c>
      <c r="R100" s="1" t="s">
        <v>74</v>
      </c>
      <c r="S100" s="1" t="s">
        <v>74</v>
      </c>
      <c r="T100" s="1" t="s">
        <v>74</v>
      </c>
      <c r="U100" s="1" t="s">
        <v>74</v>
      </c>
      <c r="V100" s="1" t="s">
        <v>1129</v>
      </c>
      <c r="W100" s="1" t="s">
        <v>74</v>
      </c>
      <c r="X100" s="1" t="s">
        <v>74</v>
      </c>
      <c r="Y100" s="1" t="s">
        <v>74</v>
      </c>
      <c r="Z100" s="1" t="s">
        <v>74</v>
      </c>
      <c r="AA100" s="1" t="s">
        <v>74</v>
      </c>
      <c r="AB100" s="1" t="s">
        <v>74</v>
      </c>
      <c r="AC100" s="1" t="s">
        <v>74</v>
      </c>
      <c r="AD100" s="1" t="s">
        <v>74</v>
      </c>
      <c r="AE100" s="1" t="s">
        <v>74</v>
      </c>
      <c r="AF100" s="1" t="s">
        <v>74</v>
      </c>
      <c r="AG100" s="1" t="s">
        <v>74</v>
      </c>
      <c r="AH100" s="1" t="s">
        <v>74</v>
      </c>
      <c r="AI100" s="1" t="s">
        <v>74</v>
      </c>
      <c r="AJ100" s="1" t="s">
        <v>74</v>
      </c>
      <c r="AK100" s="1" t="s">
        <v>74</v>
      </c>
      <c r="AL100" s="1" t="s">
        <v>74</v>
      </c>
      <c r="AM100" s="1" t="s">
        <v>74</v>
      </c>
      <c r="AN100" s="1" t="s">
        <v>74</v>
      </c>
      <c r="AO100" s="1" t="s">
        <v>1130</v>
      </c>
      <c r="AP100" s="1" t="s">
        <v>74</v>
      </c>
      <c r="AQ100" s="1" t="s">
        <v>74</v>
      </c>
      <c r="AR100" s="1" t="s">
        <v>74</v>
      </c>
      <c r="AS100" s="1" t="s">
        <v>74</v>
      </c>
      <c r="AT100" s="1" t="s">
        <v>350</v>
      </c>
      <c r="AU100" s="1">
        <v>2010.0</v>
      </c>
      <c r="AV100" s="1">
        <v>62.0</v>
      </c>
      <c r="AW100" s="1">
        <v>4.0</v>
      </c>
      <c r="AX100" s="1" t="s">
        <v>74</v>
      </c>
      <c r="AY100" s="1" t="s">
        <v>74</v>
      </c>
      <c r="AZ100" s="1" t="s">
        <v>74</v>
      </c>
      <c r="BA100" s="1" t="s">
        <v>74</v>
      </c>
      <c r="BB100" s="1">
        <v>377.0</v>
      </c>
      <c r="BC100" s="1">
        <v>381.0</v>
      </c>
      <c r="BD100" s="1" t="s">
        <v>74</v>
      </c>
      <c r="BE100" s="1" t="s">
        <v>74</v>
      </c>
      <c r="BF100" s="1" t="s">
        <v>74</v>
      </c>
      <c r="BG100" s="1" t="s">
        <v>74</v>
      </c>
      <c r="BH100" s="1" t="s">
        <v>74</v>
      </c>
      <c r="BI100" s="1" t="s">
        <v>74</v>
      </c>
      <c r="BJ100" s="1" t="s">
        <v>74</v>
      </c>
      <c r="BK100" s="1" t="s">
        <v>74</v>
      </c>
      <c r="BL100" s="1" t="s">
        <v>74</v>
      </c>
      <c r="BM100" s="1" t="s">
        <v>74</v>
      </c>
      <c r="BN100" s="1" t="s">
        <v>74</v>
      </c>
      <c r="BO100" s="1" t="s">
        <v>74</v>
      </c>
      <c r="BP100" s="1" t="s">
        <v>74</v>
      </c>
      <c r="BQ100" s="1" t="s">
        <v>74</v>
      </c>
      <c r="BR100" s="1" t="s">
        <v>74</v>
      </c>
      <c r="BS100" s="1" t="s">
        <v>1131</v>
      </c>
      <c r="BT100" s="1" t="str">
        <f>HYPERLINK("https%3A%2F%2Fwww.webofscience.com%2Fwos%2Fwoscc%2Ffull-record%2FWOS:000280433400009","View Full Record in Web of Science")</f>
        <v>View Full Record in Web of Science</v>
      </c>
    </row>
    <row r="101" ht="12.75" customHeight="1">
      <c r="A101" s="1" t="s">
        <v>72</v>
      </c>
      <c r="B101" s="1" t="s">
        <v>1132</v>
      </c>
      <c r="C101" s="1" t="s">
        <v>74</v>
      </c>
      <c r="D101" s="1" t="s">
        <v>74</v>
      </c>
      <c r="E101" s="1" t="s">
        <v>74</v>
      </c>
      <c r="F101" s="1" t="s">
        <v>1133</v>
      </c>
      <c r="G101" s="1" t="s">
        <v>74</v>
      </c>
      <c r="H101" s="1" t="s">
        <v>74</v>
      </c>
      <c r="I101" s="1" t="s">
        <v>1134</v>
      </c>
      <c r="J101" s="1" t="s">
        <v>1135</v>
      </c>
      <c r="K101" s="1" t="s">
        <v>74</v>
      </c>
      <c r="L101" s="1" t="s">
        <v>74</v>
      </c>
      <c r="M101" s="1" t="s">
        <v>74</v>
      </c>
      <c r="N101" s="1" t="s">
        <v>74</v>
      </c>
      <c r="O101" s="1" t="s">
        <v>74</v>
      </c>
      <c r="P101" s="1" t="s">
        <v>74</v>
      </c>
      <c r="Q101" s="1" t="s">
        <v>74</v>
      </c>
      <c r="R101" s="1" t="s">
        <v>74</v>
      </c>
      <c r="S101" s="1" t="s">
        <v>74</v>
      </c>
      <c r="T101" s="1" t="s">
        <v>74</v>
      </c>
      <c r="U101" s="1" t="s">
        <v>74</v>
      </c>
      <c r="V101" s="1" t="s">
        <v>1136</v>
      </c>
      <c r="W101" s="1" t="s">
        <v>74</v>
      </c>
      <c r="X101" s="1" t="s">
        <v>74</v>
      </c>
      <c r="Y101" s="1" t="s">
        <v>74</v>
      </c>
      <c r="Z101" s="1" t="s">
        <v>74</v>
      </c>
      <c r="AA101" s="1" t="s">
        <v>1137</v>
      </c>
      <c r="AB101" s="1" t="s">
        <v>1138</v>
      </c>
      <c r="AC101" s="1" t="s">
        <v>74</v>
      </c>
      <c r="AD101" s="1" t="s">
        <v>74</v>
      </c>
      <c r="AE101" s="1" t="s">
        <v>74</v>
      </c>
      <c r="AF101" s="1" t="s">
        <v>74</v>
      </c>
      <c r="AG101" s="1" t="s">
        <v>74</v>
      </c>
      <c r="AH101" s="1" t="s">
        <v>74</v>
      </c>
      <c r="AI101" s="1" t="s">
        <v>74</v>
      </c>
      <c r="AJ101" s="1" t="s">
        <v>74</v>
      </c>
      <c r="AK101" s="1" t="s">
        <v>74</v>
      </c>
      <c r="AL101" s="1" t="s">
        <v>74</v>
      </c>
      <c r="AM101" s="1" t="s">
        <v>74</v>
      </c>
      <c r="AN101" s="1" t="s">
        <v>74</v>
      </c>
      <c r="AO101" s="1" t="s">
        <v>1139</v>
      </c>
      <c r="AP101" s="1" t="s">
        <v>1140</v>
      </c>
      <c r="AQ101" s="1" t="s">
        <v>74</v>
      </c>
      <c r="AR101" s="1" t="s">
        <v>74</v>
      </c>
      <c r="AS101" s="1" t="s">
        <v>74</v>
      </c>
      <c r="AT101" s="1" t="s">
        <v>652</v>
      </c>
      <c r="AU101" s="1">
        <v>2009.0</v>
      </c>
      <c r="AV101" s="1">
        <v>59.0</v>
      </c>
      <c r="AW101" s="1">
        <v>12.0</v>
      </c>
      <c r="AX101" s="1" t="s">
        <v>74</v>
      </c>
      <c r="AY101" s="1" t="s">
        <v>74</v>
      </c>
      <c r="AZ101" s="1" t="s">
        <v>74</v>
      </c>
      <c r="BA101" s="1" t="s">
        <v>74</v>
      </c>
      <c r="BB101" s="1">
        <v>1481.0</v>
      </c>
      <c r="BC101" s="1">
        <v>1488.0</v>
      </c>
      <c r="BD101" s="1" t="s">
        <v>74</v>
      </c>
      <c r="BE101" s="1" t="s">
        <v>1141</v>
      </c>
      <c r="BF101" s="2" t="str">
        <f>HYPERLINK("http://dx.doi.org/10.3155/1047-3289.59.12.1481","http://dx.doi.org/10.3155/1047-3289.59.12.1481")</f>
        <v>http://dx.doi.org/10.3155/1047-3289.59.12.1481</v>
      </c>
      <c r="BG101" s="1" t="s">
        <v>74</v>
      </c>
      <c r="BH101" s="1" t="s">
        <v>74</v>
      </c>
      <c r="BI101" s="1" t="s">
        <v>74</v>
      </c>
      <c r="BJ101" s="1" t="s">
        <v>74</v>
      </c>
      <c r="BK101" s="1" t="s">
        <v>74</v>
      </c>
      <c r="BL101" s="1" t="s">
        <v>74</v>
      </c>
      <c r="BM101" s="1" t="s">
        <v>74</v>
      </c>
      <c r="BN101" s="1">
        <v>2.0066914E7</v>
      </c>
      <c r="BO101" s="1" t="s">
        <v>74</v>
      </c>
      <c r="BP101" s="1" t="s">
        <v>74</v>
      </c>
      <c r="BQ101" s="1" t="s">
        <v>74</v>
      </c>
      <c r="BR101" s="1" t="s">
        <v>74</v>
      </c>
      <c r="BS101" s="1" t="s">
        <v>1142</v>
      </c>
      <c r="BT101" s="1" t="str">
        <f>HYPERLINK("https%3A%2F%2Fwww.webofscience.com%2Fwos%2Fwoscc%2Ffull-record%2FWOS:000272414500012","View Full Record in Web of Science")</f>
        <v>View Full Record in Web of Science</v>
      </c>
    </row>
    <row r="102" ht="12.75" customHeight="1">
      <c r="A102" s="1" t="s">
        <v>72</v>
      </c>
      <c r="B102" s="1" t="s">
        <v>1143</v>
      </c>
      <c r="C102" s="1" t="s">
        <v>74</v>
      </c>
      <c r="D102" s="1" t="s">
        <v>74</v>
      </c>
      <c r="E102" s="1" t="s">
        <v>74</v>
      </c>
      <c r="F102" s="1" t="s">
        <v>1144</v>
      </c>
      <c r="G102" s="1" t="s">
        <v>74</v>
      </c>
      <c r="H102" s="1" t="s">
        <v>74</v>
      </c>
      <c r="I102" s="1" t="s">
        <v>1145</v>
      </c>
      <c r="J102" s="1" t="s">
        <v>861</v>
      </c>
      <c r="K102" s="1" t="s">
        <v>74</v>
      </c>
      <c r="L102" s="1" t="s">
        <v>74</v>
      </c>
      <c r="M102" s="1" t="s">
        <v>74</v>
      </c>
      <c r="N102" s="1" t="s">
        <v>74</v>
      </c>
      <c r="O102" s="1" t="s">
        <v>74</v>
      </c>
      <c r="P102" s="1" t="s">
        <v>74</v>
      </c>
      <c r="Q102" s="1" t="s">
        <v>74</v>
      </c>
      <c r="R102" s="1" t="s">
        <v>74</v>
      </c>
      <c r="S102" s="1" t="s">
        <v>74</v>
      </c>
      <c r="T102" s="1" t="s">
        <v>74</v>
      </c>
      <c r="U102" s="1" t="s">
        <v>74</v>
      </c>
      <c r="V102" s="1" t="s">
        <v>1146</v>
      </c>
      <c r="W102" s="1" t="s">
        <v>74</v>
      </c>
      <c r="X102" s="1" t="s">
        <v>74</v>
      </c>
      <c r="Y102" s="1" t="s">
        <v>74</v>
      </c>
      <c r="Z102" s="1" t="s">
        <v>74</v>
      </c>
      <c r="AA102" s="1" t="s">
        <v>74</v>
      </c>
      <c r="AB102" s="1" t="s">
        <v>1147</v>
      </c>
      <c r="AC102" s="1" t="s">
        <v>74</v>
      </c>
      <c r="AD102" s="1" t="s">
        <v>74</v>
      </c>
      <c r="AE102" s="1" t="s">
        <v>74</v>
      </c>
      <c r="AF102" s="1" t="s">
        <v>74</v>
      </c>
      <c r="AG102" s="1" t="s">
        <v>74</v>
      </c>
      <c r="AH102" s="1" t="s">
        <v>74</v>
      </c>
      <c r="AI102" s="1" t="s">
        <v>74</v>
      </c>
      <c r="AJ102" s="1" t="s">
        <v>74</v>
      </c>
      <c r="AK102" s="1" t="s">
        <v>74</v>
      </c>
      <c r="AL102" s="1" t="s">
        <v>74</v>
      </c>
      <c r="AM102" s="1" t="s">
        <v>74</v>
      </c>
      <c r="AN102" s="1" t="s">
        <v>74</v>
      </c>
      <c r="AO102" s="1" t="s">
        <v>865</v>
      </c>
      <c r="AP102" s="1" t="s">
        <v>866</v>
      </c>
      <c r="AQ102" s="1" t="s">
        <v>74</v>
      </c>
      <c r="AR102" s="1" t="s">
        <v>74</v>
      </c>
      <c r="AS102" s="1" t="s">
        <v>74</v>
      </c>
      <c r="AT102" s="1" t="s">
        <v>257</v>
      </c>
      <c r="AU102" s="1">
        <v>2008.0</v>
      </c>
      <c r="AV102" s="1">
        <v>20.0</v>
      </c>
      <c r="AW102" s="1">
        <v>3.0</v>
      </c>
      <c r="AX102" s="1" t="s">
        <v>74</v>
      </c>
      <c r="AY102" s="1" t="s">
        <v>74</v>
      </c>
      <c r="AZ102" s="1" t="s">
        <v>74</v>
      </c>
      <c r="BA102" s="1" t="s">
        <v>74</v>
      </c>
      <c r="BB102" s="1">
        <v>713.0</v>
      </c>
      <c r="BC102" s="1">
        <v>724.0</v>
      </c>
      <c r="BD102" s="1" t="s">
        <v>74</v>
      </c>
      <c r="BE102" s="1" t="s">
        <v>74</v>
      </c>
      <c r="BF102" s="1" t="s">
        <v>74</v>
      </c>
      <c r="BG102" s="1" t="s">
        <v>74</v>
      </c>
      <c r="BH102" s="1" t="s">
        <v>74</v>
      </c>
      <c r="BI102" s="1" t="s">
        <v>74</v>
      </c>
      <c r="BJ102" s="1" t="s">
        <v>74</v>
      </c>
      <c r="BK102" s="1" t="s">
        <v>74</v>
      </c>
      <c r="BL102" s="1" t="s">
        <v>74</v>
      </c>
      <c r="BM102" s="1" t="s">
        <v>74</v>
      </c>
      <c r="BN102" s="1" t="s">
        <v>74</v>
      </c>
      <c r="BO102" s="1" t="s">
        <v>74</v>
      </c>
      <c r="BP102" s="1" t="s">
        <v>74</v>
      </c>
      <c r="BQ102" s="1" t="s">
        <v>74</v>
      </c>
      <c r="BR102" s="1" t="s">
        <v>74</v>
      </c>
      <c r="BS102" s="1" t="s">
        <v>1148</v>
      </c>
      <c r="BT102" s="1" t="str">
        <f>HYPERLINK("https%3A%2F%2Fwww.webofscience.com%2Fwos%2Fwoscc%2Ffull-record%2FWOS:000252485600012","View Full Record in Web of Science")</f>
        <v>View Full Record in Web of Science</v>
      </c>
    </row>
    <row r="103" ht="12.75" customHeight="1">
      <c r="A103" s="1" t="s">
        <v>72</v>
      </c>
      <c r="B103" s="1" t="s">
        <v>1149</v>
      </c>
      <c r="C103" s="1" t="s">
        <v>74</v>
      </c>
      <c r="D103" s="1" t="s">
        <v>74</v>
      </c>
      <c r="E103" s="1" t="s">
        <v>74</v>
      </c>
      <c r="F103" s="1" t="s">
        <v>1150</v>
      </c>
      <c r="G103" s="1" t="s">
        <v>74</v>
      </c>
      <c r="H103" s="1" t="s">
        <v>74</v>
      </c>
      <c r="I103" s="1" t="s">
        <v>1151</v>
      </c>
      <c r="J103" s="1" t="s">
        <v>1152</v>
      </c>
      <c r="K103" s="1" t="s">
        <v>74</v>
      </c>
      <c r="L103" s="1" t="s">
        <v>74</v>
      </c>
      <c r="M103" s="1" t="s">
        <v>74</v>
      </c>
      <c r="N103" s="1" t="s">
        <v>74</v>
      </c>
      <c r="O103" s="1" t="s">
        <v>74</v>
      </c>
      <c r="P103" s="1" t="s">
        <v>74</v>
      </c>
      <c r="Q103" s="1" t="s">
        <v>74</v>
      </c>
      <c r="R103" s="1" t="s">
        <v>74</v>
      </c>
      <c r="S103" s="1" t="s">
        <v>74</v>
      </c>
      <c r="T103" s="1" t="s">
        <v>74</v>
      </c>
      <c r="U103" s="1" t="s">
        <v>74</v>
      </c>
      <c r="V103" s="1" t="s">
        <v>1153</v>
      </c>
      <c r="W103" s="1" t="s">
        <v>74</v>
      </c>
      <c r="X103" s="1" t="s">
        <v>74</v>
      </c>
      <c r="Y103" s="1" t="s">
        <v>74</v>
      </c>
      <c r="Z103" s="1" t="s">
        <v>74</v>
      </c>
      <c r="AA103" s="1" t="s">
        <v>74</v>
      </c>
      <c r="AB103" s="1" t="s">
        <v>1154</v>
      </c>
      <c r="AC103" s="1" t="s">
        <v>74</v>
      </c>
      <c r="AD103" s="1" t="s">
        <v>74</v>
      </c>
      <c r="AE103" s="1" t="s">
        <v>74</v>
      </c>
      <c r="AF103" s="1" t="s">
        <v>74</v>
      </c>
      <c r="AG103" s="1" t="s">
        <v>74</v>
      </c>
      <c r="AH103" s="1" t="s">
        <v>74</v>
      </c>
      <c r="AI103" s="1" t="s">
        <v>74</v>
      </c>
      <c r="AJ103" s="1" t="s">
        <v>74</v>
      </c>
      <c r="AK103" s="1" t="s">
        <v>74</v>
      </c>
      <c r="AL103" s="1" t="s">
        <v>74</v>
      </c>
      <c r="AM103" s="1" t="s">
        <v>74</v>
      </c>
      <c r="AN103" s="1" t="s">
        <v>74</v>
      </c>
      <c r="AO103" s="1" t="s">
        <v>1155</v>
      </c>
      <c r="AP103" s="1" t="s">
        <v>1156</v>
      </c>
      <c r="AQ103" s="1" t="s">
        <v>74</v>
      </c>
      <c r="AR103" s="1" t="s">
        <v>74</v>
      </c>
      <c r="AS103" s="1" t="s">
        <v>74</v>
      </c>
      <c r="AT103" s="1" t="s">
        <v>74</v>
      </c>
      <c r="AU103" s="1">
        <v>2008.0</v>
      </c>
      <c r="AV103" s="1">
        <v>46.0</v>
      </c>
      <c r="AW103" s="1">
        <v>5.0</v>
      </c>
      <c r="AX103" s="1" t="s">
        <v>74</v>
      </c>
      <c r="AY103" s="1" t="s">
        <v>74</v>
      </c>
      <c r="AZ103" s="1" t="s">
        <v>74</v>
      </c>
      <c r="BA103" s="1" t="s">
        <v>74</v>
      </c>
      <c r="BB103" s="1">
        <v>415.0</v>
      </c>
      <c r="BC103" s="1">
        <v>422.0</v>
      </c>
      <c r="BD103" s="1" t="s">
        <v>74</v>
      </c>
      <c r="BE103" s="1" t="s">
        <v>1157</v>
      </c>
      <c r="BF103" s="2" t="str">
        <f>HYPERLINK("http://dx.doi.org/10.1071/SR07130","http://dx.doi.org/10.1071/SR07130")</f>
        <v>http://dx.doi.org/10.1071/SR07130</v>
      </c>
      <c r="BG103" s="1" t="s">
        <v>74</v>
      </c>
      <c r="BH103" s="1" t="s">
        <v>74</v>
      </c>
      <c r="BI103" s="1" t="s">
        <v>74</v>
      </c>
      <c r="BJ103" s="1" t="s">
        <v>74</v>
      </c>
      <c r="BK103" s="1" t="s">
        <v>74</v>
      </c>
      <c r="BL103" s="1" t="s">
        <v>74</v>
      </c>
      <c r="BM103" s="1" t="s">
        <v>74</v>
      </c>
      <c r="BN103" s="1" t="s">
        <v>74</v>
      </c>
      <c r="BO103" s="1" t="s">
        <v>74</v>
      </c>
      <c r="BP103" s="1" t="s">
        <v>74</v>
      </c>
      <c r="BQ103" s="1" t="s">
        <v>74</v>
      </c>
      <c r="BR103" s="1" t="s">
        <v>74</v>
      </c>
      <c r="BS103" s="1" t="s">
        <v>1158</v>
      </c>
      <c r="BT103" s="1" t="str">
        <f>HYPERLINK("https%3A%2F%2Fwww.webofscience.com%2Fwos%2Fwoscc%2Ffull-record%2FWOS:000258823800002","View Full Record in Web of Science")</f>
        <v>View Full Record in Web of Science</v>
      </c>
    </row>
    <row r="104" ht="12.75" customHeight="1">
      <c r="A104" s="1" t="s">
        <v>72</v>
      </c>
      <c r="B104" s="1" t="s">
        <v>1159</v>
      </c>
      <c r="C104" s="1" t="s">
        <v>74</v>
      </c>
      <c r="D104" s="1" t="s">
        <v>74</v>
      </c>
      <c r="E104" s="1" t="s">
        <v>74</v>
      </c>
      <c r="F104" s="1" t="s">
        <v>1159</v>
      </c>
      <c r="G104" s="1" t="s">
        <v>74</v>
      </c>
      <c r="H104" s="1" t="s">
        <v>74</v>
      </c>
      <c r="I104" s="1" t="s">
        <v>1160</v>
      </c>
      <c r="J104" s="1" t="s">
        <v>489</v>
      </c>
      <c r="K104" s="1" t="s">
        <v>74</v>
      </c>
      <c r="L104" s="1" t="s">
        <v>74</v>
      </c>
      <c r="M104" s="1" t="s">
        <v>74</v>
      </c>
      <c r="N104" s="1" t="s">
        <v>74</v>
      </c>
      <c r="O104" s="1" t="s">
        <v>74</v>
      </c>
      <c r="P104" s="1" t="s">
        <v>74</v>
      </c>
      <c r="Q104" s="1" t="s">
        <v>74</v>
      </c>
      <c r="R104" s="1" t="s">
        <v>74</v>
      </c>
      <c r="S104" s="1" t="s">
        <v>74</v>
      </c>
      <c r="T104" s="1" t="s">
        <v>74</v>
      </c>
      <c r="U104" s="1" t="s">
        <v>74</v>
      </c>
      <c r="V104" s="1" t="s">
        <v>1161</v>
      </c>
      <c r="W104" s="1" t="s">
        <v>74</v>
      </c>
      <c r="X104" s="1" t="s">
        <v>74</v>
      </c>
      <c r="Y104" s="1" t="s">
        <v>74</v>
      </c>
      <c r="Z104" s="1" t="s">
        <v>74</v>
      </c>
      <c r="AA104" s="1" t="s">
        <v>74</v>
      </c>
      <c r="AB104" s="1" t="s">
        <v>74</v>
      </c>
      <c r="AC104" s="1" t="s">
        <v>74</v>
      </c>
      <c r="AD104" s="1" t="s">
        <v>74</v>
      </c>
      <c r="AE104" s="1" t="s">
        <v>74</v>
      </c>
      <c r="AF104" s="1" t="s">
        <v>74</v>
      </c>
      <c r="AG104" s="1" t="s">
        <v>74</v>
      </c>
      <c r="AH104" s="1" t="s">
        <v>74</v>
      </c>
      <c r="AI104" s="1" t="s">
        <v>74</v>
      </c>
      <c r="AJ104" s="1" t="s">
        <v>74</v>
      </c>
      <c r="AK104" s="1" t="s">
        <v>74</v>
      </c>
      <c r="AL104" s="1" t="s">
        <v>74</v>
      </c>
      <c r="AM104" s="1" t="s">
        <v>74</v>
      </c>
      <c r="AN104" s="1" t="s">
        <v>74</v>
      </c>
      <c r="AO104" s="1" t="s">
        <v>492</v>
      </c>
      <c r="AP104" s="1" t="s">
        <v>74</v>
      </c>
      <c r="AQ104" s="1" t="s">
        <v>74</v>
      </c>
      <c r="AR104" s="1" t="s">
        <v>74</v>
      </c>
      <c r="AS104" s="1" t="s">
        <v>74</v>
      </c>
      <c r="AT104" s="1" t="s">
        <v>257</v>
      </c>
      <c r="AU104" s="1">
        <v>2006.0</v>
      </c>
      <c r="AV104" s="1">
        <v>51.0</v>
      </c>
      <c r="AW104" s="1">
        <v>1.0</v>
      </c>
      <c r="AX104" s="1" t="s">
        <v>74</v>
      </c>
      <c r="AY104" s="1" t="s">
        <v>74</v>
      </c>
      <c r="AZ104" s="1" t="s">
        <v>74</v>
      </c>
      <c r="BA104" s="1" t="s">
        <v>74</v>
      </c>
      <c r="BB104" s="1">
        <v>829.0</v>
      </c>
      <c r="BC104" s="1">
        <v>835.0</v>
      </c>
      <c r="BD104" s="1" t="s">
        <v>74</v>
      </c>
      <c r="BE104" s="1" t="s">
        <v>74</v>
      </c>
      <c r="BF104" s="1" t="s">
        <v>74</v>
      </c>
      <c r="BG104" s="1" t="s">
        <v>74</v>
      </c>
      <c r="BH104" s="1" t="s">
        <v>74</v>
      </c>
      <c r="BI104" s="1" t="s">
        <v>74</v>
      </c>
      <c r="BJ104" s="1" t="s">
        <v>74</v>
      </c>
      <c r="BK104" s="1" t="s">
        <v>74</v>
      </c>
      <c r="BL104" s="1" t="s">
        <v>74</v>
      </c>
      <c r="BM104" s="1" t="s">
        <v>74</v>
      </c>
      <c r="BN104" s="1" t="s">
        <v>74</v>
      </c>
      <c r="BO104" s="1" t="s">
        <v>74</v>
      </c>
      <c r="BP104" s="1" t="s">
        <v>74</v>
      </c>
      <c r="BQ104" s="1" t="s">
        <v>74</v>
      </c>
      <c r="BR104" s="1" t="s">
        <v>74</v>
      </c>
      <c r="BS104" s="1" t="s">
        <v>1162</v>
      </c>
      <c r="BT104" s="1" t="str">
        <f>HYPERLINK("https%3A%2F%2Fwww.webofscience.com%2Fwos%2Fwoscc%2Ffull-record%2FWOS:000236260500014","View Full Record in Web of Science")</f>
        <v>View Full Record in Web of Science</v>
      </c>
    </row>
    <row r="105" ht="12.75" customHeight="1">
      <c r="A105" s="1" t="s">
        <v>506</v>
      </c>
      <c r="B105" s="1" t="s">
        <v>1163</v>
      </c>
      <c r="C105" s="1" t="s">
        <v>74</v>
      </c>
      <c r="D105" s="1" t="s">
        <v>1164</v>
      </c>
      <c r="E105" s="1" t="s">
        <v>74</v>
      </c>
      <c r="F105" s="1" t="s">
        <v>1163</v>
      </c>
      <c r="G105" s="1" t="s">
        <v>74</v>
      </c>
      <c r="H105" s="1" t="s">
        <v>74</v>
      </c>
      <c r="I105" s="1" t="s">
        <v>1165</v>
      </c>
      <c r="J105" s="1" t="s">
        <v>1166</v>
      </c>
      <c r="K105" s="1" t="s">
        <v>1167</v>
      </c>
      <c r="L105" s="1" t="s">
        <v>74</v>
      </c>
      <c r="M105" s="1" t="s">
        <v>74</v>
      </c>
      <c r="N105" s="1" t="s">
        <v>74</v>
      </c>
      <c r="O105" s="1" t="s">
        <v>1168</v>
      </c>
      <c r="P105" s="1" t="s">
        <v>1169</v>
      </c>
      <c r="Q105" s="1" t="s">
        <v>1170</v>
      </c>
      <c r="R105" s="1" t="s">
        <v>1171</v>
      </c>
      <c r="S105" s="1" t="s">
        <v>74</v>
      </c>
      <c r="T105" s="1" t="s">
        <v>74</v>
      </c>
      <c r="U105" s="1" t="s">
        <v>74</v>
      </c>
      <c r="V105" s="1" t="s">
        <v>1172</v>
      </c>
      <c r="W105" s="1" t="s">
        <v>74</v>
      </c>
      <c r="X105" s="1" t="s">
        <v>74</v>
      </c>
      <c r="Y105" s="1" t="s">
        <v>74</v>
      </c>
      <c r="Z105" s="1" t="s">
        <v>74</v>
      </c>
      <c r="AA105" s="1" t="s">
        <v>1173</v>
      </c>
      <c r="AB105" s="1" t="s">
        <v>1174</v>
      </c>
      <c r="AC105" s="1" t="s">
        <v>74</v>
      </c>
      <c r="AD105" s="1" t="s">
        <v>74</v>
      </c>
      <c r="AE105" s="1" t="s">
        <v>74</v>
      </c>
      <c r="AF105" s="1" t="s">
        <v>74</v>
      </c>
      <c r="AG105" s="1" t="s">
        <v>74</v>
      </c>
      <c r="AH105" s="1" t="s">
        <v>74</v>
      </c>
      <c r="AI105" s="1" t="s">
        <v>74</v>
      </c>
      <c r="AJ105" s="1" t="s">
        <v>74</v>
      </c>
      <c r="AK105" s="1" t="s">
        <v>74</v>
      </c>
      <c r="AL105" s="1" t="s">
        <v>74</v>
      </c>
      <c r="AM105" s="1" t="s">
        <v>74</v>
      </c>
      <c r="AN105" s="1" t="s">
        <v>74</v>
      </c>
      <c r="AO105" s="1" t="s">
        <v>1175</v>
      </c>
      <c r="AP105" s="1" t="s">
        <v>1176</v>
      </c>
      <c r="AQ105" s="1" t="s">
        <v>1177</v>
      </c>
      <c r="AR105" s="1" t="s">
        <v>74</v>
      </c>
      <c r="AS105" s="1" t="s">
        <v>74</v>
      </c>
      <c r="AT105" s="1" t="s">
        <v>74</v>
      </c>
      <c r="AU105" s="1">
        <v>2004.0</v>
      </c>
      <c r="AV105" s="1">
        <v>3212.0</v>
      </c>
      <c r="AW105" s="1" t="s">
        <v>74</v>
      </c>
      <c r="AX105" s="1">
        <v>2.0</v>
      </c>
      <c r="AY105" s="1" t="s">
        <v>74</v>
      </c>
      <c r="AZ105" s="1" t="s">
        <v>74</v>
      </c>
      <c r="BA105" s="1" t="s">
        <v>74</v>
      </c>
      <c r="BB105" s="1">
        <v>826.0</v>
      </c>
      <c r="BC105" s="1">
        <v>833.0</v>
      </c>
      <c r="BD105" s="1" t="s">
        <v>74</v>
      </c>
      <c r="BE105" s="1" t="s">
        <v>74</v>
      </c>
      <c r="BF105" s="1" t="s">
        <v>74</v>
      </c>
      <c r="BG105" s="1" t="s">
        <v>74</v>
      </c>
      <c r="BH105" s="1" t="s">
        <v>74</v>
      </c>
      <c r="BI105" s="1" t="s">
        <v>74</v>
      </c>
      <c r="BJ105" s="1" t="s">
        <v>74</v>
      </c>
      <c r="BK105" s="1" t="s">
        <v>74</v>
      </c>
      <c r="BL105" s="1" t="s">
        <v>74</v>
      </c>
      <c r="BM105" s="1" t="s">
        <v>74</v>
      </c>
      <c r="BN105" s="1" t="s">
        <v>74</v>
      </c>
      <c r="BO105" s="1" t="s">
        <v>74</v>
      </c>
      <c r="BP105" s="1" t="s">
        <v>74</v>
      </c>
      <c r="BQ105" s="1" t="s">
        <v>74</v>
      </c>
      <c r="BR105" s="1" t="s">
        <v>74</v>
      </c>
      <c r="BS105" s="1" t="s">
        <v>1178</v>
      </c>
      <c r="BT105" s="1" t="str">
        <f>HYPERLINK("https%3A%2F%2Fwww.webofscience.com%2Fwos%2Fwoscc%2Ffull-record%2FWOS:000224317200100","View Full Record in Web of Science")</f>
        <v>View Full Record in Web of Science</v>
      </c>
    </row>
    <row r="106" ht="12.75" customHeight="1">
      <c r="A106" s="1" t="s">
        <v>72</v>
      </c>
      <c r="B106" s="1" t="s">
        <v>1179</v>
      </c>
      <c r="C106" s="1" t="s">
        <v>74</v>
      </c>
      <c r="D106" s="1" t="s">
        <v>74</v>
      </c>
      <c r="E106" s="1" t="s">
        <v>74</v>
      </c>
      <c r="F106" s="1" t="s">
        <v>1179</v>
      </c>
      <c r="G106" s="1" t="s">
        <v>74</v>
      </c>
      <c r="H106" s="1" t="s">
        <v>74</v>
      </c>
      <c r="I106" s="1" t="s">
        <v>1180</v>
      </c>
      <c r="J106" s="1" t="s">
        <v>1181</v>
      </c>
      <c r="K106" s="1" t="s">
        <v>74</v>
      </c>
      <c r="L106" s="1" t="s">
        <v>74</v>
      </c>
      <c r="M106" s="1" t="s">
        <v>74</v>
      </c>
      <c r="N106" s="1" t="s">
        <v>74</v>
      </c>
      <c r="O106" s="1" t="s">
        <v>74</v>
      </c>
      <c r="P106" s="1" t="s">
        <v>74</v>
      </c>
      <c r="Q106" s="1" t="s">
        <v>74</v>
      </c>
      <c r="R106" s="1" t="s">
        <v>74</v>
      </c>
      <c r="S106" s="1" t="s">
        <v>74</v>
      </c>
      <c r="T106" s="1" t="s">
        <v>74</v>
      </c>
      <c r="U106" s="1" t="s">
        <v>74</v>
      </c>
      <c r="V106" s="1" t="s">
        <v>1182</v>
      </c>
      <c r="W106" s="1" t="s">
        <v>74</v>
      </c>
      <c r="X106" s="1" t="s">
        <v>74</v>
      </c>
      <c r="Y106" s="1" t="s">
        <v>74</v>
      </c>
      <c r="Z106" s="1" t="s">
        <v>74</v>
      </c>
      <c r="AA106" s="1" t="s">
        <v>74</v>
      </c>
      <c r="AB106" s="1" t="s">
        <v>74</v>
      </c>
      <c r="AC106" s="1" t="s">
        <v>74</v>
      </c>
      <c r="AD106" s="1" t="s">
        <v>74</v>
      </c>
      <c r="AE106" s="1" t="s">
        <v>74</v>
      </c>
      <c r="AF106" s="1" t="s">
        <v>74</v>
      </c>
      <c r="AG106" s="1" t="s">
        <v>74</v>
      </c>
      <c r="AH106" s="1" t="s">
        <v>74</v>
      </c>
      <c r="AI106" s="1" t="s">
        <v>74</v>
      </c>
      <c r="AJ106" s="1" t="s">
        <v>74</v>
      </c>
      <c r="AK106" s="1" t="s">
        <v>74</v>
      </c>
      <c r="AL106" s="1" t="s">
        <v>74</v>
      </c>
      <c r="AM106" s="1" t="s">
        <v>74</v>
      </c>
      <c r="AN106" s="1" t="s">
        <v>74</v>
      </c>
      <c r="AO106" s="1" t="s">
        <v>1183</v>
      </c>
      <c r="AP106" s="1" t="s">
        <v>74</v>
      </c>
      <c r="AQ106" s="1" t="s">
        <v>74</v>
      </c>
      <c r="AR106" s="1" t="s">
        <v>74</v>
      </c>
      <c r="AS106" s="1" t="s">
        <v>74</v>
      </c>
      <c r="AT106" s="1" t="s">
        <v>1184</v>
      </c>
      <c r="AU106" s="1">
        <v>2003.0</v>
      </c>
      <c r="AV106" s="1">
        <v>3.0</v>
      </c>
      <c r="AW106" s="1">
        <v>8.0</v>
      </c>
      <c r="AX106" s="1" t="s">
        <v>74</v>
      </c>
      <c r="AY106" s="1" t="s">
        <v>74</v>
      </c>
      <c r="AZ106" s="1" t="s">
        <v>74</v>
      </c>
      <c r="BA106" s="1" t="s">
        <v>74</v>
      </c>
      <c r="BB106" s="1">
        <v>395.0</v>
      </c>
      <c r="BC106" s="1">
        <v>399.0</v>
      </c>
      <c r="BD106" s="1" t="s">
        <v>74</v>
      </c>
      <c r="BE106" s="1" t="s">
        <v>1185</v>
      </c>
      <c r="BF106" s="2" t="str">
        <f>HYPERLINK("http://dx.doi.org/10.1002/mabi.200350008","http://dx.doi.org/10.1002/mabi.200350008")</f>
        <v>http://dx.doi.org/10.1002/mabi.200350008</v>
      </c>
      <c r="BG106" s="1" t="s">
        <v>74</v>
      </c>
      <c r="BH106" s="1" t="s">
        <v>74</v>
      </c>
      <c r="BI106" s="1" t="s">
        <v>74</v>
      </c>
      <c r="BJ106" s="1" t="s">
        <v>74</v>
      </c>
      <c r="BK106" s="1" t="s">
        <v>74</v>
      </c>
      <c r="BL106" s="1" t="s">
        <v>74</v>
      </c>
      <c r="BM106" s="1" t="s">
        <v>74</v>
      </c>
      <c r="BN106" s="1" t="s">
        <v>74</v>
      </c>
      <c r="BO106" s="1" t="s">
        <v>74</v>
      </c>
      <c r="BP106" s="1" t="s">
        <v>74</v>
      </c>
      <c r="BQ106" s="1" t="s">
        <v>74</v>
      </c>
      <c r="BR106" s="1" t="s">
        <v>74</v>
      </c>
      <c r="BS106" s="1" t="s">
        <v>1186</v>
      </c>
      <c r="BT106" s="1" t="str">
        <f>HYPERLINK("https%3A%2F%2Fwww.webofscience.com%2Fwos%2Fwoscc%2Ffull-record%2FWOS:000184787300001","View Full Record in Web of Science")</f>
        <v>View Full Record in Web of Science</v>
      </c>
    </row>
    <row r="107" ht="12.75" customHeight="1">
      <c r="A107" s="1" t="s">
        <v>72</v>
      </c>
      <c r="B107" s="1" t="s">
        <v>1187</v>
      </c>
      <c r="C107" s="1" t="s">
        <v>74</v>
      </c>
      <c r="D107" s="1" t="s">
        <v>74</v>
      </c>
      <c r="E107" s="1" t="s">
        <v>74</v>
      </c>
      <c r="F107" s="1" t="s">
        <v>1187</v>
      </c>
      <c r="G107" s="1" t="s">
        <v>74</v>
      </c>
      <c r="H107" s="1" t="s">
        <v>74</v>
      </c>
      <c r="I107" s="1" t="s">
        <v>1188</v>
      </c>
      <c r="J107" s="1" t="s">
        <v>1189</v>
      </c>
      <c r="K107" s="1" t="s">
        <v>74</v>
      </c>
      <c r="L107" s="1" t="s">
        <v>74</v>
      </c>
      <c r="M107" s="1" t="s">
        <v>74</v>
      </c>
      <c r="N107" s="1" t="s">
        <v>74</v>
      </c>
      <c r="O107" s="1" t="s">
        <v>74</v>
      </c>
      <c r="P107" s="1" t="s">
        <v>74</v>
      </c>
      <c r="Q107" s="1" t="s">
        <v>74</v>
      </c>
      <c r="R107" s="1" t="s">
        <v>74</v>
      </c>
      <c r="S107" s="1" t="s">
        <v>74</v>
      </c>
      <c r="T107" s="1" t="s">
        <v>74</v>
      </c>
      <c r="U107" s="1" t="s">
        <v>74</v>
      </c>
      <c r="V107" s="1" t="s">
        <v>74</v>
      </c>
      <c r="W107" s="1" t="s">
        <v>74</v>
      </c>
      <c r="X107" s="1" t="s">
        <v>74</v>
      </c>
      <c r="Y107" s="1" t="s">
        <v>74</v>
      </c>
      <c r="Z107" s="1" t="s">
        <v>74</v>
      </c>
      <c r="AA107" s="1" t="s">
        <v>1190</v>
      </c>
      <c r="AB107" s="1" t="s">
        <v>1191</v>
      </c>
      <c r="AC107" s="1" t="s">
        <v>74</v>
      </c>
      <c r="AD107" s="1" t="s">
        <v>74</v>
      </c>
      <c r="AE107" s="1" t="s">
        <v>74</v>
      </c>
      <c r="AF107" s="1" t="s">
        <v>74</v>
      </c>
      <c r="AG107" s="1" t="s">
        <v>74</v>
      </c>
      <c r="AH107" s="1" t="s">
        <v>74</v>
      </c>
      <c r="AI107" s="1" t="s">
        <v>74</v>
      </c>
      <c r="AJ107" s="1" t="s">
        <v>74</v>
      </c>
      <c r="AK107" s="1" t="s">
        <v>74</v>
      </c>
      <c r="AL107" s="1" t="s">
        <v>74</v>
      </c>
      <c r="AM107" s="1" t="s">
        <v>74</v>
      </c>
      <c r="AN107" s="1" t="s">
        <v>74</v>
      </c>
      <c r="AO107" s="1" t="s">
        <v>1192</v>
      </c>
      <c r="AP107" s="1" t="s">
        <v>1193</v>
      </c>
      <c r="AQ107" s="1" t="s">
        <v>74</v>
      </c>
      <c r="AR107" s="1" t="s">
        <v>74</v>
      </c>
      <c r="AS107" s="1" t="s">
        <v>74</v>
      </c>
      <c r="AT107" s="1" t="s">
        <v>74</v>
      </c>
      <c r="AU107" s="1">
        <v>2001.0</v>
      </c>
      <c r="AV107" s="1">
        <v>34.0</v>
      </c>
      <c r="AW107" s="1">
        <v>2.0</v>
      </c>
      <c r="AX107" s="1" t="s">
        <v>74</v>
      </c>
      <c r="AY107" s="1" t="s">
        <v>74</v>
      </c>
      <c r="AZ107" s="1" t="s">
        <v>74</v>
      </c>
      <c r="BA107" s="1" t="s">
        <v>74</v>
      </c>
      <c r="BB107" s="1">
        <v>51.0</v>
      </c>
      <c r="BC107" s="1">
        <v>73.0</v>
      </c>
      <c r="BD107" s="1" t="s">
        <v>74</v>
      </c>
      <c r="BE107" s="1" t="s">
        <v>74</v>
      </c>
      <c r="BF107" s="1" t="s">
        <v>74</v>
      </c>
      <c r="BG107" s="1" t="s">
        <v>74</v>
      </c>
      <c r="BH107" s="1" t="s">
        <v>74</v>
      </c>
      <c r="BI107" s="1" t="s">
        <v>74</v>
      </c>
      <c r="BJ107" s="1" t="s">
        <v>74</v>
      </c>
      <c r="BK107" s="1" t="s">
        <v>74</v>
      </c>
      <c r="BL107" s="1" t="s">
        <v>74</v>
      </c>
      <c r="BM107" s="1" t="s">
        <v>74</v>
      </c>
      <c r="BN107" s="1">
        <v>1.1715209E7</v>
      </c>
      <c r="BO107" s="1" t="s">
        <v>74</v>
      </c>
      <c r="BP107" s="1" t="s">
        <v>74</v>
      </c>
      <c r="BQ107" s="1" t="s">
        <v>74</v>
      </c>
      <c r="BR107" s="1" t="s">
        <v>74</v>
      </c>
      <c r="BS107" s="1" t="s">
        <v>1194</v>
      </c>
      <c r="BT107" s="1" t="str">
        <f>HYPERLINK("https%3A%2F%2Fwww.webofscience.com%2Fwos%2Fwoscc%2Ffull-record%2FWOS:000171382700004","View Full Record in Web of Science")</f>
        <v>View Full Record in Web of Science</v>
      </c>
    </row>
    <row r="108" ht="12.75" customHeight="1">
      <c r="A108" s="1" t="s">
        <v>72</v>
      </c>
      <c r="B108" s="1" t="s">
        <v>1195</v>
      </c>
      <c r="C108" s="1" t="s">
        <v>74</v>
      </c>
      <c r="D108" s="1" t="s">
        <v>74</v>
      </c>
      <c r="E108" s="1" t="s">
        <v>74</v>
      </c>
      <c r="F108" s="1" t="s">
        <v>1195</v>
      </c>
      <c r="G108" s="1" t="s">
        <v>74</v>
      </c>
      <c r="H108" s="1" t="s">
        <v>74</v>
      </c>
      <c r="I108" s="1" t="s">
        <v>1196</v>
      </c>
      <c r="J108" s="1" t="s">
        <v>1197</v>
      </c>
      <c r="K108" s="1" t="s">
        <v>74</v>
      </c>
      <c r="L108" s="1" t="s">
        <v>74</v>
      </c>
      <c r="M108" s="1" t="s">
        <v>74</v>
      </c>
      <c r="N108" s="1" t="s">
        <v>74</v>
      </c>
      <c r="O108" s="1" t="s">
        <v>74</v>
      </c>
      <c r="P108" s="1" t="s">
        <v>74</v>
      </c>
      <c r="Q108" s="1" t="s">
        <v>74</v>
      </c>
      <c r="R108" s="1" t="s">
        <v>74</v>
      </c>
      <c r="S108" s="1" t="s">
        <v>74</v>
      </c>
      <c r="T108" s="1" t="s">
        <v>74</v>
      </c>
      <c r="U108" s="1" t="s">
        <v>74</v>
      </c>
      <c r="V108" s="1" t="s">
        <v>1198</v>
      </c>
      <c r="W108" s="1" t="s">
        <v>74</v>
      </c>
      <c r="X108" s="1" t="s">
        <v>74</v>
      </c>
      <c r="Y108" s="1" t="s">
        <v>74</v>
      </c>
      <c r="Z108" s="1" t="s">
        <v>74</v>
      </c>
      <c r="AA108" s="1" t="s">
        <v>1199</v>
      </c>
      <c r="AB108" s="1" t="s">
        <v>1200</v>
      </c>
      <c r="AC108" s="1" t="s">
        <v>74</v>
      </c>
      <c r="AD108" s="1" t="s">
        <v>74</v>
      </c>
      <c r="AE108" s="1" t="s">
        <v>74</v>
      </c>
      <c r="AF108" s="1" t="s">
        <v>74</v>
      </c>
      <c r="AG108" s="1" t="s">
        <v>74</v>
      </c>
      <c r="AH108" s="1" t="s">
        <v>74</v>
      </c>
      <c r="AI108" s="1" t="s">
        <v>74</v>
      </c>
      <c r="AJ108" s="1" t="s">
        <v>74</v>
      </c>
      <c r="AK108" s="1" t="s">
        <v>74</v>
      </c>
      <c r="AL108" s="1" t="s">
        <v>74</v>
      </c>
      <c r="AM108" s="1" t="s">
        <v>74</v>
      </c>
      <c r="AN108" s="1" t="s">
        <v>74</v>
      </c>
      <c r="AO108" s="1" t="s">
        <v>1201</v>
      </c>
      <c r="AP108" s="1" t="s">
        <v>74</v>
      </c>
      <c r="AQ108" s="1" t="s">
        <v>74</v>
      </c>
      <c r="AR108" s="1" t="s">
        <v>74</v>
      </c>
      <c r="AS108" s="1" t="s">
        <v>74</v>
      </c>
      <c r="AT108" s="1" t="s">
        <v>1202</v>
      </c>
      <c r="AU108" s="1">
        <v>2000.0</v>
      </c>
      <c r="AV108" s="1">
        <v>19.0</v>
      </c>
      <c r="AW108" s="1" t="s">
        <v>1203</v>
      </c>
      <c r="AX108" s="1" t="s">
        <v>74</v>
      </c>
      <c r="AY108" s="1" t="s">
        <v>74</v>
      </c>
      <c r="AZ108" s="1" t="s">
        <v>74</v>
      </c>
      <c r="BA108" s="1" t="s">
        <v>74</v>
      </c>
      <c r="BB108" s="1">
        <v>2303.0</v>
      </c>
      <c r="BC108" s="1">
        <v>2312.0</v>
      </c>
      <c r="BD108" s="1" t="s">
        <v>74</v>
      </c>
      <c r="BE108" s="1" t="s">
        <v>1204</v>
      </c>
      <c r="BF108" s="2" t="str">
        <f>HYPERLINK("http://dx.doi.org/10.1016/S0277-5387(00)00493-9","http://dx.doi.org/10.1016/S0277-5387(00)00493-9")</f>
        <v>http://dx.doi.org/10.1016/S0277-5387(00)00493-9</v>
      </c>
      <c r="BG108" s="1" t="s">
        <v>74</v>
      </c>
      <c r="BH108" s="1" t="s">
        <v>74</v>
      </c>
      <c r="BI108" s="1" t="s">
        <v>74</v>
      </c>
      <c r="BJ108" s="1" t="s">
        <v>74</v>
      </c>
      <c r="BK108" s="1" t="s">
        <v>74</v>
      </c>
      <c r="BL108" s="1" t="s">
        <v>74</v>
      </c>
      <c r="BM108" s="1" t="s">
        <v>74</v>
      </c>
      <c r="BN108" s="1" t="s">
        <v>74</v>
      </c>
      <c r="BO108" s="1" t="s">
        <v>74</v>
      </c>
      <c r="BP108" s="1" t="s">
        <v>74</v>
      </c>
      <c r="BQ108" s="1" t="s">
        <v>74</v>
      </c>
      <c r="BR108" s="1" t="s">
        <v>74</v>
      </c>
      <c r="BS108" s="1" t="s">
        <v>1205</v>
      </c>
      <c r="BT108" s="1" t="str">
        <f>HYPERLINK("https%3A%2F%2Fwww.webofscience.com%2Fwos%2Fwoscc%2Ffull-record%2FWOS:000166064800010","View Full Record in Web of Science")</f>
        <v>View Full Record in Web of Science</v>
      </c>
    </row>
    <row r="109" ht="12.75" customHeight="1">
      <c r="A109" s="1" t="s">
        <v>72</v>
      </c>
      <c r="B109" s="1" t="s">
        <v>1206</v>
      </c>
      <c r="C109" s="1" t="s">
        <v>74</v>
      </c>
      <c r="D109" s="1" t="s">
        <v>74</v>
      </c>
      <c r="E109" s="1" t="s">
        <v>74</v>
      </c>
      <c r="F109" s="1" t="s">
        <v>1206</v>
      </c>
      <c r="G109" s="1" t="s">
        <v>74</v>
      </c>
      <c r="H109" s="1" t="s">
        <v>74</v>
      </c>
      <c r="I109" s="1" t="s">
        <v>1207</v>
      </c>
      <c r="J109" s="1" t="s">
        <v>1208</v>
      </c>
      <c r="K109" s="1" t="s">
        <v>74</v>
      </c>
      <c r="L109" s="1" t="s">
        <v>74</v>
      </c>
      <c r="M109" s="1" t="s">
        <v>74</v>
      </c>
      <c r="N109" s="1" t="s">
        <v>74</v>
      </c>
      <c r="O109" s="1" t="s">
        <v>74</v>
      </c>
      <c r="P109" s="1" t="s">
        <v>74</v>
      </c>
      <c r="Q109" s="1" t="s">
        <v>74</v>
      </c>
      <c r="R109" s="1" t="s">
        <v>74</v>
      </c>
      <c r="S109" s="1" t="s">
        <v>74</v>
      </c>
      <c r="T109" s="1" t="s">
        <v>74</v>
      </c>
      <c r="U109" s="1" t="s">
        <v>74</v>
      </c>
      <c r="V109" s="1" t="s">
        <v>1209</v>
      </c>
      <c r="W109" s="1" t="s">
        <v>74</v>
      </c>
      <c r="X109" s="1" t="s">
        <v>74</v>
      </c>
      <c r="Y109" s="1" t="s">
        <v>74</v>
      </c>
      <c r="Z109" s="1" t="s">
        <v>74</v>
      </c>
      <c r="AA109" s="1" t="s">
        <v>1210</v>
      </c>
      <c r="AB109" s="1" t="s">
        <v>74</v>
      </c>
      <c r="AC109" s="1" t="s">
        <v>74</v>
      </c>
      <c r="AD109" s="1" t="s">
        <v>74</v>
      </c>
      <c r="AE109" s="1" t="s">
        <v>74</v>
      </c>
      <c r="AF109" s="1" t="s">
        <v>74</v>
      </c>
      <c r="AG109" s="1" t="s">
        <v>74</v>
      </c>
      <c r="AH109" s="1" t="s">
        <v>74</v>
      </c>
      <c r="AI109" s="1" t="s">
        <v>74</v>
      </c>
      <c r="AJ109" s="1" t="s">
        <v>74</v>
      </c>
      <c r="AK109" s="1" t="s">
        <v>74</v>
      </c>
      <c r="AL109" s="1" t="s">
        <v>74</v>
      </c>
      <c r="AM109" s="1" t="s">
        <v>74</v>
      </c>
      <c r="AN109" s="1" t="s">
        <v>74</v>
      </c>
      <c r="AO109" s="1" t="s">
        <v>1211</v>
      </c>
      <c r="AP109" s="1" t="s">
        <v>74</v>
      </c>
      <c r="AQ109" s="1" t="s">
        <v>74</v>
      </c>
      <c r="AR109" s="1" t="s">
        <v>74</v>
      </c>
      <c r="AS109" s="1" t="s">
        <v>74</v>
      </c>
      <c r="AT109" s="1" t="s">
        <v>1212</v>
      </c>
      <c r="AU109" s="1">
        <v>1999.0</v>
      </c>
      <c r="AV109" s="1">
        <v>543.0</v>
      </c>
      <c r="AW109" s="1" t="s">
        <v>703</v>
      </c>
      <c r="AX109" s="1" t="s">
        <v>74</v>
      </c>
      <c r="AY109" s="1" t="s">
        <v>74</v>
      </c>
      <c r="AZ109" s="1" t="s">
        <v>74</v>
      </c>
      <c r="BA109" s="1" t="s">
        <v>74</v>
      </c>
      <c r="BB109" s="1">
        <v>447.0</v>
      </c>
      <c r="BC109" s="1">
        <v>465.0</v>
      </c>
      <c r="BD109" s="1" t="s">
        <v>74</v>
      </c>
      <c r="BE109" s="1" t="s">
        <v>1213</v>
      </c>
      <c r="BF109" s="2" t="str">
        <f>HYPERLINK("http://dx.doi.org/10.1016/S0550-3213(98)00832-3","http://dx.doi.org/10.1016/S0550-3213(98)00832-3")</f>
        <v>http://dx.doi.org/10.1016/S0550-3213(98)00832-3</v>
      </c>
      <c r="BG109" s="1" t="s">
        <v>74</v>
      </c>
      <c r="BH109" s="1" t="s">
        <v>74</v>
      </c>
      <c r="BI109" s="1" t="s">
        <v>74</v>
      </c>
      <c r="BJ109" s="1" t="s">
        <v>74</v>
      </c>
      <c r="BK109" s="1" t="s">
        <v>74</v>
      </c>
      <c r="BL109" s="1" t="s">
        <v>74</v>
      </c>
      <c r="BM109" s="1" t="s">
        <v>74</v>
      </c>
      <c r="BN109" s="1" t="s">
        <v>74</v>
      </c>
      <c r="BO109" s="1" t="s">
        <v>74</v>
      </c>
      <c r="BP109" s="1" t="s">
        <v>74</v>
      </c>
      <c r="BQ109" s="1" t="s">
        <v>74</v>
      </c>
      <c r="BR109" s="1" t="s">
        <v>74</v>
      </c>
      <c r="BS109" s="1" t="s">
        <v>1214</v>
      </c>
      <c r="BT109" s="1" t="str">
        <f>HYPERLINK("https%3A%2F%2Fwww.webofscience.com%2Fwos%2Fwoscc%2Ffull-record%2FWOS:000079254700019","View Full Record in Web of Science")</f>
        <v>View Full Record in Web of Science</v>
      </c>
    </row>
    <row r="110" ht="12.75" customHeight="1">
      <c r="A110" s="1" t="s">
        <v>72</v>
      </c>
      <c r="B110" s="1" t="s">
        <v>1215</v>
      </c>
      <c r="C110" s="1" t="s">
        <v>74</v>
      </c>
      <c r="D110" s="1" t="s">
        <v>74</v>
      </c>
      <c r="E110" s="1" t="s">
        <v>74</v>
      </c>
      <c r="F110" s="1" t="s">
        <v>1216</v>
      </c>
      <c r="G110" s="1" t="s">
        <v>74</v>
      </c>
      <c r="H110" s="1" t="s">
        <v>74</v>
      </c>
      <c r="I110" s="1" t="s">
        <v>1217</v>
      </c>
      <c r="J110" s="1" t="s">
        <v>1218</v>
      </c>
      <c r="K110" s="1" t="s">
        <v>74</v>
      </c>
      <c r="L110" s="1" t="s">
        <v>74</v>
      </c>
      <c r="M110" s="1" t="s">
        <v>74</v>
      </c>
      <c r="N110" s="1" t="s">
        <v>74</v>
      </c>
      <c r="O110" s="1" t="s">
        <v>74</v>
      </c>
      <c r="P110" s="1" t="s">
        <v>74</v>
      </c>
      <c r="Q110" s="1" t="s">
        <v>74</v>
      </c>
      <c r="R110" s="1" t="s">
        <v>74</v>
      </c>
      <c r="S110" s="1" t="s">
        <v>74</v>
      </c>
      <c r="T110" s="1" t="s">
        <v>74</v>
      </c>
      <c r="U110" s="1" t="s">
        <v>74</v>
      </c>
      <c r="V110" s="1" t="s">
        <v>1219</v>
      </c>
      <c r="W110" s="1" t="s">
        <v>74</v>
      </c>
      <c r="X110" s="1" t="s">
        <v>74</v>
      </c>
      <c r="Y110" s="1" t="s">
        <v>74</v>
      </c>
      <c r="Z110" s="1" t="s">
        <v>74</v>
      </c>
      <c r="AA110" s="1" t="s">
        <v>1220</v>
      </c>
      <c r="AB110" s="1" t="s">
        <v>74</v>
      </c>
      <c r="AC110" s="1" t="s">
        <v>74</v>
      </c>
      <c r="AD110" s="1" t="s">
        <v>74</v>
      </c>
      <c r="AE110" s="1" t="s">
        <v>74</v>
      </c>
      <c r="AF110" s="1" t="s">
        <v>74</v>
      </c>
      <c r="AG110" s="1" t="s">
        <v>74</v>
      </c>
      <c r="AH110" s="1" t="s">
        <v>74</v>
      </c>
      <c r="AI110" s="1" t="s">
        <v>74</v>
      </c>
      <c r="AJ110" s="1" t="s">
        <v>74</v>
      </c>
      <c r="AK110" s="1" t="s">
        <v>74</v>
      </c>
      <c r="AL110" s="1" t="s">
        <v>74</v>
      </c>
      <c r="AM110" s="1" t="s">
        <v>74</v>
      </c>
      <c r="AN110" s="1" t="s">
        <v>74</v>
      </c>
      <c r="AO110" s="1" t="s">
        <v>1221</v>
      </c>
      <c r="AP110" s="1" t="s">
        <v>1222</v>
      </c>
      <c r="AQ110" s="1" t="s">
        <v>74</v>
      </c>
      <c r="AR110" s="1" t="s">
        <v>74</v>
      </c>
      <c r="AS110" s="1" t="s">
        <v>74</v>
      </c>
      <c r="AT110" s="1" t="s">
        <v>1223</v>
      </c>
      <c r="AU110" s="1">
        <v>2025.0</v>
      </c>
      <c r="AV110" s="1">
        <v>248.0</v>
      </c>
      <c r="AW110" s="1" t="s">
        <v>74</v>
      </c>
      <c r="AX110" s="1" t="s">
        <v>74</v>
      </c>
      <c r="AY110" s="1" t="s">
        <v>74</v>
      </c>
      <c r="AZ110" s="1" t="s">
        <v>74</v>
      </c>
      <c r="BA110" s="1" t="s">
        <v>74</v>
      </c>
      <c r="BB110" s="1" t="s">
        <v>74</v>
      </c>
      <c r="BC110" s="1" t="s">
        <v>74</v>
      </c>
      <c r="BD110" s="1">
        <v>122990.0</v>
      </c>
      <c r="BE110" s="1" t="s">
        <v>1224</v>
      </c>
      <c r="BF110" s="2" t="str">
        <f>HYPERLINK("http://dx.doi.org/10.1016/j.renene.2025.122990","http://dx.doi.org/10.1016/j.renene.2025.122990")</f>
        <v>http://dx.doi.org/10.1016/j.renene.2025.122990</v>
      </c>
      <c r="BG110" s="1" t="s">
        <v>74</v>
      </c>
      <c r="BH110" s="1" t="s">
        <v>74</v>
      </c>
      <c r="BI110" s="1" t="s">
        <v>74</v>
      </c>
      <c r="BJ110" s="1" t="s">
        <v>74</v>
      </c>
      <c r="BK110" s="1" t="s">
        <v>74</v>
      </c>
      <c r="BL110" s="1" t="s">
        <v>74</v>
      </c>
      <c r="BM110" s="1" t="s">
        <v>74</v>
      </c>
      <c r="BN110" s="1" t="s">
        <v>74</v>
      </c>
      <c r="BO110" s="1" t="s">
        <v>74</v>
      </c>
      <c r="BP110" s="1" t="s">
        <v>74</v>
      </c>
      <c r="BQ110" s="1" t="s">
        <v>74</v>
      </c>
      <c r="BR110" s="1" t="s">
        <v>74</v>
      </c>
      <c r="BS110" s="1" t="s">
        <v>1225</v>
      </c>
      <c r="BT110" s="1" t="str">
        <f>HYPERLINK("https%3A%2F%2Fwww.webofscience.com%2Fwos%2Fwoscc%2Ffull-record%2FWOS:001473226900001","View Full Record in Web of Science")</f>
        <v>View Full Record in Web of Science</v>
      </c>
    </row>
    <row r="111" ht="12.75" customHeight="1">
      <c r="A111" s="1" t="s">
        <v>72</v>
      </c>
      <c r="B111" s="1" t="s">
        <v>1226</v>
      </c>
      <c r="C111" s="1" t="s">
        <v>74</v>
      </c>
      <c r="D111" s="1" t="s">
        <v>74</v>
      </c>
      <c r="E111" s="1" t="s">
        <v>74</v>
      </c>
      <c r="F111" s="1" t="s">
        <v>1227</v>
      </c>
      <c r="G111" s="1" t="s">
        <v>74</v>
      </c>
      <c r="H111" s="1" t="s">
        <v>74</v>
      </c>
      <c r="I111" s="1" t="s">
        <v>1228</v>
      </c>
      <c r="J111" s="1" t="s">
        <v>1229</v>
      </c>
      <c r="K111" s="1" t="s">
        <v>74</v>
      </c>
      <c r="L111" s="1" t="s">
        <v>74</v>
      </c>
      <c r="M111" s="1" t="s">
        <v>74</v>
      </c>
      <c r="N111" s="1" t="s">
        <v>74</v>
      </c>
      <c r="O111" s="1" t="s">
        <v>74</v>
      </c>
      <c r="P111" s="1" t="s">
        <v>74</v>
      </c>
      <c r="Q111" s="1" t="s">
        <v>74</v>
      </c>
      <c r="R111" s="1" t="s">
        <v>74</v>
      </c>
      <c r="S111" s="1" t="s">
        <v>74</v>
      </c>
      <c r="T111" s="1" t="s">
        <v>74</v>
      </c>
      <c r="U111" s="1" t="s">
        <v>74</v>
      </c>
      <c r="V111" s="1" t="s">
        <v>1230</v>
      </c>
      <c r="W111" s="1" t="s">
        <v>74</v>
      </c>
      <c r="X111" s="1" t="s">
        <v>74</v>
      </c>
      <c r="Y111" s="1" t="s">
        <v>74</v>
      </c>
      <c r="Z111" s="1" t="s">
        <v>74</v>
      </c>
      <c r="AA111" s="1" t="s">
        <v>74</v>
      </c>
      <c r="AB111" s="1" t="s">
        <v>74</v>
      </c>
      <c r="AC111" s="1" t="s">
        <v>74</v>
      </c>
      <c r="AD111" s="1" t="s">
        <v>74</v>
      </c>
      <c r="AE111" s="1" t="s">
        <v>74</v>
      </c>
      <c r="AF111" s="1" t="s">
        <v>74</v>
      </c>
      <c r="AG111" s="1" t="s">
        <v>74</v>
      </c>
      <c r="AH111" s="1" t="s">
        <v>74</v>
      </c>
      <c r="AI111" s="1" t="s">
        <v>74</v>
      </c>
      <c r="AJ111" s="1" t="s">
        <v>74</v>
      </c>
      <c r="AK111" s="1" t="s">
        <v>74</v>
      </c>
      <c r="AL111" s="1" t="s">
        <v>74</v>
      </c>
      <c r="AM111" s="1" t="s">
        <v>74</v>
      </c>
      <c r="AN111" s="1" t="s">
        <v>74</v>
      </c>
      <c r="AO111" s="1" t="s">
        <v>1231</v>
      </c>
      <c r="AP111" s="1" t="s">
        <v>1232</v>
      </c>
      <c r="AQ111" s="1" t="s">
        <v>74</v>
      </c>
      <c r="AR111" s="1" t="s">
        <v>74</v>
      </c>
      <c r="AS111" s="1" t="s">
        <v>74</v>
      </c>
      <c r="AT111" s="1" t="s">
        <v>294</v>
      </c>
      <c r="AU111" s="1">
        <v>2025.0</v>
      </c>
      <c r="AV111" s="1">
        <v>11.0</v>
      </c>
      <c r="AW111" s="1">
        <v>2.0</v>
      </c>
      <c r="AX111" s="1" t="s">
        <v>74</v>
      </c>
      <c r="AY111" s="1" t="s">
        <v>74</v>
      </c>
      <c r="AZ111" s="1" t="s">
        <v>74</v>
      </c>
      <c r="BA111" s="1" t="s">
        <v>74</v>
      </c>
      <c r="BB111" s="1" t="s">
        <v>74</v>
      </c>
      <c r="BC111" s="1" t="s">
        <v>74</v>
      </c>
      <c r="BD111" s="1">
        <v>51.0</v>
      </c>
      <c r="BE111" s="1" t="s">
        <v>1233</v>
      </c>
      <c r="BF111" s="2" t="str">
        <f>HYPERLINK("http://dx.doi.org/10.1007/s40993-025-00631-z","http://dx.doi.org/10.1007/s40993-025-00631-z")</f>
        <v>http://dx.doi.org/10.1007/s40993-025-00631-z</v>
      </c>
      <c r="BG111" s="1" t="s">
        <v>74</v>
      </c>
      <c r="BH111" s="1" t="s">
        <v>74</v>
      </c>
      <c r="BI111" s="1" t="s">
        <v>74</v>
      </c>
      <c r="BJ111" s="1" t="s">
        <v>74</v>
      </c>
      <c r="BK111" s="1" t="s">
        <v>74</v>
      </c>
      <c r="BL111" s="1" t="s">
        <v>74</v>
      </c>
      <c r="BM111" s="1" t="s">
        <v>74</v>
      </c>
      <c r="BN111" s="1">
        <v>4.0292018E7</v>
      </c>
      <c r="BO111" s="1" t="s">
        <v>74</v>
      </c>
      <c r="BP111" s="1" t="s">
        <v>74</v>
      </c>
      <c r="BQ111" s="1" t="s">
        <v>74</v>
      </c>
      <c r="BR111" s="1" t="s">
        <v>74</v>
      </c>
      <c r="BS111" s="1" t="s">
        <v>1234</v>
      </c>
      <c r="BT111" s="1" t="str">
        <f>HYPERLINK("https%3A%2F%2Fwww.webofscience.com%2Fwos%2Fwoscc%2Ffull-record%2FWOS:001476776200001","View Full Record in Web of Science")</f>
        <v>View Full Record in Web of Science</v>
      </c>
    </row>
    <row r="112" ht="12.75" customHeight="1">
      <c r="A112" s="1" t="s">
        <v>72</v>
      </c>
      <c r="B112" s="1" t="s">
        <v>1235</v>
      </c>
      <c r="C112" s="1" t="s">
        <v>74</v>
      </c>
      <c r="D112" s="1" t="s">
        <v>74</v>
      </c>
      <c r="E112" s="1" t="s">
        <v>74</v>
      </c>
      <c r="F112" s="1" t="s">
        <v>1236</v>
      </c>
      <c r="G112" s="1" t="s">
        <v>74</v>
      </c>
      <c r="H112" s="1" t="s">
        <v>74</v>
      </c>
      <c r="I112" s="1" t="s">
        <v>1237</v>
      </c>
      <c r="J112" s="1" t="s">
        <v>1238</v>
      </c>
      <c r="K112" s="1" t="s">
        <v>74</v>
      </c>
      <c r="L112" s="1" t="s">
        <v>74</v>
      </c>
      <c r="M112" s="1" t="s">
        <v>74</v>
      </c>
      <c r="N112" s="1" t="s">
        <v>74</v>
      </c>
      <c r="O112" s="1" t="s">
        <v>74</v>
      </c>
      <c r="P112" s="1" t="s">
        <v>74</v>
      </c>
      <c r="Q112" s="1" t="s">
        <v>74</v>
      </c>
      <c r="R112" s="1" t="s">
        <v>74</v>
      </c>
      <c r="S112" s="1" t="s">
        <v>74</v>
      </c>
      <c r="T112" s="1" t="s">
        <v>74</v>
      </c>
      <c r="U112" s="1" t="s">
        <v>74</v>
      </c>
      <c r="V112" s="1" t="s">
        <v>1239</v>
      </c>
      <c r="W112" s="1" t="s">
        <v>74</v>
      </c>
      <c r="X112" s="1" t="s">
        <v>74</v>
      </c>
      <c r="Y112" s="1" t="s">
        <v>74</v>
      </c>
      <c r="Z112" s="1" t="s">
        <v>74</v>
      </c>
      <c r="AA112" s="1" t="s">
        <v>1240</v>
      </c>
      <c r="AB112" s="1" t="s">
        <v>74</v>
      </c>
      <c r="AC112" s="1" t="s">
        <v>74</v>
      </c>
      <c r="AD112" s="1" t="s">
        <v>74</v>
      </c>
      <c r="AE112" s="1" t="s">
        <v>74</v>
      </c>
      <c r="AF112" s="1" t="s">
        <v>74</v>
      </c>
      <c r="AG112" s="1" t="s">
        <v>74</v>
      </c>
      <c r="AH112" s="1" t="s">
        <v>74</v>
      </c>
      <c r="AI112" s="1" t="s">
        <v>74</v>
      </c>
      <c r="AJ112" s="1" t="s">
        <v>74</v>
      </c>
      <c r="AK112" s="1" t="s">
        <v>74</v>
      </c>
      <c r="AL112" s="1" t="s">
        <v>74</v>
      </c>
      <c r="AM112" s="1" t="s">
        <v>74</v>
      </c>
      <c r="AN112" s="1" t="s">
        <v>74</v>
      </c>
      <c r="AO112" s="1" t="s">
        <v>1241</v>
      </c>
      <c r="AP112" s="1" t="s">
        <v>1242</v>
      </c>
      <c r="AQ112" s="1" t="s">
        <v>74</v>
      </c>
      <c r="AR112" s="1" t="s">
        <v>74</v>
      </c>
      <c r="AS112" s="1" t="s">
        <v>74</v>
      </c>
      <c r="AT112" s="1" t="s">
        <v>1243</v>
      </c>
      <c r="AU112" s="1">
        <v>2024.0</v>
      </c>
      <c r="AV112" s="1">
        <v>88.0</v>
      </c>
      <c r="AW112" s="1" t="s">
        <v>74</v>
      </c>
      <c r="AX112" s="1" t="s">
        <v>74</v>
      </c>
      <c r="AY112" s="1" t="s">
        <v>74</v>
      </c>
      <c r="AZ112" s="1" t="s">
        <v>74</v>
      </c>
      <c r="BA112" s="1" t="s">
        <v>74</v>
      </c>
      <c r="BB112" s="1">
        <v>702.0</v>
      </c>
      <c r="BC112" s="1">
        <v>712.0</v>
      </c>
      <c r="BD112" s="1" t="s">
        <v>74</v>
      </c>
      <c r="BE112" s="1" t="s">
        <v>1244</v>
      </c>
      <c r="BF112" s="2" t="str">
        <f>HYPERLINK("http://dx.doi.org/10.1016/j.ijhydene.2024.09.228","http://dx.doi.org/10.1016/j.ijhydene.2024.09.228")</f>
        <v>http://dx.doi.org/10.1016/j.ijhydene.2024.09.228</v>
      </c>
      <c r="BG112" s="1" t="s">
        <v>74</v>
      </c>
      <c r="BH112" s="1" t="s">
        <v>1245</v>
      </c>
      <c r="BI112" s="1" t="s">
        <v>74</v>
      </c>
      <c r="BJ112" s="1" t="s">
        <v>74</v>
      </c>
      <c r="BK112" s="1" t="s">
        <v>74</v>
      </c>
      <c r="BL112" s="1" t="s">
        <v>74</v>
      </c>
      <c r="BM112" s="1" t="s">
        <v>74</v>
      </c>
      <c r="BN112" s="1" t="s">
        <v>74</v>
      </c>
      <c r="BO112" s="1" t="s">
        <v>74</v>
      </c>
      <c r="BP112" s="1" t="s">
        <v>74</v>
      </c>
      <c r="BQ112" s="1" t="s">
        <v>74</v>
      </c>
      <c r="BR112" s="1" t="s">
        <v>74</v>
      </c>
      <c r="BS112" s="1" t="s">
        <v>1246</v>
      </c>
      <c r="BT112" s="1" t="str">
        <f>HYPERLINK("https%3A%2F%2Fwww.webofscience.com%2Fwos%2Fwoscc%2Ffull-record%2FWOS:001321887600001","View Full Record in Web of Science")</f>
        <v>View Full Record in Web of Science</v>
      </c>
    </row>
    <row r="113" ht="12.75" customHeight="1">
      <c r="A113" s="1" t="s">
        <v>72</v>
      </c>
      <c r="B113" s="1" t="s">
        <v>1247</v>
      </c>
      <c r="C113" s="1" t="s">
        <v>74</v>
      </c>
      <c r="D113" s="1" t="s">
        <v>74</v>
      </c>
      <c r="E113" s="1" t="s">
        <v>74</v>
      </c>
      <c r="F113" s="1" t="s">
        <v>1248</v>
      </c>
      <c r="G113" s="1" t="s">
        <v>74</v>
      </c>
      <c r="H113" s="1" t="s">
        <v>74</v>
      </c>
      <c r="I113" s="1" t="s">
        <v>1249</v>
      </c>
      <c r="J113" s="1" t="s">
        <v>1250</v>
      </c>
      <c r="K113" s="1" t="s">
        <v>74</v>
      </c>
      <c r="L113" s="1" t="s">
        <v>74</v>
      </c>
      <c r="M113" s="1" t="s">
        <v>74</v>
      </c>
      <c r="N113" s="1" t="s">
        <v>74</v>
      </c>
      <c r="O113" s="1" t="s">
        <v>74</v>
      </c>
      <c r="P113" s="1" t="s">
        <v>74</v>
      </c>
      <c r="Q113" s="1" t="s">
        <v>74</v>
      </c>
      <c r="R113" s="1" t="s">
        <v>74</v>
      </c>
      <c r="S113" s="1" t="s">
        <v>74</v>
      </c>
      <c r="T113" s="1" t="s">
        <v>74</v>
      </c>
      <c r="U113" s="1" t="s">
        <v>74</v>
      </c>
      <c r="V113" s="1" t="s">
        <v>1251</v>
      </c>
      <c r="W113" s="1" t="s">
        <v>74</v>
      </c>
      <c r="X113" s="1" t="s">
        <v>74</v>
      </c>
      <c r="Y113" s="1" t="s">
        <v>74</v>
      </c>
      <c r="Z113" s="1" t="s">
        <v>74</v>
      </c>
      <c r="AA113" s="1" t="s">
        <v>1252</v>
      </c>
      <c r="AB113" s="1" t="s">
        <v>1253</v>
      </c>
      <c r="AC113" s="1" t="s">
        <v>74</v>
      </c>
      <c r="AD113" s="1" t="s">
        <v>74</v>
      </c>
      <c r="AE113" s="1" t="s">
        <v>74</v>
      </c>
      <c r="AF113" s="1" t="s">
        <v>74</v>
      </c>
      <c r="AG113" s="1" t="s">
        <v>74</v>
      </c>
      <c r="AH113" s="1" t="s">
        <v>74</v>
      </c>
      <c r="AI113" s="1" t="s">
        <v>74</v>
      </c>
      <c r="AJ113" s="1" t="s">
        <v>74</v>
      </c>
      <c r="AK113" s="1" t="s">
        <v>74</v>
      </c>
      <c r="AL113" s="1" t="s">
        <v>74</v>
      </c>
      <c r="AM113" s="1" t="s">
        <v>74</v>
      </c>
      <c r="AN113" s="1" t="s">
        <v>74</v>
      </c>
      <c r="AO113" s="1" t="s">
        <v>74</v>
      </c>
      <c r="AP113" s="1" t="s">
        <v>1254</v>
      </c>
      <c r="AQ113" s="1" t="s">
        <v>74</v>
      </c>
      <c r="AR113" s="1" t="s">
        <v>74</v>
      </c>
      <c r="AS113" s="1" t="s">
        <v>74</v>
      </c>
      <c r="AT113" s="1" t="s">
        <v>235</v>
      </c>
      <c r="AU113" s="1">
        <v>2024.0</v>
      </c>
      <c r="AV113" s="1">
        <v>16.0</v>
      </c>
      <c r="AW113" s="1">
        <v>2.0</v>
      </c>
      <c r="AX113" s="1" t="s">
        <v>74</v>
      </c>
      <c r="AY113" s="1" t="s">
        <v>74</v>
      </c>
      <c r="AZ113" s="1" t="s">
        <v>74</v>
      </c>
      <c r="BA113" s="1" t="s">
        <v>74</v>
      </c>
      <c r="BB113" s="1" t="s">
        <v>74</v>
      </c>
      <c r="BC113" s="1" t="s">
        <v>74</v>
      </c>
      <c r="BD113" s="1">
        <v>192.0</v>
      </c>
      <c r="BE113" s="1" t="s">
        <v>1255</v>
      </c>
      <c r="BF113" s="2" t="str">
        <f>HYPERLINK("http://dx.doi.org/10.3390/sym16020192","http://dx.doi.org/10.3390/sym16020192")</f>
        <v>http://dx.doi.org/10.3390/sym16020192</v>
      </c>
      <c r="BG113" s="1" t="s">
        <v>74</v>
      </c>
      <c r="BH113" s="1" t="s">
        <v>74</v>
      </c>
      <c r="BI113" s="1" t="s">
        <v>74</v>
      </c>
      <c r="BJ113" s="1" t="s">
        <v>74</v>
      </c>
      <c r="BK113" s="1" t="s">
        <v>74</v>
      </c>
      <c r="BL113" s="1" t="s">
        <v>74</v>
      </c>
      <c r="BM113" s="1" t="s">
        <v>74</v>
      </c>
      <c r="BN113" s="1" t="s">
        <v>74</v>
      </c>
      <c r="BO113" s="1" t="s">
        <v>74</v>
      </c>
      <c r="BP113" s="1" t="s">
        <v>74</v>
      </c>
      <c r="BQ113" s="1" t="s">
        <v>74</v>
      </c>
      <c r="BR113" s="1" t="s">
        <v>74</v>
      </c>
      <c r="BS113" s="1" t="s">
        <v>1256</v>
      </c>
      <c r="BT113" s="1" t="str">
        <f>HYPERLINK("https%3A%2F%2Fwww.webofscience.com%2Fwos%2Fwoscc%2Ffull-record%2FWOS:001172651400001","View Full Record in Web of Science")</f>
        <v>View Full Record in Web of Science</v>
      </c>
    </row>
    <row r="114" ht="12.75" customHeight="1">
      <c r="A114" s="1" t="s">
        <v>72</v>
      </c>
      <c r="B114" s="1" t="s">
        <v>1257</v>
      </c>
      <c r="C114" s="1" t="s">
        <v>74</v>
      </c>
      <c r="D114" s="1" t="s">
        <v>74</v>
      </c>
      <c r="E114" s="1" t="s">
        <v>74</v>
      </c>
      <c r="F114" s="1" t="s">
        <v>1258</v>
      </c>
      <c r="G114" s="1" t="s">
        <v>74</v>
      </c>
      <c r="H114" s="1" t="s">
        <v>74</v>
      </c>
      <c r="I114" s="1" t="s">
        <v>1259</v>
      </c>
      <c r="J114" s="1" t="s">
        <v>1260</v>
      </c>
      <c r="K114" s="1" t="s">
        <v>74</v>
      </c>
      <c r="L114" s="1" t="s">
        <v>74</v>
      </c>
      <c r="M114" s="1" t="s">
        <v>74</v>
      </c>
      <c r="N114" s="1" t="s">
        <v>74</v>
      </c>
      <c r="O114" s="1" t="s">
        <v>74</v>
      </c>
      <c r="P114" s="1" t="s">
        <v>74</v>
      </c>
      <c r="Q114" s="1" t="s">
        <v>74</v>
      </c>
      <c r="R114" s="1" t="s">
        <v>74</v>
      </c>
      <c r="S114" s="1" t="s">
        <v>74</v>
      </c>
      <c r="T114" s="1" t="s">
        <v>74</v>
      </c>
      <c r="U114" s="1" t="s">
        <v>74</v>
      </c>
      <c r="V114" s="1" t="s">
        <v>1261</v>
      </c>
      <c r="W114" s="1" t="s">
        <v>74</v>
      </c>
      <c r="X114" s="1" t="s">
        <v>74</v>
      </c>
      <c r="Y114" s="1" t="s">
        <v>74</v>
      </c>
      <c r="Z114" s="1" t="s">
        <v>74</v>
      </c>
      <c r="AA114" s="1" t="s">
        <v>1262</v>
      </c>
      <c r="AB114" s="1" t="s">
        <v>1263</v>
      </c>
      <c r="AC114" s="1" t="s">
        <v>74</v>
      </c>
      <c r="AD114" s="1" t="s">
        <v>74</v>
      </c>
      <c r="AE114" s="1" t="s">
        <v>74</v>
      </c>
      <c r="AF114" s="1" t="s">
        <v>74</v>
      </c>
      <c r="AG114" s="1" t="s">
        <v>74</v>
      </c>
      <c r="AH114" s="1" t="s">
        <v>74</v>
      </c>
      <c r="AI114" s="1" t="s">
        <v>74</v>
      </c>
      <c r="AJ114" s="1" t="s">
        <v>74</v>
      </c>
      <c r="AK114" s="1" t="s">
        <v>74</v>
      </c>
      <c r="AL114" s="1" t="s">
        <v>74</v>
      </c>
      <c r="AM114" s="1" t="s">
        <v>74</v>
      </c>
      <c r="AN114" s="1" t="s">
        <v>74</v>
      </c>
      <c r="AO114" s="1" t="s">
        <v>74</v>
      </c>
      <c r="AP114" s="1" t="s">
        <v>1264</v>
      </c>
      <c r="AQ114" s="1" t="s">
        <v>74</v>
      </c>
      <c r="AR114" s="1" t="s">
        <v>74</v>
      </c>
      <c r="AS114" s="1" t="s">
        <v>74</v>
      </c>
      <c r="AT114" s="1" t="s">
        <v>235</v>
      </c>
      <c r="AU114" s="1">
        <v>2024.0</v>
      </c>
      <c r="AV114" s="1">
        <v>14.0</v>
      </c>
      <c r="AW114" s="1">
        <v>4.0</v>
      </c>
      <c r="AX114" s="1" t="s">
        <v>74</v>
      </c>
      <c r="AY114" s="1" t="s">
        <v>74</v>
      </c>
      <c r="AZ114" s="1" t="s">
        <v>74</v>
      </c>
      <c r="BA114" s="1" t="s">
        <v>74</v>
      </c>
      <c r="BB114" s="1" t="s">
        <v>74</v>
      </c>
      <c r="BC114" s="1" t="s">
        <v>74</v>
      </c>
      <c r="BD114" s="1">
        <v>353.0</v>
      </c>
      <c r="BE114" s="1" t="s">
        <v>1265</v>
      </c>
      <c r="BF114" s="2" t="str">
        <f>HYPERLINK("http://dx.doi.org/10.3390/nano14040353","http://dx.doi.org/10.3390/nano14040353")</f>
        <v>http://dx.doi.org/10.3390/nano14040353</v>
      </c>
      <c r="BG114" s="1" t="s">
        <v>74</v>
      </c>
      <c r="BH114" s="1" t="s">
        <v>74</v>
      </c>
      <c r="BI114" s="1" t="s">
        <v>74</v>
      </c>
      <c r="BJ114" s="1" t="s">
        <v>74</v>
      </c>
      <c r="BK114" s="1" t="s">
        <v>74</v>
      </c>
      <c r="BL114" s="1" t="s">
        <v>74</v>
      </c>
      <c r="BM114" s="1" t="s">
        <v>74</v>
      </c>
      <c r="BN114" s="1">
        <v>3.8392725E7</v>
      </c>
      <c r="BO114" s="1" t="s">
        <v>74</v>
      </c>
      <c r="BP114" s="1" t="s">
        <v>74</v>
      </c>
      <c r="BQ114" s="1" t="s">
        <v>74</v>
      </c>
      <c r="BR114" s="1" t="s">
        <v>74</v>
      </c>
      <c r="BS114" s="1" t="s">
        <v>1266</v>
      </c>
      <c r="BT114" s="1" t="str">
        <f>HYPERLINK("https%3A%2F%2Fwww.webofscience.com%2Fwos%2Fwoscc%2Ffull-record%2FWOS:001176942000001","View Full Record in Web of Science")</f>
        <v>View Full Record in Web of Science</v>
      </c>
    </row>
    <row r="115" ht="12.75" customHeight="1">
      <c r="A115" s="1" t="s">
        <v>72</v>
      </c>
      <c r="B115" s="1" t="s">
        <v>1267</v>
      </c>
      <c r="C115" s="1" t="s">
        <v>74</v>
      </c>
      <c r="D115" s="1" t="s">
        <v>74</v>
      </c>
      <c r="E115" s="1" t="s">
        <v>74</v>
      </c>
      <c r="F115" s="1" t="s">
        <v>1268</v>
      </c>
      <c r="G115" s="1" t="s">
        <v>74</v>
      </c>
      <c r="H115" s="1" t="s">
        <v>74</v>
      </c>
      <c r="I115" s="1" t="s">
        <v>1269</v>
      </c>
      <c r="J115" s="1" t="s">
        <v>1270</v>
      </c>
      <c r="K115" s="1" t="s">
        <v>74</v>
      </c>
      <c r="L115" s="1" t="s">
        <v>74</v>
      </c>
      <c r="M115" s="1" t="s">
        <v>74</v>
      </c>
      <c r="N115" s="1" t="s">
        <v>74</v>
      </c>
      <c r="O115" s="1" t="s">
        <v>74</v>
      </c>
      <c r="P115" s="1" t="s">
        <v>74</v>
      </c>
      <c r="Q115" s="1" t="s">
        <v>74</v>
      </c>
      <c r="R115" s="1" t="s">
        <v>74</v>
      </c>
      <c r="S115" s="1" t="s">
        <v>74</v>
      </c>
      <c r="T115" s="1" t="s">
        <v>74</v>
      </c>
      <c r="U115" s="1" t="s">
        <v>74</v>
      </c>
      <c r="V115" s="1" t="s">
        <v>1271</v>
      </c>
      <c r="W115" s="1" t="s">
        <v>74</v>
      </c>
      <c r="X115" s="1" t="s">
        <v>74</v>
      </c>
      <c r="Y115" s="1" t="s">
        <v>74</v>
      </c>
      <c r="Z115" s="1" t="s">
        <v>74</v>
      </c>
      <c r="AA115" s="1" t="s">
        <v>1272</v>
      </c>
      <c r="AB115" s="1" t="s">
        <v>1273</v>
      </c>
      <c r="AC115" s="1" t="s">
        <v>74</v>
      </c>
      <c r="AD115" s="1" t="s">
        <v>74</v>
      </c>
      <c r="AE115" s="1" t="s">
        <v>74</v>
      </c>
      <c r="AF115" s="1" t="s">
        <v>74</v>
      </c>
      <c r="AG115" s="1" t="s">
        <v>74</v>
      </c>
      <c r="AH115" s="1" t="s">
        <v>74</v>
      </c>
      <c r="AI115" s="1" t="s">
        <v>74</v>
      </c>
      <c r="AJ115" s="1" t="s">
        <v>74</v>
      </c>
      <c r="AK115" s="1" t="s">
        <v>74</v>
      </c>
      <c r="AL115" s="1" t="s">
        <v>74</v>
      </c>
      <c r="AM115" s="1" t="s">
        <v>74</v>
      </c>
      <c r="AN115" s="1" t="s">
        <v>74</v>
      </c>
      <c r="AO115" s="1" t="s">
        <v>74</v>
      </c>
      <c r="AP115" s="1" t="s">
        <v>1274</v>
      </c>
      <c r="AQ115" s="1" t="s">
        <v>74</v>
      </c>
      <c r="AR115" s="1" t="s">
        <v>74</v>
      </c>
      <c r="AS115" s="1" t="s">
        <v>74</v>
      </c>
      <c r="AT115" s="1" t="s">
        <v>1275</v>
      </c>
      <c r="AU115" s="1">
        <v>2024.0</v>
      </c>
      <c r="AV115" s="1">
        <v>10.0</v>
      </c>
      <c r="AW115" s="1">
        <v>2.0</v>
      </c>
      <c r="AX115" s="1" t="s">
        <v>74</v>
      </c>
      <c r="AY115" s="1" t="s">
        <v>74</v>
      </c>
      <c r="AZ115" s="1" t="s">
        <v>74</v>
      </c>
      <c r="BA115" s="1" t="s">
        <v>74</v>
      </c>
      <c r="BB115" s="1" t="s">
        <v>74</v>
      </c>
      <c r="BC115" s="1" t="s">
        <v>74</v>
      </c>
      <c r="BD115" s="1" t="s">
        <v>1276</v>
      </c>
      <c r="BE115" s="1" t="s">
        <v>1277</v>
      </c>
      <c r="BF115" s="2" t="str">
        <f>HYPERLINK("http://dx.doi.org/10.1016/j.heliyon.2024.e24360","http://dx.doi.org/10.1016/j.heliyon.2024.e24360")</f>
        <v>http://dx.doi.org/10.1016/j.heliyon.2024.e24360</v>
      </c>
      <c r="BG115" s="1" t="s">
        <v>74</v>
      </c>
      <c r="BH115" s="1" t="s">
        <v>1278</v>
      </c>
      <c r="BI115" s="1" t="s">
        <v>74</v>
      </c>
      <c r="BJ115" s="1" t="s">
        <v>74</v>
      </c>
      <c r="BK115" s="1" t="s">
        <v>74</v>
      </c>
      <c r="BL115" s="1" t="s">
        <v>74</v>
      </c>
      <c r="BM115" s="1" t="s">
        <v>74</v>
      </c>
      <c r="BN115" s="1">
        <v>3.8293549E7</v>
      </c>
      <c r="BO115" s="1" t="s">
        <v>74</v>
      </c>
      <c r="BP115" s="1" t="s">
        <v>74</v>
      </c>
      <c r="BQ115" s="1" t="s">
        <v>74</v>
      </c>
      <c r="BR115" s="1" t="s">
        <v>74</v>
      </c>
      <c r="BS115" s="1" t="s">
        <v>1279</v>
      </c>
      <c r="BT115" s="1" t="str">
        <f>HYPERLINK("https%3A%2F%2Fwww.webofscience.com%2Fwos%2Fwoscc%2Ffull-record%2FWOS:001164874100001","View Full Record in Web of Science")</f>
        <v>View Full Record in Web of Science</v>
      </c>
    </row>
    <row r="116" ht="12.75" customHeight="1">
      <c r="A116" s="1" t="s">
        <v>72</v>
      </c>
      <c r="B116" s="1" t="s">
        <v>1280</v>
      </c>
      <c r="C116" s="1" t="s">
        <v>74</v>
      </c>
      <c r="D116" s="1" t="s">
        <v>74</v>
      </c>
      <c r="E116" s="1" t="s">
        <v>74</v>
      </c>
      <c r="F116" s="1" t="s">
        <v>1281</v>
      </c>
      <c r="G116" s="1" t="s">
        <v>74</v>
      </c>
      <c r="H116" s="1" t="s">
        <v>74</v>
      </c>
      <c r="I116" s="1" t="s">
        <v>1282</v>
      </c>
      <c r="J116" s="1" t="s">
        <v>1283</v>
      </c>
      <c r="K116" s="1" t="s">
        <v>74</v>
      </c>
      <c r="L116" s="1" t="s">
        <v>74</v>
      </c>
      <c r="M116" s="1" t="s">
        <v>74</v>
      </c>
      <c r="N116" s="1" t="s">
        <v>74</v>
      </c>
      <c r="O116" s="1" t="s">
        <v>74</v>
      </c>
      <c r="P116" s="1" t="s">
        <v>74</v>
      </c>
      <c r="Q116" s="1" t="s">
        <v>74</v>
      </c>
      <c r="R116" s="1" t="s">
        <v>74</v>
      </c>
      <c r="S116" s="1" t="s">
        <v>74</v>
      </c>
      <c r="T116" s="1" t="s">
        <v>74</v>
      </c>
      <c r="U116" s="1" t="s">
        <v>74</v>
      </c>
      <c r="V116" s="1" t="s">
        <v>1284</v>
      </c>
      <c r="W116" s="1" t="s">
        <v>74</v>
      </c>
      <c r="X116" s="1" t="s">
        <v>74</v>
      </c>
      <c r="Y116" s="1" t="s">
        <v>74</v>
      </c>
      <c r="Z116" s="1" t="s">
        <v>74</v>
      </c>
      <c r="AA116" s="1" t="s">
        <v>1285</v>
      </c>
      <c r="AB116" s="1" t="s">
        <v>1286</v>
      </c>
      <c r="AC116" s="1" t="s">
        <v>74</v>
      </c>
      <c r="AD116" s="1" t="s">
        <v>74</v>
      </c>
      <c r="AE116" s="1" t="s">
        <v>74</v>
      </c>
      <c r="AF116" s="1" t="s">
        <v>74</v>
      </c>
      <c r="AG116" s="1" t="s">
        <v>74</v>
      </c>
      <c r="AH116" s="1" t="s">
        <v>74</v>
      </c>
      <c r="AI116" s="1" t="s">
        <v>74</v>
      </c>
      <c r="AJ116" s="1" t="s">
        <v>74</v>
      </c>
      <c r="AK116" s="1" t="s">
        <v>74</v>
      </c>
      <c r="AL116" s="1" t="s">
        <v>74</v>
      </c>
      <c r="AM116" s="1" t="s">
        <v>74</v>
      </c>
      <c r="AN116" s="1" t="s">
        <v>74</v>
      </c>
      <c r="AO116" s="1" t="s">
        <v>1287</v>
      </c>
      <c r="AP116" s="1" t="s">
        <v>1288</v>
      </c>
      <c r="AQ116" s="1" t="s">
        <v>74</v>
      </c>
      <c r="AR116" s="1" t="s">
        <v>74</v>
      </c>
      <c r="AS116" s="1" t="s">
        <v>74</v>
      </c>
      <c r="AT116" s="1" t="s">
        <v>74</v>
      </c>
      <c r="AU116" s="1">
        <v>2024.0</v>
      </c>
      <c r="AV116" s="1">
        <v>62.0</v>
      </c>
      <c r="AW116" s="1">
        <v>1.0</v>
      </c>
      <c r="AX116" s="1" t="s">
        <v>74</v>
      </c>
      <c r="AY116" s="1" t="s">
        <v>74</v>
      </c>
      <c r="AZ116" s="1" t="s">
        <v>74</v>
      </c>
      <c r="BA116" s="1" t="s">
        <v>74</v>
      </c>
      <c r="BB116" s="1">
        <v>400.0</v>
      </c>
      <c r="BC116" s="1">
        <v>421.0</v>
      </c>
      <c r="BD116" s="1" t="s">
        <v>74</v>
      </c>
      <c r="BE116" s="1" t="s">
        <v>1289</v>
      </c>
      <c r="BF116" s="2" t="str">
        <f>HYPERLINK("http://dx.doi.org/10.1137/22M1516348","http://dx.doi.org/10.1137/22M1516348")</f>
        <v>http://dx.doi.org/10.1137/22M1516348</v>
      </c>
      <c r="BG116" s="1" t="s">
        <v>74</v>
      </c>
      <c r="BH116" s="1" t="s">
        <v>74</v>
      </c>
      <c r="BI116" s="1" t="s">
        <v>74</v>
      </c>
      <c r="BJ116" s="1" t="s">
        <v>74</v>
      </c>
      <c r="BK116" s="1" t="s">
        <v>74</v>
      </c>
      <c r="BL116" s="1" t="s">
        <v>74</v>
      </c>
      <c r="BM116" s="1" t="s">
        <v>74</v>
      </c>
      <c r="BN116" s="1" t="s">
        <v>74</v>
      </c>
      <c r="BO116" s="1" t="s">
        <v>74</v>
      </c>
      <c r="BP116" s="1" t="s">
        <v>74</v>
      </c>
      <c r="BQ116" s="1" t="s">
        <v>74</v>
      </c>
      <c r="BR116" s="1" t="s">
        <v>74</v>
      </c>
      <c r="BS116" s="1" t="s">
        <v>1290</v>
      </c>
      <c r="BT116" s="1" t="str">
        <f>HYPERLINK("https%3A%2F%2Fwww.webofscience.com%2Fwos%2Fwoscc%2Ffull-record%2FWOS:001174352200005","View Full Record in Web of Science")</f>
        <v>View Full Record in Web of Science</v>
      </c>
    </row>
    <row r="117" ht="12.75" customHeight="1">
      <c r="A117" s="1" t="s">
        <v>72</v>
      </c>
      <c r="B117" s="1" t="s">
        <v>1291</v>
      </c>
      <c r="C117" s="1" t="s">
        <v>74</v>
      </c>
      <c r="D117" s="1" t="s">
        <v>74</v>
      </c>
      <c r="E117" s="1" t="s">
        <v>74</v>
      </c>
      <c r="F117" s="1" t="s">
        <v>1292</v>
      </c>
      <c r="G117" s="1" t="s">
        <v>74</v>
      </c>
      <c r="H117" s="1" t="s">
        <v>74</v>
      </c>
      <c r="I117" s="1" t="s">
        <v>1293</v>
      </c>
      <c r="J117" s="1" t="s">
        <v>1294</v>
      </c>
      <c r="K117" s="1" t="s">
        <v>74</v>
      </c>
      <c r="L117" s="1" t="s">
        <v>74</v>
      </c>
      <c r="M117" s="1" t="s">
        <v>74</v>
      </c>
      <c r="N117" s="1" t="s">
        <v>74</v>
      </c>
      <c r="O117" s="1" t="s">
        <v>74</v>
      </c>
      <c r="P117" s="1" t="s">
        <v>74</v>
      </c>
      <c r="Q117" s="1" t="s">
        <v>74</v>
      </c>
      <c r="R117" s="1" t="s">
        <v>74</v>
      </c>
      <c r="S117" s="1" t="s">
        <v>74</v>
      </c>
      <c r="T117" s="1" t="s">
        <v>74</v>
      </c>
      <c r="U117" s="1" t="s">
        <v>74</v>
      </c>
      <c r="V117" s="1" t="s">
        <v>1295</v>
      </c>
      <c r="W117" s="1" t="s">
        <v>74</v>
      </c>
      <c r="X117" s="1" t="s">
        <v>74</v>
      </c>
      <c r="Y117" s="1" t="s">
        <v>74</v>
      </c>
      <c r="Z117" s="1" t="s">
        <v>74</v>
      </c>
      <c r="AA117" s="1" t="s">
        <v>1296</v>
      </c>
      <c r="AB117" s="1" t="s">
        <v>74</v>
      </c>
      <c r="AC117" s="1" t="s">
        <v>74</v>
      </c>
      <c r="AD117" s="1" t="s">
        <v>74</v>
      </c>
      <c r="AE117" s="1" t="s">
        <v>74</v>
      </c>
      <c r="AF117" s="1" t="s">
        <v>74</v>
      </c>
      <c r="AG117" s="1" t="s">
        <v>74</v>
      </c>
      <c r="AH117" s="1" t="s">
        <v>74</v>
      </c>
      <c r="AI117" s="1" t="s">
        <v>74</v>
      </c>
      <c r="AJ117" s="1" t="s">
        <v>74</v>
      </c>
      <c r="AK117" s="1" t="s">
        <v>74</v>
      </c>
      <c r="AL117" s="1" t="s">
        <v>74</v>
      </c>
      <c r="AM117" s="1" t="s">
        <v>74</v>
      </c>
      <c r="AN117" s="1" t="s">
        <v>74</v>
      </c>
      <c r="AO117" s="1" t="s">
        <v>1297</v>
      </c>
      <c r="AP117" s="1" t="s">
        <v>1298</v>
      </c>
      <c r="AQ117" s="1" t="s">
        <v>74</v>
      </c>
      <c r="AR117" s="1" t="s">
        <v>74</v>
      </c>
      <c r="AS117" s="1" t="s">
        <v>74</v>
      </c>
      <c r="AT117" s="1" t="s">
        <v>1299</v>
      </c>
      <c r="AU117" s="1">
        <v>2024.0</v>
      </c>
      <c r="AV117" s="1" t="s">
        <v>74</v>
      </c>
      <c r="AW117" s="1">
        <v>32.0</v>
      </c>
      <c r="AX117" s="1" t="s">
        <v>74</v>
      </c>
      <c r="AY117" s="1" t="s">
        <v>74</v>
      </c>
      <c r="AZ117" s="1" t="s">
        <v>74</v>
      </c>
      <c r="BA117" s="1" t="s">
        <v>74</v>
      </c>
      <c r="BB117" s="1">
        <v>25.0</v>
      </c>
      <c r="BC117" s="1">
        <v>65.0</v>
      </c>
      <c r="BD117" s="1" t="s">
        <v>74</v>
      </c>
      <c r="BE117" s="1" t="s">
        <v>74</v>
      </c>
      <c r="BF117" s="1" t="s">
        <v>74</v>
      </c>
      <c r="BG117" s="1" t="s">
        <v>74</v>
      </c>
      <c r="BH117" s="1" t="s">
        <v>74</v>
      </c>
      <c r="BI117" s="1" t="s">
        <v>74</v>
      </c>
      <c r="BJ117" s="1" t="s">
        <v>74</v>
      </c>
      <c r="BK117" s="1" t="s">
        <v>74</v>
      </c>
      <c r="BL117" s="1" t="s">
        <v>74</v>
      </c>
      <c r="BM117" s="1" t="s">
        <v>74</v>
      </c>
      <c r="BN117" s="1" t="s">
        <v>74</v>
      </c>
      <c r="BO117" s="1" t="s">
        <v>74</v>
      </c>
      <c r="BP117" s="1" t="s">
        <v>74</v>
      </c>
      <c r="BQ117" s="1" t="s">
        <v>74</v>
      </c>
      <c r="BR117" s="1" t="s">
        <v>74</v>
      </c>
      <c r="BS117" s="1" t="s">
        <v>1300</v>
      </c>
      <c r="BT117" s="1" t="str">
        <f>HYPERLINK("https%3A%2F%2Fwww.webofscience.com%2Fwos%2Fwoscc%2Ffull-record%2FWOS:001339596200002","View Full Record in Web of Science")</f>
        <v>View Full Record in Web of Science</v>
      </c>
    </row>
    <row r="118" ht="12.75" customHeight="1">
      <c r="A118" s="1" t="s">
        <v>72</v>
      </c>
      <c r="B118" s="1" t="s">
        <v>1301</v>
      </c>
      <c r="C118" s="1" t="s">
        <v>74</v>
      </c>
      <c r="D118" s="1" t="s">
        <v>74</v>
      </c>
      <c r="E118" s="1" t="s">
        <v>74</v>
      </c>
      <c r="F118" s="1" t="s">
        <v>1302</v>
      </c>
      <c r="G118" s="1" t="s">
        <v>74</v>
      </c>
      <c r="H118" s="1" t="s">
        <v>74</v>
      </c>
      <c r="I118" s="1" t="s">
        <v>1303</v>
      </c>
      <c r="J118" s="1" t="s">
        <v>755</v>
      </c>
      <c r="K118" s="1" t="s">
        <v>74</v>
      </c>
      <c r="L118" s="1" t="s">
        <v>74</v>
      </c>
      <c r="M118" s="1" t="s">
        <v>74</v>
      </c>
      <c r="N118" s="1" t="s">
        <v>74</v>
      </c>
      <c r="O118" s="1" t="s">
        <v>74</v>
      </c>
      <c r="P118" s="1" t="s">
        <v>74</v>
      </c>
      <c r="Q118" s="1" t="s">
        <v>74</v>
      </c>
      <c r="R118" s="1" t="s">
        <v>74</v>
      </c>
      <c r="S118" s="1" t="s">
        <v>74</v>
      </c>
      <c r="T118" s="1" t="s">
        <v>74</v>
      </c>
      <c r="U118" s="1" t="s">
        <v>74</v>
      </c>
      <c r="V118" s="1" t="s">
        <v>1304</v>
      </c>
      <c r="W118" s="1" t="s">
        <v>74</v>
      </c>
      <c r="X118" s="1" t="s">
        <v>74</v>
      </c>
      <c r="Y118" s="1" t="s">
        <v>74</v>
      </c>
      <c r="Z118" s="1" t="s">
        <v>74</v>
      </c>
      <c r="AA118" s="1" t="s">
        <v>1305</v>
      </c>
      <c r="AB118" s="1" t="s">
        <v>1306</v>
      </c>
      <c r="AC118" s="1" t="s">
        <v>74</v>
      </c>
      <c r="AD118" s="1" t="s">
        <v>74</v>
      </c>
      <c r="AE118" s="1" t="s">
        <v>74</v>
      </c>
      <c r="AF118" s="1" t="s">
        <v>74</v>
      </c>
      <c r="AG118" s="1" t="s">
        <v>74</v>
      </c>
      <c r="AH118" s="1" t="s">
        <v>74</v>
      </c>
      <c r="AI118" s="1" t="s">
        <v>74</v>
      </c>
      <c r="AJ118" s="1" t="s">
        <v>74</v>
      </c>
      <c r="AK118" s="1" t="s">
        <v>74</v>
      </c>
      <c r="AL118" s="1" t="s">
        <v>74</v>
      </c>
      <c r="AM118" s="1" t="s">
        <v>74</v>
      </c>
      <c r="AN118" s="1" t="s">
        <v>74</v>
      </c>
      <c r="AO118" s="1" t="s">
        <v>74</v>
      </c>
      <c r="AP118" s="1" t="s">
        <v>759</v>
      </c>
      <c r="AQ118" s="1" t="s">
        <v>74</v>
      </c>
      <c r="AR118" s="1" t="s">
        <v>74</v>
      </c>
      <c r="AS118" s="1" t="s">
        <v>74</v>
      </c>
      <c r="AT118" s="1" t="s">
        <v>652</v>
      </c>
      <c r="AU118" s="1">
        <v>2023.0</v>
      </c>
      <c r="AV118" s="1">
        <v>15.0</v>
      </c>
      <c r="AW118" s="1">
        <v>24.0</v>
      </c>
      <c r="AX118" s="1" t="s">
        <v>74</v>
      </c>
      <c r="AY118" s="1" t="s">
        <v>74</v>
      </c>
      <c r="AZ118" s="1" t="s">
        <v>74</v>
      </c>
      <c r="BA118" s="1" t="s">
        <v>74</v>
      </c>
      <c r="BB118" s="1" t="s">
        <v>74</v>
      </c>
      <c r="BC118" s="1" t="s">
        <v>74</v>
      </c>
      <c r="BD118" s="1">
        <v>16806.0</v>
      </c>
      <c r="BE118" s="1" t="s">
        <v>1307</v>
      </c>
      <c r="BF118" s="2" t="str">
        <f>HYPERLINK("http://dx.doi.org/10.3390/su152416806","http://dx.doi.org/10.3390/su152416806")</f>
        <v>http://dx.doi.org/10.3390/su152416806</v>
      </c>
      <c r="BG118" s="1" t="s">
        <v>74</v>
      </c>
      <c r="BH118" s="1" t="s">
        <v>74</v>
      </c>
      <c r="BI118" s="1" t="s">
        <v>74</v>
      </c>
      <c r="BJ118" s="1" t="s">
        <v>74</v>
      </c>
      <c r="BK118" s="1" t="s">
        <v>74</v>
      </c>
      <c r="BL118" s="1" t="s">
        <v>74</v>
      </c>
      <c r="BM118" s="1" t="s">
        <v>74</v>
      </c>
      <c r="BN118" s="1" t="s">
        <v>74</v>
      </c>
      <c r="BO118" s="1" t="s">
        <v>74</v>
      </c>
      <c r="BP118" s="1" t="s">
        <v>74</v>
      </c>
      <c r="BQ118" s="1" t="s">
        <v>74</v>
      </c>
      <c r="BR118" s="1" t="s">
        <v>74</v>
      </c>
      <c r="BS118" s="1" t="s">
        <v>1308</v>
      </c>
      <c r="BT118" s="1" t="str">
        <f>HYPERLINK("https%3A%2F%2Fwww.webofscience.com%2Fwos%2Fwoscc%2Ffull-record%2FWOS:001131140200001","View Full Record in Web of Science")</f>
        <v>View Full Record in Web of Science</v>
      </c>
    </row>
    <row r="119" ht="12.75" customHeight="1">
      <c r="A119" s="1" t="s">
        <v>72</v>
      </c>
      <c r="B119" s="1" t="s">
        <v>1309</v>
      </c>
      <c r="C119" s="1" t="s">
        <v>74</v>
      </c>
      <c r="D119" s="1" t="s">
        <v>74</v>
      </c>
      <c r="E119" s="1" t="s">
        <v>74</v>
      </c>
      <c r="F119" s="1" t="s">
        <v>1310</v>
      </c>
      <c r="G119" s="1" t="s">
        <v>74</v>
      </c>
      <c r="H119" s="1" t="s">
        <v>74</v>
      </c>
      <c r="I119" s="1" t="s">
        <v>1311</v>
      </c>
      <c r="J119" s="1" t="s">
        <v>1312</v>
      </c>
      <c r="K119" s="1" t="s">
        <v>74</v>
      </c>
      <c r="L119" s="1" t="s">
        <v>74</v>
      </c>
      <c r="M119" s="1" t="s">
        <v>74</v>
      </c>
      <c r="N119" s="1" t="s">
        <v>74</v>
      </c>
      <c r="O119" s="1" t="s">
        <v>74</v>
      </c>
      <c r="P119" s="1" t="s">
        <v>74</v>
      </c>
      <c r="Q119" s="1" t="s">
        <v>74</v>
      </c>
      <c r="R119" s="1" t="s">
        <v>74</v>
      </c>
      <c r="S119" s="1" t="s">
        <v>74</v>
      </c>
      <c r="T119" s="1" t="s">
        <v>74</v>
      </c>
      <c r="U119" s="1" t="s">
        <v>74</v>
      </c>
      <c r="V119" s="1" t="s">
        <v>1313</v>
      </c>
      <c r="W119" s="1" t="s">
        <v>74</v>
      </c>
      <c r="X119" s="1" t="s">
        <v>74</v>
      </c>
      <c r="Y119" s="1" t="s">
        <v>74</v>
      </c>
      <c r="Z119" s="1" t="s">
        <v>74</v>
      </c>
      <c r="AA119" s="1" t="s">
        <v>1314</v>
      </c>
      <c r="AB119" s="1" t="s">
        <v>1315</v>
      </c>
      <c r="AC119" s="1" t="s">
        <v>74</v>
      </c>
      <c r="AD119" s="1" t="s">
        <v>74</v>
      </c>
      <c r="AE119" s="1" t="s">
        <v>74</v>
      </c>
      <c r="AF119" s="1" t="s">
        <v>74</v>
      </c>
      <c r="AG119" s="1" t="s">
        <v>74</v>
      </c>
      <c r="AH119" s="1" t="s">
        <v>74</v>
      </c>
      <c r="AI119" s="1" t="s">
        <v>74</v>
      </c>
      <c r="AJ119" s="1" t="s">
        <v>74</v>
      </c>
      <c r="AK119" s="1" t="s">
        <v>74</v>
      </c>
      <c r="AL119" s="1" t="s">
        <v>74</v>
      </c>
      <c r="AM119" s="1" t="s">
        <v>74</v>
      </c>
      <c r="AN119" s="1" t="s">
        <v>74</v>
      </c>
      <c r="AO119" s="1" t="s">
        <v>1316</v>
      </c>
      <c r="AP119" s="1" t="s">
        <v>1317</v>
      </c>
      <c r="AQ119" s="1" t="s">
        <v>74</v>
      </c>
      <c r="AR119" s="1" t="s">
        <v>74</v>
      </c>
      <c r="AS119" s="1" t="s">
        <v>74</v>
      </c>
      <c r="AT119" s="1" t="s">
        <v>158</v>
      </c>
      <c r="AU119" s="1">
        <v>2023.0</v>
      </c>
      <c r="AV119" s="1">
        <v>111.0</v>
      </c>
      <c r="AW119" s="1">
        <v>13.0</v>
      </c>
      <c r="AX119" s="1" t="s">
        <v>74</v>
      </c>
      <c r="AY119" s="1" t="s">
        <v>74</v>
      </c>
      <c r="AZ119" s="1" t="s">
        <v>74</v>
      </c>
      <c r="BA119" s="1" t="s">
        <v>74</v>
      </c>
      <c r="BB119" s="1">
        <v>12421.0</v>
      </c>
      <c r="BC119" s="1">
        <v>12431.0</v>
      </c>
      <c r="BD119" s="1" t="s">
        <v>1318</v>
      </c>
      <c r="BE119" s="1" t="s">
        <v>1319</v>
      </c>
      <c r="BF119" s="2" t="str">
        <f>HYPERLINK("http://dx.doi.org/10.1007/s11071-023-08463-1","http://dx.doi.org/10.1007/s11071-023-08463-1")</f>
        <v>http://dx.doi.org/10.1007/s11071-023-08463-1</v>
      </c>
      <c r="BG119" s="1" t="s">
        <v>74</v>
      </c>
      <c r="BH119" s="1" t="s">
        <v>1320</v>
      </c>
      <c r="BI119" s="1" t="s">
        <v>74</v>
      </c>
      <c r="BJ119" s="1" t="s">
        <v>74</v>
      </c>
      <c r="BK119" s="1" t="s">
        <v>74</v>
      </c>
      <c r="BL119" s="1" t="s">
        <v>74</v>
      </c>
      <c r="BM119" s="1" t="s">
        <v>74</v>
      </c>
      <c r="BN119" s="1" t="s">
        <v>74</v>
      </c>
      <c r="BO119" s="1" t="s">
        <v>74</v>
      </c>
      <c r="BP119" s="1" t="s">
        <v>74</v>
      </c>
      <c r="BQ119" s="1" t="s">
        <v>74</v>
      </c>
      <c r="BR119" s="1" t="s">
        <v>74</v>
      </c>
      <c r="BS119" s="1" t="s">
        <v>1321</v>
      </c>
      <c r="BT119" s="1" t="str">
        <f>HYPERLINK("https%3A%2F%2Fwww.webofscience.com%2Fwos%2Fwoscc%2Ffull-record%2FWOS:000985442600002","View Full Record in Web of Science")</f>
        <v>View Full Record in Web of Science</v>
      </c>
    </row>
    <row r="120" ht="12.75" customHeight="1">
      <c r="A120" s="1" t="s">
        <v>72</v>
      </c>
      <c r="B120" s="1" t="s">
        <v>1322</v>
      </c>
      <c r="C120" s="1" t="s">
        <v>74</v>
      </c>
      <c r="D120" s="1" t="s">
        <v>74</v>
      </c>
      <c r="E120" s="1" t="s">
        <v>74</v>
      </c>
      <c r="F120" s="1" t="s">
        <v>1323</v>
      </c>
      <c r="G120" s="1" t="s">
        <v>74</v>
      </c>
      <c r="H120" s="1" t="s">
        <v>74</v>
      </c>
      <c r="I120" s="1" t="s">
        <v>1324</v>
      </c>
      <c r="J120" s="1" t="s">
        <v>1325</v>
      </c>
      <c r="K120" s="1" t="s">
        <v>74</v>
      </c>
      <c r="L120" s="1" t="s">
        <v>74</v>
      </c>
      <c r="M120" s="1" t="s">
        <v>74</v>
      </c>
      <c r="N120" s="1" t="s">
        <v>74</v>
      </c>
      <c r="O120" s="1" t="s">
        <v>74</v>
      </c>
      <c r="P120" s="1" t="s">
        <v>74</v>
      </c>
      <c r="Q120" s="1" t="s">
        <v>74</v>
      </c>
      <c r="R120" s="1" t="s">
        <v>74</v>
      </c>
      <c r="S120" s="1" t="s">
        <v>74</v>
      </c>
      <c r="T120" s="1" t="s">
        <v>74</v>
      </c>
      <c r="U120" s="1" t="s">
        <v>74</v>
      </c>
      <c r="V120" s="1" t="s">
        <v>1326</v>
      </c>
      <c r="W120" s="1" t="s">
        <v>74</v>
      </c>
      <c r="X120" s="1" t="s">
        <v>74</v>
      </c>
      <c r="Y120" s="1" t="s">
        <v>74</v>
      </c>
      <c r="Z120" s="1" t="s">
        <v>74</v>
      </c>
      <c r="AA120" s="1" t="s">
        <v>1327</v>
      </c>
      <c r="AB120" s="1" t="s">
        <v>1328</v>
      </c>
      <c r="AC120" s="1" t="s">
        <v>74</v>
      </c>
      <c r="AD120" s="1" t="s">
        <v>74</v>
      </c>
      <c r="AE120" s="1" t="s">
        <v>74</v>
      </c>
      <c r="AF120" s="1" t="s">
        <v>74</v>
      </c>
      <c r="AG120" s="1" t="s">
        <v>74</v>
      </c>
      <c r="AH120" s="1" t="s">
        <v>74</v>
      </c>
      <c r="AI120" s="1" t="s">
        <v>74</v>
      </c>
      <c r="AJ120" s="1" t="s">
        <v>74</v>
      </c>
      <c r="AK120" s="1" t="s">
        <v>74</v>
      </c>
      <c r="AL120" s="1" t="s">
        <v>74</v>
      </c>
      <c r="AM120" s="1" t="s">
        <v>74</v>
      </c>
      <c r="AN120" s="1" t="s">
        <v>74</v>
      </c>
      <c r="AO120" s="1" t="s">
        <v>1329</v>
      </c>
      <c r="AP120" s="1" t="s">
        <v>1330</v>
      </c>
      <c r="AQ120" s="1" t="s">
        <v>74</v>
      </c>
      <c r="AR120" s="1" t="s">
        <v>74</v>
      </c>
      <c r="AS120" s="1" t="s">
        <v>74</v>
      </c>
      <c r="AT120" s="1" t="s">
        <v>235</v>
      </c>
      <c r="AU120" s="1">
        <v>2023.0</v>
      </c>
      <c r="AV120" s="1">
        <v>24.0</v>
      </c>
      <c r="AW120" s="1">
        <v>4.0</v>
      </c>
      <c r="AX120" s="1" t="s">
        <v>74</v>
      </c>
      <c r="AY120" s="1" t="s">
        <v>74</v>
      </c>
      <c r="AZ120" s="1" t="s">
        <v>74</v>
      </c>
      <c r="BA120" s="1" t="s">
        <v>74</v>
      </c>
      <c r="BB120" s="1" t="s">
        <v>74</v>
      </c>
      <c r="BC120" s="1" t="s">
        <v>74</v>
      </c>
      <c r="BD120" s="1">
        <v>3724.0</v>
      </c>
      <c r="BE120" s="1" t="s">
        <v>1331</v>
      </c>
      <c r="BF120" s="2" t="str">
        <f>HYPERLINK("http://dx.doi.org/10.3390/ijms24043724","http://dx.doi.org/10.3390/ijms24043724")</f>
        <v>http://dx.doi.org/10.3390/ijms24043724</v>
      </c>
      <c r="BG120" s="1" t="s">
        <v>74</v>
      </c>
      <c r="BH120" s="1" t="s">
        <v>74</v>
      </c>
      <c r="BI120" s="1" t="s">
        <v>74</v>
      </c>
      <c r="BJ120" s="1" t="s">
        <v>74</v>
      </c>
      <c r="BK120" s="1" t="s">
        <v>74</v>
      </c>
      <c r="BL120" s="1" t="s">
        <v>74</v>
      </c>
      <c r="BM120" s="1" t="s">
        <v>74</v>
      </c>
      <c r="BN120" s="1">
        <v>3.6835133E7</v>
      </c>
      <c r="BO120" s="1" t="s">
        <v>74</v>
      </c>
      <c r="BP120" s="1" t="s">
        <v>74</v>
      </c>
      <c r="BQ120" s="1" t="s">
        <v>74</v>
      </c>
      <c r="BR120" s="1" t="s">
        <v>74</v>
      </c>
      <c r="BS120" s="1" t="s">
        <v>1332</v>
      </c>
      <c r="BT120" s="1" t="str">
        <f>HYPERLINK("https%3A%2F%2Fwww.webofscience.com%2Fwos%2Fwoscc%2Ffull-record%2FWOS:000938738800001","View Full Record in Web of Science")</f>
        <v>View Full Record in Web of Science</v>
      </c>
    </row>
    <row r="121" ht="12.75" customHeight="1">
      <c r="A121" s="1" t="s">
        <v>72</v>
      </c>
      <c r="B121" s="1" t="s">
        <v>1333</v>
      </c>
      <c r="C121" s="1" t="s">
        <v>74</v>
      </c>
      <c r="D121" s="1" t="s">
        <v>74</v>
      </c>
      <c r="E121" s="1" t="s">
        <v>74</v>
      </c>
      <c r="F121" s="1" t="s">
        <v>1334</v>
      </c>
      <c r="G121" s="1" t="s">
        <v>74</v>
      </c>
      <c r="H121" s="1" t="s">
        <v>74</v>
      </c>
      <c r="I121" s="1" t="s">
        <v>1335</v>
      </c>
      <c r="J121" s="1" t="s">
        <v>1336</v>
      </c>
      <c r="K121" s="1" t="s">
        <v>74</v>
      </c>
      <c r="L121" s="1" t="s">
        <v>74</v>
      </c>
      <c r="M121" s="1" t="s">
        <v>74</v>
      </c>
      <c r="N121" s="1" t="s">
        <v>74</v>
      </c>
      <c r="O121" s="1" t="s">
        <v>74</v>
      </c>
      <c r="P121" s="1" t="s">
        <v>74</v>
      </c>
      <c r="Q121" s="1" t="s">
        <v>74</v>
      </c>
      <c r="R121" s="1" t="s">
        <v>74</v>
      </c>
      <c r="S121" s="1" t="s">
        <v>74</v>
      </c>
      <c r="T121" s="1" t="s">
        <v>74</v>
      </c>
      <c r="U121" s="1" t="s">
        <v>74</v>
      </c>
      <c r="V121" s="1" t="s">
        <v>1337</v>
      </c>
      <c r="W121" s="1" t="s">
        <v>74</v>
      </c>
      <c r="X121" s="1" t="s">
        <v>74</v>
      </c>
      <c r="Y121" s="1" t="s">
        <v>74</v>
      </c>
      <c r="Z121" s="1" t="s">
        <v>74</v>
      </c>
      <c r="AA121" s="1" t="s">
        <v>1338</v>
      </c>
      <c r="AB121" s="1" t="s">
        <v>1339</v>
      </c>
      <c r="AC121" s="1" t="s">
        <v>74</v>
      </c>
      <c r="AD121" s="1" t="s">
        <v>74</v>
      </c>
      <c r="AE121" s="1" t="s">
        <v>74</v>
      </c>
      <c r="AF121" s="1" t="s">
        <v>74</v>
      </c>
      <c r="AG121" s="1" t="s">
        <v>74</v>
      </c>
      <c r="AH121" s="1" t="s">
        <v>74</v>
      </c>
      <c r="AI121" s="1" t="s">
        <v>74</v>
      </c>
      <c r="AJ121" s="1" t="s">
        <v>74</v>
      </c>
      <c r="AK121" s="1" t="s">
        <v>74</v>
      </c>
      <c r="AL121" s="1" t="s">
        <v>74</v>
      </c>
      <c r="AM121" s="1" t="s">
        <v>74</v>
      </c>
      <c r="AN121" s="1" t="s">
        <v>74</v>
      </c>
      <c r="AO121" s="1" t="s">
        <v>1340</v>
      </c>
      <c r="AP121" s="1" t="s">
        <v>1341</v>
      </c>
      <c r="AQ121" s="1" t="s">
        <v>74</v>
      </c>
      <c r="AR121" s="1" t="s">
        <v>74</v>
      </c>
      <c r="AS121" s="1" t="s">
        <v>74</v>
      </c>
      <c r="AT121" s="1" t="s">
        <v>696</v>
      </c>
      <c r="AU121" s="1">
        <v>2023.0</v>
      </c>
      <c r="AV121" s="1">
        <v>169.0</v>
      </c>
      <c r="AW121" s="1" t="s">
        <v>74</v>
      </c>
      <c r="AX121" s="1" t="s">
        <v>74</v>
      </c>
      <c r="AY121" s="1" t="s">
        <v>74</v>
      </c>
      <c r="AZ121" s="1" t="s">
        <v>74</v>
      </c>
      <c r="BA121" s="1" t="s">
        <v>74</v>
      </c>
      <c r="BB121" s="1">
        <v>660.0</v>
      </c>
      <c r="BC121" s="1">
        <v>670.0</v>
      </c>
      <c r="BD121" s="1" t="s">
        <v>74</v>
      </c>
      <c r="BE121" s="1" t="s">
        <v>1342</v>
      </c>
      <c r="BF121" s="2" t="str">
        <f>HYPERLINK("http://dx.doi.org/10.1016/j.psep.2022.11.033","http://dx.doi.org/10.1016/j.psep.2022.11.033")</f>
        <v>http://dx.doi.org/10.1016/j.psep.2022.11.033</v>
      </c>
      <c r="BG121" s="1" t="s">
        <v>74</v>
      </c>
      <c r="BH121" s="1" t="s">
        <v>868</v>
      </c>
      <c r="BI121" s="1" t="s">
        <v>74</v>
      </c>
      <c r="BJ121" s="1" t="s">
        <v>74</v>
      </c>
      <c r="BK121" s="1" t="s">
        <v>74</v>
      </c>
      <c r="BL121" s="1" t="s">
        <v>74</v>
      </c>
      <c r="BM121" s="1" t="s">
        <v>74</v>
      </c>
      <c r="BN121" s="1" t="s">
        <v>74</v>
      </c>
      <c r="BO121" s="1" t="s">
        <v>74</v>
      </c>
      <c r="BP121" s="1" t="s">
        <v>74</v>
      </c>
      <c r="BQ121" s="1" t="s">
        <v>74</v>
      </c>
      <c r="BR121" s="1" t="s">
        <v>74</v>
      </c>
      <c r="BS121" s="1" t="s">
        <v>1343</v>
      </c>
      <c r="BT121" s="1" t="str">
        <f>HYPERLINK("https%3A%2F%2Fwww.webofscience.com%2Fwos%2Fwoscc%2Ffull-record%2FWOS:000910853400002","View Full Record in Web of Science")</f>
        <v>View Full Record in Web of Science</v>
      </c>
    </row>
    <row r="122" ht="12.75" customHeight="1">
      <c r="A122" s="1" t="s">
        <v>72</v>
      </c>
      <c r="B122" s="1" t="s">
        <v>1344</v>
      </c>
      <c r="C122" s="1" t="s">
        <v>74</v>
      </c>
      <c r="D122" s="1" t="s">
        <v>74</v>
      </c>
      <c r="E122" s="1" t="s">
        <v>74</v>
      </c>
      <c r="F122" s="1" t="s">
        <v>1345</v>
      </c>
      <c r="G122" s="1" t="s">
        <v>74</v>
      </c>
      <c r="H122" s="1" t="s">
        <v>74</v>
      </c>
      <c r="I122" s="1" t="s">
        <v>1346</v>
      </c>
      <c r="J122" s="1" t="s">
        <v>1347</v>
      </c>
      <c r="K122" s="1" t="s">
        <v>74</v>
      </c>
      <c r="L122" s="1" t="s">
        <v>74</v>
      </c>
      <c r="M122" s="1" t="s">
        <v>74</v>
      </c>
      <c r="N122" s="1" t="s">
        <v>74</v>
      </c>
      <c r="O122" s="1" t="s">
        <v>74</v>
      </c>
      <c r="P122" s="1" t="s">
        <v>74</v>
      </c>
      <c r="Q122" s="1" t="s">
        <v>74</v>
      </c>
      <c r="R122" s="1" t="s">
        <v>74</v>
      </c>
      <c r="S122" s="1" t="s">
        <v>74</v>
      </c>
      <c r="T122" s="1" t="s">
        <v>74</v>
      </c>
      <c r="U122" s="1" t="s">
        <v>74</v>
      </c>
      <c r="V122" s="1" t="s">
        <v>1348</v>
      </c>
      <c r="W122" s="1" t="s">
        <v>74</v>
      </c>
      <c r="X122" s="1" t="s">
        <v>74</v>
      </c>
      <c r="Y122" s="1" t="s">
        <v>74</v>
      </c>
      <c r="Z122" s="1" t="s">
        <v>74</v>
      </c>
      <c r="AA122" s="1" t="s">
        <v>74</v>
      </c>
      <c r="AB122" s="1" t="s">
        <v>74</v>
      </c>
      <c r="AC122" s="1" t="s">
        <v>74</v>
      </c>
      <c r="AD122" s="1" t="s">
        <v>74</v>
      </c>
      <c r="AE122" s="1" t="s">
        <v>74</v>
      </c>
      <c r="AF122" s="1" t="s">
        <v>74</v>
      </c>
      <c r="AG122" s="1" t="s">
        <v>74</v>
      </c>
      <c r="AH122" s="1" t="s">
        <v>74</v>
      </c>
      <c r="AI122" s="1" t="s">
        <v>74</v>
      </c>
      <c r="AJ122" s="1" t="s">
        <v>74</v>
      </c>
      <c r="AK122" s="1" t="s">
        <v>74</v>
      </c>
      <c r="AL122" s="1" t="s">
        <v>74</v>
      </c>
      <c r="AM122" s="1" t="s">
        <v>74</v>
      </c>
      <c r="AN122" s="1" t="s">
        <v>74</v>
      </c>
      <c r="AO122" s="1" t="s">
        <v>1349</v>
      </c>
      <c r="AP122" s="1" t="s">
        <v>1350</v>
      </c>
      <c r="AQ122" s="1" t="s">
        <v>74</v>
      </c>
      <c r="AR122" s="1" t="s">
        <v>74</v>
      </c>
      <c r="AS122" s="1" t="s">
        <v>74</v>
      </c>
      <c r="AT122" s="1" t="s">
        <v>1351</v>
      </c>
      <c r="AU122" s="1">
        <v>2022.0</v>
      </c>
      <c r="AV122" s="1">
        <v>46.0</v>
      </c>
      <c r="AW122" s="1">
        <v>4.0</v>
      </c>
      <c r="AX122" s="1" t="s">
        <v>74</v>
      </c>
      <c r="AY122" s="1" t="s">
        <v>74</v>
      </c>
      <c r="AZ122" s="1" t="s">
        <v>74</v>
      </c>
      <c r="BA122" s="1" t="s">
        <v>74</v>
      </c>
      <c r="BB122" s="1">
        <v>773.0</v>
      </c>
      <c r="BC122" s="1">
        <v>825.0</v>
      </c>
      <c r="BD122" s="1" t="s">
        <v>74</v>
      </c>
      <c r="BE122" s="1" t="s">
        <v>1352</v>
      </c>
      <c r="BF122" s="2" t="str">
        <f>HYPERLINK("http://dx.doi.org/10.1093/cje/beac031","http://dx.doi.org/10.1093/cje/beac031")</f>
        <v>http://dx.doi.org/10.1093/cje/beac031</v>
      </c>
      <c r="BG122" s="1" t="s">
        <v>74</v>
      </c>
      <c r="BH122" s="1" t="s">
        <v>1353</v>
      </c>
      <c r="BI122" s="1" t="s">
        <v>74</v>
      </c>
      <c r="BJ122" s="1" t="s">
        <v>74</v>
      </c>
      <c r="BK122" s="1" t="s">
        <v>74</v>
      </c>
      <c r="BL122" s="1" t="s">
        <v>74</v>
      </c>
      <c r="BM122" s="1" t="s">
        <v>74</v>
      </c>
      <c r="BN122" s="1" t="s">
        <v>74</v>
      </c>
      <c r="BO122" s="1" t="s">
        <v>74</v>
      </c>
      <c r="BP122" s="1" t="s">
        <v>74</v>
      </c>
      <c r="BQ122" s="1" t="s">
        <v>74</v>
      </c>
      <c r="BR122" s="1" t="s">
        <v>74</v>
      </c>
      <c r="BS122" s="1" t="s">
        <v>1354</v>
      </c>
      <c r="BT122" s="1" t="str">
        <f>HYPERLINK("https%3A%2F%2Fwww.webofscience.com%2Fwos%2Fwoscc%2Ffull-record%2FWOS:000843662900001","View Full Record in Web of Science")</f>
        <v>View Full Record in Web of Science</v>
      </c>
    </row>
    <row r="123" ht="12.75" customHeight="1">
      <c r="A123" s="1" t="s">
        <v>72</v>
      </c>
      <c r="B123" s="1" t="s">
        <v>1355</v>
      </c>
      <c r="C123" s="1" t="s">
        <v>74</v>
      </c>
      <c r="D123" s="1" t="s">
        <v>74</v>
      </c>
      <c r="E123" s="1" t="s">
        <v>74</v>
      </c>
      <c r="F123" s="1" t="s">
        <v>1356</v>
      </c>
      <c r="G123" s="1" t="s">
        <v>74</v>
      </c>
      <c r="H123" s="1" t="s">
        <v>74</v>
      </c>
      <c r="I123" s="1" t="s">
        <v>1357</v>
      </c>
      <c r="J123" s="1" t="s">
        <v>1358</v>
      </c>
      <c r="K123" s="1" t="s">
        <v>74</v>
      </c>
      <c r="L123" s="1" t="s">
        <v>74</v>
      </c>
      <c r="M123" s="1" t="s">
        <v>74</v>
      </c>
      <c r="N123" s="1" t="s">
        <v>74</v>
      </c>
      <c r="O123" s="1" t="s">
        <v>74</v>
      </c>
      <c r="P123" s="1" t="s">
        <v>74</v>
      </c>
      <c r="Q123" s="1" t="s">
        <v>74</v>
      </c>
      <c r="R123" s="1" t="s">
        <v>74</v>
      </c>
      <c r="S123" s="1" t="s">
        <v>74</v>
      </c>
      <c r="T123" s="1" t="s">
        <v>74</v>
      </c>
      <c r="U123" s="1" t="s">
        <v>74</v>
      </c>
      <c r="V123" s="1" t="s">
        <v>1359</v>
      </c>
      <c r="W123" s="1" t="s">
        <v>74</v>
      </c>
      <c r="X123" s="1" t="s">
        <v>74</v>
      </c>
      <c r="Y123" s="1" t="s">
        <v>74</v>
      </c>
      <c r="Z123" s="1" t="s">
        <v>74</v>
      </c>
      <c r="AA123" s="1" t="s">
        <v>1360</v>
      </c>
      <c r="AB123" s="1" t="s">
        <v>1361</v>
      </c>
      <c r="AC123" s="1" t="s">
        <v>74</v>
      </c>
      <c r="AD123" s="1" t="s">
        <v>74</v>
      </c>
      <c r="AE123" s="1" t="s">
        <v>74</v>
      </c>
      <c r="AF123" s="1" t="s">
        <v>74</v>
      </c>
      <c r="AG123" s="1" t="s">
        <v>74</v>
      </c>
      <c r="AH123" s="1" t="s">
        <v>74</v>
      </c>
      <c r="AI123" s="1" t="s">
        <v>74</v>
      </c>
      <c r="AJ123" s="1" t="s">
        <v>74</v>
      </c>
      <c r="AK123" s="1" t="s">
        <v>74</v>
      </c>
      <c r="AL123" s="1" t="s">
        <v>74</v>
      </c>
      <c r="AM123" s="1" t="s">
        <v>74</v>
      </c>
      <c r="AN123" s="1" t="s">
        <v>74</v>
      </c>
      <c r="AO123" s="1" t="s">
        <v>1362</v>
      </c>
      <c r="AP123" s="1" t="s">
        <v>1363</v>
      </c>
      <c r="AQ123" s="1" t="s">
        <v>74</v>
      </c>
      <c r="AR123" s="1" t="s">
        <v>74</v>
      </c>
      <c r="AS123" s="1" t="s">
        <v>74</v>
      </c>
      <c r="AT123" s="1" t="s">
        <v>1364</v>
      </c>
      <c r="AU123" s="1">
        <v>2022.0</v>
      </c>
      <c r="AV123" s="1">
        <v>144.0</v>
      </c>
      <c r="AW123" s="1">
        <v>4.0</v>
      </c>
      <c r="AX123" s="1" t="s">
        <v>74</v>
      </c>
      <c r="AY123" s="1" t="s">
        <v>74</v>
      </c>
      <c r="AZ123" s="1" t="s">
        <v>74</v>
      </c>
      <c r="BA123" s="1" t="s">
        <v>74</v>
      </c>
      <c r="BB123" s="1" t="s">
        <v>74</v>
      </c>
      <c r="BC123" s="1" t="s">
        <v>74</v>
      </c>
      <c r="BD123" s="1">
        <v>44502.0</v>
      </c>
      <c r="BE123" s="1" t="s">
        <v>1365</v>
      </c>
      <c r="BF123" s="2" t="str">
        <f>HYPERLINK("http://dx.doi.org/10.1115/1.4053293","http://dx.doi.org/10.1115/1.4053293")</f>
        <v>http://dx.doi.org/10.1115/1.4053293</v>
      </c>
      <c r="BG123" s="1" t="s">
        <v>74</v>
      </c>
      <c r="BH123" s="1" t="s">
        <v>74</v>
      </c>
      <c r="BI123" s="1" t="s">
        <v>74</v>
      </c>
      <c r="BJ123" s="1" t="s">
        <v>74</v>
      </c>
      <c r="BK123" s="1" t="s">
        <v>74</v>
      </c>
      <c r="BL123" s="1" t="s">
        <v>74</v>
      </c>
      <c r="BM123" s="1" t="s">
        <v>74</v>
      </c>
      <c r="BN123" s="1" t="s">
        <v>74</v>
      </c>
      <c r="BO123" s="1" t="s">
        <v>74</v>
      </c>
      <c r="BP123" s="1" t="s">
        <v>74</v>
      </c>
      <c r="BQ123" s="1" t="s">
        <v>74</v>
      </c>
      <c r="BR123" s="1" t="s">
        <v>74</v>
      </c>
      <c r="BS123" s="1" t="s">
        <v>1366</v>
      </c>
      <c r="BT123" s="1" t="str">
        <f>HYPERLINK("https%3A%2F%2Fwww.webofscience.com%2Fwos%2Fwoscc%2Ffull-record%2FWOS:000760196600009","View Full Record in Web of Science")</f>
        <v>View Full Record in Web of Science</v>
      </c>
    </row>
    <row r="124" ht="12.75" customHeight="1">
      <c r="A124" s="1" t="s">
        <v>72</v>
      </c>
      <c r="B124" s="1" t="s">
        <v>1367</v>
      </c>
      <c r="C124" s="1" t="s">
        <v>74</v>
      </c>
      <c r="D124" s="1" t="s">
        <v>74</v>
      </c>
      <c r="E124" s="1" t="s">
        <v>74</v>
      </c>
      <c r="F124" s="1" t="s">
        <v>1368</v>
      </c>
      <c r="G124" s="1" t="s">
        <v>74</v>
      </c>
      <c r="H124" s="1" t="s">
        <v>74</v>
      </c>
      <c r="I124" s="1" t="s">
        <v>1369</v>
      </c>
      <c r="J124" s="1" t="s">
        <v>1370</v>
      </c>
      <c r="K124" s="1" t="s">
        <v>74</v>
      </c>
      <c r="L124" s="1" t="s">
        <v>74</v>
      </c>
      <c r="M124" s="1" t="s">
        <v>74</v>
      </c>
      <c r="N124" s="1" t="s">
        <v>74</v>
      </c>
      <c r="O124" s="1" t="s">
        <v>74</v>
      </c>
      <c r="P124" s="1" t="s">
        <v>74</v>
      </c>
      <c r="Q124" s="1" t="s">
        <v>74</v>
      </c>
      <c r="R124" s="1" t="s">
        <v>74</v>
      </c>
      <c r="S124" s="1" t="s">
        <v>74</v>
      </c>
      <c r="T124" s="1" t="s">
        <v>74</v>
      </c>
      <c r="U124" s="1" t="s">
        <v>74</v>
      </c>
      <c r="V124" s="1" t="s">
        <v>1371</v>
      </c>
      <c r="W124" s="1" t="s">
        <v>74</v>
      </c>
      <c r="X124" s="1" t="s">
        <v>74</v>
      </c>
      <c r="Y124" s="1" t="s">
        <v>74</v>
      </c>
      <c r="Z124" s="1" t="s">
        <v>74</v>
      </c>
      <c r="AA124" s="1" t="s">
        <v>1372</v>
      </c>
      <c r="AB124" s="1" t="s">
        <v>1373</v>
      </c>
      <c r="AC124" s="1" t="s">
        <v>74</v>
      </c>
      <c r="AD124" s="1" t="s">
        <v>74</v>
      </c>
      <c r="AE124" s="1" t="s">
        <v>74</v>
      </c>
      <c r="AF124" s="1" t="s">
        <v>74</v>
      </c>
      <c r="AG124" s="1" t="s">
        <v>74</v>
      </c>
      <c r="AH124" s="1" t="s">
        <v>74</v>
      </c>
      <c r="AI124" s="1" t="s">
        <v>74</v>
      </c>
      <c r="AJ124" s="1" t="s">
        <v>74</v>
      </c>
      <c r="AK124" s="1" t="s">
        <v>74</v>
      </c>
      <c r="AL124" s="1" t="s">
        <v>74</v>
      </c>
      <c r="AM124" s="1" t="s">
        <v>74</v>
      </c>
      <c r="AN124" s="1" t="s">
        <v>74</v>
      </c>
      <c r="AO124" s="1" t="s">
        <v>1374</v>
      </c>
      <c r="AP124" s="1" t="s">
        <v>74</v>
      </c>
      <c r="AQ124" s="1" t="s">
        <v>74</v>
      </c>
      <c r="AR124" s="1" t="s">
        <v>74</v>
      </c>
      <c r="AS124" s="1" t="s">
        <v>74</v>
      </c>
      <c r="AT124" s="1" t="s">
        <v>1375</v>
      </c>
      <c r="AU124" s="1">
        <v>2022.0</v>
      </c>
      <c r="AV124" s="1">
        <v>9.0</v>
      </c>
      <c r="AW124" s="1" t="s">
        <v>74</v>
      </c>
      <c r="AX124" s="1" t="s">
        <v>74</v>
      </c>
      <c r="AY124" s="1" t="s">
        <v>74</v>
      </c>
      <c r="AZ124" s="1" t="s">
        <v>74</v>
      </c>
      <c r="BA124" s="1" t="s">
        <v>74</v>
      </c>
      <c r="BB124" s="1" t="s">
        <v>74</v>
      </c>
      <c r="BC124" s="1" t="s">
        <v>74</v>
      </c>
      <c r="BD124" s="1">
        <v>787318.0</v>
      </c>
      <c r="BE124" s="1" t="s">
        <v>1376</v>
      </c>
      <c r="BF124" s="2" t="str">
        <f>HYPERLINK("http://dx.doi.org/10.3389/fevo.2021.787318","http://dx.doi.org/10.3389/fevo.2021.787318")</f>
        <v>http://dx.doi.org/10.3389/fevo.2021.787318</v>
      </c>
      <c r="BG124" s="1" t="s">
        <v>74</v>
      </c>
      <c r="BH124" s="1" t="s">
        <v>74</v>
      </c>
      <c r="BI124" s="1" t="s">
        <v>74</v>
      </c>
      <c r="BJ124" s="1" t="s">
        <v>74</v>
      </c>
      <c r="BK124" s="1" t="s">
        <v>74</v>
      </c>
      <c r="BL124" s="1" t="s">
        <v>74</v>
      </c>
      <c r="BM124" s="1" t="s">
        <v>74</v>
      </c>
      <c r="BN124" s="1" t="s">
        <v>74</v>
      </c>
      <c r="BO124" s="1" t="s">
        <v>74</v>
      </c>
      <c r="BP124" s="1" t="s">
        <v>74</v>
      </c>
      <c r="BQ124" s="1" t="s">
        <v>74</v>
      </c>
      <c r="BR124" s="1" t="s">
        <v>74</v>
      </c>
      <c r="BS124" s="1" t="s">
        <v>1377</v>
      </c>
      <c r="BT124" s="1" t="str">
        <f>HYPERLINK("https%3A%2F%2Fwww.webofscience.com%2Fwos%2Fwoscc%2Ffull-record%2FWOS:000758000500001","View Full Record in Web of Science")</f>
        <v>View Full Record in Web of Science</v>
      </c>
    </row>
    <row r="125" ht="12.75" customHeight="1">
      <c r="A125" s="1" t="s">
        <v>182</v>
      </c>
      <c r="B125" s="1" t="s">
        <v>1378</v>
      </c>
      <c r="C125" s="1" t="s">
        <v>74</v>
      </c>
      <c r="D125" s="1" t="s">
        <v>74</v>
      </c>
      <c r="E125" s="1" t="s">
        <v>184</v>
      </c>
      <c r="F125" s="1" t="s">
        <v>1379</v>
      </c>
      <c r="G125" s="1" t="s">
        <v>74</v>
      </c>
      <c r="H125" s="1" t="s">
        <v>74</v>
      </c>
      <c r="I125" s="1" t="s">
        <v>1380</v>
      </c>
      <c r="J125" s="1" t="s">
        <v>1381</v>
      </c>
      <c r="K125" s="1" t="s">
        <v>1382</v>
      </c>
      <c r="L125" s="1" t="s">
        <v>74</v>
      </c>
      <c r="M125" s="1" t="s">
        <v>74</v>
      </c>
      <c r="N125" s="1" t="s">
        <v>74</v>
      </c>
      <c r="O125" s="1" t="s">
        <v>1383</v>
      </c>
      <c r="P125" s="1" t="s">
        <v>1384</v>
      </c>
      <c r="Q125" s="1" t="s">
        <v>1385</v>
      </c>
      <c r="R125" s="1" t="s">
        <v>1386</v>
      </c>
      <c r="S125" s="1" t="s">
        <v>74</v>
      </c>
      <c r="T125" s="1" t="s">
        <v>74</v>
      </c>
      <c r="U125" s="1" t="s">
        <v>74</v>
      </c>
      <c r="V125" s="1" t="s">
        <v>1387</v>
      </c>
      <c r="W125" s="1" t="s">
        <v>74</v>
      </c>
      <c r="X125" s="1" t="s">
        <v>74</v>
      </c>
      <c r="Y125" s="1" t="s">
        <v>74</v>
      </c>
      <c r="Z125" s="1" t="s">
        <v>74</v>
      </c>
      <c r="AA125" s="1" t="s">
        <v>1388</v>
      </c>
      <c r="AB125" s="1" t="s">
        <v>1389</v>
      </c>
      <c r="AC125" s="1" t="s">
        <v>74</v>
      </c>
      <c r="AD125" s="1" t="s">
        <v>74</v>
      </c>
      <c r="AE125" s="1" t="s">
        <v>74</v>
      </c>
      <c r="AF125" s="1" t="s">
        <v>74</v>
      </c>
      <c r="AG125" s="1" t="s">
        <v>74</v>
      </c>
      <c r="AH125" s="1" t="s">
        <v>74</v>
      </c>
      <c r="AI125" s="1" t="s">
        <v>74</v>
      </c>
      <c r="AJ125" s="1" t="s">
        <v>74</v>
      </c>
      <c r="AK125" s="1" t="s">
        <v>74</v>
      </c>
      <c r="AL125" s="1" t="s">
        <v>74</v>
      </c>
      <c r="AM125" s="1" t="s">
        <v>74</v>
      </c>
      <c r="AN125" s="1" t="s">
        <v>74</v>
      </c>
      <c r="AO125" s="1" t="s">
        <v>1390</v>
      </c>
      <c r="AP125" s="1" t="s">
        <v>74</v>
      </c>
      <c r="AQ125" s="1" t="s">
        <v>1391</v>
      </c>
      <c r="AR125" s="1" t="s">
        <v>74</v>
      </c>
      <c r="AS125" s="1" t="s">
        <v>74</v>
      </c>
      <c r="AT125" s="1" t="s">
        <v>74</v>
      </c>
      <c r="AU125" s="1">
        <v>2022.0</v>
      </c>
      <c r="AV125" s="1" t="s">
        <v>74</v>
      </c>
      <c r="AW125" s="1" t="s">
        <v>74</v>
      </c>
      <c r="AX125" s="1" t="s">
        <v>74</v>
      </c>
      <c r="AY125" s="1" t="s">
        <v>74</v>
      </c>
      <c r="AZ125" s="1" t="s">
        <v>74</v>
      </c>
      <c r="BA125" s="1" t="s">
        <v>74</v>
      </c>
      <c r="BB125" s="1">
        <v>785.0</v>
      </c>
      <c r="BC125" s="1">
        <v>790.0</v>
      </c>
      <c r="BD125" s="1" t="s">
        <v>74</v>
      </c>
      <c r="BE125" s="1" t="s">
        <v>1392</v>
      </c>
      <c r="BF125" s="2" t="str">
        <f>HYPERLINK("http://dx.doi.org/10.1109/CODIT55151.2022.9803945","http://dx.doi.org/10.1109/CODIT55151.2022.9803945")</f>
        <v>http://dx.doi.org/10.1109/CODIT55151.2022.9803945</v>
      </c>
      <c r="BG125" s="1" t="s">
        <v>74</v>
      </c>
      <c r="BH125" s="1" t="s">
        <v>74</v>
      </c>
      <c r="BI125" s="1" t="s">
        <v>74</v>
      </c>
      <c r="BJ125" s="1" t="s">
        <v>74</v>
      </c>
      <c r="BK125" s="1" t="s">
        <v>74</v>
      </c>
      <c r="BL125" s="1" t="s">
        <v>74</v>
      </c>
      <c r="BM125" s="1" t="s">
        <v>74</v>
      </c>
      <c r="BN125" s="1" t="s">
        <v>74</v>
      </c>
      <c r="BO125" s="1" t="s">
        <v>74</v>
      </c>
      <c r="BP125" s="1" t="s">
        <v>74</v>
      </c>
      <c r="BQ125" s="1" t="s">
        <v>74</v>
      </c>
      <c r="BR125" s="1" t="s">
        <v>74</v>
      </c>
      <c r="BS125" s="1" t="s">
        <v>1393</v>
      </c>
      <c r="BT125" s="1" t="str">
        <f>HYPERLINK("https%3A%2F%2Fwww.webofscience.com%2Fwos%2Fwoscc%2Ffull-record%2FWOS:000846862800132","View Full Record in Web of Science")</f>
        <v>View Full Record in Web of Science</v>
      </c>
    </row>
    <row r="126" ht="12.75" customHeight="1">
      <c r="A126" s="1" t="s">
        <v>72</v>
      </c>
      <c r="B126" s="1" t="s">
        <v>1394</v>
      </c>
      <c r="C126" s="1" t="s">
        <v>74</v>
      </c>
      <c r="D126" s="1" t="s">
        <v>74</v>
      </c>
      <c r="E126" s="1" t="s">
        <v>74</v>
      </c>
      <c r="F126" s="1" t="s">
        <v>1395</v>
      </c>
      <c r="G126" s="1" t="s">
        <v>74</v>
      </c>
      <c r="H126" s="1" t="s">
        <v>74</v>
      </c>
      <c r="I126" s="1" t="s">
        <v>1396</v>
      </c>
      <c r="J126" s="1" t="s">
        <v>1397</v>
      </c>
      <c r="K126" s="1" t="s">
        <v>74</v>
      </c>
      <c r="L126" s="1" t="s">
        <v>74</v>
      </c>
      <c r="M126" s="1" t="s">
        <v>74</v>
      </c>
      <c r="N126" s="1" t="s">
        <v>74</v>
      </c>
      <c r="O126" s="1" t="s">
        <v>74</v>
      </c>
      <c r="P126" s="1" t="s">
        <v>74</v>
      </c>
      <c r="Q126" s="1" t="s">
        <v>74</v>
      </c>
      <c r="R126" s="1" t="s">
        <v>74</v>
      </c>
      <c r="S126" s="1" t="s">
        <v>74</v>
      </c>
      <c r="T126" s="1" t="s">
        <v>74</v>
      </c>
      <c r="U126" s="1" t="s">
        <v>74</v>
      </c>
      <c r="V126" s="1" t="s">
        <v>74</v>
      </c>
      <c r="W126" s="1" t="s">
        <v>74</v>
      </c>
      <c r="X126" s="1" t="s">
        <v>74</v>
      </c>
      <c r="Y126" s="1" t="s">
        <v>74</v>
      </c>
      <c r="Z126" s="1" t="s">
        <v>74</v>
      </c>
      <c r="AA126" s="1" t="s">
        <v>1398</v>
      </c>
      <c r="AB126" s="1" t="s">
        <v>1399</v>
      </c>
      <c r="AC126" s="1" t="s">
        <v>74</v>
      </c>
      <c r="AD126" s="1" t="s">
        <v>74</v>
      </c>
      <c r="AE126" s="1" t="s">
        <v>74</v>
      </c>
      <c r="AF126" s="1" t="s">
        <v>74</v>
      </c>
      <c r="AG126" s="1" t="s">
        <v>74</v>
      </c>
      <c r="AH126" s="1" t="s">
        <v>74</v>
      </c>
      <c r="AI126" s="1" t="s">
        <v>74</v>
      </c>
      <c r="AJ126" s="1" t="s">
        <v>74</v>
      </c>
      <c r="AK126" s="1" t="s">
        <v>74</v>
      </c>
      <c r="AL126" s="1" t="s">
        <v>74</v>
      </c>
      <c r="AM126" s="1" t="s">
        <v>74</v>
      </c>
      <c r="AN126" s="1" t="s">
        <v>74</v>
      </c>
      <c r="AO126" s="1" t="s">
        <v>1400</v>
      </c>
      <c r="AP126" s="1" t="s">
        <v>1401</v>
      </c>
      <c r="AQ126" s="1" t="s">
        <v>74</v>
      </c>
      <c r="AR126" s="1" t="s">
        <v>74</v>
      </c>
      <c r="AS126" s="1" t="s">
        <v>74</v>
      </c>
      <c r="AT126" s="1" t="s">
        <v>652</v>
      </c>
      <c r="AU126" s="1">
        <v>2021.0</v>
      </c>
      <c r="AV126" s="1">
        <v>81.0</v>
      </c>
      <c r="AW126" s="1">
        <v>12.0</v>
      </c>
      <c r="AX126" s="1" t="s">
        <v>74</v>
      </c>
      <c r="AY126" s="1" t="s">
        <v>74</v>
      </c>
      <c r="AZ126" s="1" t="s">
        <v>74</v>
      </c>
      <c r="BA126" s="1" t="s">
        <v>74</v>
      </c>
      <c r="BB126" s="1" t="s">
        <v>74</v>
      </c>
      <c r="BC126" s="1" t="s">
        <v>74</v>
      </c>
      <c r="BD126" s="1">
        <v>1097.0</v>
      </c>
      <c r="BE126" s="1" t="s">
        <v>1402</v>
      </c>
      <c r="BF126" s="2" t="str">
        <f>HYPERLINK("http://dx.doi.org/10.1140/epjc/s10052-021-09909-9","http://dx.doi.org/10.1140/epjc/s10052-021-09909-9")</f>
        <v>http://dx.doi.org/10.1140/epjc/s10052-021-09909-9</v>
      </c>
      <c r="BG126" s="1" t="s">
        <v>74</v>
      </c>
      <c r="BH126" s="1" t="s">
        <v>74</v>
      </c>
      <c r="BI126" s="1" t="s">
        <v>74</v>
      </c>
      <c r="BJ126" s="1" t="s">
        <v>74</v>
      </c>
      <c r="BK126" s="1" t="s">
        <v>74</v>
      </c>
      <c r="BL126" s="1" t="s">
        <v>74</v>
      </c>
      <c r="BM126" s="1" t="s">
        <v>74</v>
      </c>
      <c r="BN126" s="1" t="s">
        <v>74</v>
      </c>
      <c r="BO126" s="1" t="s">
        <v>74</v>
      </c>
      <c r="BP126" s="1" t="s">
        <v>74</v>
      </c>
      <c r="BQ126" s="1" t="s">
        <v>74</v>
      </c>
      <c r="BR126" s="1" t="s">
        <v>74</v>
      </c>
      <c r="BS126" s="1" t="s">
        <v>1403</v>
      </c>
      <c r="BT126" s="1" t="str">
        <f>HYPERLINK("https%3A%2F%2Fwww.webofscience.com%2Fwos%2Fwoscc%2Ffull-record%2FWOS:000729822100005","View Full Record in Web of Science")</f>
        <v>View Full Record in Web of Science</v>
      </c>
    </row>
    <row r="127" ht="12.75" customHeight="1">
      <c r="A127" s="1" t="s">
        <v>72</v>
      </c>
      <c r="B127" s="1" t="s">
        <v>1404</v>
      </c>
      <c r="C127" s="1" t="s">
        <v>74</v>
      </c>
      <c r="D127" s="1" t="s">
        <v>74</v>
      </c>
      <c r="E127" s="1" t="s">
        <v>74</v>
      </c>
      <c r="F127" s="1" t="s">
        <v>1405</v>
      </c>
      <c r="G127" s="1" t="s">
        <v>74</v>
      </c>
      <c r="H127" s="1" t="s">
        <v>74</v>
      </c>
      <c r="I127" s="1" t="s">
        <v>1406</v>
      </c>
      <c r="J127" s="1" t="s">
        <v>1407</v>
      </c>
      <c r="K127" s="1" t="s">
        <v>74</v>
      </c>
      <c r="L127" s="1" t="s">
        <v>74</v>
      </c>
      <c r="M127" s="1" t="s">
        <v>74</v>
      </c>
      <c r="N127" s="1" t="s">
        <v>74</v>
      </c>
      <c r="O127" s="1" t="s">
        <v>74</v>
      </c>
      <c r="P127" s="1" t="s">
        <v>74</v>
      </c>
      <c r="Q127" s="1" t="s">
        <v>74</v>
      </c>
      <c r="R127" s="1" t="s">
        <v>74</v>
      </c>
      <c r="S127" s="1" t="s">
        <v>74</v>
      </c>
      <c r="T127" s="1" t="s">
        <v>74</v>
      </c>
      <c r="U127" s="1" t="s">
        <v>74</v>
      </c>
      <c r="V127" s="1" t="s">
        <v>1408</v>
      </c>
      <c r="W127" s="1" t="s">
        <v>74</v>
      </c>
      <c r="X127" s="1" t="s">
        <v>74</v>
      </c>
      <c r="Y127" s="1" t="s">
        <v>74</v>
      </c>
      <c r="Z127" s="1" t="s">
        <v>74</v>
      </c>
      <c r="AA127" s="1" t="s">
        <v>1409</v>
      </c>
      <c r="AB127" s="1" t="s">
        <v>1410</v>
      </c>
      <c r="AC127" s="1" t="s">
        <v>74</v>
      </c>
      <c r="AD127" s="1" t="s">
        <v>74</v>
      </c>
      <c r="AE127" s="1" t="s">
        <v>74</v>
      </c>
      <c r="AF127" s="1" t="s">
        <v>74</v>
      </c>
      <c r="AG127" s="1" t="s">
        <v>74</v>
      </c>
      <c r="AH127" s="1" t="s">
        <v>74</v>
      </c>
      <c r="AI127" s="1" t="s">
        <v>74</v>
      </c>
      <c r="AJ127" s="1" t="s">
        <v>74</v>
      </c>
      <c r="AK127" s="1" t="s">
        <v>74</v>
      </c>
      <c r="AL127" s="1" t="s">
        <v>74</v>
      </c>
      <c r="AM127" s="1" t="s">
        <v>74</v>
      </c>
      <c r="AN127" s="1" t="s">
        <v>74</v>
      </c>
      <c r="AO127" s="1" t="s">
        <v>1411</v>
      </c>
      <c r="AP127" s="1" t="s">
        <v>1412</v>
      </c>
      <c r="AQ127" s="1" t="s">
        <v>74</v>
      </c>
      <c r="AR127" s="1" t="s">
        <v>74</v>
      </c>
      <c r="AS127" s="1" t="s">
        <v>74</v>
      </c>
      <c r="AT127" s="1" t="s">
        <v>1413</v>
      </c>
      <c r="AU127" s="1">
        <v>2021.0</v>
      </c>
      <c r="AV127" s="1">
        <v>261.0</v>
      </c>
      <c r="AW127" s="1" t="s">
        <v>74</v>
      </c>
      <c r="AX127" s="1" t="s">
        <v>74</v>
      </c>
      <c r="AY127" s="1" t="s">
        <v>74</v>
      </c>
      <c r="AZ127" s="1" t="s">
        <v>74</v>
      </c>
      <c r="BA127" s="1" t="s">
        <v>74</v>
      </c>
      <c r="BB127" s="1" t="s">
        <v>74</v>
      </c>
      <c r="BC127" s="1" t="s">
        <v>74</v>
      </c>
      <c r="BD127" s="1">
        <v>118235.0</v>
      </c>
      <c r="BE127" s="1" t="s">
        <v>1414</v>
      </c>
      <c r="BF127" s="2" t="str">
        <f>HYPERLINK("http://dx.doi.org/10.1016/j.seppur.2020.118235","http://dx.doi.org/10.1016/j.seppur.2020.118235")</f>
        <v>http://dx.doi.org/10.1016/j.seppur.2020.118235</v>
      </c>
      <c r="BG127" s="1" t="s">
        <v>74</v>
      </c>
      <c r="BH127" s="1" t="s">
        <v>1415</v>
      </c>
      <c r="BI127" s="1" t="s">
        <v>74</v>
      </c>
      <c r="BJ127" s="1" t="s">
        <v>74</v>
      </c>
      <c r="BK127" s="1" t="s">
        <v>74</v>
      </c>
      <c r="BL127" s="1" t="s">
        <v>74</v>
      </c>
      <c r="BM127" s="1" t="s">
        <v>74</v>
      </c>
      <c r="BN127" s="1" t="s">
        <v>74</v>
      </c>
      <c r="BO127" s="1" t="s">
        <v>74</v>
      </c>
      <c r="BP127" s="1" t="s">
        <v>74</v>
      </c>
      <c r="BQ127" s="1" t="s">
        <v>74</v>
      </c>
      <c r="BR127" s="1" t="s">
        <v>74</v>
      </c>
      <c r="BS127" s="1" t="s">
        <v>1416</v>
      </c>
      <c r="BT127" s="1" t="str">
        <f>HYPERLINK("https%3A%2F%2Fwww.webofscience.com%2Fwos%2Fwoscc%2Ffull-record%2FWOS:000614728800006","View Full Record in Web of Science")</f>
        <v>View Full Record in Web of Science</v>
      </c>
    </row>
    <row r="128" ht="12.75" customHeight="1">
      <c r="A128" s="1" t="s">
        <v>182</v>
      </c>
      <c r="B128" s="1" t="s">
        <v>1417</v>
      </c>
      <c r="C128" s="1" t="s">
        <v>74</v>
      </c>
      <c r="D128" s="1" t="s">
        <v>74</v>
      </c>
      <c r="E128" s="1" t="s">
        <v>184</v>
      </c>
      <c r="F128" s="1" t="s">
        <v>1418</v>
      </c>
      <c r="G128" s="1" t="s">
        <v>74</v>
      </c>
      <c r="H128" s="1" t="s">
        <v>74</v>
      </c>
      <c r="I128" s="1" t="s">
        <v>1419</v>
      </c>
      <c r="J128" s="1" t="s">
        <v>1420</v>
      </c>
      <c r="K128" s="1" t="s">
        <v>74</v>
      </c>
      <c r="L128" s="1" t="s">
        <v>74</v>
      </c>
      <c r="M128" s="1" t="s">
        <v>74</v>
      </c>
      <c r="N128" s="1" t="s">
        <v>74</v>
      </c>
      <c r="O128" s="1" t="s">
        <v>1421</v>
      </c>
      <c r="P128" s="1" t="s">
        <v>1422</v>
      </c>
      <c r="Q128" s="1" t="s">
        <v>1423</v>
      </c>
      <c r="R128" s="1" t="s">
        <v>74</v>
      </c>
      <c r="S128" s="1" t="s">
        <v>74</v>
      </c>
      <c r="T128" s="1" t="s">
        <v>74</v>
      </c>
      <c r="U128" s="1" t="s">
        <v>74</v>
      </c>
      <c r="V128" s="1" t="s">
        <v>1424</v>
      </c>
      <c r="W128" s="1" t="s">
        <v>74</v>
      </c>
      <c r="X128" s="1" t="s">
        <v>74</v>
      </c>
      <c r="Y128" s="1" t="s">
        <v>74</v>
      </c>
      <c r="Z128" s="1" t="s">
        <v>74</v>
      </c>
      <c r="AA128" s="1" t="s">
        <v>1425</v>
      </c>
      <c r="AB128" s="1" t="s">
        <v>74</v>
      </c>
      <c r="AC128" s="1" t="s">
        <v>74</v>
      </c>
      <c r="AD128" s="1" t="s">
        <v>74</v>
      </c>
      <c r="AE128" s="1" t="s">
        <v>74</v>
      </c>
      <c r="AF128" s="1" t="s">
        <v>74</v>
      </c>
      <c r="AG128" s="1" t="s">
        <v>74</v>
      </c>
      <c r="AH128" s="1" t="s">
        <v>74</v>
      </c>
      <c r="AI128" s="1" t="s">
        <v>74</v>
      </c>
      <c r="AJ128" s="1" t="s">
        <v>74</v>
      </c>
      <c r="AK128" s="1" t="s">
        <v>74</v>
      </c>
      <c r="AL128" s="1" t="s">
        <v>74</v>
      </c>
      <c r="AM128" s="1" t="s">
        <v>74</v>
      </c>
      <c r="AN128" s="1" t="s">
        <v>74</v>
      </c>
      <c r="AO128" s="1" t="s">
        <v>74</v>
      </c>
      <c r="AP128" s="1" t="s">
        <v>74</v>
      </c>
      <c r="AQ128" s="1" t="s">
        <v>1426</v>
      </c>
      <c r="AR128" s="1" t="s">
        <v>74</v>
      </c>
      <c r="AS128" s="1" t="s">
        <v>74</v>
      </c>
      <c r="AT128" s="1" t="s">
        <v>74</v>
      </c>
      <c r="AU128" s="1">
        <v>2021.0</v>
      </c>
      <c r="AV128" s="1" t="s">
        <v>74</v>
      </c>
      <c r="AW128" s="1" t="s">
        <v>74</v>
      </c>
      <c r="AX128" s="1" t="s">
        <v>74</v>
      </c>
      <c r="AY128" s="1" t="s">
        <v>74</v>
      </c>
      <c r="AZ128" s="1" t="s">
        <v>74</v>
      </c>
      <c r="BA128" s="1" t="s">
        <v>74</v>
      </c>
      <c r="BB128" s="1" t="s">
        <v>74</v>
      </c>
      <c r="BC128" s="1" t="s">
        <v>74</v>
      </c>
      <c r="BD128" s="1" t="s">
        <v>74</v>
      </c>
      <c r="BE128" s="1" t="s">
        <v>1427</v>
      </c>
      <c r="BF128" s="2" t="str">
        <f>HYPERLINK("http://dx.doi.org/10.1109/LA-CCI48322.2021.9769819","http://dx.doi.org/10.1109/LA-CCI48322.2021.9769819")</f>
        <v>http://dx.doi.org/10.1109/LA-CCI48322.2021.9769819</v>
      </c>
      <c r="BG128" s="1" t="s">
        <v>74</v>
      </c>
      <c r="BH128" s="1" t="s">
        <v>74</v>
      </c>
      <c r="BI128" s="1" t="s">
        <v>74</v>
      </c>
      <c r="BJ128" s="1" t="s">
        <v>74</v>
      </c>
      <c r="BK128" s="1" t="s">
        <v>74</v>
      </c>
      <c r="BL128" s="1" t="s">
        <v>74</v>
      </c>
      <c r="BM128" s="1" t="s">
        <v>74</v>
      </c>
      <c r="BN128" s="1" t="s">
        <v>74</v>
      </c>
      <c r="BO128" s="1" t="s">
        <v>74</v>
      </c>
      <c r="BP128" s="1" t="s">
        <v>74</v>
      </c>
      <c r="BQ128" s="1" t="s">
        <v>74</v>
      </c>
      <c r="BR128" s="1" t="s">
        <v>74</v>
      </c>
      <c r="BS128" s="1" t="s">
        <v>1428</v>
      </c>
      <c r="BT128" s="1" t="str">
        <f>HYPERLINK("https%3A%2F%2Fwww.webofscience.com%2Fwos%2Fwoscc%2Ffull-record%2FWOS:000925148800021","View Full Record in Web of Science")</f>
        <v>View Full Record in Web of Science</v>
      </c>
    </row>
    <row r="129" ht="12.75" customHeight="1">
      <c r="A129" s="1" t="s">
        <v>72</v>
      </c>
      <c r="B129" s="1" t="s">
        <v>1429</v>
      </c>
      <c r="C129" s="1" t="s">
        <v>74</v>
      </c>
      <c r="D129" s="1" t="s">
        <v>74</v>
      </c>
      <c r="E129" s="1" t="s">
        <v>74</v>
      </c>
      <c r="F129" s="1" t="s">
        <v>1430</v>
      </c>
      <c r="G129" s="1" t="s">
        <v>74</v>
      </c>
      <c r="H129" s="1" t="s">
        <v>74</v>
      </c>
      <c r="I129" s="1" t="s">
        <v>1431</v>
      </c>
      <c r="J129" s="1" t="s">
        <v>1432</v>
      </c>
      <c r="K129" s="1" t="s">
        <v>74</v>
      </c>
      <c r="L129" s="1" t="s">
        <v>74</v>
      </c>
      <c r="M129" s="1" t="s">
        <v>74</v>
      </c>
      <c r="N129" s="1" t="s">
        <v>74</v>
      </c>
      <c r="O129" s="1" t="s">
        <v>74</v>
      </c>
      <c r="P129" s="1" t="s">
        <v>74</v>
      </c>
      <c r="Q129" s="1" t="s">
        <v>74</v>
      </c>
      <c r="R129" s="1" t="s">
        <v>74</v>
      </c>
      <c r="S129" s="1" t="s">
        <v>74</v>
      </c>
      <c r="T129" s="1" t="s">
        <v>74</v>
      </c>
      <c r="U129" s="1" t="s">
        <v>74</v>
      </c>
      <c r="V129" s="1" t="s">
        <v>1433</v>
      </c>
      <c r="W129" s="1" t="s">
        <v>74</v>
      </c>
      <c r="X129" s="1" t="s">
        <v>74</v>
      </c>
      <c r="Y129" s="1" t="s">
        <v>74</v>
      </c>
      <c r="Z129" s="1" t="s">
        <v>74</v>
      </c>
      <c r="AA129" s="1" t="s">
        <v>1434</v>
      </c>
      <c r="AB129" s="1" t="s">
        <v>1435</v>
      </c>
      <c r="AC129" s="1" t="s">
        <v>74</v>
      </c>
      <c r="AD129" s="1" t="s">
        <v>74</v>
      </c>
      <c r="AE129" s="1" t="s">
        <v>74</v>
      </c>
      <c r="AF129" s="1" t="s">
        <v>74</v>
      </c>
      <c r="AG129" s="1" t="s">
        <v>74</v>
      </c>
      <c r="AH129" s="1" t="s">
        <v>74</v>
      </c>
      <c r="AI129" s="1" t="s">
        <v>74</v>
      </c>
      <c r="AJ129" s="1" t="s">
        <v>74</v>
      </c>
      <c r="AK129" s="1" t="s">
        <v>74</v>
      </c>
      <c r="AL129" s="1" t="s">
        <v>74</v>
      </c>
      <c r="AM129" s="1" t="s">
        <v>74</v>
      </c>
      <c r="AN129" s="1" t="s">
        <v>74</v>
      </c>
      <c r="AO129" s="1" t="s">
        <v>1436</v>
      </c>
      <c r="AP129" s="1" t="s">
        <v>74</v>
      </c>
      <c r="AQ129" s="1" t="s">
        <v>74</v>
      </c>
      <c r="AR129" s="1" t="s">
        <v>74</v>
      </c>
      <c r="AS129" s="1" t="s">
        <v>74</v>
      </c>
      <c r="AT129" s="1" t="s">
        <v>678</v>
      </c>
      <c r="AU129" s="1">
        <v>2020.0</v>
      </c>
      <c r="AV129" s="1">
        <v>9.0</v>
      </c>
      <c r="AW129" s="1">
        <v>4.0</v>
      </c>
      <c r="AX129" s="1" t="s">
        <v>74</v>
      </c>
      <c r="AY129" s="1" t="s">
        <v>74</v>
      </c>
      <c r="AZ129" s="1" t="s">
        <v>74</v>
      </c>
      <c r="BA129" s="1" t="s">
        <v>74</v>
      </c>
      <c r="BB129" s="1">
        <v>865.0</v>
      </c>
      <c r="BC129" s="1">
        <v>872.0</v>
      </c>
      <c r="BD129" s="1" t="s">
        <v>74</v>
      </c>
      <c r="BE129" s="1" t="s">
        <v>1437</v>
      </c>
      <c r="BF129" s="2" t="str">
        <f>HYPERLINK("http://dx.doi.org/10.3391/bir.2020.9.4.29","http://dx.doi.org/10.3391/bir.2020.9.4.29")</f>
        <v>http://dx.doi.org/10.3391/bir.2020.9.4.29</v>
      </c>
      <c r="BG129" s="1" t="s">
        <v>74</v>
      </c>
      <c r="BH129" s="1" t="s">
        <v>74</v>
      </c>
      <c r="BI129" s="1" t="s">
        <v>74</v>
      </c>
      <c r="BJ129" s="1" t="s">
        <v>74</v>
      </c>
      <c r="BK129" s="1" t="s">
        <v>74</v>
      </c>
      <c r="BL129" s="1" t="s">
        <v>74</v>
      </c>
      <c r="BM129" s="1" t="s">
        <v>74</v>
      </c>
      <c r="BN129" s="1" t="s">
        <v>74</v>
      </c>
      <c r="BO129" s="1" t="s">
        <v>74</v>
      </c>
      <c r="BP129" s="1" t="s">
        <v>74</v>
      </c>
      <c r="BQ129" s="1" t="s">
        <v>74</v>
      </c>
      <c r="BR129" s="1" t="s">
        <v>74</v>
      </c>
      <c r="BS129" s="1" t="s">
        <v>1438</v>
      </c>
      <c r="BT129" s="1" t="str">
        <f>HYPERLINK("https%3A%2F%2Fwww.webofscience.com%2Fwos%2Fwoscc%2Ffull-record%2FWOS:000592519700020","View Full Record in Web of Science")</f>
        <v>View Full Record in Web of Science</v>
      </c>
    </row>
    <row r="130" ht="12.75" customHeight="1">
      <c r="A130" s="1" t="s">
        <v>72</v>
      </c>
      <c r="B130" s="1" t="s">
        <v>1439</v>
      </c>
      <c r="C130" s="1" t="s">
        <v>74</v>
      </c>
      <c r="D130" s="1" t="s">
        <v>74</v>
      </c>
      <c r="E130" s="1" t="s">
        <v>74</v>
      </c>
      <c r="F130" s="1" t="s">
        <v>1440</v>
      </c>
      <c r="G130" s="1" t="s">
        <v>74</v>
      </c>
      <c r="H130" s="1" t="s">
        <v>74</v>
      </c>
      <c r="I130" s="1" t="s">
        <v>1441</v>
      </c>
      <c r="J130" s="1" t="s">
        <v>1442</v>
      </c>
      <c r="K130" s="1" t="s">
        <v>74</v>
      </c>
      <c r="L130" s="1" t="s">
        <v>74</v>
      </c>
      <c r="M130" s="1" t="s">
        <v>74</v>
      </c>
      <c r="N130" s="1" t="s">
        <v>74</v>
      </c>
      <c r="O130" s="1" t="s">
        <v>74</v>
      </c>
      <c r="P130" s="1" t="s">
        <v>74</v>
      </c>
      <c r="Q130" s="1" t="s">
        <v>74</v>
      </c>
      <c r="R130" s="1" t="s">
        <v>74</v>
      </c>
      <c r="S130" s="1" t="s">
        <v>74</v>
      </c>
      <c r="T130" s="1" t="s">
        <v>74</v>
      </c>
      <c r="U130" s="1" t="s">
        <v>74</v>
      </c>
      <c r="V130" s="1" t="s">
        <v>1443</v>
      </c>
      <c r="W130" s="1" t="s">
        <v>74</v>
      </c>
      <c r="X130" s="1" t="s">
        <v>74</v>
      </c>
      <c r="Y130" s="1" t="s">
        <v>74</v>
      </c>
      <c r="Z130" s="1" t="s">
        <v>74</v>
      </c>
      <c r="AA130" s="1" t="s">
        <v>1444</v>
      </c>
      <c r="AB130" s="1" t="s">
        <v>1445</v>
      </c>
      <c r="AC130" s="1" t="s">
        <v>74</v>
      </c>
      <c r="AD130" s="1" t="s">
        <v>74</v>
      </c>
      <c r="AE130" s="1" t="s">
        <v>74</v>
      </c>
      <c r="AF130" s="1" t="s">
        <v>74</v>
      </c>
      <c r="AG130" s="1" t="s">
        <v>74</v>
      </c>
      <c r="AH130" s="1" t="s">
        <v>74</v>
      </c>
      <c r="AI130" s="1" t="s">
        <v>74</v>
      </c>
      <c r="AJ130" s="1" t="s">
        <v>74</v>
      </c>
      <c r="AK130" s="1" t="s">
        <v>74</v>
      </c>
      <c r="AL130" s="1" t="s">
        <v>74</v>
      </c>
      <c r="AM130" s="1" t="s">
        <v>74</v>
      </c>
      <c r="AN130" s="1" t="s">
        <v>74</v>
      </c>
      <c r="AO130" s="1" t="s">
        <v>1446</v>
      </c>
      <c r="AP130" s="1" t="s">
        <v>1447</v>
      </c>
      <c r="AQ130" s="1" t="s">
        <v>74</v>
      </c>
      <c r="AR130" s="1" t="s">
        <v>74</v>
      </c>
      <c r="AS130" s="1" t="s">
        <v>74</v>
      </c>
      <c r="AT130" s="1" t="s">
        <v>678</v>
      </c>
      <c r="AU130" s="1">
        <v>2020.0</v>
      </c>
      <c r="AV130" s="1">
        <v>29.0</v>
      </c>
      <c r="AW130" s="1" t="s">
        <v>1448</v>
      </c>
      <c r="AX130" s="1" t="s">
        <v>74</v>
      </c>
      <c r="AY130" s="1" t="s">
        <v>74</v>
      </c>
      <c r="AZ130" s="1" t="s">
        <v>74</v>
      </c>
      <c r="BA130" s="1" t="s">
        <v>74</v>
      </c>
      <c r="BB130" s="1">
        <v>3950.0</v>
      </c>
      <c r="BC130" s="1">
        <v>3965.0</v>
      </c>
      <c r="BD130" s="1" t="s">
        <v>74</v>
      </c>
      <c r="BE130" s="1" t="s">
        <v>1449</v>
      </c>
      <c r="BF130" s="2" t="str">
        <f>HYPERLINK("http://dx.doi.org/10.1111/jocn.15450","http://dx.doi.org/10.1111/jocn.15450")</f>
        <v>http://dx.doi.org/10.1111/jocn.15450</v>
      </c>
      <c r="BG130" s="1" t="s">
        <v>74</v>
      </c>
      <c r="BH130" s="1" t="s">
        <v>1450</v>
      </c>
      <c r="BI130" s="1" t="s">
        <v>74</v>
      </c>
      <c r="BJ130" s="1" t="s">
        <v>74</v>
      </c>
      <c r="BK130" s="1" t="s">
        <v>74</v>
      </c>
      <c r="BL130" s="1" t="s">
        <v>74</v>
      </c>
      <c r="BM130" s="1" t="s">
        <v>74</v>
      </c>
      <c r="BN130" s="1">
        <v>3.2786156E7</v>
      </c>
      <c r="BO130" s="1" t="s">
        <v>74</v>
      </c>
      <c r="BP130" s="1" t="s">
        <v>74</v>
      </c>
      <c r="BQ130" s="1" t="s">
        <v>74</v>
      </c>
      <c r="BR130" s="1" t="s">
        <v>74</v>
      </c>
      <c r="BS130" s="1" t="s">
        <v>1451</v>
      </c>
      <c r="BT130" s="1" t="str">
        <f>HYPERLINK("https%3A%2F%2Fwww.webofscience.com%2Fwos%2Fwoscc%2Ffull-record%2FWOS:000565640700001","View Full Record in Web of Science")</f>
        <v>View Full Record in Web of Science</v>
      </c>
    </row>
    <row r="131" ht="12.75" customHeight="1">
      <c r="A131" s="1" t="s">
        <v>72</v>
      </c>
      <c r="B131" s="1" t="s">
        <v>1452</v>
      </c>
      <c r="C131" s="1" t="s">
        <v>74</v>
      </c>
      <c r="D131" s="1" t="s">
        <v>74</v>
      </c>
      <c r="E131" s="1" t="s">
        <v>74</v>
      </c>
      <c r="F131" s="1" t="s">
        <v>1453</v>
      </c>
      <c r="G131" s="1" t="s">
        <v>74</v>
      </c>
      <c r="H131" s="1" t="s">
        <v>74</v>
      </c>
      <c r="I131" s="1" t="s">
        <v>1454</v>
      </c>
      <c r="J131" s="1" t="s">
        <v>1455</v>
      </c>
      <c r="K131" s="1" t="s">
        <v>74</v>
      </c>
      <c r="L131" s="1" t="s">
        <v>74</v>
      </c>
      <c r="M131" s="1" t="s">
        <v>74</v>
      </c>
      <c r="N131" s="1" t="s">
        <v>74</v>
      </c>
      <c r="O131" s="1" t="s">
        <v>74</v>
      </c>
      <c r="P131" s="1" t="s">
        <v>74</v>
      </c>
      <c r="Q131" s="1" t="s">
        <v>74</v>
      </c>
      <c r="R131" s="1" t="s">
        <v>74</v>
      </c>
      <c r="S131" s="1" t="s">
        <v>74</v>
      </c>
      <c r="T131" s="1" t="s">
        <v>74</v>
      </c>
      <c r="U131" s="1" t="s">
        <v>74</v>
      </c>
      <c r="V131" s="1" t="s">
        <v>1456</v>
      </c>
      <c r="W131" s="1" t="s">
        <v>74</v>
      </c>
      <c r="X131" s="1" t="s">
        <v>74</v>
      </c>
      <c r="Y131" s="1" t="s">
        <v>74</v>
      </c>
      <c r="Z131" s="1" t="s">
        <v>74</v>
      </c>
      <c r="AA131" s="1" t="s">
        <v>1457</v>
      </c>
      <c r="AB131" s="1" t="s">
        <v>1458</v>
      </c>
      <c r="AC131" s="1" t="s">
        <v>74</v>
      </c>
      <c r="AD131" s="1" t="s">
        <v>74</v>
      </c>
      <c r="AE131" s="1" t="s">
        <v>74</v>
      </c>
      <c r="AF131" s="1" t="s">
        <v>74</v>
      </c>
      <c r="AG131" s="1" t="s">
        <v>74</v>
      </c>
      <c r="AH131" s="1" t="s">
        <v>74</v>
      </c>
      <c r="AI131" s="1" t="s">
        <v>74</v>
      </c>
      <c r="AJ131" s="1" t="s">
        <v>74</v>
      </c>
      <c r="AK131" s="1" t="s">
        <v>74</v>
      </c>
      <c r="AL131" s="1" t="s">
        <v>74</v>
      </c>
      <c r="AM131" s="1" t="s">
        <v>74</v>
      </c>
      <c r="AN131" s="1" t="s">
        <v>74</v>
      </c>
      <c r="AO131" s="1" t="s">
        <v>1459</v>
      </c>
      <c r="AP131" s="1" t="s">
        <v>1460</v>
      </c>
      <c r="AQ131" s="1" t="s">
        <v>74</v>
      </c>
      <c r="AR131" s="1" t="s">
        <v>74</v>
      </c>
      <c r="AS131" s="1" t="s">
        <v>74</v>
      </c>
      <c r="AT131" s="1" t="s">
        <v>1461</v>
      </c>
      <c r="AU131" s="1">
        <v>2020.0</v>
      </c>
      <c r="AV131" s="1">
        <v>2020.0</v>
      </c>
      <c r="AW131" s="1" t="s">
        <v>74</v>
      </c>
      <c r="AX131" s="1" t="s">
        <v>74</v>
      </c>
      <c r="AY131" s="1" t="s">
        <v>74</v>
      </c>
      <c r="AZ131" s="1" t="s">
        <v>74</v>
      </c>
      <c r="BA131" s="1" t="s">
        <v>74</v>
      </c>
      <c r="BB131" s="1" t="s">
        <v>74</v>
      </c>
      <c r="BC131" s="1" t="s">
        <v>74</v>
      </c>
      <c r="BD131" s="1">
        <v>4045760.0</v>
      </c>
      <c r="BE131" s="1" t="s">
        <v>1462</v>
      </c>
      <c r="BF131" s="2" t="str">
        <f>HYPERLINK("http://dx.doi.org/10.1155/2020/4045760","http://dx.doi.org/10.1155/2020/4045760")</f>
        <v>http://dx.doi.org/10.1155/2020/4045760</v>
      </c>
      <c r="BG131" s="1" t="s">
        <v>74</v>
      </c>
      <c r="BH131" s="1" t="s">
        <v>74</v>
      </c>
      <c r="BI131" s="1" t="s">
        <v>74</v>
      </c>
      <c r="BJ131" s="1" t="s">
        <v>74</v>
      </c>
      <c r="BK131" s="1" t="s">
        <v>74</v>
      </c>
      <c r="BL131" s="1" t="s">
        <v>74</v>
      </c>
      <c r="BM131" s="1" t="s">
        <v>74</v>
      </c>
      <c r="BN131" s="1">
        <v>3.2626742E7</v>
      </c>
      <c r="BO131" s="1" t="s">
        <v>74</v>
      </c>
      <c r="BP131" s="1" t="s">
        <v>74</v>
      </c>
      <c r="BQ131" s="1" t="s">
        <v>74</v>
      </c>
      <c r="BR131" s="1" t="s">
        <v>74</v>
      </c>
      <c r="BS131" s="1" t="s">
        <v>1463</v>
      </c>
      <c r="BT131" s="1" t="str">
        <f>HYPERLINK("https%3A%2F%2Fwww.webofscience.com%2Fwos%2Fwoscc%2Ffull-record%2FWOS:000543499900006","View Full Record in Web of Science")</f>
        <v>View Full Record in Web of Science</v>
      </c>
    </row>
    <row r="132" ht="12.75" customHeight="1">
      <c r="A132" s="1" t="s">
        <v>72</v>
      </c>
      <c r="B132" s="1" t="s">
        <v>1464</v>
      </c>
      <c r="C132" s="1" t="s">
        <v>74</v>
      </c>
      <c r="D132" s="1" t="s">
        <v>74</v>
      </c>
      <c r="E132" s="1" t="s">
        <v>74</v>
      </c>
      <c r="F132" s="1" t="s">
        <v>1465</v>
      </c>
      <c r="G132" s="1" t="s">
        <v>74</v>
      </c>
      <c r="H132" s="1" t="s">
        <v>74</v>
      </c>
      <c r="I132" s="1" t="s">
        <v>1466</v>
      </c>
      <c r="J132" s="1" t="s">
        <v>1189</v>
      </c>
      <c r="K132" s="1" t="s">
        <v>74</v>
      </c>
      <c r="L132" s="1" t="s">
        <v>74</v>
      </c>
      <c r="M132" s="1" t="s">
        <v>74</v>
      </c>
      <c r="N132" s="1" t="s">
        <v>74</v>
      </c>
      <c r="O132" s="1" t="s">
        <v>74</v>
      </c>
      <c r="P132" s="1" t="s">
        <v>74</v>
      </c>
      <c r="Q132" s="1" t="s">
        <v>74</v>
      </c>
      <c r="R132" s="1" t="s">
        <v>74</v>
      </c>
      <c r="S132" s="1" t="s">
        <v>74</v>
      </c>
      <c r="T132" s="1" t="s">
        <v>74</v>
      </c>
      <c r="U132" s="1" t="s">
        <v>74</v>
      </c>
      <c r="V132" s="1" t="s">
        <v>1467</v>
      </c>
      <c r="W132" s="1" t="s">
        <v>74</v>
      </c>
      <c r="X132" s="1" t="s">
        <v>74</v>
      </c>
      <c r="Y132" s="1" t="s">
        <v>74</v>
      </c>
      <c r="Z132" s="1" t="s">
        <v>74</v>
      </c>
      <c r="AA132" s="1" t="s">
        <v>1468</v>
      </c>
      <c r="AB132" s="1" t="s">
        <v>1469</v>
      </c>
      <c r="AC132" s="1" t="s">
        <v>74</v>
      </c>
      <c r="AD132" s="1" t="s">
        <v>74</v>
      </c>
      <c r="AE132" s="1" t="s">
        <v>74</v>
      </c>
      <c r="AF132" s="1" t="s">
        <v>74</v>
      </c>
      <c r="AG132" s="1" t="s">
        <v>74</v>
      </c>
      <c r="AH132" s="1" t="s">
        <v>74</v>
      </c>
      <c r="AI132" s="1" t="s">
        <v>74</v>
      </c>
      <c r="AJ132" s="1" t="s">
        <v>74</v>
      </c>
      <c r="AK132" s="1" t="s">
        <v>74</v>
      </c>
      <c r="AL132" s="1" t="s">
        <v>74</v>
      </c>
      <c r="AM132" s="1" t="s">
        <v>74</v>
      </c>
      <c r="AN132" s="1" t="s">
        <v>74</v>
      </c>
      <c r="AO132" s="1" t="s">
        <v>1192</v>
      </c>
      <c r="AP132" s="1" t="s">
        <v>1193</v>
      </c>
      <c r="AQ132" s="1" t="s">
        <v>74</v>
      </c>
      <c r="AR132" s="1" t="s">
        <v>74</v>
      </c>
      <c r="AS132" s="1" t="s">
        <v>74</v>
      </c>
      <c r="AT132" s="1" t="s">
        <v>1470</v>
      </c>
      <c r="AU132" s="1">
        <v>2020.0</v>
      </c>
      <c r="AV132" s="1">
        <v>53.0</v>
      </c>
      <c r="AW132" s="1">
        <v>1.0</v>
      </c>
      <c r="AX132" s="1" t="s">
        <v>74</v>
      </c>
      <c r="AY132" s="1" t="s">
        <v>74</v>
      </c>
      <c r="AZ132" s="1" t="s">
        <v>74</v>
      </c>
      <c r="BA132" s="1" t="s">
        <v>74</v>
      </c>
      <c r="BB132" s="1" t="s">
        <v>74</v>
      </c>
      <c r="BC132" s="1" t="s">
        <v>74</v>
      </c>
      <c r="BD132" s="1">
        <v>26.0</v>
      </c>
      <c r="BE132" s="1" t="s">
        <v>1471</v>
      </c>
      <c r="BF132" s="2" t="str">
        <f>HYPERLINK("http://dx.doi.org/10.1186/s40659-020-00292-5","http://dx.doi.org/10.1186/s40659-020-00292-5")</f>
        <v>http://dx.doi.org/10.1186/s40659-020-00292-5</v>
      </c>
      <c r="BG132" s="1" t="s">
        <v>74</v>
      </c>
      <c r="BH132" s="1" t="s">
        <v>74</v>
      </c>
      <c r="BI132" s="1" t="s">
        <v>74</v>
      </c>
      <c r="BJ132" s="1" t="s">
        <v>74</v>
      </c>
      <c r="BK132" s="1" t="s">
        <v>74</v>
      </c>
      <c r="BL132" s="1" t="s">
        <v>74</v>
      </c>
      <c r="BM132" s="1" t="s">
        <v>74</v>
      </c>
      <c r="BN132" s="1">
        <v>3.2513271E7</v>
      </c>
      <c r="BO132" s="1" t="s">
        <v>74</v>
      </c>
      <c r="BP132" s="1" t="s">
        <v>74</v>
      </c>
      <c r="BQ132" s="1" t="s">
        <v>74</v>
      </c>
      <c r="BR132" s="1" t="s">
        <v>74</v>
      </c>
      <c r="BS132" s="1" t="s">
        <v>1472</v>
      </c>
      <c r="BT132" s="1" t="str">
        <f>HYPERLINK("https%3A%2F%2Fwww.webofscience.com%2Fwos%2Fwoscc%2Ffull-record%2FWOS:000539026300001","View Full Record in Web of Science")</f>
        <v>View Full Record in Web of Science</v>
      </c>
    </row>
    <row r="133" ht="12.75" customHeight="1">
      <c r="A133" s="1" t="s">
        <v>72</v>
      </c>
      <c r="B133" s="1" t="s">
        <v>1473</v>
      </c>
      <c r="C133" s="1" t="s">
        <v>74</v>
      </c>
      <c r="D133" s="1" t="s">
        <v>74</v>
      </c>
      <c r="E133" s="1" t="s">
        <v>74</v>
      </c>
      <c r="F133" s="1" t="s">
        <v>1474</v>
      </c>
      <c r="G133" s="1" t="s">
        <v>74</v>
      </c>
      <c r="H133" s="1" t="s">
        <v>74</v>
      </c>
      <c r="I133" s="1" t="s">
        <v>1475</v>
      </c>
      <c r="J133" s="1" t="s">
        <v>1476</v>
      </c>
      <c r="K133" s="1" t="s">
        <v>74</v>
      </c>
      <c r="L133" s="1" t="s">
        <v>74</v>
      </c>
      <c r="M133" s="1" t="s">
        <v>74</v>
      </c>
      <c r="N133" s="1" t="s">
        <v>74</v>
      </c>
      <c r="O133" s="1" t="s">
        <v>74</v>
      </c>
      <c r="P133" s="1" t="s">
        <v>74</v>
      </c>
      <c r="Q133" s="1" t="s">
        <v>74</v>
      </c>
      <c r="R133" s="1" t="s">
        <v>74</v>
      </c>
      <c r="S133" s="1" t="s">
        <v>74</v>
      </c>
      <c r="T133" s="1" t="s">
        <v>74</v>
      </c>
      <c r="U133" s="1" t="s">
        <v>74</v>
      </c>
      <c r="V133" s="1" t="s">
        <v>74</v>
      </c>
      <c r="W133" s="1" t="s">
        <v>74</v>
      </c>
      <c r="X133" s="1" t="s">
        <v>74</v>
      </c>
      <c r="Y133" s="1" t="s">
        <v>74</v>
      </c>
      <c r="Z133" s="1" t="s">
        <v>74</v>
      </c>
      <c r="AA133" s="1" t="s">
        <v>74</v>
      </c>
      <c r="AB133" s="1" t="s">
        <v>74</v>
      </c>
      <c r="AC133" s="1" t="s">
        <v>74</v>
      </c>
      <c r="AD133" s="1" t="s">
        <v>74</v>
      </c>
      <c r="AE133" s="1" t="s">
        <v>74</v>
      </c>
      <c r="AF133" s="1" t="s">
        <v>74</v>
      </c>
      <c r="AG133" s="1" t="s">
        <v>74</v>
      </c>
      <c r="AH133" s="1" t="s">
        <v>74</v>
      </c>
      <c r="AI133" s="1" t="s">
        <v>74</v>
      </c>
      <c r="AJ133" s="1" t="s">
        <v>74</v>
      </c>
      <c r="AK133" s="1" t="s">
        <v>74</v>
      </c>
      <c r="AL133" s="1" t="s">
        <v>74</v>
      </c>
      <c r="AM133" s="1" t="s">
        <v>74</v>
      </c>
      <c r="AN133" s="1" t="s">
        <v>74</v>
      </c>
      <c r="AO133" s="1" t="s">
        <v>1477</v>
      </c>
      <c r="AP133" s="1" t="s">
        <v>1478</v>
      </c>
      <c r="AQ133" s="1" t="s">
        <v>74</v>
      </c>
      <c r="AR133" s="1" t="s">
        <v>74</v>
      </c>
      <c r="AS133" s="1" t="s">
        <v>74</v>
      </c>
      <c r="AT133" s="1" t="s">
        <v>180</v>
      </c>
      <c r="AU133" s="1">
        <v>2020.0</v>
      </c>
      <c r="AV133" s="1">
        <v>11.0</v>
      </c>
      <c r="AW133" s="1">
        <v>1.0</v>
      </c>
      <c r="AX133" s="1" t="s">
        <v>74</v>
      </c>
      <c r="AY133" s="1" t="s">
        <v>74</v>
      </c>
      <c r="AZ133" s="1" t="s">
        <v>74</v>
      </c>
      <c r="BA133" s="1" t="s">
        <v>74</v>
      </c>
      <c r="BB133" s="1">
        <v>154.0</v>
      </c>
      <c r="BC133" s="1">
        <v>164.0</v>
      </c>
      <c r="BD133" s="1" t="s">
        <v>74</v>
      </c>
      <c r="BE133" s="1" t="s">
        <v>74</v>
      </c>
      <c r="BF133" s="1" t="s">
        <v>74</v>
      </c>
      <c r="BG133" s="1" t="s">
        <v>74</v>
      </c>
      <c r="BH133" s="1" t="s">
        <v>74</v>
      </c>
      <c r="BI133" s="1" t="s">
        <v>74</v>
      </c>
      <c r="BJ133" s="1" t="s">
        <v>74</v>
      </c>
      <c r="BK133" s="1" t="s">
        <v>74</v>
      </c>
      <c r="BL133" s="1" t="s">
        <v>74</v>
      </c>
      <c r="BM133" s="1" t="s">
        <v>74</v>
      </c>
      <c r="BN133" s="1" t="s">
        <v>74</v>
      </c>
      <c r="BO133" s="1" t="s">
        <v>74</v>
      </c>
      <c r="BP133" s="1" t="s">
        <v>74</v>
      </c>
      <c r="BQ133" s="1" t="s">
        <v>74</v>
      </c>
      <c r="BR133" s="1" t="s">
        <v>74</v>
      </c>
      <c r="BS133" s="1" t="s">
        <v>1479</v>
      </c>
      <c r="BT133" s="1" t="str">
        <f>HYPERLINK("https%3A%2F%2Fwww.webofscience.com%2Fwos%2Fwoscc%2Ffull-record%2FWOS:000534214800010","View Full Record in Web of Science")</f>
        <v>View Full Record in Web of Science</v>
      </c>
    </row>
    <row r="134" ht="12.75" customHeight="1">
      <c r="A134" s="1" t="s">
        <v>72</v>
      </c>
      <c r="B134" s="1" t="s">
        <v>1480</v>
      </c>
      <c r="C134" s="1" t="s">
        <v>74</v>
      </c>
      <c r="D134" s="1" t="s">
        <v>74</v>
      </c>
      <c r="E134" s="1" t="s">
        <v>74</v>
      </c>
      <c r="F134" s="1" t="s">
        <v>1481</v>
      </c>
      <c r="G134" s="1" t="s">
        <v>74</v>
      </c>
      <c r="H134" s="1" t="s">
        <v>74</v>
      </c>
      <c r="I134" s="1" t="s">
        <v>1482</v>
      </c>
      <c r="J134" s="1" t="s">
        <v>1483</v>
      </c>
      <c r="K134" s="1" t="s">
        <v>74</v>
      </c>
      <c r="L134" s="1" t="s">
        <v>74</v>
      </c>
      <c r="M134" s="1" t="s">
        <v>74</v>
      </c>
      <c r="N134" s="1" t="s">
        <v>74</v>
      </c>
      <c r="O134" s="1" t="s">
        <v>74</v>
      </c>
      <c r="P134" s="1" t="s">
        <v>74</v>
      </c>
      <c r="Q134" s="1" t="s">
        <v>74</v>
      </c>
      <c r="R134" s="1" t="s">
        <v>74</v>
      </c>
      <c r="S134" s="1" t="s">
        <v>74</v>
      </c>
      <c r="T134" s="1" t="s">
        <v>74</v>
      </c>
      <c r="U134" s="1" t="s">
        <v>74</v>
      </c>
      <c r="V134" s="1" t="s">
        <v>1484</v>
      </c>
      <c r="W134" s="1" t="s">
        <v>74</v>
      </c>
      <c r="X134" s="1" t="s">
        <v>74</v>
      </c>
      <c r="Y134" s="1" t="s">
        <v>74</v>
      </c>
      <c r="Z134" s="1" t="s">
        <v>74</v>
      </c>
      <c r="AA134" s="1" t="s">
        <v>244</v>
      </c>
      <c r="AB134" s="1" t="s">
        <v>74</v>
      </c>
      <c r="AC134" s="1" t="s">
        <v>74</v>
      </c>
      <c r="AD134" s="1" t="s">
        <v>74</v>
      </c>
      <c r="AE134" s="1" t="s">
        <v>74</v>
      </c>
      <c r="AF134" s="1" t="s">
        <v>74</v>
      </c>
      <c r="AG134" s="1" t="s">
        <v>74</v>
      </c>
      <c r="AH134" s="1" t="s">
        <v>74</v>
      </c>
      <c r="AI134" s="1" t="s">
        <v>74</v>
      </c>
      <c r="AJ134" s="1" t="s">
        <v>74</v>
      </c>
      <c r="AK134" s="1" t="s">
        <v>74</v>
      </c>
      <c r="AL134" s="1" t="s">
        <v>74</v>
      </c>
      <c r="AM134" s="1" t="s">
        <v>74</v>
      </c>
      <c r="AN134" s="1" t="s">
        <v>74</v>
      </c>
      <c r="AO134" s="1" t="s">
        <v>1485</v>
      </c>
      <c r="AP134" s="1" t="s">
        <v>1486</v>
      </c>
      <c r="AQ134" s="1" t="s">
        <v>74</v>
      </c>
      <c r="AR134" s="1" t="s">
        <v>74</v>
      </c>
      <c r="AS134" s="1" t="s">
        <v>74</v>
      </c>
      <c r="AT134" s="1" t="s">
        <v>111</v>
      </c>
      <c r="AU134" s="1">
        <v>2020.0</v>
      </c>
      <c r="AV134" s="1">
        <v>102.0</v>
      </c>
      <c r="AW134" s="1" t="s">
        <v>74</v>
      </c>
      <c r="AX134" s="1" t="s">
        <v>74</v>
      </c>
      <c r="AY134" s="1" t="s">
        <v>74</v>
      </c>
      <c r="AZ134" s="1" t="s">
        <v>74</v>
      </c>
      <c r="BA134" s="1" t="s">
        <v>74</v>
      </c>
      <c r="BB134" s="1" t="s">
        <v>74</v>
      </c>
      <c r="BC134" s="1" t="s">
        <v>74</v>
      </c>
      <c r="BD134" s="1">
        <v>102095.0</v>
      </c>
      <c r="BE134" s="1" t="s">
        <v>1487</v>
      </c>
      <c r="BF134" s="2" t="str">
        <f>HYPERLINK("http://dx.doi.org/10.1016/j.adhoc.2020.102095","http://dx.doi.org/10.1016/j.adhoc.2020.102095")</f>
        <v>http://dx.doi.org/10.1016/j.adhoc.2020.102095</v>
      </c>
      <c r="BG134" s="1" t="s">
        <v>74</v>
      </c>
      <c r="BH134" s="1" t="s">
        <v>74</v>
      </c>
      <c r="BI134" s="1" t="s">
        <v>74</v>
      </c>
      <c r="BJ134" s="1" t="s">
        <v>74</v>
      </c>
      <c r="BK134" s="1" t="s">
        <v>74</v>
      </c>
      <c r="BL134" s="1" t="s">
        <v>74</v>
      </c>
      <c r="BM134" s="1" t="s">
        <v>74</v>
      </c>
      <c r="BN134" s="1" t="s">
        <v>74</v>
      </c>
      <c r="BO134" s="1" t="s">
        <v>74</v>
      </c>
      <c r="BP134" s="1" t="s">
        <v>74</v>
      </c>
      <c r="BQ134" s="1" t="s">
        <v>74</v>
      </c>
      <c r="BR134" s="1" t="s">
        <v>74</v>
      </c>
      <c r="BS134" s="1" t="s">
        <v>1488</v>
      </c>
      <c r="BT134" s="1" t="str">
        <f>HYPERLINK("https%3A%2F%2Fwww.webofscience.com%2Fwos%2Fwoscc%2Ffull-record%2FWOS:000527929500002","View Full Record in Web of Science")</f>
        <v>View Full Record in Web of Science</v>
      </c>
    </row>
    <row r="135" ht="12.75" customHeight="1">
      <c r="A135" s="1" t="s">
        <v>72</v>
      </c>
      <c r="B135" s="1" t="s">
        <v>1489</v>
      </c>
      <c r="C135" s="1" t="s">
        <v>74</v>
      </c>
      <c r="D135" s="1" t="s">
        <v>74</v>
      </c>
      <c r="E135" s="1" t="s">
        <v>74</v>
      </c>
      <c r="F135" s="1" t="s">
        <v>1490</v>
      </c>
      <c r="G135" s="1" t="s">
        <v>74</v>
      </c>
      <c r="H135" s="1" t="s">
        <v>74</v>
      </c>
      <c r="I135" s="1" t="s">
        <v>1491</v>
      </c>
      <c r="J135" s="1" t="s">
        <v>1096</v>
      </c>
      <c r="K135" s="1" t="s">
        <v>74</v>
      </c>
      <c r="L135" s="1" t="s">
        <v>74</v>
      </c>
      <c r="M135" s="1" t="s">
        <v>74</v>
      </c>
      <c r="N135" s="1" t="s">
        <v>74</v>
      </c>
      <c r="O135" s="1" t="s">
        <v>74</v>
      </c>
      <c r="P135" s="1" t="s">
        <v>74</v>
      </c>
      <c r="Q135" s="1" t="s">
        <v>74</v>
      </c>
      <c r="R135" s="1" t="s">
        <v>74</v>
      </c>
      <c r="S135" s="1" t="s">
        <v>74</v>
      </c>
      <c r="T135" s="1" t="s">
        <v>74</v>
      </c>
      <c r="U135" s="1" t="s">
        <v>74</v>
      </c>
      <c r="V135" s="1" t="s">
        <v>1492</v>
      </c>
      <c r="W135" s="1" t="s">
        <v>74</v>
      </c>
      <c r="X135" s="1" t="s">
        <v>74</v>
      </c>
      <c r="Y135" s="1" t="s">
        <v>74</v>
      </c>
      <c r="Z135" s="1" t="s">
        <v>74</v>
      </c>
      <c r="AA135" s="1" t="s">
        <v>1493</v>
      </c>
      <c r="AB135" s="1" t="s">
        <v>1494</v>
      </c>
      <c r="AC135" s="1" t="s">
        <v>74</v>
      </c>
      <c r="AD135" s="1" t="s">
        <v>74</v>
      </c>
      <c r="AE135" s="1" t="s">
        <v>74</v>
      </c>
      <c r="AF135" s="1" t="s">
        <v>74</v>
      </c>
      <c r="AG135" s="1" t="s">
        <v>74</v>
      </c>
      <c r="AH135" s="1" t="s">
        <v>74</v>
      </c>
      <c r="AI135" s="1" t="s">
        <v>74</v>
      </c>
      <c r="AJ135" s="1" t="s">
        <v>74</v>
      </c>
      <c r="AK135" s="1" t="s">
        <v>74</v>
      </c>
      <c r="AL135" s="1" t="s">
        <v>74</v>
      </c>
      <c r="AM135" s="1" t="s">
        <v>74</v>
      </c>
      <c r="AN135" s="1" t="s">
        <v>74</v>
      </c>
      <c r="AO135" s="1" t="s">
        <v>1100</v>
      </c>
      <c r="AP135" s="1" t="s">
        <v>1495</v>
      </c>
      <c r="AQ135" s="1" t="s">
        <v>74</v>
      </c>
      <c r="AR135" s="1" t="s">
        <v>74</v>
      </c>
      <c r="AS135" s="1" t="s">
        <v>74</v>
      </c>
      <c r="AT135" s="1" t="s">
        <v>146</v>
      </c>
      <c r="AU135" s="1">
        <v>2020.0</v>
      </c>
      <c r="AV135" s="1">
        <v>124.0</v>
      </c>
      <c r="AW135" s="1">
        <v>9.0</v>
      </c>
      <c r="AX135" s="1" t="s">
        <v>74</v>
      </c>
      <c r="AY135" s="1" t="s">
        <v>74</v>
      </c>
      <c r="AZ135" s="1" t="s">
        <v>74</v>
      </c>
      <c r="BA135" s="1" t="s">
        <v>74</v>
      </c>
      <c r="BB135" s="1">
        <v>5308.0</v>
      </c>
      <c r="BC135" s="1">
        <v>5320.0</v>
      </c>
      <c r="BD135" s="1" t="s">
        <v>74</v>
      </c>
      <c r="BE135" s="1" t="s">
        <v>1496</v>
      </c>
      <c r="BF135" s="2" t="str">
        <f>HYPERLINK("http://dx.doi.org/10.1021/acs.jpcc.9b09234","http://dx.doi.org/10.1021/acs.jpcc.9b09234")</f>
        <v>http://dx.doi.org/10.1021/acs.jpcc.9b09234</v>
      </c>
      <c r="BG135" s="1" t="s">
        <v>74</v>
      </c>
      <c r="BH135" s="1" t="s">
        <v>74</v>
      </c>
      <c r="BI135" s="1" t="s">
        <v>74</v>
      </c>
      <c r="BJ135" s="1" t="s">
        <v>74</v>
      </c>
      <c r="BK135" s="1" t="s">
        <v>74</v>
      </c>
      <c r="BL135" s="1" t="s">
        <v>74</v>
      </c>
      <c r="BM135" s="1" t="s">
        <v>74</v>
      </c>
      <c r="BN135" s="1" t="s">
        <v>74</v>
      </c>
      <c r="BO135" s="1" t="s">
        <v>74</v>
      </c>
      <c r="BP135" s="1" t="s">
        <v>74</v>
      </c>
      <c r="BQ135" s="1" t="s">
        <v>74</v>
      </c>
      <c r="BR135" s="1" t="s">
        <v>74</v>
      </c>
      <c r="BS135" s="1" t="s">
        <v>1497</v>
      </c>
      <c r="BT135" s="1" t="str">
        <f>HYPERLINK("https%3A%2F%2Fwww.webofscience.com%2Fwos%2Fwoscc%2Ffull-record%2FWOS:000518703000041","View Full Record in Web of Science")</f>
        <v>View Full Record in Web of Science</v>
      </c>
    </row>
    <row r="136" ht="12.75" customHeight="1">
      <c r="A136" s="1" t="s">
        <v>72</v>
      </c>
      <c r="B136" s="1" t="s">
        <v>1498</v>
      </c>
      <c r="C136" s="1" t="s">
        <v>74</v>
      </c>
      <c r="D136" s="1" t="s">
        <v>74</v>
      </c>
      <c r="E136" s="1" t="s">
        <v>74</v>
      </c>
      <c r="F136" s="1" t="s">
        <v>1499</v>
      </c>
      <c r="G136" s="1" t="s">
        <v>74</v>
      </c>
      <c r="H136" s="1" t="s">
        <v>74</v>
      </c>
      <c r="I136" s="1" t="s">
        <v>1500</v>
      </c>
      <c r="J136" s="1" t="s">
        <v>1501</v>
      </c>
      <c r="K136" s="1" t="s">
        <v>74</v>
      </c>
      <c r="L136" s="1" t="s">
        <v>74</v>
      </c>
      <c r="M136" s="1" t="s">
        <v>74</v>
      </c>
      <c r="N136" s="1" t="s">
        <v>74</v>
      </c>
      <c r="O136" s="1" t="s">
        <v>1502</v>
      </c>
      <c r="P136" s="1" t="s">
        <v>1503</v>
      </c>
      <c r="Q136" s="1" t="s">
        <v>1504</v>
      </c>
      <c r="R136" s="1" t="s">
        <v>1505</v>
      </c>
      <c r="S136" s="1" t="s">
        <v>74</v>
      </c>
      <c r="T136" s="1" t="s">
        <v>74</v>
      </c>
      <c r="U136" s="1" t="s">
        <v>74</v>
      </c>
      <c r="V136" s="1" t="s">
        <v>74</v>
      </c>
      <c r="W136" s="1" t="s">
        <v>74</v>
      </c>
      <c r="X136" s="1" t="s">
        <v>74</v>
      </c>
      <c r="Y136" s="1" t="s">
        <v>74</v>
      </c>
      <c r="Z136" s="1" t="s">
        <v>74</v>
      </c>
      <c r="AA136" s="1" t="s">
        <v>1506</v>
      </c>
      <c r="AB136" s="1" t="s">
        <v>1507</v>
      </c>
      <c r="AC136" s="1" t="s">
        <v>74</v>
      </c>
      <c r="AD136" s="1" t="s">
        <v>74</v>
      </c>
      <c r="AE136" s="1" t="s">
        <v>74</v>
      </c>
      <c r="AF136" s="1" t="s">
        <v>74</v>
      </c>
      <c r="AG136" s="1" t="s">
        <v>74</v>
      </c>
      <c r="AH136" s="1" t="s">
        <v>74</v>
      </c>
      <c r="AI136" s="1" t="s">
        <v>74</v>
      </c>
      <c r="AJ136" s="1" t="s">
        <v>74</v>
      </c>
      <c r="AK136" s="1" t="s">
        <v>74</v>
      </c>
      <c r="AL136" s="1" t="s">
        <v>74</v>
      </c>
      <c r="AM136" s="1" t="s">
        <v>74</v>
      </c>
      <c r="AN136" s="1" t="s">
        <v>74</v>
      </c>
      <c r="AO136" s="1" t="s">
        <v>1508</v>
      </c>
      <c r="AP136" s="1" t="s">
        <v>1509</v>
      </c>
      <c r="AQ136" s="1" t="s">
        <v>74</v>
      </c>
      <c r="AR136" s="1" t="s">
        <v>74</v>
      </c>
      <c r="AS136" s="1" t="s">
        <v>74</v>
      </c>
      <c r="AT136" s="1" t="s">
        <v>1510</v>
      </c>
      <c r="AU136" s="1">
        <v>2019.0</v>
      </c>
      <c r="AV136" s="1">
        <v>54.0</v>
      </c>
      <c r="AW136" s="1" t="s">
        <v>74</v>
      </c>
      <c r="AX136" s="1" t="s">
        <v>74</v>
      </c>
      <c r="AY136" s="1">
        <v>63.0</v>
      </c>
      <c r="AZ136" s="1" t="s">
        <v>74</v>
      </c>
      <c r="BA136" s="1" t="s">
        <v>1511</v>
      </c>
      <c r="BB136" s="1" t="s">
        <v>74</v>
      </c>
      <c r="BC136" s="1" t="s">
        <v>74</v>
      </c>
      <c r="BD136" s="1" t="s">
        <v>74</v>
      </c>
      <c r="BE136" s="1" t="s">
        <v>1512</v>
      </c>
      <c r="BF136" s="2" t="str">
        <f>HYPERLINK("http://dx.doi.org/10.1183/13993003.congress-2019.PA1421","http://dx.doi.org/10.1183/13993003.congress-2019.PA1421")</f>
        <v>http://dx.doi.org/10.1183/13993003.congress-2019.PA1421</v>
      </c>
      <c r="BG136" s="1" t="s">
        <v>74</v>
      </c>
      <c r="BH136" s="1" t="s">
        <v>74</v>
      </c>
      <c r="BI136" s="1" t="s">
        <v>74</v>
      </c>
      <c r="BJ136" s="1" t="s">
        <v>74</v>
      </c>
      <c r="BK136" s="1" t="s">
        <v>74</v>
      </c>
      <c r="BL136" s="1" t="s">
        <v>74</v>
      </c>
      <c r="BM136" s="1" t="s">
        <v>74</v>
      </c>
      <c r="BN136" s="1" t="s">
        <v>74</v>
      </c>
      <c r="BO136" s="1" t="s">
        <v>74</v>
      </c>
      <c r="BP136" s="1" t="s">
        <v>74</v>
      </c>
      <c r="BQ136" s="1" t="s">
        <v>74</v>
      </c>
      <c r="BR136" s="1" t="s">
        <v>74</v>
      </c>
      <c r="BS136" s="1" t="s">
        <v>1513</v>
      </c>
      <c r="BT136" s="1" t="str">
        <f>HYPERLINK("https%3A%2F%2Fwww.webofscience.com%2Fwos%2Fwoscc%2Ffull-record%2FWOS:000507372401433","View Full Record in Web of Science")</f>
        <v>View Full Record in Web of Science</v>
      </c>
    </row>
    <row r="137" ht="12.75" customHeight="1">
      <c r="A137" s="1" t="s">
        <v>72</v>
      </c>
      <c r="B137" s="1" t="s">
        <v>1514</v>
      </c>
      <c r="C137" s="1" t="s">
        <v>74</v>
      </c>
      <c r="D137" s="1" t="s">
        <v>74</v>
      </c>
      <c r="E137" s="1" t="s">
        <v>74</v>
      </c>
      <c r="F137" s="1" t="s">
        <v>1515</v>
      </c>
      <c r="G137" s="1" t="s">
        <v>74</v>
      </c>
      <c r="H137" s="1" t="s">
        <v>74</v>
      </c>
      <c r="I137" s="1" t="s">
        <v>1516</v>
      </c>
      <c r="J137" s="1" t="s">
        <v>1517</v>
      </c>
      <c r="K137" s="1" t="s">
        <v>74</v>
      </c>
      <c r="L137" s="1" t="s">
        <v>74</v>
      </c>
      <c r="M137" s="1" t="s">
        <v>74</v>
      </c>
      <c r="N137" s="1" t="s">
        <v>74</v>
      </c>
      <c r="O137" s="1" t="s">
        <v>74</v>
      </c>
      <c r="P137" s="1" t="s">
        <v>74</v>
      </c>
      <c r="Q137" s="1" t="s">
        <v>74</v>
      </c>
      <c r="R137" s="1" t="s">
        <v>74</v>
      </c>
      <c r="S137" s="1" t="s">
        <v>74</v>
      </c>
      <c r="T137" s="1" t="s">
        <v>74</v>
      </c>
      <c r="U137" s="1" t="s">
        <v>74</v>
      </c>
      <c r="V137" s="1" t="s">
        <v>1518</v>
      </c>
      <c r="W137" s="1" t="s">
        <v>74</v>
      </c>
      <c r="X137" s="1" t="s">
        <v>74</v>
      </c>
      <c r="Y137" s="1" t="s">
        <v>74</v>
      </c>
      <c r="Z137" s="1" t="s">
        <v>74</v>
      </c>
      <c r="AA137" s="1" t="s">
        <v>1519</v>
      </c>
      <c r="AB137" s="1" t="s">
        <v>1520</v>
      </c>
      <c r="AC137" s="1" t="s">
        <v>74</v>
      </c>
      <c r="AD137" s="1" t="s">
        <v>74</v>
      </c>
      <c r="AE137" s="1" t="s">
        <v>74</v>
      </c>
      <c r="AF137" s="1" t="s">
        <v>74</v>
      </c>
      <c r="AG137" s="1" t="s">
        <v>74</v>
      </c>
      <c r="AH137" s="1" t="s">
        <v>74</v>
      </c>
      <c r="AI137" s="1" t="s">
        <v>74</v>
      </c>
      <c r="AJ137" s="1" t="s">
        <v>74</v>
      </c>
      <c r="AK137" s="1" t="s">
        <v>74</v>
      </c>
      <c r="AL137" s="1" t="s">
        <v>74</v>
      </c>
      <c r="AM137" s="1" t="s">
        <v>74</v>
      </c>
      <c r="AN137" s="1" t="s">
        <v>74</v>
      </c>
      <c r="AO137" s="1" t="s">
        <v>1521</v>
      </c>
      <c r="AP137" s="1" t="s">
        <v>1522</v>
      </c>
      <c r="AQ137" s="1" t="s">
        <v>74</v>
      </c>
      <c r="AR137" s="1" t="s">
        <v>74</v>
      </c>
      <c r="AS137" s="1" t="s">
        <v>74</v>
      </c>
      <c r="AT137" s="1" t="s">
        <v>444</v>
      </c>
      <c r="AU137" s="1">
        <v>2019.0</v>
      </c>
      <c r="AV137" s="1">
        <v>95.0</v>
      </c>
      <c r="AW137" s="1">
        <v>4.0</v>
      </c>
      <c r="AX137" s="1" t="s">
        <v>74</v>
      </c>
      <c r="AY137" s="1" t="s">
        <v>74</v>
      </c>
      <c r="AZ137" s="1" t="s">
        <v>74</v>
      </c>
      <c r="BA137" s="1" t="s">
        <v>74</v>
      </c>
      <c r="BB137" s="1">
        <v>435.0</v>
      </c>
      <c r="BC137" s="1">
        <v>442.0</v>
      </c>
      <c r="BD137" s="1" t="s">
        <v>74</v>
      </c>
      <c r="BE137" s="1" t="s">
        <v>1523</v>
      </c>
      <c r="BF137" s="2" t="str">
        <f>HYPERLINK("http://dx.doi.org/10.1016/j.jped.2018.04.002","http://dx.doi.org/10.1016/j.jped.2018.04.002")</f>
        <v>http://dx.doi.org/10.1016/j.jped.2018.04.002</v>
      </c>
      <c r="BG137" s="1" t="s">
        <v>74</v>
      </c>
      <c r="BH137" s="1" t="s">
        <v>74</v>
      </c>
      <c r="BI137" s="1" t="s">
        <v>74</v>
      </c>
      <c r="BJ137" s="1" t="s">
        <v>74</v>
      </c>
      <c r="BK137" s="1" t="s">
        <v>74</v>
      </c>
      <c r="BL137" s="1" t="s">
        <v>74</v>
      </c>
      <c r="BM137" s="1" t="s">
        <v>74</v>
      </c>
      <c r="BN137" s="1">
        <v>2.9738741E7</v>
      </c>
      <c r="BO137" s="1" t="s">
        <v>74</v>
      </c>
      <c r="BP137" s="1" t="s">
        <v>74</v>
      </c>
      <c r="BQ137" s="1" t="s">
        <v>74</v>
      </c>
      <c r="BR137" s="1" t="s">
        <v>74</v>
      </c>
      <c r="BS137" s="1" t="s">
        <v>1524</v>
      </c>
      <c r="BT137" s="1" t="str">
        <f>HYPERLINK("https%3A%2F%2Fwww.webofscience.com%2Fwos%2Fwoscc%2Ffull-record%2FWOS:000485792700008","View Full Record in Web of Science")</f>
        <v>View Full Record in Web of Science</v>
      </c>
    </row>
    <row r="138" ht="12.75" customHeight="1">
      <c r="A138" s="1" t="s">
        <v>72</v>
      </c>
      <c r="B138" s="1" t="s">
        <v>1525</v>
      </c>
      <c r="C138" s="1" t="s">
        <v>74</v>
      </c>
      <c r="D138" s="1" t="s">
        <v>74</v>
      </c>
      <c r="E138" s="1" t="s">
        <v>74</v>
      </c>
      <c r="F138" s="1" t="s">
        <v>1526</v>
      </c>
      <c r="G138" s="1" t="s">
        <v>74</v>
      </c>
      <c r="H138" s="1" t="s">
        <v>74</v>
      </c>
      <c r="I138" s="1" t="s">
        <v>1527</v>
      </c>
      <c r="J138" s="1" t="s">
        <v>1528</v>
      </c>
      <c r="K138" s="1" t="s">
        <v>74</v>
      </c>
      <c r="L138" s="1" t="s">
        <v>74</v>
      </c>
      <c r="M138" s="1" t="s">
        <v>74</v>
      </c>
      <c r="N138" s="1" t="s">
        <v>74</v>
      </c>
      <c r="O138" s="1" t="s">
        <v>74</v>
      </c>
      <c r="P138" s="1" t="s">
        <v>74</v>
      </c>
      <c r="Q138" s="1" t="s">
        <v>74</v>
      </c>
      <c r="R138" s="1" t="s">
        <v>74</v>
      </c>
      <c r="S138" s="1" t="s">
        <v>74</v>
      </c>
      <c r="T138" s="1" t="s">
        <v>74</v>
      </c>
      <c r="U138" s="1" t="s">
        <v>74</v>
      </c>
      <c r="V138" s="1" t="s">
        <v>1529</v>
      </c>
      <c r="W138" s="1" t="s">
        <v>74</v>
      </c>
      <c r="X138" s="1" t="s">
        <v>74</v>
      </c>
      <c r="Y138" s="1" t="s">
        <v>74</v>
      </c>
      <c r="Z138" s="1" t="s">
        <v>74</v>
      </c>
      <c r="AA138" s="1" t="s">
        <v>1530</v>
      </c>
      <c r="AB138" s="1" t="s">
        <v>1531</v>
      </c>
      <c r="AC138" s="1" t="s">
        <v>74</v>
      </c>
      <c r="AD138" s="1" t="s">
        <v>74</v>
      </c>
      <c r="AE138" s="1" t="s">
        <v>74</v>
      </c>
      <c r="AF138" s="1" t="s">
        <v>74</v>
      </c>
      <c r="AG138" s="1" t="s">
        <v>74</v>
      </c>
      <c r="AH138" s="1" t="s">
        <v>74</v>
      </c>
      <c r="AI138" s="1" t="s">
        <v>74</v>
      </c>
      <c r="AJ138" s="1" t="s">
        <v>74</v>
      </c>
      <c r="AK138" s="1" t="s">
        <v>74</v>
      </c>
      <c r="AL138" s="1" t="s">
        <v>74</v>
      </c>
      <c r="AM138" s="1" t="s">
        <v>74</v>
      </c>
      <c r="AN138" s="1" t="s">
        <v>74</v>
      </c>
      <c r="AO138" s="1" t="s">
        <v>1532</v>
      </c>
      <c r="AP138" s="1" t="s">
        <v>1533</v>
      </c>
      <c r="AQ138" s="1" t="s">
        <v>74</v>
      </c>
      <c r="AR138" s="1" t="s">
        <v>74</v>
      </c>
      <c r="AS138" s="1" t="s">
        <v>74</v>
      </c>
      <c r="AT138" s="1" t="s">
        <v>339</v>
      </c>
      <c r="AU138" s="1">
        <v>2018.0</v>
      </c>
      <c r="AV138" s="1">
        <v>18.0</v>
      </c>
      <c r="AW138" s="1">
        <v>3.0</v>
      </c>
      <c r="AX138" s="1" t="s">
        <v>74</v>
      </c>
      <c r="AY138" s="1" t="s">
        <v>74</v>
      </c>
      <c r="AZ138" s="1" t="s">
        <v>74</v>
      </c>
      <c r="BA138" s="1" t="s">
        <v>74</v>
      </c>
      <c r="BB138" s="1">
        <v>668.0</v>
      </c>
      <c r="BC138" s="1">
        <v>693.0</v>
      </c>
      <c r="BD138" s="1" t="s">
        <v>74</v>
      </c>
      <c r="BE138" s="1" t="s">
        <v>74</v>
      </c>
      <c r="BF138" s="1" t="s">
        <v>74</v>
      </c>
      <c r="BG138" s="1" t="s">
        <v>74</v>
      </c>
      <c r="BH138" s="1" t="s">
        <v>74</v>
      </c>
      <c r="BI138" s="1" t="s">
        <v>74</v>
      </c>
      <c r="BJ138" s="1" t="s">
        <v>74</v>
      </c>
      <c r="BK138" s="1" t="s">
        <v>74</v>
      </c>
      <c r="BL138" s="1" t="s">
        <v>74</v>
      </c>
      <c r="BM138" s="1" t="s">
        <v>74</v>
      </c>
      <c r="BN138" s="1" t="s">
        <v>74</v>
      </c>
      <c r="BO138" s="1" t="s">
        <v>74</v>
      </c>
      <c r="BP138" s="1" t="s">
        <v>74</v>
      </c>
      <c r="BQ138" s="1" t="s">
        <v>74</v>
      </c>
      <c r="BR138" s="1" t="s">
        <v>74</v>
      </c>
      <c r="BS138" s="1" t="s">
        <v>1534</v>
      </c>
      <c r="BT138" s="1" t="str">
        <f>HYPERLINK("https%3A%2F%2Fwww.webofscience.com%2Fwos%2Fwoscc%2Ffull-record%2FWOS:000450917100005","View Full Record in Web of Science")</f>
        <v>View Full Record in Web of Science</v>
      </c>
    </row>
    <row r="139" ht="12.75" customHeight="1">
      <c r="A139" s="1" t="s">
        <v>72</v>
      </c>
      <c r="B139" s="1" t="s">
        <v>1535</v>
      </c>
      <c r="C139" s="1" t="s">
        <v>74</v>
      </c>
      <c r="D139" s="1" t="s">
        <v>74</v>
      </c>
      <c r="E139" s="1" t="s">
        <v>74</v>
      </c>
      <c r="F139" s="1" t="s">
        <v>1536</v>
      </c>
      <c r="G139" s="1" t="s">
        <v>74</v>
      </c>
      <c r="H139" s="1" t="s">
        <v>74</v>
      </c>
      <c r="I139" s="1" t="s">
        <v>1537</v>
      </c>
      <c r="J139" s="1" t="s">
        <v>1538</v>
      </c>
      <c r="K139" s="1" t="s">
        <v>74</v>
      </c>
      <c r="L139" s="1" t="s">
        <v>74</v>
      </c>
      <c r="M139" s="1" t="s">
        <v>74</v>
      </c>
      <c r="N139" s="1" t="s">
        <v>74</v>
      </c>
      <c r="O139" s="1" t="s">
        <v>74</v>
      </c>
      <c r="P139" s="1" t="s">
        <v>74</v>
      </c>
      <c r="Q139" s="1" t="s">
        <v>74</v>
      </c>
      <c r="R139" s="1" t="s">
        <v>74</v>
      </c>
      <c r="S139" s="1" t="s">
        <v>74</v>
      </c>
      <c r="T139" s="1" t="s">
        <v>74</v>
      </c>
      <c r="U139" s="1" t="s">
        <v>74</v>
      </c>
      <c r="V139" s="1" t="s">
        <v>1539</v>
      </c>
      <c r="W139" s="1" t="s">
        <v>74</v>
      </c>
      <c r="X139" s="1" t="s">
        <v>74</v>
      </c>
      <c r="Y139" s="1" t="s">
        <v>74</v>
      </c>
      <c r="Z139" s="1" t="s">
        <v>74</v>
      </c>
      <c r="AA139" s="1" t="s">
        <v>1540</v>
      </c>
      <c r="AB139" s="1" t="s">
        <v>1541</v>
      </c>
      <c r="AC139" s="1" t="s">
        <v>74</v>
      </c>
      <c r="AD139" s="1" t="s">
        <v>74</v>
      </c>
      <c r="AE139" s="1" t="s">
        <v>74</v>
      </c>
      <c r="AF139" s="1" t="s">
        <v>74</v>
      </c>
      <c r="AG139" s="1" t="s">
        <v>74</v>
      </c>
      <c r="AH139" s="1" t="s">
        <v>74</v>
      </c>
      <c r="AI139" s="1" t="s">
        <v>74</v>
      </c>
      <c r="AJ139" s="1" t="s">
        <v>74</v>
      </c>
      <c r="AK139" s="1" t="s">
        <v>74</v>
      </c>
      <c r="AL139" s="1" t="s">
        <v>74</v>
      </c>
      <c r="AM139" s="1" t="s">
        <v>74</v>
      </c>
      <c r="AN139" s="1" t="s">
        <v>74</v>
      </c>
      <c r="AO139" s="1" t="s">
        <v>1542</v>
      </c>
      <c r="AP139" s="1" t="s">
        <v>1543</v>
      </c>
      <c r="AQ139" s="1" t="s">
        <v>74</v>
      </c>
      <c r="AR139" s="1" t="s">
        <v>74</v>
      </c>
      <c r="AS139" s="1" t="s">
        <v>74</v>
      </c>
      <c r="AT139" s="1" t="s">
        <v>158</v>
      </c>
      <c r="AU139" s="1">
        <v>2018.0</v>
      </c>
      <c r="AV139" s="1">
        <v>257.0</v>
      </c>
      <c r="AW139" s="1" t="s">
        <v>74</v>
      </c>
      <c r="AX139" s="1" t="s">
        <v>74</v>
      </c>
      <c r="AY139" s="1" t="s">
        <v>74</v>
      </c>
      <c r="AZ139" s="1" t="s">
        <v>74</v>
      </c>
      <c r="BA139" s="1" t="s">
        <v>74</v>
      </c>
      <c r="BB139" s="1">
        <v>22.0</v>
      </c>
      <c r="BC139" s="1">
        <v>43.0</v>
      </c>
      <c r="BD139" s="1" t="s">
        <v>74</v>
      </c>
      <c r="BE139" s="1" t="s">
        <v>1544</v>
      </c>
      <c r="BF139" s="2" t="str">
        <f>HYPERLINK("http://dx.doi.org/10.1016/j.jnnfm.2018.03.014","http://dx.doi.org/10.1016/j.jnnfm.2018.03.014")</f>
        <v>http://dx.doi.org/10.1016/j.jnnfm.2018.03.014</v>
      </c>
      <c r="BG139" s="1" t="s">
        <v>74</v>
      </c>
      <c r="BH139" s="1" t="s">
        <v>74</v>
      </c>
      <c r="BI139" s="1" t="s">
        <v>74</v>
      </c>
      <c r="BJ139" s="1" t="s">
        <v>74</v>
      </c>
      <c r="BK139" s="1" t="s">
        <v>74</v>
      </c>
      <c r="BL139" s="1" t="s">
        <v>74</v>
      </c>
      <c r="BM139" s="1" t="s">
        <v>74</v>
      </c>
      <c r="BN139" s="1" t="s">
        <v>74</v>
      </c>
      <c r="BO139" s="1" t="s">
        <v>74</v>
      </c>
      <c r="BP139" s="1" t="s">
        <v>74</v>
      </c>
      <c r="BQ139" s="1" t="s">
        <v>74</v>
      </c>
      <c r="BR139" s="1" t="s">
        <v>74</v>
      </c>
      <c r="BS139" s="1" t="s">
        <v>1545</v>
      </c>
      <c r="BT139" s="1" t="str">
        <f>HYPERLINK("https%3A%2F%2Fwww.webofscience.com%2Fwos%2Fwoscc%2Ffull-record%2FWOS:000436889100003","View Full Record in Web of Science")</f>
        <v>View Full Record in Web of Science</v>
      </c>
    </row>
    <row r="140" ht="12.75" customHeight="1">
      <c r="A140" s="1" t="s">
        <v>72</v>
      </c>
      <c r="B140" s="1" t="s">
        <v>1546</v>
      </c>
      <c r="C140" s="1" t="s">
        <v>74</v>
      </c>
      <c r="D140" s="1" t="s">
        <v>74</v>
      </c>
      <c r="E140" s="1" t="s">
        <v>74</v>
      </c>
      <c r="F140" s="1" t="s">
        <v>1547</v>
      </c>
      <c r="G140" s="1" t="s">
        <v>74</v>
      </c>
      <c r="H140" s="1" t="s">
        <v>74</v>
      </c>
      <c r="I140" s="1" t="s">
        <v>1548</v>
      </c>
      <c r="J140" s="1" t="s">
        <v>452</v>
      </c>
      <c r="K140" s="1" t="s">
        <v>74</v>
      </c>
      <c r="L140" s="1" t="s">
        <v>74</v>
      </c>
      <c r="M140" s="1" t="s">
        <v>74</v>
      </c>
      <c r="N140" s="1" t="s">
        <v>74</v>
      </c>
      <c r="O140" s="1" t="s">
        <v>453</v>
      </c>
      <c r="P140" s="1" t="s">
        <v>1549</v>
      </c>
      <c r="Q140" s="1" t="s">
        <v>218</v>
      </c>
      <c r="R140" s="1" t="s">
        <v>456</v>
      </c>
      <c r="S140" s="1" t="s">
        <v>74</v>
      </c>
      <c r="T140" s="1" t="s">
        <v>74</v>
      </c>
      <c r="U140" s="1" t="s">
        <v>74</v>
      </c>
      <c r="V140" s="1" t="s">
        <v>74</v>
      </c>
      <c r="W140" s="1" t="s">
        <v>74</v>
      </c>
      <c r="X140" s="1" t="s">
        <v>74</v>
      </c>
      <c r="Y140" s="1" t="s">
        <v>74</v>
      </c>
      <c r="Z140" s="1" t="s">
        <v>74</v>
      </c>
      <c r="AA140" s="1" t="s">
        <v>1550</v>
      </c>
      <c r="AB140" s="1" t="s">
        <v>1551</v>
      </c>
      <c r="AC140" s="1" t="s">
        <v>74</v>
      </c>
      <c r="AD140" s="1" t="s">
        <v>74</v>
      </c>
      <c r="AE140" s="1" t="s">
        <v>74</v>
      </c>
      <c r="AF140" s="1" t="s">
        <v>74</v>
      </c>
      <c r="AG140" s="1" t="s">
        <v>74</v>
      </c>
      <c r="AH140" s="1" t="s">
        <v>74</v>
      </c>
      <c r="AI140" s="1" t="s">
        <v>74</v>
      </c>
      <c r="AJ140" s="1" t="s">
        <v>74</v>
      </c>
      <c r="AK140" s="1" t="s">
        <v>74</v>
      </c>
      <c r="AL140" s="1" t="s">
        <v>74</v>
      </c>
      <c r="AM140" s="1" t="s">
        <v>74</v>
      </c>
      <c r="AN140" s="1" t="s">
        <v>74</v>
      </c>
      <c r="AO140" s="1" t="s">
        <v>459</v>
      </c>
      <c r="AP140" s="1" t="s">
        <v>460</v>
      </c>
      <c r="AQ140" s="1" t="s">
        <v>74</v>
      </c>
      <c r="AR140" s="1" t="s">
        <v>74</v>
      </c>
      <c r="AS140" s="1" t="s">
        <v>74</v>
      </c>
      <c r="AT140" s="1" t="s">
        <v>180</v>
      </c>
      <c r="AU140" s="1">
        <v>2018.0</v>
      </c>
      <c r="AV140" s="1">
        <v>50.0</v>
      </c>
      <c r="AW140" s="1">
        <v>5.0</v>
      </c>
      <c r="AX140" s="1" t="s">
        <v>74</v>
      </c>
      <c r="AY140" s="1">
        <v>1.0</v>
      </c>
      <c r="AZ140" s="1" t="s">
        <v>74</v>
      </c>
      <c r="BA140" s="1">
        <v>298.0</v>
      </c>
      <c r="BB140" s="1">
        <v>60.0</v>
      </c>
      <c r="BC140" s="1">
        <v>60.0</v>
      </c>
      <c r="BD140" s="1" t="s">
        <v>74</v>
      </c>
      <c r="BE140" s="1" t="s">
        <v>74</v>
      </c>
      <c r="BF140" s="1" t="s">
        <v>74</v>
      </c>
      <c r="BG140" s="1" t="s">
        <v>74</v>
      </c>
      <c r="BH140" s="1" t="s">
        <v>74</v>
      </c>
      <c r="BI140" s="1" t="s">
        <v>74</v>
      </c>
      <c r="BJ140" s="1" t="s">
        <v>74</v>
      </c>
      <c r="BK140" s="1" t="s">
        <v>74</v>
      </c>
      <c r="BL140" s="1" t="s">
        <v>74</v>
      </c>
      <c r="BM140" s="1" t="s">
        <v>74</v>
      </c>
      <c r="BN140" s="1" t="s">
        <v>74</v>
      </c>
      <c r="BO140" s="1" t="s">
        <v>74</v>
      </c>
      <c r="BP140" s="1" t="s">
        <v>74</v>
      </c>
      <c r="BQ140" s="1" t="s">
        <v>74</v>
      </c>
      <c r="BR140" s="1" t="s">
        <v>74</v>
      </c>
      <c r="BS140" s="1" t="s">
        <v>1552</v>
      </c>
      <c r="BT140" s="1" t="str">
        <f>HYPERLINK("https%3A%2F%2Fwww.webofscience.com%2Fwos%2Fwoscc%2Ffull-record%2FWOS:000456870500186","View Full Record in Web of Science")</f>
        <v>View Full Record in Web of Science</v>
      </c>
    </row>
    <row r="141" ht="12.75" customHeight="1">
      <c r="A141" s="1" t="s">
        <v>72</v>
      </c>
      <c r="B141" s="1" t="s">
        <v>1553</v>
      </c>
      <c r="C141" s="1" t="s">
        <v>74</v>
      </c>
      <c r="D141" s="1" t="s">
        <v>74</v>
      </c>
      <c r="E141" s="1" t="s">
        <v>74</v>
      </c>
      <c r="F141" s="1" t="s">
        <v>1554</v>
      </c>
      <c r="G141" s="1" t="s">
        <v>74</v>
      </c>
      <c r="H141" s="1" t="s">
        <v>74</v>
      </c>
      <c r="I141" s="1" t="s">
        <v>1555</v>
      </c>
      <c r="J141" s="1" t="s">
        <v>489</v>
      </c>
      <c r="K141" s="1" t="s">
        <v>74</v>
      </c>
      <c r="L141" s="1" t="s">
        <v>74</v>
      </c>
      <c r="M141" s="1" t="s">
        <v>74</v>
      </c>
      <c r="N141" s="1" t="s">
        <v>74</v>
      </c>
      <c r="O141" s="1" t="s">
        <v>74</v>
      </c>
      <c r="P141" s="1" t="s">
        <v>74</v>
      </c>
      <c r="Q141" s="1" t="s">
        <v>74</v>
      </c>
      <c r="R141" s="1" t="s">
        <v>74</v>
      </c>
      <c r="S141" s="1" t="s">
        <v>74</v>
      </c>
      <c r="T141" s="1" t="s">
        <v>74</v>
      </c>
      <c r="U141" s="1" t="s">
        <v>74</v>
      </c>
      <c r="V141" s="1" t="s">
        <v>1556</v>
      </c>
      <c r="W141" s="1" t="s">
        <v>74</v>
      </c>
      <c r="X141" s="1" t="s">
        <v>74</v>
      </c>
      <c r="Y141" s="1" t="s">
        <v>74</v>
      </c>
      <c r="Z141" s="1" t="s">
        <v>74</v>
      </c>
      <c r="AA141" s="1" t="s">
        <v>1557</v>
      </c>
      <c r="AB141" s="1" t="s">
        <v>143</v>
      </c>
      <c r="AC141" s="1" t="s">
        <v>74</v>
      </c>
      <c r="AD141" s="1" t="s">
        <v>74</v>
      </c>
      <c r="AE141" s="1" t="s">
        <v>74</v>
      </c>
      <c r="AF141" s="1" t="s">
        <v>74</v>
      </c>
      <c r="AG141" s="1" t="s">
        <v>74</v>
      </c>
      <c r="AH141" s="1" t="s">
        <v>74</v>
      </c>
      <c r="AI141" s="1" t="s">
        <v>74</v>
      </c>
      <c r="AJ141" s="1" t="s">
        <v>74</v>
      </c>
      <c r="AK141" s="1" t="s">
        <v>74</v>
      </c>
      <c r="AL141" s="1" t="s">
        <v>74</v>
      </c>
      <c r="AM141" s="1" t="s">
        <v>74</v>
      </c>
      <c r="AN141" s="1" t="s">
        <v>74</v>
      </c>
      <c r="AO141" s="1" t="s">
        <v>492</v>
      </c>
      <c r="AP141" s="1" t="s">
        <v>74</v>
      </c>
      <c r="AQ141" s="1" t="s">
        <v>74</v>
      </c>
      <c r="AR141" s="1" t="s">
        <v>74</v>
      </c>
      <c r="AS141" s="1" t="s">
        <v>74</v>
      </c>
      <c r="AT141" s="1" t="s">
        <v>257</v>
      </c>
      <c r="AU141" s="1">
        <v>2018.0</v>
      </c>
      <c r="AV141" s="1">
        <v>63.0</v>
      </c>
      <c r="AW141" s="1">
        <v>1.0</v>
      </c>
      <c r="AX141" s="1" t="s">
        <v>74</v>
      </c>
      <c r="AY141" s="1" t="s">
        <v>74</v>
      </c>
      <c r="AZ141" s="1" t="s">
        <v>74</v>
      </c>
      <c r="BA141" s="1" t="s">
        <v>74</v>
      </c>
      <c r="BB141" s="1">
        <v>3902.0</v>
      </c>
      <c r="BC141" s="1">
        <v>3913.0</v>
      </c>
      <c r="BD141" s="1" t="s">
        <v>74</v>
      </c>
      <c r="BE141" s="1" t="s">
        <v>1558</v>
      </c>
      <c r="BF141" s="2" t="str">
        <f>HYPERLINK("http://dx.doi.org/10.4067/s0717-97072018000103902","http://dx.doi.org/10.4067/s0717-97072018000103902")</f>
        <v>http://dx.doi.org/10.4067/s0717-97072018000103902</v>
      </c>
      <c r="BG141" s="1" t="s">
        <v>74</v>
      </c>
      <c r="BH141" s="1" t="s">
        <v>74</v>
      </c>
      <c r="BI141" s="1" t="s">
        <v>74</v>
      </c>
      <c r="BJ141" s="1" t="s">
        <v>74</v>
      </c>
      <c r="BK141" s="1" t="s">
        <v>74</v>
      </c>
      <c r="BL141" s="1" t="s">
        <v>74</v>
      </c>
      <c r="BM141" s="1" t="s">
        <v>74</v>
      </c>
      <c r="BN141" s="1" t="s">
        <v>74</v>
      </c>
      <c r="BO141" s="1" t="s">
        <v>74</v>
      </c>
      <c r="BP141" s="1" t="s">
        <v>74</v>
      </c>
      <c r="BQ141" s="1" t="s">
        <v>74</v>
      </c>
      <c r="BR141" s="1" t="s">
        <v>74</v>
      </c>
      <c r="BS141" s="1" t="s">
        <v>1559</v>
      </c>
      <c r="BT141" s="1" t="str">
        <f>HYPERLINK("https%3A%2F%2Fwww.webofscience.com%2Fwos%2Fwoscc%2Ffull-record%2FWOS:000432570900020","View Full Record in Web of Science")</f>
        <v>View Full Record in Web of Science</v>
      </c>
    </row>
    <row r="142" ht="12.75" customHeight="1">
      <c r="A142" s="1" t="s">
        <v>72</v>
      </c>
      <c r="B142" s="1" t="s">
        <v>1560</v>
      </c>
      <c r="C142" s="1" t="s">
        <v>74</v>
      </c>
      <c r="D142" s="1" t="s">
        <v>74</v>
      </c>
      <c r="E142" s="1" t="s">
        <v>74</v>
      </c>
      <c r="F142" s="1" t="s">
        <v>1561</v>
      </c>
      <c r="G142" s="1" t="s">
        <v>74</v>
      </c>
      <c r="H142" s="1" t="s">
        <v>74</v>
      </c>
      <c r="I142" s="1" t="s">
        <v>1562</v>
      </c>
      <c r="J142" s="1" t="s">
        <v>1563</v>
      </c>
      <c r="K142" s="1" t="s">
        <v>74</v>
      </c>
      <c r="L142" s="1" t="s">
        <v>74</v>
      </c>
      <c r="M142" s="1" t="s">
        <v>74</v>
      </c>
      <c r="N142" s="1" t="s">
        <v>74</v>
      </c>
      <c r="O142" s="1" t="s">
        <v>74</v>
      </c>
      <c r="P142" s="1" t="s">
        <v>74</v>
      </c>
      <c r="Q142" s="1" t="s">
        <v>74</v>
      </c>
      <c r="R142" s="1" t="s">
        <v>74</v>
      </c>
      <c r="S142" s="1" t="s">
        <v>74</v>
      </c>
      <c r="T142" s="1" t="s">
        <v>74</v>
      </c>
      <c r="U142" s="1" t="s">
        <v>74</v>
      </c>
      <c r="V142" s="1" t="s">
        <v>1564</v>
      </c>
      <c r="W142" s="1" t="s">
        <v>74</v>
      </c>
      <c r="X142" s="1" t="s">
        <v>74</v>
      </c>
      <c r="Y142" s="1" t="s">
        <v>74</v>
      </c>
      <c r="Z142" s="1" t="s">
        <v>74</v>
      </c>
      <c r="AA142" s="1" t="s">
        <v>1565</v>
      </c>
      <c r="AB142" s="1" t="s">
        <v>1566</v>
      </c>
      <c r="AC142" s="1" t="s">
        <v>74</v>
      </c>
      <c r="AD142" s="1" t="s">
        <v>74</v>
      </c>
      <c r="AE142" s="1" t="s">
        <v>74</v>
      </c>
      <c r="AF142" s="1" t="s">
        <v>74</v>
      </c>
      <c r="AG142" s="1" t="s">
        <v>74</v>
      </c>
      <c r="AH142" s="1" t="s">
        <v>74</v>
      </c>
      <c r="AI142" s="1" t="s">
        <v>74</v>
      </c>
      <c r="AJ142" s="1" t="s">
        <v>74</v>
      </c>
      <c r="AK142" s="1" t="s">
        <v>74</v>
      </c>
      <c r="AL142" s="1" t="s">
        <v>74</v>
      </c>
      <c r="AM142" s="1" t="s">
        <v>74</v>
      </c>
      <c r="AN142" s="1" t="s">
        <v>74</v>
      </c>
      <c r="AO142" s="1" t="s">
        <v>1567</v>
      </c>
      <c r="AP142" s="1" t="s">
        <v>1568</v>
      </c>
      <c r="AQ142" s="1" t="s">
        <v>74</v>
      </c>
      <c r="AR142" s="1" t="s">
        <v>74</v>
      </c>
      <c r="AS142" s="1" t="s">
        <v>74</v>
      </c>
      <c r="AT142" s="1" t="s">
        <v>606</v>
      </c>
      <c r="AU142" s="1">
        <v>2017.0</v>
      </c>
      <c r="AV142" s="1">
        <v>94.0</v>
      </c>
      <c r="AW142" s="1" t="s">
        <v>74</v>
      </c>
      <c r="AX142" s="1" t="s">
        <v>74</v>
      </c>
      <c r="AY142" s="1" t="s">
        <v>74</v>
      </c>
      <c r="AZ142" s="1" t="s">
        <v>74</v>
      </c>
      <c r="BA142" s="1" t="s">
        <v>74</v>
      </c>
      <c r="BB142" s="1">
        <v>196.0</v>
      </c>
      <c r="BC142" s="1">
        <v>203.0</v>
      </c>
      <c r="BD142" s="1" t="s">
        <v>74</v>
      </c>
      <c r="BE142" s="1" t="s">
        <v>1569</v>
      </c>
      <c r="BF142" s="2" t="str">
        <f>HYPERLINK("http://dx.doi.org/10.1016/j.physe.2017.08.012","http://dx.doi.org/10.1016/j.physe.2017.08.012")</f>
        <v>http://dx.doi.org/10.1016/j.physe.2017.08.012</v>
      </c>
      <c r="BG142" s="1" t="s">
        <v>74</v>
      </c>
      <c r="BH142" s="1" t="s">
        <v>74</v>
      </c>
      <c r="BI142" s="1" t="s">
        <v>74</v>
      </c>
      <c r="BJ142" s="1" t="s">
        <v>74</v>
      </c>
      <c r="BK142" s="1" t="s">
        <v>74</v>
      </c>
      <c r="BL142" s="1" t="s">
        <v>74</v>
      </c>
      <c r="BM142" s="1" t="s">
        <v>74</v>
      </c>
      <c r="BN142" s="1" t="s">
        <v>74</v>
      </c>
      <c r="BO142" s="1" t="s">
        <v>74</v>
      </c>
      <c r="BP142" s="1" t="s">
        <v>74</v>
      </c>
      <c r="BQ142" s="1" t="s">
        <v>74</v>
      </c>
      <c r="BR142" s="1" t="s">
        <v>74</v>
      </c>
      <c r="BS142" s="1" t="s">
        <v>1570</v>
      </c>
      <c r="BT142" s="1" t="str">
        <f>HYPERLINK("https%3A%2F%2Fwww.webofscience.com%2Fwos%2Fwoscc%2Ffull-record%2FWOS:000410790900032","View Full Record in Web of Science")</f>
        <v>View Full Record in Web of Science</v>
      </c>
    </row>
    <row r="143" ht="12.75" customHeight="1">
      <c r="A143" s="1" t="s">
        <v>72</v>
      </c>
      <c r="B143" s="1" t="s">
        <v>1571</v>
      </c>
      <c r="C143" s="1" t="s">
        <v>74</v>
      </c>
      <c r="D143" s="1" t="s">
        <v>74</v>
      </c>
      <c r="E143" s="1" t="s">
        <v>74</v>
      </c>
      <c r="F143" s="1" t="s">
        <v>1572</v>
      </c>
      <c r="G143" s="1" t="s">
        <v>74</v>
      </c>
      <c r="H143" s="1" t="s">
        <v>74</v>
      </c>
      <c r="I143" s="1" t="s">
        <v>1573</v>
      </c>
      <c r="J143" s="1" t="s">
        <v>1574</v>
      </c>
      <c r="K143" s="1" t="s">
        <v>74</v>
      </c>
      <c r="L143" s="1" t="s">
        <v>74</v>
      </c>
      <c r="M143" s="1" t="s">
        <v>74</v>
      </c>
      <c r="N143" s="1" t="s">
        <v>74</v>
      </c>
      <c r="O143" s="1" t="s">
        <v>74</v>
      </c>
      <c r="P143" s="1" t="s">
        <v>74</v>
      </c>
      <c r="Q143" s="1" t="s">
        <v>74</v>
      </c>
      <c r="R143" s="1" t="s">
        <v>74</v>
      </c>
      <c r="S143" s="1" t="s">
        <v>74</v>
      </c>
      <c r="T143" s="1" t="s">
        <v>74</v>
      </c>
      <c r="U143" s="1" t="s">
        <v>74</v>
      </c>
      <c r="V143" s="1" t="s">
        <v>1575</v>
      </c>
      <c r="W143" s="1" t="s">
        <v>74</v>
      </c>
      <c r="X143" s="1" t="s">
        <v>74</v>
      </c>
      <c r="Y143" s="1" t="s">
        <v>74</v>
      </c>
      <c r="Z143" s="1" t="s">
        <v>74</v>
      </c>
      <c r="AA143" s="1" t="s">
        <v>74</v>
      </c>
      <c r="AB143" s="1" t="s">
        <v>1576</v>
      </c>
      <c r="AC143" s="1" t="s">
        <v>74</v>
      </c>
      <c r="AD143" s="1" t="s">
        <v>74</v>
      </c>
      <c r="AE143" s="1" t="s">
        <v>74</v>
      </c>
      <c r="AF143" s="1" t="s">
        <v>74</v>
      </c>
      <c r="AG143" s="1" t="s">
        <v>74</v>
      </c>
      <c r="AH143" s="1" t="s">
        <v>74</v>
      </c>
      <c r="AI143" s="1" t="s">
        <v>74</v>
      </c>
      <c r="AJ143" s="1" t="s">
        <v>74</v>
      </c>
      <c r="AK143" s="1" t="s">
        <v>74</v>
      </c>
      <c r="AL143" s="1" t="s">
        <v>74</v>
      </c>
      <c r="AM143" s="1" t="s">
        <v>74</v>
      </c>
      <c r="AN143" s="1" t="s">
        <v>74</v>
      </c>
      <c r="AO143" s="1" t="s">
        <v>1577</v>
      </c>
      <c r="AP143" s="1" t="s">
        <v>1578</v>
      </c>
      <c r="AQ143" s="1" t="s">
        <v>74</v>
      </c>
      <c r="AR143" s="1" t="s">
        <v>74</v>
      </c>
      <c r="AS143" s="1" t="s">
        <v>74</v>
      </c>
      <c r="AT143" s="1" t="s">
        <v>350</v>
      </c>
      <c r="AU143" s="1">
        <v>2017.0</v>
      </c>
      <c r="AV143" s="1">
        <v>286.0</v>
      </c>
      <c r="AW143" s="1" t="s">
        <v>594</v>
      </c>
      <c r="AX143" s="1" t="s">
        <v>74</v>
      </c>
      <c r="AY143" s="1" t="s">
        <v>74</v>
      </c>
      <c r="AZ143" s="1" t="s">
        <v>74</v>
      </c>
      <c r="BA143" s="1" t="s">
        <v>74</v>
      </c>
      <c r="BB143" s="1">
        <v>919.0</v>
      </c>
      <c r="BC143" s="1">
        <v>949.0</v>
      </c>
      <c r="BD143" s="1" t="s">
        <v>74</v>
      </c>
      <c r="BE143" s="1" t="s">
        <v>1579</v>
      </c>
      <c r="BF143" s="2" t="str">
        <f>HYPERLINK("http://dx.doi.org/10.1007/s00209-016-1790-y","http://dx.doi.org/10.1007/s00209-016-1790-y")</f>
        <v>http://dx.doi.org/10.1007/s00209-016-1790-y</v>
      </c>
      <c r="BG143" s="1" t="s">
        <v>74</v>
      </c>
      <c r="BH143" s="1" t="s">
        <v>74</v>
      </c>
      <c r="BI143" s="1" t="s">
        <v>74</v>
      </c>
      <c r="BJ143" s="1" t="s">
        <v>74</v>
      </c>
      <c r="BK143" s="1" t="s">
        <v>74</v>
      </c>
      <c r="BL143" s="1" t="s">
        <v>74</v>
      </c>
      <c r="BM143" s="1" t="s">
        <v>74</v>
      </c>
      <c r="BN143" s="1" t="s">
        <v>74</v>
      </c>
      <c r="BO143" s="1" t="s">
        <v>74</v>
      </c>
      <c r="BP143" s="1" t="s">
        <v>74</v>
      </c>
      <c r="BQ143" s="1" t="s">
        <v>74</v>
      </c>
      <c r="BR143" s="1" t="s">
        <v>74</v>
      </c>
      <c r="BS143" s="1" t="s">
        <v>1580</v>
      </c>
      <c r="BT143" s="1" t="str">
        <f>HYPERLINK("https%3A%2F%2Fwww.webofscience.com%2Fwos%2Fwoscc%2Ffull-record%2FWOS:000405599900007","View Full Record in Web of Science")</f>
        <v>View Full Record in Web of Science</v>
      </c>
    </row>
    <row r="144" ht="12.75" customHeight="1">
      <c r="A144" s="1" t="s">
        <v>72</v>
      </c>
      <c r="B144" s="1" t="s">
        <v>1581</v>
      </c>
      <c r="C144" s="1" t="s">
        <v>74</v>
      </c>
      <c r="D144" s="1" t="s">
        <v>74</v>
      </c>
      <c r="E144" s="1" t="s">
        <v>74</v>
      </c>
      <c r="F144" s="1" t="s">
        <v>1582</v>
      </c>
      <c r="G144" s="1" t="s">
        <v>74</v>
      </c>
      <c r="H144" s="1" t="s">
        <v>74</v>
      </c>
      <c r="I144" s="1" t="s">
        <v>1583</v>
      </c>
      <c r="J144" s="1" t="s">
        <v>1584</v>
      </c>
      <c r="K144" s="1" t="s">
        <v>74</v>
      </c>
      <c r="L144" s="1" t="s">
        <v>74</v>
      </c>
      <c r="M144" s="1" t="s">
        <v>74</v>
      </c>
      <c r="N144" s="1" t="s">
        <v>74</v>
      </c>
      <c r="O144" s="1" t="s">
        <v>74</v>
      </c>
      <c r="P144" s="1" t="s">
        <v>74</v>
      </c>
      <c r="Q144" s="1" t="s">
        <v>74</v>
      </c>
      <c r="R144" s="1" t="s">
        <v>74</v>
      </c>
      <c r="S144" s="1" t="s">
        <v>74</v>
      </c>
      <c r="T144" s="1" t="s">
        <v>74</v>
      </c>
      <c r="U144" s="1" t="s">
        <v>74</v>
      </c>
      <c r="V144" s="1" t="s">
        <v>1585</v>
      </c>
      <c r="W144" s="1" t="s">
        <v>74</v>
      </c>
      <c r="X144" s="1" t="s">
        <v>74</v>
      </c>
      <c r="Y144" s="1" t="s">
        <v>74</v>
      </c>
      <c r="Z144" s="1" t="s">
        <v>74</v>
      </c>
      <c r="AA144" s="1" t="s">
        <v>1586</v>
      </c>
      <c r="AB144" s="1" t="s">
        <v>1587</v>
      </c>
      <c r="AC144" s="1" t="s">
        <v>74</v>
      </c>
      <c r="AD144" s="1" t="s">
        <v>74</v>
      </c>
      <c r="AE144" s="1" t="s">
        <v>74</v>
      </c>
      <c r="AF144" s="1" t="s">
        <v>74</v>
      </c>
      <c r="AG144" s="1" t="s">
        <v>74</v>
      </c>
      <c r="AH144" s="1" t="s">
        <v>74</v>
      </c>
      <c r="AI144" s="1" t="s">
        <v>74</v>
      </c>
      <c r="AJ144" s="1" t="s">
        <v>74</v>
      </c>
      <c r="AK144" s="1" t="s">
        <v>74</v>
      </c>
      <c r="AL144" s="1" t="s">
        <v>74</v>
      </c>
      <c r="AM144" s="1" t="s">
        <v>74</v>
      </c>
      <c r="AN144" s="1" t="s">
        <v>74</v>
      </c>
      <c r="AO144" s="1" t="s">
        <v>1588</v>
      </c>
      <c r="AP144" s="1" t="s">
        <v>1589</v>
      </c>
      <c r="AQ144" s="1" t="s">
        <v>74</v>
      </c>
      <c r="AR144" s="1" t="s">
        <v>74</v>
      </c>
      <c r="AS144" s="1" t="s">
        <v>74</v>
      </c>
      <c r="AT144" s="1" t="s">
        <v>74</v>
      </c>
      <c r="AU144" s="1">
        <v>2017.0</v>
      </c>
      <c r="AV144" s="1">
        <v>22.0</v>
      </c>
      <c r="AW144" s="1">
        <v>1.0</v>
      </c>
      <c r="AX144" s="1" t="s">
        <v>74</v>
      </c>
      <c r="AY144" s="1" t="s">
        <v>74</v>
      </c>
      <c r="AZ144" s="1" t="s">
        <v>74</v>
      </c>
      <c r="BA144" s="1" t="s">
        <v>74</v>
      </c>
      <c r="BB144" s="1">
        <v>45.0</v>
      </c>
      <c r="BC144" s="1">
        <v>53.0</v>
      </c>
      <c r="BD144" s="1" t="s">
        <v>74</v>
      </c>
      <c r="BE144" s="1" t="s">
        <v>1590</v>
      </c>
      <c r="BF144" s="2" t="str">
        <f>HYPERLINK("http://dx.doi.org/10.1387/RevPsicodidact.14280","http://dx.doi.org/10.1387/RevPsicodidact.14280")</f>
        <v>http://dx.doi.org/10.1387/RevPsicodidact.14280</v>
      </c>
      <c r="BG144" s="1" t="s">
        <v>74</v>
      </c>
      <c r="BH144" s="1" t="s">
        <v>74</v>
      </c>
      <c r="BI144" s="1" t="s">
        <v>74</v>
      </c>
      <c r="BJ144" s="1" t="s">
        <v>74</v>
      </c>
      <c r="BK144" s="1" t="s">
        <v>74</v>
      </c>
      <c r="BL144" s="1" t="s">
        <v>74</v>
      </c>
      <c r="BM144" s="1" t="s">
        <v>74</v>
      </c>
      <c r="BN144" s="1" t="s">
        <v>74</v>
      </c>
      <c r="BO144" s="1" t="s">
        <v>74</v>
      </c>
      <c r="BP144" s="1" t="s">
        <v>74</v>
      </c>
      <c r="BQ144" s="1" t="s">
        <v>74</v>
      </c>
      <c r="BR144" s="1" t="s">
        <v>74</v>
      </c>
      <c r="BS144" s="1" t="s">
        <v>1591</v>
      </c>
      <c r="BT144" s="1" t="str">
        <f>HYPERLINK("https%3A%2F%2Fwww.webofscience.com%2Fwos%2Fwoscc%2Ffull-record%2FWOS:000401275500007","View Full Record in Web of Science")</f>
        <v>View Full Record in Web of Science</v>
      </c>
    </row>
    <row r="145" ht="12.75" customHeight="1">
      <c r="A145" s="1" t="s">
        <v>72</v>
      </c>
      <c r="B145" s="1" t="s">
        <v>1592</v>
      </c>
      <c r="C145" s="1" t="s">
        <v>74</v>
      </c>
      <c r="D145" s="1" t="s">
        <v>74</v>
      </c>
      <c r="E145" s="1" t="s">
        <v>74</v>
      </c>
      <c r="F145" s="1" t="s">
        <v>1593</v>
      </c>
      <c r="G145" s="1" t="s">
        <v>74</v>
      </c>
      <c r="H145" s="1" t="s">
        <v>74</v>
      </c>
      <c r="I145" s="1" t="s">
        <v>1594</v>
      </c>
      <c r="J145" s="1" t="s">
        <v>1595</v>
      </c>
      <c r="K145" s="1" t="s">
        <v>74</v>
      </c>
      <c r="L145" s="1" t="s">
        <v>74</v>
      </c>
      <c r="M145" s="1" t="s">
        <v>74</v>
      </c>
      <c r="N145" s="1" t="s">
        <v>74</v>
      </c>
      <c r="O145" s="1" t="s">
        <v>74</v>
      </c>
      <c r="P145" s="1" t="s">
        <v>74</v>
      </c>
      <c r="Q145" s="1" t="s">
        <v>74</v>
      </c>
      <c r="R145" s="1" t="s">
        <v>74</v>
      </c>
      <c r="S145" s="1" t="s">
        <v>74</v>
      </c>
      <c r="T145" s="1" t="s">
        <v>74</v>
      </c>
      <c r="U145" s="1" t="s">
        <v>74</v>
      </c>
      <c r="V145" s="1" t="s">
        <v>1596</v>
      </c>
      <c r="W145" s="1" t="s">
        <v>74</v>
      </c>
      <c r="X145" s="1" t="s">
        <v>74</v>
      </c>
      <c r="Y145" s="1" t="s">
        <v>74</v>
      </c>
      <c r="Z145" s="1" t="s">
        <v>74</v>
      </c>
      <c r="AA145" s="1" t="s">
        <v>74</v>
      </c>
      <c r="AB145" s="1" t="s">
        <v>1597</v>
      </c>
      <c r="AC145" s="1" t="s">
        <v>74</v>
      </c>
      <c r="AD145" s="1" t="s">
        <v>74</v>
      </c>
      <c r="AE145" s="1" t="s">
        <v>74</v>
      </c>
      <c r="AF145" s="1" t="s">
        <v>74</v>
      </c>
      <c r="AG145" s="1" t="s">
        <v>74</v>
      </c>
      <c r="AH145" s="1" t="s">
        <v>74</v>
      </c>
      <c r="AI145" s="1" t="s">
        <v>74</v>
      </c>
      <c r="AJ145" s="1" t="s">
        <v>74</v>
      </c>
      <c r="AK145" s="1" t="s">
        <v>74</v>
      </c>
      <c r="AL145" s="1" t="s">
        <v>74</v>
      </c>
      <c r="AM145" s="1" t="s">
        <v>74</v>
      </c>
      <c r="AN145" s="1" t="s">
        <v>74</v>
      </c>
      <c r="AO145" s="1" t="s">
        <v>1598</v>
      </c>
      <c r="AP145" s="1" t="s">
        <v>1599</v>
      </c>
      <c r="AQ145" s="1" t="s">
        <v>74</v>
      </c>
      <c r="AR145" s="1" t="s">
        <v>74</v>
      </c>
      <c r="AS145" s="1" t="s">
        <v>74</v>
      </c>
      <c r="AT145" s="1" t="s">
        <v>696</v>
      </c>
      <c r="AU145" s="1">
        <v>2016.0</v>
      </c>
      <c r="AV145" s="1">
        <v>111.0</v>
      </c>
      <c r="AW145" s="1" t="s">
        <v>74</v>
      </c>
      <c r="AX145" s="1" t="s">
        <v>74</v>
      </c>
      <c r="AY145" s="1" t="s">
        <v>74</v>
      </c>
      <c r="AZ145" s="1" t="s">
        <v>74</v>
      </c>
      <c r="BA145" s="1" t="s">
        <v>74</v>
      </c>
      <c r="BB145" s="1">
        <v>205.0</v>
      </c>
      <c r="BC145" s="1">
        <v>208.0</v>
      </c>
      <c r="BD145" s="1" t="s">
        <v>74</v>
      </c>
      <c r="BE145" s="1" t="s">
        <v>1600</v>
      </c>
      <c r="BF145" s="2" t="str">
        <f>HYPERLINK("http://dx.doi.org/10.1016/j.postharvbio.2015.09.014","http://dx.doi.org/10.1016/j.postharvbio.2015.09.014")</f>
        <v>http://dx.doi.org/10.1016/j.postharvbio.2015.09.014</v>
      </c>
      <c r="BG145" s="1" t="s">
        <v>74</v>
      </c>
      <c r="BH145" s="1" t="s">
        <v>74</v>
      </c>
      <c r="BI145" s="1" t="s">
        <v>74</v>
      </c>
      <c r="BJ145" s="1" t="s">
        <v>74</v>
      </c>
      <c r="BK145" s="1" t="s">
        <v>74</v>
      </c>
      <c r="BL145" s="1" t="s">
        <v>74</v>
      </c>
      <c r="BM145" s="1" t="s">
        <v>74</v>
      </c>
      <c r="BN145" s="1" t="s">
        <v>74</v>
      </c>
      <c r="BO145" s="1" t="s">
        <v>74</v>
      </c>
      <c r="BP145" s="1" t="s">
        <v>74</v>
      </c>
      <c r="BQ145" s="1" t="s">
        <v>74</v>
      </c>
      <c r="BR145" s="1" t="s">
        <v>74</v>
      </c>
      <c r="BS145" s="1" t="s">
        <v>1601</v>
      </c>
      <c r="BT145" s="1" t="str">
        <f>HYPERLINK("https%3A%2F%2Fwww.webofscience.com%2Fwos%2Fwoscc%2Ffull-record%2FWOS:000364361700027","View Full Record in Web of Science")</f>
        <v>View Full Record in Web of Science</v>
      </c>
    </row>
    <row r="146" ht="12.75" customHeight="1">
      <c r="A146" s="1" t="s">
        <v>72</v>
      </c>
      <c r="B146" s="1" t="s">
        <v>1602</v>
      </c>
      <c r="C146" s="1" t="s">
        <v>74</v>
      </c>
      <c r="D146" s="1" t="s">
        <v>74</v>
      </c>
      <c r="E146" s="1" t="s">
        <v>74</v>
      </c>
      <c r="F146" s="1" t="s">
        <v>1603</v>
      </c>
      <c r="G146" s="1" t="s">
        <v>74</v>
      </c>
      <c r="H146" s="1" t="s">
        <v>74</v>
      </c>
      <c r="I146" s="1" t="s">
        <v>1604</v>
      </c>
      <c r="J146" s="1" t="s">
        <v>1605</v>
      </c>
      <c r="K146" s="1" t="s">
        <v>74</v>
      </c>
      <c r="L146" s="1" t="s">
        <v>74</v>
      </c>
      <c r="M146" s="1" t="s">
        <v>74</v>
      </c>
      <c r="N146" s="1" t="s">
        <v>74</v>
      </c>
      <c r="O146" s="1" t="s">
        <v>74</v>
      </c>
      <c r="P146" s="1" t="s">
        <v>74</v>
      </c>
      <c r="Q146" s="1" t="s">
        <v>74</v>
      </c>
      <c r="R146" s="1" t="s">
        <v>74</v>
      </c>
      <c r="S146" s="1" t="s">
        <v>74</v>
      </c>
      <c r="T146" s="1" t="s">
        <v>74</v>
      </c>
      <c r="U146" s="1" t="s">
        <v>74</v>
      </c>
      <c r="V146" s="1" t="s">
        <v>1606</v>
      </c>
      <c r="W146" s="1" t="s">
        <v>74</v>
      </c>
      <c r="X146" s="1" t="s">
        <v>74</v>
      </c>
      <c r="Y146" s="1" t="s">
        <v>74</v>
      </c>
      <c r="Z146" s="1" t="s">
        <v>74</v>
      </c>
      <c r="AA146" s="1" t="s">
        <v>1607</v>
      </c>
      <c r="AB146" s="1" t="s">
        <v>1608</v>
      </c>
      <c r="AC146" s="1" t="s">
        <v>74</v>
      </c>
      <c r="AD146" s="1" t="s">
        <v>74</v>
      </c>
      <c r="AE146" s="1" t="s">
        <v>74</v>
      </c>
      <c r="AF146" s="1" t="s">
        <v>74</v>
      </c>
      <c r="AG146" s="1" t="s">
        <v>74</v>
      </c>
      <c r="AH146" s="1" t="s">
        <v>74</v>
      </c>
      <c r="AI146" s="1" t="s">
        <v>74</v>
      </c>
      <c r="AJ146" s="1" t="s">
        <v>74</v>
      </c>
      <c r="AK146" s="1" t="s">
        <v>74</v>
      </c>
      <c r="AL146" s="1" t="s">
        <v>74</v>
      </c>
      <c r="AM146" s="1" t="s">
        <v>74</v>
      </c>
      <c r="AN146" s="1" t="s">
        <v>74</v>
      </c>
      <c r="AO146" s="1" t="s">
        <v>1609</v>
      </c>
      <c r="AP146" s="1" t="s">
        <v>74</v>
      </c>
      <c r="AQ146" s="1" t="s">
        <v>74</v>
      </c>
      <c r="AR146" s="1" t="s">
        <v>74</v>
      </c>
      <c r="AS146" s="1" t="s">
        <v>74</v>
      </c>
      <c r="AT146" s="1" t="s">
        <v>1610</v>
      </c>
      <c r="AU146" s="1">
        <v>2015.0</v>
      </c>
      <c r="AV146" s="1">
        <v>10.0</v>
      </c>
      <c r="AW146" s="1">
        <v>7.0</v>
      </c>
      <c r="AX146" s="1" t="s">
        <v>74</v>
      </c>
      <c r="AY146" s="1" t="s">
        <v>74</v>
      </c>
      <c r="AZ146" s="1" t="s">
        <v>74</v>
      </c>
      <c r="BA146" s="1" t="s">
        <v>74</v>
      </c>
      <c r="BB146" s="1" t="s">
        <v>74</v>
      </c>
      <c r="BC146" s="1" t="s">
        <v>74</v>
      </c>
      <c r="BD146" s="1" t="s">
        <v>1611</v>
      </c>
      <c r="BE146" s="1" t="s">
        <v>1612</v>
      </c>
      <c r="BF146" s="2" t="str">
        <f>HYPERLINK("http://dx.doi.org/10.1371/journal.pone.0132181","http://dx.doi.org/10.1371/journal.pone.0132181")</f>
        <v>http://dx.doi.org/10.1371/journal.pone.0132181</v>
      </c>
      <c r="BG146" s="1" t="s">
        <v>74</v>
      </c>
      <c r="BH146" s="1" t="s">
        <v>74</v>
      </c>
      <c r="BI146" s="1" t="s">
        <v>74</v>
      </c>
      <c r="BJ146" s="1" t="s">
        <v>74</v>
      </c>
      <c r="BK146" s="1" t="s">
        <v>74</v>
      </c>
      <c r="BL146" s="1" t="s">
        <v>74</v>
      </c>
      <c r="BM146" s="1" t="s">
        <v>74</v>
      </c>
      <c r="BN146" s="1">
        <v>2.6196288E7</v>
      </c>
      <c r="BO146" s="1" t="s">
        <v>74</v>
      </c>
      <c r="BP146" s="1" t="s">
        <v>74</v>
      </c>
      <c r="BQ146" s="1" t="s">
        <v>74</v>
      </c>
      <c r="BR146" s="1" t="s">
        <v>74</v>
      </c>
      <c r="BS146" s="1" t="s">
        <v>1613</v>
      </c>
      <c r="BT146" s="1" t="str">
        <f>HYPERLINK("https%3A%2F%2Fwww.webofscience.com%2Fwos%2Fwoscc%2Ffull-record%2FWOS:000358547600026","View Full Record in Web of Science")</f>
        <v>View Full Record in Web of Science</v>
      </c>
    </row>
    <row r="147" ht="12.75" customHeight="1">
      <c r="A147" s="1" t="s">
        <v>72</v>
      </c>
      <c r="B147" s="1" t="s">
        <v>1614</v>
      </c>
      <c r="C147" s="1" t="s">
        <v>74</v>
      </c>
      <c r="D147" s="1" t="s">
        <v>74</v>
      </c>
      <c r="E147" s="1" t="s">
        <v>74</v>
      </c>
      <c r="F147" s="1" t="s">
        <v>1615</v>
      </c>
      <c r="G147" s="1" t="s">
        <v>74</v>
      </c>
      <c r="H147" s="1" t="s">
        <v>74</v>
      </c>
      <c r="I147" s="1" t="s">
        <v>1616</v>
      </c>
      <c r="J147" s="1" t="s">
        <v>1617</v>
      </c>
      <c r="K147" s="1" t="s">
        <v>74</v>
      </c>
      <c r="L147" s="1" t="s">
        <v>74</v>
      </c>
      <c r="M147" s="1" t="s">
        <v>74</v>
      </c>
      <c r="N147" s="1" t="s">
        <v>74</v>
      </c>
      <c r="O147" s="1" t="s">
        <v>74</v>
      </c>
      <c r="P147" s="1" t="s">
        <v>74</v>
      </c>
      <c r="Q147" s="1" t="s">
        <v>74</v>
      </c>
      <c r="R147" s="1" t="s">
        <v>74</v>
      </c>
      <c r="S147" s="1" t="s">
        <v>74</v>
      </c>
      <c r="T147" s="1" t="s">
        <v>74</v>
      </c>
      <c r="U147" s="1" t="s">
        <v>74</v>
      </c>
      <c r="V147" s="1" t="s">
        <v>1618</v>
      </c>
      <c r="W147" s="1" t="s">
        <v>74</v>
      </c>
      <c r="X147" s="1" t="s">
        <v>74</v>
      </c>
      <c r="Y147" s="1" t="s">
        <v>74</v>
      </c>
      <c r="Z147" s="1" t="s">
        <v>74</v>
      </c>
      <c r="AA147" s="1" t="s">
        <v>1619</v>
      </c>
      <c r="AB147" s="1" t="s">
        <v>1620</v>
      </c>
      <c r="AC147" s="1" t="s">
        <v>74</v>
      </c>
      <c r="AD147" s="1" t="s">
        <v>74</v>
      </c>
      <c r="AE147" s="1" t="s">
        <v>74</v>
      </c>
      <c r="AF147" s="1" t="s">
        <v>74</v>
      </c>
      <c r="AG147" s="1" t="s">
        <v>74</v>
      </c>
      <c r="AH147" s="1" t="s">
        <v>74</v>
      </c>
      <c r="AI147" s="1" t="s">
        <v>74</v>
      </c>
      <c r="AJ147" s="1" t="s">
        <v>74</v>
      </c>
      <c r="AK147" s="1" t="s">
        <v>74</v>
      </c>
      <c r="AL147" s="1" t="s">
        <v>74</v>
      </c>
      <c r="AM147" s="1" t="s">
        <v>74</v>
      </c>
      <c r="AN147" s="1" t="s">
        <v>74</v>
      </c>
      <c r="AO147" s="1" t="s">
        <v>1621</v>
      </c>
      <c r="AP147" s="1" t="s">
        <v>74</v>
      </c>
      <c r="AQ147" s="1" t="s">
        <v>74</v>
      </c>
      <c r="AR147" s="1" t="s">
        <v>74</v>
      </c>
      <c r="AS147" s="1" t="s">
        <v>74</v>
      </c>
      <c r="AT147" s="1" t="s">
        <v>158</v>
      </c>
      <c r="AU147" s="1">
        <v>2015.0</v>
      </c>
      <c r="AV147" s="1">
        <v>119.0</v>
      </c>
      <c r="AW147" s="1">
        <v>1217.0</v>
      </c>
      <c r="AX147" s="1" t="s">
        <v>74</v>
      </c>
      <c r="AY147" s="1" t="s">
        <v>74</v>
      </c>
      <c r="AZ147" s="1" t="s">
        <v>74</v>
      </c>
      <c r="BA147" s="1" t="s">
        <v>74</v>
      </c>
      <c r="BB147" s="1">
        <v>871.0</v>
      </c>
      <c r="BC147" s="1">
        <v>889.0</v>
      </c>
      <c r="BD147" s="1" t="s">
        <v>74</v>
      </c>
      <c r="BE147" s="1" t="s">
        <v>74</v>
      </c>
      <c r="BF147" s="1" t="s">
        <v>74</v>
      </c>
      <c r="BG147" s="1" t="s">
        <v>74</v>
      </c>
      <c r="BH147" s="1" t="s">
        <v>74</v>
      </c>
      <c r="BI147" s="1" t="s">
        <v>74</v>
      </c>
      <c r="BJ147" s="1" t="s">
        <v>74</v>
      </c>
      <c r="BK147" s="1" t="s">
        <v>74</v>
      </c>
      <c r="BL147" s="1" t="s">
        <v>74</v>
      </c>
      <c r="BM147" s="1" t="s">
        <v>74</v>
      </c>
      <c r="BN147" s="1" t="s">
        <v>74</v>
      </c>
      <c r="BO147" s="1" t="s">
        <v>74</v>
      </c>
      <c r="BP147" s="1" t="s">
        <v>74</v>
      </c>
      <c r="BQ147" s="1" t="s">
        <v>74</v>
      </c>
      <c r="BR147" s="1" t="s">
        <v>74</v>
      </c>
      <c r="BS147" s="1" t="s">
        <v>1622</v>
      </c>
      <c r="BT147" s="1" t="str">
        <f>HYPERLINK("https%3A%2F%2Fwww.webofscience.com%2Fwos%2Fwoscc%2Ffull-record%2FWOS:000358393300004","View Full Record in Web of Science")</f>
        <v>View Full Record in Web of Science</v>
      </c>
    </row>
    <row r="148" ht="12.75" customHeight="1">
      <c r="A148" s="1" t="s">
        <v>72</v>
      </c>
      <c r="B148" s="1" t="s">
        <v>1623</v>
      </c>
      <c r="C148" s="1" t="s">
        <v>74</v>
      </c>
      <c r="D148" s="1" t="s">
        <v>74</v>
      </c>
      <c r="E148" s="1" t="s">
        <v>74</v>
      </c>
      <c r="F148" s="1" t="s">
        <v>1624</v>
      </c>
      <c r="G148" s="1" t="s">
        <v>74</v>
      </c>
      <c r="H148" s="1" t="s">
        <v>74</v>
      </c>
      <c r="I148" s="1" t="s">
        <v>1625</v>
      </c>
      <c r="J148" s="1" t="s">
        <v>1626</v>
      </c>
      <c r="K148" s="1" t="s">
        <v>74</v>
      </c>
      <c r="L148" s="1" t="s">
        <v>74</v>
      </c>
      <c r="M148" s="1" t="s">
        <v>74</v>
      </c>
      <c r="N148" s="1" t="s">
        <v>74</v>
      </c>
      <c r="O148" s="1" t="s">
        <v>74</v>
      </c>
      <c r="P148" s="1" t="s">
        <v>74</v>
      </c>
      <c r="Q148" s="1" t="s">
        <v>74</v>
      </c>
      <c r="R148" s="1" t="s">
        <v>74</v>
      </c>
      <c r="S148" s="1" t="s">
        <v>74</v>
      </c>
      <c r="T148" s="1" t="s">
        <v>74</v>
      </c>
      <c r="U148" s="1" t="s">
        <v>74</v>
      </c>
      <c r="V148" s="1" t="s">
        <v>1627</v>
      </c>
      <c r="W148" s="1" t="s">
        <v>74</v>
      </c>
      <c r="X148" s="1" t="s">
        <v>74</v>
      </c>
      <c r="Y148" s="1" t="s">
        <v>74</v>
      </c>
      <c r="Z148" s="1" t="s">
        <v>74</v>
      </c>
      <c r="AA148" s="1" t="s">
        <v>1628</v>
      </c>
      <c r="AB148" s="1" t="s">
        <v>1629</v>
      </c>
      <c r="AC148" s="1" t="s">
        <v>74</v>
      </c>
      <c r="AD148" s="1" t="s">
        <v>74</v>
      </c>
      <c r="AE148" s="1" t="s">
        <v>74</v>
      </c>
      <c r="AF148" s="1" t="s">
        <v>74</v>
      </c>
      <c r="AG148" s="1" t="s">
        <v>74</v>
      </c>
      <c r="AH148" s="1" t="s">
        <v>74</v>
      </c>
      <c r="AI148" s="1" t="s">
        <v>74</v>
      </c>
      <c r="AJ148" s="1" t="s">
        <v>74</v>
      </c>
      <c r="AK148" s="1" t="s">
        <v>74</v>
      </c>
      <c r="AL148" s="1" t="s">
        <v>74</v>
      </c>
      <c r="AM148" s="1" t="s">
        <v>74</v>
      </c>
      <c r="AN148" s="1" t="s">
        <v>74</v>
      </c>
      <c r="AO148" s="1" t="s">
        <v>1630</v>
      </c>
      <c r="AP148" s="1" t="s">
        <v>74</v>
      </c>
      <c r="AQ148" s="1" t="s">
        <v>74</v>
      </c>
      <c r="AR148" s="1" t="s">
        <v>74</v>
      </c>
      <c r="AS148" s="1" t="s">
        <v>74</v>
      </c>
      <c r="AT148" s="1" t="s">
        <v>1631</v>
      </c>
      <c r="AU148" s="1">
        <v>2013.0</v>
      </c>
      <c r="AV148" s="1">
        <v>110.0</v>
      </c>
      <c r="AW148" s="1">
        <v>14.0</v>
      </c>
      <c r="AX148" s="1" t="s">
        <v>74</v>
      </c>
      <c r="AY148" s="1" t="s">
        <v>74</v>
      </c>
      <c r="AZ148" s="1" t="s">
        <v>74</v>
      </c>
      <c r="BA148" s="1" t="s">
        <v>74</v>
      </c>
      <c r="BB148" s="1" t="s">
        <v>74</v>
      </c>
      <c r="BC148" s="1" t="s">
        <v>74</v>
      </c>
      <c r="BD148" s="1">
        <v>144301.0</v>
      </c>
      <c r="BE148" s="1" t="s">
        <v>1632</v>
      </c>
      <c r="BF148" s="2" t="str">
        <f>HYPERLINK("http://dx.doi.org/10.1103/PhysRevLett.110.144301","http://dx.doi.org/10.1103/PhysRevLett.110.144301")</f>
        <v>http://dx.doi.org/10.1103/PhysRevLett.110.144301</v>
      </c>
      <c r="BG148" s="1" t="s">
        <v>74</v>
      </c>
      <c r="BH148" s="1" t="s">
        <v>74</v>
      </c>
      <c r="BI148" s="1" t="s">
        <v>74</v>
      </c>
      <c r="BJ148" s="1" t="s">
        <v>74</v>
      </c>
      <c r="BK148" s="1" t="s">
        <v>74</v>
      </c>
      <c r="BL148" s="1" t="s">
        <v>74</v>
      </c>
      <c r="BM148" s="1" t="s">
        <v>74</v>
      </c>
      <c r="BN148" s="1">
        <v>2.5166994E7</v>
      </c>
      <c r="BO148" s="1" t="s">
        <v>74</v>
      </c>
      <c r="BP148" s="1" t="s">
        <v>74</v>
      </c>
      <c r="BQ148" s="1" t="s">
        <v>74</v>
      </c>
      <c r="BR148" s="1" t="s">
        <v>74</v>
      </c>
      <c r="BS148" s="1" t="s">
        <v>1633</v>
      </c>
      <c r="BT148" s="1" t="str">
        <f>HYPERLINK("https%3A%2F%2Fwww.webofscience.com%2Fwos%2Fwoscc%2Ffull-record%2FWOS:000316959200016","View Full Record in Web of Science")</f>
        <v>View Full Record in Web of Science</v>
      </c>
    </row>
    <row r="149" ht="12.75" customHeight="1">
      <c r="A149" s="1" t="s">
        <v>72</v>
      </c>
      <c r="B149" s="1" t="s">
        <v>1634</v>
      </c>
      <c r="C149" s="1" t="s">
        <v>74</v>
      </c>
      <c r="D149" s="1" t="s">
        <v>74</v>
      </c>
      <c r="E149" s="1" t="s">
        <v>74</v>
      </c>
      <c r="F149" s="1" t="s">
        <v>1635</v>
      </c>
      <c r="G149" s="1" t="s">
        <v>74</v>
      </c>
      <c r="H149" s="1" t="s">
        <v>74</v>
      </c>
      <c r="I149" s="1" t="s">
        <v>1636</v>
      </c>
      <c r="J149" s="1" t="s">
        <v>1455</v>
      </c>
      <c r="K149" s="1" t="s">
        <v>74</v>
      </c>
      <c r="L149" s="1" t="s">
        <v>74</v>
      </c>
      <c r="M149" s="1" t="s">
        <v>74</v>
      </c>
      <c r="N149" s="1" t="s">
        <v>74</v>
      </c>
      <c r="O149" s="1" t="s">
        <v>74</v>
      </c>
      <c r="P149" s="1" t="s">
        <v>74</v>
      </c>
      <c r="Q149" s="1" t="s">
        <v>74</v>
      </c>
      <c r="R149" s="1" t="s">
        <v>74</v>
      </c>
      <c r="S149" s="1" t="s">
        <v>74</v>
      </c>
      <c r="T149" s="1" t="s">
        <v>74</v>
      </c>
      <c r="U149" s="1" t="s">
        <v>74</v>
      </c>
      <c r="V149" s="1" t="s">
        <v>1637</v>
      </c>
      <c r="W149" s="1" t="s">
        <v>74</v>
      </c>
      <c r="X149" s="1" t="s">
        <v>74</v>
      </c>
      <c r="Y149" s="1" t="s">
        <v>74</v>
      </c>
      <c r="Z149" s="1" t="s">
        <v>74</v>
      </c>
      <c r="AA149" s="1" t="s">
        <v>74</v>
      </c>
      <c r="AB149" s="1" t="s">
        <v>1638</v>
      </c>
      <c r="AC149" s="1" t="s">
        <v>74</v>
      </c>
      <c r="AD149" s="1" t="s">
        <v>74</v>
      </c>
      <c r="AE149" s="1" t="s">
        <v>74</v>
      </c>
      <c r="AF149" s="1" t="s">
        <v>74</v>
      </c>
      <c r="AG149" s="1" t="s">
        <v>74</v>
      </c>
      <c r="AH149" s="1" t="s">
        <v>74</v>
      </c>
      <c r="AI149" s="1" t="s">
        <v>74</v>
      </c>
      <c r="AJ149" s="1" t="s">
        <v>74</v>
      </c>
      <c r="AK149" s="1" t="s">
        <v>74</v>
      </c>
      <c r="AL149" s="1" t="s">
        <v>74</v>
      </c>
      <c r="AM149" s="1" t="s">
        <v>74</v>
      </c>
      <c r="AN149" s="1" t="s">
        <v>74</v>
      </c>
      <c r="AO149" s="1" t="s">
        <v>1459</v>
      </c>
      <c r="AP149" s="1" t="s">
        <v>1460</v>
      </c>
      <c r="AQ149" s="1" t="s">
        <v>74</v>
      </c>
      <c r="AR149" s="1" t="s">
        <v>74</v>
      </c>
      <c r="AS149" s="1" t="s">
        <v>74</v>
      </c>
      <c r="AT149" s="1" t="s">
        <v>74</v>
      </c>
      <c r="AU149" s="1">
        <v>2013.0</v>
      </c>
      <c r="AV149" s="1">
        <v>2013.0</v>
      </c>
      <c r="AW149" s="1" t="s">
        <v>74</v>
      </c>
      <c r="AX149" s="1" t="s">
        <v>74</v>
      </c>
      <c r="AY149" s="1" t="s">
        <v>74</v>
      </c>
      <c r="AZ149" s="1" t="s">
        <v>74</v>
      </c>
      <c r="BA149" s="1" t="s">
        <v>74</v>
      </c>
      <c r="BB149" s="1" t="s">
        <v>74</v>
      </c>
      <c r="BC149" s="1" t="s">
        <v>74</v>
      </c>
      <c r="BD149" s="1">
        <v>784190.0</v>
      </c>
      <c r="BE149" s="1" t="s">
        <v>1639</v>
      </c>
      <c r="BF149" s="2" t="str">
        <f>HYPERLINK("http://dx.doi.org/10.1155/2013/784190","http://dx.doi.org/10.1155/2013/784190")</f>
        <v>http://dx.doi.org/10.1155/2013/784190</v>
      </c>
      <c r="BG149" s="1" t="s">
        <v>74</v>
      </c>
      <c r="BH149" s="1" t="s">
        <v>74</v>
      </c>
      <c r="BI149" s="1" t="s">
        <v>74</v>
      </c>
      <c r="BJ149" s="1" t="s">
        <v>74</v>
      </c>
      <c r="BK149" s="1" t="s">
        <v>74</v>
      </c>
      <c r="BL149" s="1" t="s">
        <v>74</v>
      </c>
      <c r="BM149" s="1" t="s">
        <v>74</v>
      </c>
      <c r="BN149" s="1">
        <v>2.4371831E7</v>
      </c>
      <c r="BO149" s="1" t="s">
        <v>74</v>
      </c>
      <c r="BP149" s="1" t="s">
        <v>74</v>
      </c>
      <c r="BQ149" s="1" t="s">
        <v>74</v>
      </c>
      <c r="BR149" s="1" t="s">
        <v>74</v>
      </c>
      <c r="BS149" s="1" t="s">
        <v>1640</v>
      </c>
      <c r="BT149" s="1" t="str">
        <f>HYPERLINK("https%3A%2F%2Fwww.webofscience.com%2Fwos%2Fwoscc%2Ffull-record%2FWOS:000327963400001","View Full Record in Web of Science")</f>
        <v>View Full Record in Web of Science</v>
      </c>
    </row>
    <row r="150" ht="12.75" customHeight="1">
      <c r="A150" s="1" t="s">
        <v>72</v>
      </c>
      <c r="B150" s="1" t="s">
        <v>1641</v>
      </c>
      <c r="C150" s="1" t="s">
        <v>74</v>
      </c>
      <c r="D150" s="1" t="s">
        <v>74</v>
      </c>
      <c r="E150" s="1" t="s">
        <v>74</v>
      </c>
      <c r="F150" s="1" t="s">
        <v>1642</v>
      </c>
      <c r="G150" s="1" t="s">
        <v>74</v>
      </c>
      <c r="H150" s="1" t="s">
        <v>74</v>
      </c>
      <c r="I150" s="1" t="s">
        <v>1643</v>
      </c>
      <c r="J150" s="1" t="s">
        <v>1644</v>
      </c>
      <c r="K150" s="1" t="s">
        <v>74</v>
      </c>
      <c r="L150" s="1" t="s">
        <v>74</v>
      </c>
      <c r="M150" s="1" t="s">
        <v>74</v>
      </c>
      <c r="N150" s="1" t="s">
        <v>74</v>
      </c>
      <c r="O150" s="1" t="s">
        <v>74</v>
      </c>
      <c r="P150" s="1" t="s">
        <v>74</v>
      </c>
      <c r="Q150" s="1" t="s">
        <v>74</v>
      </c>
      <c r="R150" s="1" t="s">
        <v>74</v>
      </c>
      <c r="S150" s="1" t="s">
        <v>74</v>
      </c>
      <c r="T150" s="1" t="s">
        <v>74</v>
      </c>
      <c r="U150" s="1" t="s">
        <v>74</v>
      </c>
      <c r="V150" s="1" t="s">
        <v>1645</v>
      </c>
      <c r="W150" s="1" t="s">
        <v>74</v>
      </c>
      <c r="X150" s="1" t="s">
        <v>74</v>
      </c>
      <c r="Y150" s="1" t="s">
        <v>74</v>
      </c>
      <c r="Z150" s="1" t="s">
        <v>74</v>
      </c>
      <c r="AA150" s="1" t="s">
        <v>1646</v>
      </c>
      <c r="AB150" s="1" t="s">
        <v>1647</v>
      </c>
      <c r="AC150" s="1" t="s">
        <v>74</v>
      </c>
      <c r="AD150" s="1" t="s">
        <v>74</v>
      </c>
      <c r="AE150" s="1" t="s">
        <v>74</v>
      </c>
      <c r="AF150" s="1" t="s">
        <v>74</v>
      </c>
      <c r="AG150" s="1" t="s">
        <v>74</v>
      </c>
      <c r="AH150" s="1" t="s">
        <v>74</v>
      </c>
      <c r="AI150" s="1" t="s">
        <v>74</v>
      </c>
      <c r="AJ150" s="1" t="s">
        <v>74</v>
      </c>
      <c r="AK150" s="1" t="s">
        <v>74</v>
      </c>
      <c r="AL150" s="1" t="s">
        <v>74</v>
      </c>
      <c r="AM150" s="1" t="s">
        <v>74</v>
      </c>
      <c r="AN150" s="1" t="s">
        <v>74</v>
      </c>
      <c r="AO150" s="1" t="s">
        <v>1648</v>
      </c>
      <c r="AP150" s="1" t="s">
        <v>74</v>
      </c>
      <c r="AQ150" s="1" t="s">
        <v>74</v>
      </c>
      <c r="AR150" s="1" t="s">
        <v>74</v>
      </c>
      <c r="AS150" s="1" t="s">
        <v>74</v>
      </c>
      <c r="AT150" s="1" t="s">
        <v>696</v>
      </c>
      <c r="AU150" s="1">
        <v>2012.0</v>
      </c>
      <c r="AV150" s="1">
        <v>7.0</v>
      </c>
      <c r="AW150" s="1">
        <v>1.0</v>
      </c>
      <c r="AX150" s="1" t="s">
        <v>74</v>
      </c>
      <c r="AY150" s="1" t="s">
        <v>74</v>
      </c>
      <c r="AZ150" s="1" t="s">
        <v>74</v>
      </c>
      <c r="BA150" s="1" t="s">
        <v>74</v>
      </c>
      <c r="BB150" s="1">
        <v>234.0</v>
      </c>
      <c r="BC150" s="1">
        <v>250.0</v>
      </c>
      <c r="BD150" s="1" t="s">
        <v>74</v>
      </c>
      <c r="BE150" s="1" t="s">
        <v>74</v>
      </c>
      <c r="BF150" s="1" t="s">
        <v>74</v>
      </c>
      <c r="BG150" s="1" t="s">
        <v>74</v>
      </c>
      <c r="BH150" s="1" t="s">
        <v>74</v>
      </c>
      <c r="BI150" s="1" t="s">
        <v>74</v>
      </c>
      <c r="BJ150" s="1" t="s">
        <v>74</v>
      </c>
      <c r="BK150" s="1" t="s">
        <v>74</v>
      </c>
      <c r="BL150" s="1" t="s">
        <v>74</v>
      </c>
      <c r="BM150" s="1" t="s">
        <v>74</v>
      </c>
      <c r="BN150" s="1" t="s">
        <v>74</v>
      </c>
      <c r="BO150" s="1" t="s">
        <v>74</v>
      </c>
      <c r="BP150" s="1" t="s">
        <v>74</v>
      </c>
      <c r="BQ150" s="1" t="s">
        <v>74</v>
      </c>
      <c r="BR150" s="1" t="s">
        <v>74</v>
      </c>
      <c r="BS150" s="1" t="s">
        <v>1649</v>
      </c>
      <c r="BT150" s="1" t="str">
        <f>HYPERLINK("https%3A%2F%2Fwww.webofscience.com%2Fwos%2Fwoscc%2Ffull-record%2FWOS:000302723700019","View Full Record in Web of Science")</f>
        <v>View Full Record in Web of Science</v>
      </c>
    </row>
    <row r="151" ht="12.75" customHeight="1">
      <c r="A151" s="1" t="s">
        <v>72</v>
      </c>
      <c r="B151" s="1" t="s">
        <v>1650</v>
      </c>
      <c r="C151" s="1" t="s">
        <v>74</v>
      </c>
      <c r="D151" s="1" t="s">
        <v>74</v>
      </c>
      <c r="E151" s="1" t="s">
        <v>74</v>
      </c>
      <c r="F151" s="1" t="s">
        <v>1651</v>
      </c>
      <c r="G151" s="1" t="s">
        <v>74</v>
      </c>
      <c r="H151" s="1" t="s">
        <v>74</v>
      </c>
      <c r="I151" s="1" t="s">
        <v>1652</v>
      </c>
      <c r="J151" s="1" t="s">
        <v>1653</v>
      </c>
      <c r="K151" s="1" t="s">
        <v>74</v>
      </c>
      <c r="L151" s="1" t="s">
        <v>74</v>
      </c>
      <c r="M151" s="1" t="s">
        <v>74</v>
      </c>
      <c r="N151" s="1" t="s">
        <v>74</v>
      </c>
      <c r="O151" s="1" t="s">
        <v>74</v>
      </c>
      <c r="P151" s="1" t="s">
        <v>74</v>
      </c>
      <c r="Q151" s="1" t="s">
        <v>74</v>
      </c>
      <c r="R151" s="1" t="s">
        <v>74</v>
      </c>
      <c r="S151" s="1" t="s">
        <v>74</v>
      </c>
      <c r="T151" s="1" t="s">
        <v>74</v>
      </c>
      <c r="U151" s="1" t="s">
        <v>74</v>
      </c>
      <c r="V151" s="1" t="s">
        <v>1654</v>
      </c>
      <c r="W151" s="1" t="s">
        <v>74</v>
      </c>
      <c r="X151" s="1" t="s">
        <v>74</v>
      </c>
      <c r="Y151" s="1" t="s">
        <v>74</v>
      </c>
      <c r="Z151" s="1" t="s">
        <v>74</v>
      </c>
      <c r="AA151" s="1" t="s">
        <v>1655</v>
      </c>
      <c r="AB151" s="1" t="s">
        <v>1656</v>
      </c>
      <c r="AC151" s="1" t="s">
        <v>74</v>
      </c>
      <c r="AD151" s="1" t="s">
        <v>74</v>
      </c>
      <c r="AE151" s="1" t="s">
        <v>74</v>
      </c>
      <c r="AF151" s="1" t="s">
        <v>74</v>
      </c>
      <c r="AG151" s="1" t="s">
        <v>74</v>
      </c>
      <c r="AH151" s="1" t="s">
        <v>74</v>
      </c>
      <c r="AI151" s="1" t="s">
        <v>74</v>
      </c>
      <c r="AJ151" s="1" t="s">
        <v>74</v>
      </c>
      <c r="AK151" s="1" t="s">
        <v>74</v>
      </c>
      <c r="AL151" s="1" t="s">
        <v>74</v>
      </c>
      <c r="AM151" s="1" t="s">
        <v>74</v>
      </c>
      <c r="AN151" s="1" t="s">
        <v>74</v>
      </c>
      <c r="AO151" s="1" t="s">
        <v>1657</v>
      </c>
      <c r="AP151" s="1" t="s">
        <v>1658</v>
      </c>
      <c r="AQ151" s="1" t="s">
        <v>74</v>
      </c>
      <c r="AR151" s="1" t="s">
        <v>74</v>
      </c>
      <c r="AS151" s="1" t="s">
        <v>74</v>
      </c>
      <c r="AT151" s="1" t="s">
        <v>678</v>
      </c>
      <c r="AU151" s="1">
        <v>2010.0</v>
      </c>
      <c r="AV151" s="1">
        <v>127.0</v>
      </c>
      <c r="AW151" s="1" t="s">
        <v>1659</v>
      </c>
      <c r="AX151" s="1" t="s">
        <v>74</v>
      </c>
      <c r="AY151" s="1" t="s">
        <v>74</v>
      </c>
      <c r="AZ151" s="1" t="s">
        <v>74</v>
      </c>
      <c r="BA151" s="1" t="s">
        <v>74</v>
      </c>
      <c r="BB151" s="1">
        <v>475.0</v>
      </c>
      <c r="BC151" s="1">
        <v>484.0</v>
      </c>
      <c r="BD151" s="1" t="s">
        <v>74</v>
      </c>
      <c r="BE151" s="1" t="s">
        <v>1660</v>
      </c>
      <c r="BF151" s="2" t="str">
        <f>HYPERLINK("http://dx.doi.org/10.1007/s00214-010-0735-5","http://dx.doi.org/10.1007/s00214-010-0735-5")</f>
        <v>http://dx.doi.org/10.1007/s00214-010-0735-5</v>
      </c>
      <c r="BG151" s="1" t="s">
        <v>74</v>
      </c>
      <c r="BH151" s="1" t="s">
        <v>74</v>
      </c>
      <c r="BI151" s="1" t="s">
        <v>74</v>
      </c>
      <c r="BJ151" s="1" t="s">
        <v>74</v>
      </c>
      <c r="BK151" s="1" t="s">
        <v>74</v>
      </c>
      <c r="BL151" s="1" t="s">
        <v>74</v>
      </c>
      <c r="BM151" s="1" t="s">
        <v>74</v>
      </c>
      <c r="BN151" s="1" t="s">
        <v>74</v>
      </c>
      <c r="BO151" s="1" t="s">
        <v>74</v>
      </c>
      <c r="BP151" s="1" t="s">
        <v>74</v>
      </c>
      <c r="BQ151" s="1" t="s">
        <v>74</v>
      </c>
      <c r="BR151" s="1" t="s">
        <v>74</v>
      </c>
      <c r="BS151" s="1" t="s">
        <v>1661</v>
      </c>
      <c r="BT151" s="1" t="str">
        <f>HYPERLINK("https%3A%2F%2Fwww.webofscience.com%2Fwos%2Fwoscc%2Ffull-record%2FWOS:000284237000005","View Full Record in Web of Science")</f>
        <v>View Full Record in Web of Science</v>
      </c>
    </row>
    <row r="152" ht="12.75" customHeight="1">
      <c r="A152" s="1" t="s">
        <v>72</v>
      </c>
      <c r="B152" s="1" t="s">
        <v>1662</v>
      </c>
      <c r="C152" s="1" t="s">
        <v>74</v>
      </c>
      <c r="D152" s="1" t="s">
        <v>74</v>
      </c>
      <c r="E152" s="1" t="s">
        <v>74</v>
      </c>
      <c r="F152" s="1" t="s">
        <v>1663</v>
      </c>
      <c r="G152" s="1" t="s">
        <v>74</v>
      </c>
      <c r="H152" s="1" t="s">
        <v>74</v>
      </c>
      <c r="I152" s="1" t="s">
        <v>1664</v>
      </c>
      <c r="J152" s="1" t="s">
        <v>1665</v>
      </c>
      <c r="K152" s="1" t="s">
        <v>74</v>
      </c>
      <c r="L152" s="1" t="s">
        <v>74</v>
      </c>
      <c r="M152" s="1" t="s">
        <v>74</v>
      </c>
      <c r="N152" s="1" t="s">
        <v>74</v>
      </c>
      <c r="O152" s="1" t="s">
        <v>74</v>
      </c>
      <c r="P152" s="1" t="s">
        <v>74</v>
      </c>
      <c r="Q152" s="1" t="s">
        <v>74</v>
      </c>
      <c r="R152" s="1" t="s">
        <v>74</v>
      </c>
      <c r="S152" s="1" t="s">
        <v>74</v>
      </c>
      <c r="T152" s="1" t="s">
        <v>74</v>
      </c>
      <c r="U152" s="1" t="s">
        <v>74</v>
      </c>
      <c r="V152" s="1" t="s">
        <v>1666</v>
      </c>
      <c r="W152" s="1" t="s">
        <v>74</v>
      </c>
      <c r="X152" s="1" t="s">
        <v>74</v>
      </c>
      <c r="Y152" s="1" t="s">
        <v>74</v>
      </c>
      <c r="Z152" s="1" t="s">
        <v>74</v>
      </c>
      <c r="AA152" s="1" t="s">
        <v>1667</v>
      </c>
      <c r="AB152" s="1" t="s">
        <v>1668</v>
      </c>
      <c r="AC152" s="1" t="s">
        <v>74</v>
      </c>
      <c r="AD152" s="1" t="s">
        <v>74</v>
      </c>
      <c r="AE152" s="1" t="s">
        <v>74</v>
      </c>
      <c r="AF152" s="1" t="s">
        <v>74</v>
      </c>
      <c r="AG152" s="1" t="s">
        <v>74</v>
      </c>
      <c r="AH152" s="1" t="s">
        <v>74</v>
      </c>
      <c r="AI152" s="1" t="s">
        <v>74</v>
      </c>
      <c r="AJ152" s="1" t="s">
        <v>74</v>
      </c>
      <c r="AK152" s="1" t="s">
        <v>74</v>
      </c>
      <c r="AL152" s="1" t="s">
        <v>74</v>
      </c>
      <c r="AM152" s="1" t="s">
        <v>74</v>
      </c>
      <c r="AN152" s="1" t="s">
        <v>74</v>
      </c>
      <c r="AO152" s="1" t="s">
        <v>1669</v>
      </c>
      <c r="AP152" s="1" t="s">
        <v>1670</v>
      </c>
      <c r="AQ152" s="1" t="s">
        <v>74</v>
      </c>
      <c r="AR152" s="1" t="s">
        <v>74</v>
      </c>
      <c r="AS152" s="1" t="s">
        <v>74</v>
      </c>
      <c r="AT152" s="1" t="s">
        <v>235</v>
      </c>
      <c r="AU152" s="1">
        <v>2010.0</v>
      </c>
      <c r="AV152" s="1">
        <v>162.0</v>
      </c>
      <c r="AW152" s="1">
        <v>2.0</v>
      </c>
      <c r="AX152" s="1" t="s">
        <v>74</v>
      </c>
      <c r="AY152" s="1" t="s">
        <v>74</v>
      </c>
      <c r="AZ152" s="1" t="s">
        <v>74</v>
      </c>
      <c r="BA152" s="1" t="s">
        <v>74</v>
      </c>
      <c r="BB152" s="1">
        <v>413.0</v>
      </c>
      <c r="BC152" s="1">
        <v>425.0</v>
      </c>
      <c r="BD152" s="1" t="s">
        <v>74</v>
      </c>
      <c r="BE152" s="1" t="s">
        <v>1671</v>
      </c>
      <c r="BF152" s="2" t="str">
        <f>HYPERLINK("http://dx.doi.org/10.1007/s00442-009-1478-7","http://dx.doi.org/10.1007/s00442-009-1478-7")</f>
        <v>http://dx.doi.org/10.1007/s00442-009-1478-7</v>
      </c>
      <c r="BG152" s="1" t="s">
        <v>74</v>
      </c>
      <c r="BH152" s="1" t="s">
        <v>74</v>
      </c>
      <c r="BI152" s="1" t="s">
        <v>74</v>
      </c>
      <c r="BJ152" s="1" t="s">
        <v>74</v>
      </c>
      <c r="BK152" s="1" t="s">
        <v>74</v>
      </c>
      <c r="BL152" s="1" t="s">
        <v>74</v>
      </c>
      <c r="BM152" s="1" t="s">
        <v>74</v>
      </c>
      <c r="BN152" s="1">
        <v>1.9890665E7</v>
      </c>
      <c r="BO152" s="1" t="s">
        <v>74</v>
      </c>
      <c r="BP152" s="1" t="s">
        <v>74</v>
      </c>
      <c r="BQ152" s="1" t="s">
        <v>74</v>
      </c>
      <c r="BR152" s="1" t="s">
        <v>74</v>
      </c>
      <c r="BS152" s="1" t="s">
        <v>1672</v>
      </c>
      <c r="BT152" s="1" t="str">
        <f>HYPERLINK("https%3A%2F%2Fwww.webofscience.com%2Fwos%2Fwoscc%2Ffull-record%2FWOS:000273795200015","View Full Record in Web of Science")</f>
        <v>View Full Record in Web of Science</v>
      </c>
    </row>
    <row r="153" ht="12.75" customHeight="1">
      <c r="A153" s="1" t="s">
        <v>72</v>
      </c>
      <c r="B153" s="1" t="s">
        <v>1673</v>
      </c>
      <c r="C153" s="1" t="s">
        <v>74</v>
      </c>
      <c r="D153" s="1" t="s">
        <v>74</v>
      </c>
      <c r="E153" s="1" t="s">
        <v>74</v>
      </c>
      <c r="F153" s="1" t="s">
        <v>1674</v>
      </c>
      <c r="G153" s="1" t="s">
        <v>74</v>
      </c>
      <c r="H153" s="1" t="s">
        <v>74</v>
      </c>
      <c r="I153" s="1" t="s">
        <v>1675</v>
      </c>
      <c r="J153" s="1" t="s">
        <v>312</v>
      </c>
      <c r="K153" s="1" t="s">
        <v>74</v>
      </c>
      <c r="L153" s="1" t="s">
        <v>74</v>
      </c>
      <c r="M153" s="1" t="s">
        <v>74</v>
      </c>
      <c r="N153" s="1" t="s">
        <v>74</v>
      </c>
      <c r="O153" s="1" t="s">
        <v>74</v>
      </c>
      <c r="P153" s="1" t="s">
        <v>74</v>
      </c>
      <c r="Q153" s="1" t="s">
        <v>74</v>
      </c>
      <c r="R153" s="1" t="s">
        <v>74</v>
      </c>
      <c r="S153" s="1" t="s">
        <v>74</v>
      </c>
      <c r="T153" s="1" t="s">
        <v>74</v>
      </c>
      <c r="U153" s="1" t="s">
        <v>74</v>
      </c>
      <c r="V153" s="1" t="s">
        <v>1676</v>
      </c>
      <c r="W153" s="1" t="s">
        <v>74</v>
      </c>
      <c r="X153" s="1" t="s">
        <v>74</v>
      </c>
      <c r="Y153" s="1" t="s">
        <v>74</v>
      </c>
      <c r="Z153" s="1" t="s">
        <v>74</v>
      </c>
      <c r="AA153" s="1" t="s">
        <v>74</v>
      </c>
      <c r="AB153" s="1" t="s">
        <v>74</v>
      </c>
      <c r="AC153" s="1" t="s">
        <v>74</v>
      </c>
      <c r="AD153" s="1" t="s">
        <v>74</v>
      </c>
      <c r="AE153" s="1" t="s">
        <v>74</v>
      </c>
      <c r="AF153" s="1" t="s">
        <v>74</v>
      </c>
      <c r="AG153" s="1" t="s">
        <v>74</v>
      </c>
      <c r="AH153" s="1" t="s">
        <v>74</v>
      </c>
      <c r="AI153" s="1" t="s">
        <v>74</v>
      </c>
      <c r="AJ153" s="1" t="s">
        <v>74</v>
      </c>
      <c r="AK153" s="1" t="s">
        <v>74</v>
      </c>
      <c r="AL153" s="1" t="s">
        <v>74</v>
      </c>
      <c r="AM153" s="1" t="s">
        <v>74</v>
      </c>
      <c r="AN153" s="1" t="s">
        <v>74</v>
      </c>
      <c r="AO153" s="1" t="s">
        <v>315</v>
      </c>
      <c r="AP153" s="1" t="s">
        <v>316</v>
      </c>
      <c r="AQ153" s="1" t="s">
        <v>74</v>
      </c>
      <c r="AR153" s="1" t="s">
        <v>74</v>
      </c>
      <c r="AS153" s="1" t="s">
        <v>74</v>
      </c>
      <c r="AT153" s="1" t="s">
        <v>350</v>
      </c>
      <c r="AU153" s="1">
        <v>2009.0</v>
      </c>
      <c r="AV153" s="1">
        <v>137.0</v>
      </c>
      <c r="AW153" s="1">
        <v>8.0</v>
      </c>
      <c r="AX153" s="1" t="s">
        <v>74</v>
      </c>
      <c r="AY153" s="1" t="s">
        <v>74</v>
      </c>
      <c r="AZ153" s="1" t="s">
        <v>74</v>
      </c>
      <c r="BA153" s="1" t="s">
        <v>74</v>
      </c>
      <c r="BB153" s="1">
        <v>1045.0</v>
      </c>
      <c r="BC153" s="1">
        <v>1050.0</v>
      </c>
      <c r="BD153" s="1" t="s">
        <v>74</v>
      </c>
      <c r="BE153" s="1" t="s">
        <v>74</v>
      </c>
      <c r="BF153" s="1" t="s">
        <v>74</v>
      </c>
      <c r="BG153" s="1" t="s">
        <v>74</v>
      </c>
      <c r="BH153" s="1" t="s">
        <v>74</v>
      </c>
      <c r="BI153" s="1" t="s">
        <v>74</v>
      </c>
      <c r="BJ153" s="1" t="s">
        <v>74</v>
      </c>
      <c r="BK153" s="1" t="s">
        <v>74</v>
      </c>
      <c r="BL153" s="1" t="s">
        <v>74</v>
      </c>
      <c r="BM153" s="1" t="s">
        <v>74</v>
      </c>
      <c r="BN153" s="1">
        <v>1.9915768E7</v>
      </c>
      <c r="BO153" s="1" t="s">
        <v>74</v>
      </c>
      <c r="BP153" s="1" t="s">
        <v>74</v>
      </c>
      <c r="BQ153" s="1" t="s">
        <v>74</v>
      </c>
      <c r="BR153" s="1" t="s">
        <v>74</v>
      </c>
      <c r="BS153" s="1" t="s">
        <v>1677</v>
      </c>
      <c r="BT153" s="1" t="str">
        <f>HYPERLINK("https%3A%2F%2Fwww.webofscience.com%2Fwos%2Fwoscc%2Ffull-record%2FWOS:000270339400007","View Full Record in Web of Science")</f>
        <v>View Full Record in Web of Science</v>
      </c>
    </row>
    <row r="154" ht="12.75" customHeight="1">
      <c r="A154" s="1" t="s">
        <v>72</v>
      </c>
      <c r="B154" s="1" t="s">
        <v>1678</v>
      </c>
      <c r="C154" s="1" t="s">
        <v>74</v>
      </c>
      <c r="D154" s="1" t="s">
        <v>74</v>
      </c>
      <c r="E154" s="1" t="s">
        <v>74</v>
      </c>
      <c r="F154" s="1" t="s">
        <v>1679</v>
      </c>
      <c r="G154" s="1" t="s">
        <v>74</v>
      </c>
      <c r="H154" s="1" t="s">
        <v>74</v>
      </c>
      <c r="I154" s="1" t="s">
        <v>1680</v>
      </c>
      <c r="J154" s="1" t="s">
        <v>1681</v>
      </c>
      <c r="K154" s="1" t="s">
        <v>74</v>
      </c>
      <c r="L154" s="1" t="s">
        <v>74</v>
      </c>
      <c r="M154" s="1" t="s">
        <v>74</v>
      </c>
      <c r="N154" s="1" t="s">
        <v>74</v>
      </c>
      <c r="O154" s="1" t="s">
        <v>74</v>
      </c>
      <c r="P154" s="1" t="s">
        <v>74</v>
      </c>
      <c r="Q154" s="1" t="s">
        <v>74</v>
      </c>
      <c r="R154" s="1" t="s">
        <v>74</v>
      </c>
      <c r="S154" s="1" t="s">
        <v>74</v>
      </c>
      <c r="T154" s="1" t="s">
        <v>74</v>
      </c>
      <c r="U154" s="1" t="s">
        <v>74</v>
      </c>
      <c r="V154" s="1" t="s">
        <v>1682</v>
      </c>
      <c r="W154" s="1" t="s">
        <v>74</v>
      </c>
      <c r="X154" s="1" t="s">
        <v>74</v>
      </c>
      <c r="Y154" s="1" t="s">
        <v>74</v>
      </c>
      <c r="Z154" s="1" t="s">
        <v>74</v>
      </c>
      <c r="AA154" s="1" t="s">
        <v>1683</v>
      </c>
      <c r="AB154" s="1" t="s">
        <v>1684</v>
      </c>
      <c r="AC154" s="1" t="s">
        <v>74</v>
      </c>
      <c r="AD154" s="1" t="s">
        <v>74</v>
      </c>
      <c r="AE154" s="1" t="s">
        <v>74</v>
      </c>
      <c r="AF154" s="1" t="s">
        <v>74</v>
      </c>
      <c r="AG154" s="1" t="s">
        <v>74</v>
      </c>
      <c r="AH154" s="1" t="s">
        <v>74</v>
      </c>
      <c r="AI154" s="1" t="s">
        <v>74</v>
      </c>
      <c r="AJ154" s="1" t="s">
        <v>74</v>
      </c>
      <c r="AK154" s="1" t="s">
        <v>74</v>
      </c>
      <c r="AL154" s="1" t="s">
        <v>74</v>
      </c>
      <c r="AM154" s="1" t="s">
        <v>74</v>
      </c>
      <c r="AN154" s="1" t="s">
        <v>74</v>
      </c>
      <c r="AO154" s="1" t="s">
        <v>1685</v>
      </c>
      <c r="AP154" s="1" t="s">
        <v>1686</v>
      </c>
      <c r="AQ154" s="1" t="s">
        <v>74</v>
      </c>
      <c r="AR154" s="1" t="s">
        <v>74</v>
      </c>
      <c r="AS154" s="1" t="s">
        <v>74</v>
      </c>
      <c r="AT154" s="1" t="s">
        <v>74</v>
      </c>
      <c r="AU154" s="1">
        <v>2009.0</v>
      </c>
      <c r="AV154" s="1">
        <v>56.0</v>
      </c>
      <c r="AW154" s="1">
        <v>16.0</v>
      </c>
      <c r="AX154" s="1" t="s">
        <v>74</v>
      </c>
      <c r="AY154" s="1" t="s">
        <v>74</v>
      </c>
      <c r="AZ154" s="1" t="s">
        <v>74</v>
      </c>
      <c r="BA154" s="1" t="s">
        <v>74</v>
      </c>
      <c r="BB154" s="1">
        <v>1780.0</v>
      </c>
      <c r="BC154" s="1">
        <v>1784.0</v>
      </c>
      <c r="BD154" s="1" t="s">
        <v>74</v>
      </c>
      <c r="BE154" s="1" t="s">
        <v>1687</v>
      </c>
      <c r="BF154" s="2" t="str">
        <f>HYPERLINK("http://dx.doi.org/10.1080/09500340903318562","http://dx.doi.org/10.1080/09500340903318562")</f>
        <v>http://dx.doi.org/10.1080/09500340903318562</v>
      </c>
      <c r="BG154" s="1" t="s">
        <v>74</v>
      </c>
      <c r="BH154" s="1" t="s">
        <v>74</v>
      </c>
      <c r="BI154" s="1" t="s">
        <v>74</v>
      </c>
      <c r="BJ154" s="1" t="s">
        <v>74</v>
      </c>
      <c r="BK154" s="1" t="s">
        <v>74</v>
      </c>
      <c r="BL154" s="1" t="s">
        <v>74</v>
      </c>
      <c r="BM154" s="1" t="s">
        <v>74</v>
      </c>
      <c r="BN154" s="1" t="s">
        <v>74</v>
      </c>
      <c r="BO154" s="1" t="s">
        <v>74</v>
      </c>
      <c r="BP154" s="1" t="s">
        <v>74</v>
      </c>
      <c r="BQ154" s="1" t="s">
        <v>74</v>
      </c>
      <c r="BR154" s="1" t="s">
        <v>74</v>
      </c>
      <c r="BS154" s="1" t="s">
        <v>1688</v>
      </c>
      <c r="BT154" s="1" t="str">
        <f>HYPERLINK("https%3A%2F%2Fwww.webofscience.com%2Fwos%2Fwoscc%2Ffull-record%2FWOS:000272379700007","View Full Record in Web of Science")</f>
        <v>View Full Record in Web of Science</v>
      </c>
    </row>
    <row r="155" ht="12.75" customHeight="1">
      <c r="A155" s="1" t="s">
        <v>72</v>
      </c>
      <c r="B155" s="1" t="s">
        <v>1689</v>
      </c>
      <c r="C155" s="1" t="s">
        <v>74</v>
      </c>
      <c r="D155" s="1" t="s">
        <v>74</v>
      </c>
      <c r="E155" s="1" t="s">
        <v>74</v>
      </c>
      <c r="F155" s="1" t="s">
        <v>1690</v>
      </c>
      <c r="G155" s="1" t="s">
        <v>74</v>
      </c>
      <c r="H155" s="1" t="s">
        <v>74</v>
      </c>
      <c r="I155" s="1" t="s">
        <v>1691</v>
      </c>
      <c r="J155" s="1" t="s">
        <v>1692</v>
      </c>
      <c r="K155" s="1" t="s">
        <v>74</v>
      </c>
      <c r="L155" s="1" t="s">
        <v>74</v>
      </c>
      <c r="M155" s="1" t="s">
        <v>74</v>
      </c>
      <c r="N155" s="1" t="s">
        <v>74</v>
      </c>
      <c r="O155" s="1" t="s">
        <v>74</v>
      </c>
      <c r="P155" s="1" t="s">
        <v>74</v>
      </c>
      <c r="Q155" s="1" t="s">
        <v>74</v>
      </c>
      <c r="R155" s="1" t="s">
        <v>74</v>
      </c>
      <c r="S155" s="1" t="s">
        <v>74</v>
      </c>
      <c r="T155" s="1" t="s">
        <v>74</v>
      </c>
      <c r="U155" s="1" t="s">
        <v>74</v>
      </c>
      <c r="V155" s="1" t="s">
        <v>1693</v>
      </c>
      <c r="W155" s="1" t="s">
        <v>74</v>
      </c>
      <c r="X155" s="1" t="s">
        <v>74</v>
      </c>
      <c r="Y155" s="1" t="s">
        <v>74</v>
      </c>
      <c r="Z155" s="1" t="s">
        <v>74</v>
      </c>
      <c r="AA155" s="1" t="s">
        <v>1694</v>
      </c>
      <c r="AB155" s="1" t="s">
        <v>1695</v>
      </c>
      <c r="AC155" s="1" t="s">
        <v>74</v>
      </c>
      <c r="AD155" s="1" t="s">
        <v>74</v>
      </c>
      <c r="AE155" s="1" t="s">
        <v>74</v>
      </c>
      <c r="AF155" s="1" t="s">
        <v>74</v>
      </c>
      <c r="AG155" s="1" t="s">
        <v>74</v>
      </c>
      <c r="AH155" s="1" t="s">
        <v>74</v>
      </c>
      <c r="AI155" s="1" t="s">
        <v>74</v>
      </c>
      <c r="AJ155" s="1" t="s">
        <v>74</v>
      </c>
      <c r="AK155" s="1" t="s">
        <v>74</v>
      </c>
      <c r="AL155" s="1" t="s">
        <v>74</v>
      </c>
      <c r="AM155" s="1" t="s">
        <v>74</v>
      </c>
      <c r="AN155" s="1" t="s">
        <v>74</v>
      </c>
      <c r="AO155" s="1" t="s">
        <v>1696</v>
      </c>
      <c r="AP155" s="1" t="s">
        <v>1697</v>
      </c>
      <c r="AQ155" s="1" t="s">
        <v>74</v>
      </c>
      <c r="AR155" s="1" t="s">
        <v>74</v>
      </c>
      <c r="AS155" s="1" t="s">
        <v>74</v>
      </c>
      <c r="AT155" s="1" t="s">
        <v>74</v>
      </c>
      <c r="AU155" s="1">
        <v>2007.0</v>
      </c>
      <c r="AV155" s="1">
        <v>4.0</v>
      </c>
      <c r="AW155" s="1">
        <v>5.0</v>
      </c>
      <c r="AX155" s="1" t="s">
        <v>74</v>
      </c>
      <c r="AY155" s="1" t="s">
        <v>74</v>
      </c>
      <c r="AZ155" s="1" t="s">
        <v>74</v>
      </c>
      <c r="BA155" s="1" t="s">
        <v>74</v>
      </c>
      <c r="BB155" s="1">
        <v>531.0</v>
      </c>
      <c r="BC155" s="1">
        <v>540.0</v>
      </c>
      <c r="BD155" s="1" t="s">
        <v>74</v>
      </c>
      <c r="BE155" s="1" t="s">
        <v>1698</v>
      </c>
      <c r="BF155" s="2" t="str">
        <f>HYPERLINK("http://dx.doi.org/10.1504/IJNT.2007.014750","http://dx.doi.org/10.1504/IJNT.2007.014750")</f>
        <v>http://dx.doi.org/10.1504/IJNT.2007.014750</v>
      </c>
      <c r="BG155" s="1" t="s">
        <v>74</v>
      </c>
      <c r="BH155" s="1" t="s">
        <v>74</v>
      </c>
      <c r="BI155" s="1" t="s">
        <v>74</v>
      </c>
      <c r="BJ155" s="1" t="s">
        <v>74</v>
      </c>
      <c r="BK155" s="1" t="s">
        <v>74</v>
      </c>
      <c r="BL155" s="1" t="s">
        <v>74</v>
      </c>
      <c r="BM155" s="1" t="s">
        <v>74</v>
      </c>
      <c r="BN155" s="1" t="s">
        <v>74</v>
      </c>
      <c r="BO155" s="1" t="s">
        <v>74</v>
      </c>
      <c r="BP155" s="1" t="s">
        <v>74</v>
      </c>
      <c r="BQ155" s="1" t="s">
        <v>74</v>
      </c>
      <c r="BR155" s="1" t="s">
        <v>74</v>
      </c>
      <c r="BS155" s="1" t="s">
        <v>1699</v>
      </c>
      <c r="BT155" s="1" t="str">
        <f>HYPERLINK("https%3A%2F%2Fwww.webofscience.com%2Fwos%2Fwoscc%2Ffull-record%2FWOS:000249817800008","View Full Record in Web of Science")</f>
        <v>View Full Record in Web of Science</v>
      </c>
    </row>
    <row r="156" ht="12.75" customHeight="1">
      <c r="A156" s="1" t="s">
        <v>182</v>
      </c>
      <c r="B156" s="1" t="s">
        <v>1700</v>
      </c>
      <c r="C156" s="1" t="s">
        <v>74</v>
      </c>
      <c r="D156" s="1" t="s">
        <v>1701</v>
      </c>
      <c r="E156" s="1" t="s">
        <v>74</v>
      </c>
      <c r="F156" s="1" t="s">
        <v>1702</v>
      </c>
      <c r="G156" s="1" t="s">
        <v>74</v>
      </c>
      <c r="H156" s="1" t="s">
        <v>74</v>
      </c>
      <c r="I156" s="1" t="s">
        <v>1703</v>
      </c>
      <c r="J156" s="1" t="s">
        <v>1704</v>
      </c>
      <c r="K156" s="1" t="s">
        <v>74</v>
      </c>
      <c r="L156" s="1" t="s">
        <v>74</v>
      </c>
      <c r="M156" s="1" t="s">
        <v>74</v>
      </c>
      <c r="N156" s="1" t="s">
        <v>74</v>
      </c>
      <c r="O156" s="1" t="s">
        <v>1705</v>
      </c>
      <c r="P156" s="1" t="s">
        <v>1706</v>
      </c>
      <c r="Q156" s="1" t="s">
        <v>1707</v>
      </c>
      <c r="R156" s="1" t="s">
        <v>1708</v>
      </c>
      <c r="S156" s="1" t="s">
        <v>74</v>
      </c>
      <c r="T156" s="1" t="s">
        <v>74</v>
      </c>
      <c r="U156" s="1" t="s">
        <v>74</v>
      </c>
      <c r="V156" s="1" t="s">
        <v>1709</v>
      </c>
      <c r="W156" s="1" t="s">
        <v>74</v>
      </c>
      <c r="X156" s="1" t="s">
        <v>74</v>
      </c>
      <c r="Y156" s="1" t="s">
        <v>74</v>
      </c>
      <c r="Z156" s="1" t="s">
        <v>74</v>
      </c>
      <c r="AA156" s="1" t="s">
        <v>1710</v>
      </c>
      <c r="AB156" s="1" t="s">
        <v>1711</v>
      </c>
      <c r="AC156" s="1" t="s">
        <v>74</v>
      </c>
      <c r="AD156" s="1" t="s">
        <v>74</v>
      </c>
      <c r="AE156" s="1" t="s">
        <v>74</v>
      </c>
      <c r="AF156" s="1" t="s">
        <v>74</v>
      </c>
      <c r="AG156" s="1" t="s">
        <v>74</v>
      </c>
      <c r="AH156" s="1" t="s">
        <v>74</v>
      </c>
      <c r="AI156" s="1" t="s">
        <v>74</v>
      </c>
      <c r="AJ156" s="1" t="s">
        <v>74</v>
      </c>
      <c r="AK156" s="1" t="s">
        <v>74</v>
      </c>
      <c r="AL156" s="1" t="s">
        <v>74</v>
      </c>
      <c r="AM156" s="1" t="s">
        <v>74</v>
      </c>
      <c r="AN156" s="1" t="s">
        <v>74</v>
      </c>
      <c r="AO156" s="1" t="s">
        <v>74</v>
      </c>
      <c r="AP156" s="1" t="s">
        <v>74</v>
      </c>
      <c r="AQ156" s="1" t="s">
        <v>1712</v>
      </c>
      <c r="AR156" s="1" t="s">
        <v>74</v>
      </c>
      <c r="AS156" s="1" t="s">
        <v>74</v>
      </c>
      <c r="AT156" s="1" t="s">
        <v>74</v>
      </c>
      <c r="AU156" s="1">
        <v>2006.0</v>
      </c>
      <c r="AV156" s="1" t="s">
        <v>74</v>
      </c>
      <c r="AW156" s="1" t="s">
        <v>74</v>
      </c>
      <c r="AX156" s="1" t="s">
        <v>74</v>
      </c>
      <c r="AY156" s="1" t="s">
        <v>74</v>
      </c>
      <c r="AZ156" s="1" t="s">
        <v>74</v>
      </c>
      <c r="BA156" s="1" t="s">
        <v>74</v>
      </c>
      <c r="BB156" s="1">
        <v>169.0</v>
      </c>
      <c r="BC156" s="1" t="s">
        <v>1713</v>
      </c>
      <c r="BD156" s="1" t="s">
        <v>74</v>
      </c>
      <c r="BE156" s="1" t="s">
        <v>74</v>
      </c>
      <c r="BF156" s="1" t="s">
        <v>74</v>
      </c>
      <c r="BG156" s="1" t="s">
        <v>74</v>
      </c>
      <c r="BH156" s="1" t="s">
        <v>74</v>
      </c>
      <c r="BI156" s="1" t="s">
        <v>74</v>
      </c>
      <c r="BJ156" s="1" t="s">
        <v>74</v>
      </c>
      <c r="BK156" s="1" t="s">
        <v>74</v>
      </c>
      <c r="BL156" s="1" t="s">
        <v>74</v>
      </c>
      <c r="BM156" s="1" t="s">
        <v>74</v>
      </c>
      <c r="BN156" s="1" t="s">
        <v>74</v>
      </c>
      <c r="BO156" s="1" t="s">
        <v>74</v>
      </c>
      <c r="BP156" s="1" t="s">
        <v>74</v>
      </c>
      <c r="BQ156" s="1" t="s">
        <v>74</v>
      </c>
      <c r="BR156" s="1" t="s">
        <v>74</v>
      </c>
      <c r="BS156" s="1" t="s">
        <v>1714</v>
      </c>
      <c r="BT156" s="1" t="str">
        <f>HYPERLINK("https%3A%2F%2Fwww.webofscience.com%2Fwos%2Fwoscc%2Ffull-record%2FWOS:000240400000045","View Full Record in Web of Science")</f>
        <v>View Full Record in Web of Science</v>
      </c>
    </row>
    <row r="157" ht="12.75" customHeight="1">
      <c r="A157" s="1" t="s">
        <v>72</v>
      </c>
      <c r="B157" s="1" t="s">
        <v>1715</v>
      </c>
      <c r="C157" s="1" t="s">
        <v>74</v>
      </c>
      <c r="D157" s="1" t="s">
        <v>74</v>
      </c>
      <c r="E157" s="1" t="s">
        <v>74</v>
      </c>
      <c r="F157" s="1" t="s">
        <v>1715</v>
      </c>
      <c r="G157" s="1" t="s">
        <v>74</v>
      </c>
      <c r="H157" s="1" t="s">
        <v>74</v>
      </c>
      <c r="I157" s="1" t="s">
        <v>1716</v>
      </c>
      <c r="J157" s="1" t="s">
        <v>1717</v>
      </c>
      <c r="K157" s="1" t="s">
        <v>74</v>
      </c>
      <c r="L157" s="1" t="s">
        <v>74</v>
      </c>
      <c r="M157" s="1" t="s">
        <v>74</v>
      </c>
      <c r="N157" s="1" t="s">
        <v>74</v>
      </c>
      <c r="O157" s="1" t="s">
        <v>74</v>
      </c>
      <c r="P157" s="1" t="s">
        <v>74</v>
      </c>
      <c r="Q157" s="1" t="s">
        <v>74</v>
      </c>
      <c r="R157" s="1" t="s">
        <v>74</v>
      </c>
      <c r="S157" s="1" t="s">
        <v>74</v>
      </c>
      <c r="T157" s="1" t="s">
        <v>74</v>
      </c>
      <c r="U157" s="1" t="s">
        <v>74</v>
      </c>
      <c r="V157" s="1" t="s">
        <v>1718</v>
      </c>
      <c r="W157" s="1" t="s">
        <v>74</v>
      </c>
      <c r="X157" s="1" t="s">
        <v>74</v>
      </c>
      <c r="Y157" s="1" t="s">
        <v>74</v>
      </c>
      <c r="Z157" s="1" t="s">
        <v>74</v>
      </c>
      <c r="AA157" s="1" t="s">
        <v>1719</v>
      </c>
      <c r="AB157" s="1" t="s">
        <v>1720</v>
      </c>
      <c r="AC157" s="1" t="s">
        <v>74</v>
      </c>
      <c r="AD157" s="1" t="s">
        <v>74</v>
      </c>
      <c r="AE157" s="1" t="s">
        <v>74</v>
      </c>
      <c r="AF157" s="1" t="s">
        <v>74</v>
      </c>
      <c r="AG157" s="1" t="s">
        <v>74</v>
      </c>
      <c r="AH157" s="1" t="s">
        <v>74</v>
      </c>
      <c r="AI157" s="1" t="s">
        <v>74</v>
      </c>
      <c r="AJ157" s="1" t="s">
        <v>74</v>
      </c>
      <c r="AK157" s="1" t="s">
        <v>74</v>
      </c>
      <c r="AL157" s="1" t="s">
        <v>74</v>
      </c>
      <c r="AM157" s="1" t="s">
        <v>74</v>
      </c>
      <c r="AN157" s="1" t="s">
        <v>74</v>
      </c>
      <c r="AO157" s="1" t="s">
        <v>1721</v>
      </c>
      <c r="AP157" s="1" t="s">
        <v>1722</v>
      </c>
      <c r="AQ157" s="1" t="s">
        <v>74</v>
      </c>
      <c r="AR157" s="1" t="s">
        <v>74</v>
      </c>
      <c r="AS157" s="1" t="s">
        <v>74</v>
      </c>
      <c r="AT157" s="1" t="s">
        <v>953</v>
      </c>
      <c r="AU157" s="1">
        <v>2005.0</v>
      </c>
      <c r="AV157" s="1">
        <v>340.0</v>
      </c>
      <c r="AW157" s="1">
        <v>15.0</v>
      </c>
      <c r="AX157" s="1" t="s">
        <v>74</v>
      </c>
      <c r="AY157" s="1" t="s">
        <v>74</v>
      </c>
      <c r="AZ157" s="1" t="s">
        <v>74</v>
      </c>
      <c r="BA157" s="1" t="s">
        <v>74</v>
      </c>
      <c r="BB157" s="1">
        <v>2392.0</v>
      </c>
      <c r="BC157" s="1">
        <v>2402.0</v>
      </c>
      <c r="BD157" s="1" t="s">
        <v>74</v>
      </c>
      <c r="BE157" s="1" t="s">
        <v>1723</v>
      </c>
      <c r="BF157" s="2" t="str">
        <f>HYPERLINK("http://dx.doi.org/10.1016/j.carres.2005.08.004","http://dx.doi.org/10.1016/j.carres.2005.08.004")</f>
        <v>http://dx.doi.org/10.1016/j.carres.2005.08.004</v>
      </c>
      <c r="BG157" s="1" t="s">
        <v>74</v>
      </c>
      <c r="BH157" s="1" t="s">
        <v>74</v>
      </c>
      <c r="BI157" s="1" t="s">
        <v>74</v>
      </c>
      <c r="BJ157" s="1" t="s">
        <v>74</v>
      </c>
      <c r="BK157" s="1" t="s">
        <v>74</v>
      </c>
      <c r="BL157" s="1" t="s">
        <v>74</v>
      </c>
      <c r="BM157" s="1" t="s">
        <v>74</v>
      </c>
      <c r="BN157" s="1">
        <v>1.6125685E7</v>
      </c>
      <c r="BO157" s="1" t="s">
        <v>74</v>
      </c>
      <c r="BP157" s="1" t="s">
        <v>74</v>
      </c>
      <c r="BQ157" s="1" t="s">
        <v>74</v>
      </c>
      <c r="BR157" s="1" t="s">
        <v>74</v>
      </c>
      <c r="BS157" s="1" t="s">
        <v>1724</v>
      </c>
      <c r="BT157" s="1" t="str">
        <f>HYPERLINK("https%3A%2F%2Fwww.webofscience.com%2Fwos%2Fwoscc%2Ffull-record%2FWOS:000232645600006","View Full Record in Web of Science")</f>
        <v>View Full Record in Web of Science</v>
      </c>
    </row>
    <row r="158" ht="12.75" customHeight="1">
      <c r="A158" s="1" t="s">
        <v>72</v>
      </c>
      <c r="B158" s="1" t="s">
        <v>1725</v>
      </c>
      <c r="C158" s="1" t="s">
        <v>74</v>
      </c>
      <c r="D158" s="1" t="s">
        <v>74</v>
      </c>
      <c r="E158" s="1" t="s">
        <v>74</v>
      </c>
      <c r="F158" s="1" t="s">
        <v>1725</v>
      </c>
      <c r="G158" s="1" t="s">
        <v>74</v>
      </c>
      <c r="H158" s="1" t="s">
        <v>74</v>
      </c>
      <c r="I158" s="1" t="s">
        <v>1726</v>
      </c>
      <c r="J158" s="1" t="s">
        <v>1727</v>
      </c>
      <c r="K158" s="1" t="s">
        <v>74</v>
      </c>
      <c r="L158" s="1" t="s">
        <v>74</v>
      </c>
      <c r="M158" s="1" t="s">
        <v>74</v>
      </c>
      <c r="N158" s="1" t="s">
        <v>74</v>
      </c>
      <c r="O158" s="1" t="s">
        <v>74</v>
      </c>
      <c r="P158" s="1" t="s">
        <v>74</v>
      </c>
      <c r="Q158" s="1" t="s">
        <v>74</v>
      </c>
      <c r="R158" s="1" t="s">
        <v>74</v>
      </c>
      <c r="S158" s="1" t="s">
        <v>74</v>
      </c>
      <c r="T158" s="1" t="s">
        <v>74</v>
      </c>
      <c r="U158" s="1" t="s">
        <v>74</v>
      </c>
      <c r="V158" s="1" t="s">
        <v>1728</v>
      </c>
      <c r="W158" s="1" t="s">
        <v>74</v>
      </c>
      <c r="X158" s="1" t="s">
        <v>74</v>
      </c>
      <c r="Y158" s="1" t="s">
        <v>74</v>
      </c>
      <c r="Z158" s="1" t="s">
        <v>74</v>
      </c>
      <c r="AA158" s="1" t="s">
        <v>1729</v>
      </c>
      <c r="AB158" s="1" t="s">
        <v>74</v>
      </c>
      <c r="AC158" s="1" t="s">
        <v>74</v>
      </c>
      <c r="AD158" s="1" t="s">
        <v>74</v>
      </c>
      <c r="AE158" s="1" t="s">
        <v>74</v>
      </c>
      <c r="AF158" s="1" t="s">
        <v>74</v>
      </c>
      <c r="AG158" s="1" t="s">
        <v>74</v>
      </c>
      <c r="AH158" s="1" t="s">
        <v>74</v>
      </c>
      <c r="AI158" s="1" t="s">
        <v>74</v>
      </c>
      <c r="AJ158" s="1" t="s">
        <v>74</v>
      </c>
      <c r="AK158" s="1" t="s">
        <v>74</v>
      </c>
      <c r="AL158" s="1" t="s">
        <v>74</v>
      </c>
      <c r="AM158" s="1" t="s">
        <v>74</v>
      </c>
      <c r="AN158" s="1" t="s">
        <v>74</v>
      </c>
      <c r="AO158" s="1" t="s">
        <v>1730</v>
      </c>
      <c r="AP158" s="1" t="s">
        <v>1731</v>
      </c>
      <c r="AQ158" s="1" t="s">
        <v>74</v>
      </c>
      <c r="AR158" s="1" t="s">
        <v>74</v>
      </c>
      <c r="AS158" s="1" t="s">
        <v>74</v>
      </c>
      <c r="AT158" s="1" t="s">
        <v>1732</v>
      </c>
      <c r="AU158" s="1">
        <v>2004.0</v>
      </c>
      <c r="AV158" s="1">
        <v>357.0</v>
      </c>
      <c r="AW158" s="1">
        <v>12.0</v>
      </c>
      <c r="AX158" s="1" t="s">
        <v>74</v>
      </c>
      <c r="AY158" s="1" t="s">
        <v>74</v>
      </c>
      <c r="AZ158" s="1" t="s">
        <v>74</v>
      </c>
      <c r="BA158" s="1" t="s">
        <v>74</v>
      </c>
      <c r="BB158" s="1">
        <v>3525.0</v>
      </c>
      <c r="BC158" s="1">
        <v>3531.0</v>
      </c>
      <c r="BD158" s="1" t="s">
        <v>74</v>
      </c>
      <c r="BE158" s="1" t="s">
        <v>1733</v>
      </c>
      <c r="BF158" s="2" t="str">
        <f>HYPERLINK("http://dx.doi.org/10.1016/j.ica.2004.02.038","http://dx.doi.org/10.1016/j.ica.2004.02.038")</f>
        <v>http://dx.doi.org/10.1016/j.ica.2004.02.038</v>
      </c>
      <c r="BG158" s="1" t="s">
        <v>74</v>
      </c>
      <c r="BH158" s="1" t="s">
        <v>74</v>
      </c>
      <c r="BI158" s="1" t="s">
        <v>74</v>
      </c>
      <c r="BJ158" s="1" t="s">
        <v>74</v>
      </c>
      <c r="BK158" s="1" t="s">
        <v>74</v>
      </c>
      <c r="BL158" s="1" t="s">
        <v>74</v>
      </c>
      <c r="BM158" s="1" t="s">
        <v>74</v>
      </c>
      <c r="BN158" s="1" t="s">
        <v>74</v>
      </c>
      <c r="BO158" s="1" t="s">
        <v>74</v>
      </c>
      <c r="BP158" s="1" t="s">
        <v>74</v>
      </c>
      <c r="BQ158" s="1" t="s">
        <v>74</v>
      </c>
      <c r="BR158" s="1" t="s">
        <v>74</v>
      </c>
      <c r="BS158" s="1" t="s">
        <v>1734</v>
      </c>
      <c r="BT158" s="1" t="str">
        <f>HYPERLINK("https%3A%2F%2Fwww.webofscience.com%2Fwos%2Fwoscc%2Ffull-record%2FWOS:000223967200013","View Full Record in Web of Science")</f>
        <v>View Full Record in Web of Science</v>
      </c>
    </row>
    <row r="159" ht="12.75" customHeight="1">
      <c r="A159" s="1" t="s">
        <v>72</v>
      </c>
      <c r="B159" s="1" t="s">
        <v>1735</v>
      </c>
      <c r="C159" s="1" t="s">
        <v>74</v>
      </c>
      <c r="D159" s="1" t="s">
        <v>74</v>
      </c>
      <c r="E159" s="1" t="s">
        <v>74</v>
      </c>
      <c r="F159" s="1" t="s">
        <v>1735</v>
      </c>
      <c r="G159" s="1" t="s">
        <v>74</v>
      </c>
      <c r="H159" s="1" t="s">
        <v>74</v>
      </c>
      <c r="I159" s="1" t="s">
        <v>1736</v>
      </c>
      <c r="J159" s="1" t="s">
        <v>1737</v>
      </c>
      <c r="K159" s="1" t="s">
        <v>74</v>
      </c>
      <c r="L159" s="1" t="s">
        <v>74</v>
      </c>
      <c r="M159" s="1" t="s">
        <v>74</v>
      </c>
      <c r="N159" s="1" t="s">
        <v>74</v>
      </c>
      <c r="O159" s="1" t="s">
        <v>74</v>
      </c>
      <c r="P159" s="1" t="s">
        <v>74</v>
      </c>
      <c r="Q159" s="1" t="s">
        <v>74</v>
      </c>
      <c r="R159" s="1" t="s">
        <v>74</v>
      </c>
      <c r="S159" s="1" t="s">
        <v>74</v>
      </c>
      <c r="T159" s="1" t="s">
        <v>74</v>
      </c>
      <c r="U159" s="1" t="s">
        <v>74</v>
      </c>
      <c r="V159" s="1" t="s">
        <v>74</v>
      </c>
      <c r="W159" s="1" t="s">
        <v>74</v>
      </c>
      <c r="X159" s="1" t="s">
        <v>74</v>
      </c>
      <c r="Y159" s="1" t="s">
        <v>74</v>
      </c>
      <c r="Z159" s="1" t="s">
        <v>74</v>
      </c>
      <c r="AA159" s="1" t="s">
        <v>74</v>
      </c>
      <c r="AB159" s="1" t="s">
        <v>74</v>
      </c>
      <c r="AC159" s="1" t="s">
        <v>74</v>
      </c>
      <c r="AD159" s="1" t="s">
        <v>74</v>
      </c>
      <c r="AE159" s="1" t="s">
        <v>74</v>
      </c>
      <c r="AF159" s="1" t="s">
        <v>74</v>
      </c>
      <c r="AG159" s="1" t="s">
        <v>74</v>
      </c>
      <c r="AH159" s="1" t="s">
        <v>74</v>
      </c>
      <c r="AI159" s="1" t="s">
        <v>74</v>
      </c>
      <c r="AJ159" s="1" t="s">
        <v>74</v>
      </c>
      <c r="AK159" s="1" t="s">
        <v>74</v>
      </c>
      <c r="AL159" s="1" t="s">
        <v>74</v>
      </c>
      <c r="AM159" s="1" t="s">
        <v>74</v>
      </c>
      <c r="AN159" s="1" t="s">
        <v>74</v>
      </c>
      <c r="AO159" s="1" t="s">
        <v>1738</v>
      </c>
      <c r="AP159" s="1" t="s">
        <v>1739</v>
      </c>
      <c r="AQ159" s="1" t="s">
        <v>74</v>
      </c>
      <c r="AR159" s="1" t="s">
        <v>74</v>
      </c>
      <c r="AS159" s="1" t="s">
        <v>74</v>
      </c>
      <c r="AT159" s="1" t="s">
        <v>257</v>
      </c>
      <c r="AU159" s="1">
        <v>2004.0</v>
      </c>
      <c r="AV159" s="1">
        <v>32.0</v>
      </c>
      <c r="AW159" s="1">
        <v>3.0</v>
      </c>
      <c r="AX159" s="1" t="s">
        <v>74</v>
      </c>
      <c r="AY159" s="1" t="s">
        <v>74</v>
      </c>
      <c r="AZ159" s="1" t="s">
        <v>74</v>
      </c>
      <c r="BA159" s="1" t="s">
        <v>74</v>
      </c>
      <c r="BB159" s="1">
        <v>367.0</v>
      </c>
      <c r="BC159" s="1">
        <v>370.0</v>
      </c>
      <c r="BD159" s="1" t="s">
        <v>74</v>
      </c>
      <c r="BE159" s="1" t="s">
        <v>1740</v>
      </c>
      <c r="BF159" s="2" t="str">
        <f>HYPERLINK("http://dx.doi.org/10.1016/j.bse.2003.09.001","http://dx.doi.org/10.1016/j.bse.2003.09.001")</f>
        <v>http://dx.doi.org/10.1016/j.bse.2003.09.001</v>
      </c>
      <c r="BG159" s="1" t="s">
        <v>74</v>
      </c>
      <c r="BH159" s="1" t="s">
        <v>74</v>
      </c>
      <c r="BI159" s="1" t="s">
        <v>74</v>
      </c>
      <c r="BJ159" s="1" t="s">
        <v>74</v>
      </c>
      <c r="BK159" s="1" t="s">
        <v>74</v>
      </c>
      <c r="BL159" s="1" t="s">
        <v>74</v>
      </c>
      <c r="BM159" s="1" t="s">
        <v>74</v>
      </c>
      <c r="BN159" s="1" t="s">
        <v>74</v>
      </c>
      <c r="BO159" s="1" t="s">
        <v>74</v>
      </c>
      <c r="BP159" s="1" t="s">
        <v>74</v>
      </c>
      <c r="BQ159" s="1" t="s">
        <v>74</v>
      </c>
      <c r="BR159" s="1" t="s">
        <v>74</v>
      </c>
      <c r="BS159" s="1" t="s">
        <v>1741</v>
      </c>
      <c r="BT159" s="1" t="str">
        <f>HYPERLINK("https%3A%2F%2Fwww.webofscience.com%2Fwos%2Fwoscc%2Ffull-record%2FWOS:000189313200017","View Full Record in Web of Science")</f>
        <v>View Full Record in Web of Science</v>
      </c>
    </row>
    <row r="160" ht="12.75" customHeight="1">
      <c r="A160" s="1" t="s">
        <v>72</v>
      </c>
      <c r="B160" s="1" t="s">
        <v>1742</v>
      </c>
      <c r="C160" s="1" t="s">
        <v>74</v>
      </c>
      <c r="D160" s="1" t="s">
        <v>74</v>
      </c>
      <c r="E160" s="1" t="s">
        <v>74</v>
      </c>
      <c r="F160" s="1" t="s">
        <v>1742</v>
      </c>
      <c r="G160" s="1" t="s">
        <v>74</v>
      </c>
      <c r="H160" s="1" t="s">
        <v>74</v>
      </c>
      <c r="I160" s="1" t="s">
        <v>1743</v>
      </c>
      <c r="J160" s="1" t="s">
        <v>708</v>
      </c>
      <c r="K160" s="1" t="s">
        <v>74</v>
      </c>
      <c r="L160" s="1" t="s">
        <v>74</v>
      </c>
      <c r="M160" s="1" t="s">
        <v>74</v>
      </c>
      <c r="N160" s="1" t="s">
        <v>74</v>
      </c>
      <c r="O160" s="1" t="s">
        <v>74</v>
      </c>
      <c r="P160" s="1" t="s">
        <v>74</v>
      </c>
      <c r="Q160" s="1" t="s">
        <v>74</v>
      </c>
      <c r="R160" s="1" t="s">
        <v>74</v>
      </c>
      <c r="S160" s="1" t="s">
        <v>74</v>
      </c>
      <c r="T160" s="1" t="s">
        <v>74</v>
      </c>
      <c r="U160" s="1" t="s">
        <v>74</v>
      </c>
      <c r="V160" s="1" t="s">
        <v>1744</v>
      </c>
      <c r="W160" s="1" t="s">
        <v>74</v>
      </c>
      <c r="X160" s="1" t="s">
        <v>74</v>
      </c>
      <c r="Y160" s="1" t="s">
        <v>74</v>
      </c>
      <c r="Z160" s="1" t="s">
        <v>74</v>
      </c>
      <c r="AA160" s="1" t="s">
        <v>1745</v>
      </c>
      <c r="AB160" s="1" t="s">
        <v>1746</v>
      </c>
      <c r="AC160" s="1" t="s">
        <v>74</v>
      </c>
      <c r="AD160" s="1" t="s">
        <v>74</v>
      </c>
      <c r="AE160" s="1" t="s">
        <v>74</v>
      </c>
      <c r="AF160" s="1" t="s">
        <v>74</v>
      </c>
      <c r="AG160" s="1" t="s">
        <v>74</v>
      </c>
      <c r="AH160" s="1" t="s">
        <v>74</v>
      </c>
      <c r="AI160" s="1" t="s">
        <v>74</v>
      </c>
      <c r="AJ160" s="1" t="s">
        <v>74</v>
      </c>
      <c r="AK160" s="1" t="s">
        <v>74</v>
      </c>
      <c r="AL160" s="1" t="s">
        <v>74</v>
      </c>
      <c r="AM160" s="1" t="s">
        <v>74</v>
      </c>
      <c r="AN160" s="1" t="s">
        <v>74</v>
      </c>
      <c r="AO160" s="1" t="s">
        <v>711</v>
      </c>
      <c r="AP160" s="1" t="s">
        <v>74</v>
      </c>
      <c r="AQ160" s="1" t="s">
        <v>74</v>
      </c>
      <c r="AR160" s="1" t="s">
        <v>74</v>
      </c>
      <c r="AS160" s="1" t="s">
        <v>74</v>
      </c>
      <c r="AT160" s="1" t="s">
        <v>350</v>
      </c>
      <c r="AU160" s="1">
        <v>2002.0</v>
      </c>
      <c r="AV160" s="1">
        <v>21.0</v>
      </c>
      <c r="AW160" s="1">
        <v>6.0</v>
      </c>
      <c r="AX160" s="1" t="s">
        <v>74</v>
      </c>
      <c r="AY160" s="1" t="s">
        <v>74</v>
      </c>
      <c r="AZ160" s="1" t="s">
        <v>74</v>
      </c>
      <c r="BA160" s="1" t="s">
        <v>74</v>
      </c>
      <c r="BB160" s="1">
        <v>393.0</v>
      </c>
      <c r="BC160" s="1">
        <v>400.0</v>
      </c>
      <c r="BD160" s="1" t="s">
        <v>74</v>
      </c>
      <c r="BE160" s="1" t="s">
        <v>1747</v>
      </c>
      <c r="BF160" s="2" t="str">
        <f>HYPERLINK("http://dx.doi.org/10.1023/A:1021178432158","http://dx.doi.org/10.1023/A:1021178432158")</f>
        <v>http://dx.doi.org/10.1023/A:1021178432158</v>
      </c>
      <c r="BG160" s="1" t="s">
        <v>74</v>
      </c>
      <c r="BH160" s="1" t="s">
        <v>74</v>
      </c>
      <c r="BI160" s="1" t="s">
        <v>74</v>
      </c>
      <c r="BJ160" s="1" t="s">
        <v>74</v>
      </c>
      <c r="BK160" s="1" t="s">
        <v>74</v>
      </c>
      <c r="BL160" s="1" t="s">
        <v>74</v>
      </c>
      <c r="BM160" s="1" t="s">
        <v>74</v>
      </c>
      <c r="BN160" s="1">
        <v>1.2492149E7</v>
      </c>
      <c r="BO160" s="1" t="s">
        <v>74</v>
      </c>
      <c r="BP160" s="1" t="s">
        <v>74</v>
      </c>
      <c r="BQ160" s="1" t="s">
        <v>74</v>
      </c>
      <c r="BR160" s="1" t="s">
        <v>74</v>
      </c>
      <c r="BS160" s="1" t="s">
        <v>1748</v>
      </c>
      <c r="BT160" s="1" t="str">
        <f>HYPERLINK("https%3A%2F%2Fwww.webofscience.com%2Fwos%2Fwoscc%2Ffull-record%2FWOS:000179359800003","View Full Record in Web of Science")</f>
        <v>View Full Record in Web of Science</v>
      </c>
    </row>
    <row r="161" ht="12.75" customHeight="1">
      <c r="A161" s="1" t="s">
        <v>72</v>
      </c>
      <c r="B161" s="1" t="s">
        <v>1749</v>
      </c>
      <c r="C161" s="1" t="s">
        <v>74</v>
      </c>
      <c r="D161" s="1" t="s">
        <v>74</v>
      </c>
      <c r="E161" s="1" t="s">
        <v>74</v>
      </c>
      <c r="F161" s="1" t="s">
        <v>1749</v>
      </c>
      <c r="G161" s="1" t="s">
        <v>74</v>
      </c>
      <c r="H161" s="1" t="s">
        <v>74</v>
      </c>
      <c r="I161" s="1" t="s">
        <v>1750</v>
      </c>
      <c r="J161" s="1" t="s">
        <v>959</v>
      </c>
      <c r="K161" s="1" t="s">
        <v>74</v>
      </c>
      <c r="L161" s="1" t="s">
        <v>74</v>
      </c>
      <c r="M161" s="1" t="s">
        <v>74</v>
      </c>
      <c r="N161" s="1" t="s">
        <v>74</v>
      </c>
      <c r="O161" s="1" t="s">
        <v>74</v>
      </c>
      <c r="P161" s="1" t="s">
        <v>74</v>
      </c>
      <c r="Q161" s="1" t="s">
        <v>74</v>
      </c>
      <c r="R161" s="1" t="s">
        <v>74</v>
      </c>
      <c r="S161" s="1" t="s">
        <v>74</v>
      </c>
      <c r="T161" s="1" t="s">
        <v>74</v>
      </c>
      <c r="U161" s="1" t="s">
        <v>74</v>
      </c>
      <c r="V161" s="1" t="s">
        <v>1751</v>
      </c>
      <c r="W161" s="1" t="s">
        <v>74</v>
      </c>
      <c r="X161" s="1" t="s">
        <v>74</v>
      </c>
      <c r="Y161" s="1" t="s">
        <v>74</v>
      </c>
      <c r="Z161" s="1" t="s">
        <v>74</v>
      </c>
      <c r="AA161" s="1" t="s">
        <v>718</v>
      </c>
      <c r="AB161" s="1" t="s">
        <v>719</v>
      </c>
      <c r="AC161" s="1" t="s">
        <v>74</v>
      </c>
      <c r="AD161" s="1" t="s">
        <v>74</v>
      </c>
      <c r="AE161" s="1" t="s">
        <v>74</v>
      </c>
      <c r="AF161" s="1" t="s">
        <v>74</v>
      </c>
      <c r="AG161" s="1" t="s">
        <v>74</v>
      </c>
      <c r="AH161" s="1" t="s">
        <v>74</v>
      </c>
      <c r="AI161" s="1" t="s">
        <v>74</v>
      </c>
      <c r="AJ161" s="1" t="s">
        <v>74</v>
      </c>
      <c r="AK161" s="1" t="s">
        <v>74</v>
      </c>
      <c r="AL161" s="1" t="s">
        <v>74</v>
      </c>
      <c r="AM161" s="1" t="s">
        <v>74</v>
      </c>
      <c r="AN161" s="1" t="s">
        <v>74</v>
      </c>
      <c r="AO161" s="1" t="s">
        <v>963</v>
      </c>
      <c r="AP161" s="1" t="s">
        <v>964</v>
      </c>
      <c r="AQ161" s="1" t="s">
        <v>74</v>
      </c>
      <c r="AR161" s="1" t="s">
        <v>74</v>
      </c>
      <c r="AS161" s="1" t="s">
        <v>74</v>
      </c>
      <c r="AT161" s="1" t="s">
        <v>339</v>
      </c>
      <c r="AU161" s="1">
        <v>2001.0</v>
      </c>
      <c r="AV161" s="1">
        <v>13.0</v>
      </c>
      <c r="AW161" s="1">
        <v>13.0</v>
      </c>
      <c r="AX161" s="1" t="s">
        <v>74</v>
      </c>
      <c r="AY161" s="1" t="s">
        <v>74</v>
      </c>
      <c r="AZ161" s="1" t="s">
        <v>74</v>
      </c>
      <c r="BA161" s="1" t="s">
        <v>74</v>
      </c>
      <c r="BB161" s="1">
        <v>1136.0</v>
      </c>
      <c r="BC161" s="1">
        <v>1139.0</v>
      </c>
      <c r="BD161" s="1" t="s">
        <v>74</v>
      </c>
      <c r="BE161" s="1" t="s">
        <v>1752</v>
      </c>
      <c r="BF161" s="2" t="str">
        <f>HYPERLINK("http://dx.doi.org/10.1002/1521-4109(200109)13:13&lt;1136::AID-ELAN1136&gt;3.0.CO;2-#","http://dx.doi.org/10.1002/1521-4109(200109)13:13&lt;1136::AID-ELAN1136&gt;3.0.CO;2-#")</f>
        <v>http://dx.doi.org/10.1002/1521-4109(200109)13:13&lt;1136::AID-ELAN1136&gt;3.0.CO;2-#</v>
      </c>
      <c r="BG161" s="1" t="s">
        <v>74</v>
      </c>
      <c r="BH161" s="1" t="s">
        <v>74</v>
      </c>
      <c r="BI161" s="1" t="s">
        <v>74</v>
      </c>
      <c r="BJ161" s="1" t="s">
        <v>74</v>
      </c>
      <c r="BK161" s="1" t="s">
        <v>74</v>
      </c>
      <c r="BL161" s="1" t="s">
        <v>74</v>
      </c>
      <c r="BM161" s="1" t="s">
        <v>74</v>
      </c>
      <c r="BN161" s="1" t="s">
        <v>74</v>
      </c>
      <c r="BO161" s="1" t="s">
        <v>74</v>
      </c>
      <c r="BP161" s="1" t="s">
        <v>74</v>
      </c>
      <c r="BQ161" s="1" t="s">
        <v>74</v>
      </c>
      <c r="BR161" s="1" t="s">
        <v>74</v>
      </c>
      <c r="BS161" s="1" t="s">
        <v>1753</v>
      </c>
      <c r="BT161" s="1" t="str">
        <f>HYPERLINK("https%3A%2F%2Fwww.webofscience.com%2Fwos%2Fwoscc%2Ffull-record%2FWOS:000171267200013","View Full Record in Web of Science")</f>
        <v>View Full Record in Web of Science</v>
      </c>
    </row>
    <row r="162" ht="12.75" customHeight="1">
      <c r="A162" s="1" t="s">
        <v>72</v>
      </c>
      <c r="B162" s="1" t="s">
        <v>1754</v>
      </c>
      <c r="C162" s="1" t="s">
        <v>74</v>
      </c>
      <c r="D162" s="1" t="s">
        <v>74</v>
      </c>
      <c r="E162" s="1" t="s">
        <v>74</v>
      </c>
      <c r="F162" s="1" t="s">
        <v>1754</v>
      </c>
      <c r="G162" s="1" t="s">
        <v>74</v>
      </c>
      <c r="H162" s="1" t="s">
        <v>74</v>
      </c>
      <c r="I162" s="1" t="s">
        <v>1755</v>
      </c>
      <c r="J162" s="1" t="s">
        <v>1756</v>
      </c>
      <c r="K162" s="1" t="s">
        <v>74</v>
      </c>
      <c r="L162" s="1" t="s">
        <v>74</v>
      </c>
      <c r="M162" s="1" t="s">
        <v>74</v>
      </c>
      <c r="N162" s="1" t="s">
        <v>74</v>
      </c>
      <c r="O162" s="1" t="s">
        <v>1757</v>
      </c>
      <c r="P162" s="1" t="s">
        <v>1758</v>
      </c>
      <c r="Q162" s="1" t="s">
        <v>1759</v>
      </c>
      <c r="R162" s="1" t="s">
        <v>1760</v>
      </c>
      <c r="S162" s="1" t="s">
        <v>74</v>
      </c>
      <c r="T162" s="1" t="s">
        <v>74</v>
      </c>
      <c r="U162" s="1" t="s">
        <v>74</v>
      </c>
      <c r="V162" s="1" t="s">
        <v>1761</v>
      </c>
      <c r="W162" s="1" t="s">
        <v>74</v>
      </c>
      <c r="X162" s="1" t="s">
        <v>74</v>
      </c>
      <c r="Y162" s="1" t="s">
        <v>74</v>
      </c>
      <c r="Z162" s="1" t="s">
        <v>74</v>
      </c>
      <c r="AA162" s="1" t="s">
        <v>1762</v>
      </c>
      <c r="AB162" s="1" t="s">
        <v>1763</v>
      </c>
      <c r="AC162" s="1" t="s">
        <v>74</v>
      </c>
      <c r="AD162" s="1" t="s">
        <v>74</v>
      </c>
      <c r="AE162" s="1" t="s">
        <v>74</v>
      </c>
      <c r="AF162" s="1" t="s">
        <v>74</v>
      </c>
      <c r="AG162" s="1" t="s">
        <v>74</v>
      </c>
      <c r="AH162" s="1" t="s">
        <v>74</v>
      </c>
      <c r="AI162" s="1" t="s">
        <v>74</v>
      </c>
      <c r="AJ162" s="1" t="s">
        <v>74</v>
      </c>
      <c r="AK162" s="1" t="s">
        <v>74</v>
      </c>
      <c r="AL162" s="1" t="s">
        <v>74</v>
      </c>
      <c r="AM162" s="1" t="s">
        <v>74</v>
      </c>
      <c r="AN162" s="1" t="s">
        <v>74</v>
      </c>
      <c r="AO162" s="1" t="s">
        <v>1764</v>
      </c>
      <c r="AP162" s="1" t="s">
        <v>74</v>
      </c>
      <c r="AQ162" s="1" t="s">
        <v>74</v>
      </c>
      <c r="AR162" s="1" t="s">
        <v>74</v>
      </c>
      <c r="AS162" s="1" t="s">
        <v>74</v>
      </c>
      <c r="AT162" s="1" t="s">
        <v>339</v>
      </c>
      <c r="AU162" s="1">
        <v>1998.0</v>
      </c>
      <c r="AV162" s="1">
        <v>44.0</v>
      </c>
      <c r="AW162" s="1" t="s">
        <v>74</v>
      </c>
      <c r="AX162" s="1" t="s">
        <v>74</v>
      </c>
      <c r="AY162" s="1">
        <v>1.0</v>
      </c>
      <c r="AZ162" s="1" t="s">
        <v>74</v>
      </c>
      <c r="BA162" s="1" t="s">
        <v>74</v>
      </c>
      <c r="BB162" s="1">
        <v>78.0</v>
      </c>
      <c r="BC162" s="1">
        <v>80.0</v>
      </c>
      <c r="BD162" s="1" t="s">
        <v>74</v>
      </c>
      <c r="BE162" s="1" t="s">
        <v>74</v>
      </c>
      <c r="BF162" s="1" t="s">
        <v>74</v>
      </c>
      <c r="BG162" s="1" t="s">
        <v>74</v>
      </c>
      <c r="BH162" s="1" t="s">
        <v>74</v>
      </c>
      <c r="BI162" s="1" t="s">
        <v>74</v>
      </c>
      <c r="BJ162" s="1" t="s">
        <v>74</v>
      </c>
      <c r="BK162" s="1" t="s">
        <v>74</v>
      </c>
      <c r="BL162" s="1" t="s">
        <v>74</v>
      </c>
      <c r="BM162" s="1" t="s">
        <v>74</v>
      </c>
      <c r="BN162" s="1" t="s">
        <v>74</v>
      </c>
      <c r="BO162" s="1" t="s">
        <v>74</v>
      </c>
      <c r="BP162" s="1" t="s">
        <v>74</v>
      </c>
      <c r="BQ162" s="1" t="s">
        <v>74</v>
      </c>
      <c r="BR162" s="1" t="s">
        <v>74</v>
      </c>
      <c r="BS162" s="1" t="s">
        <v>1765</v>
      </c>
      <c r="BT162" s="1" t="str">
        <f>HYPERLINK("https%3A%2F%2Fwww.webofscience.com%2Fwos%2Fwoscc%2Ffull-record%2FWOS:000076407000021","View Full Record in Web of Science")</f>
        <v>View Full Record in Web of Science</v>
      </c>
    </row>
    <row r="163" ht="12.75" customHeight="1">
      <c r="A163" s="1" t="s">
        <v>72</v>
      </c>
      <c r="B163" s="1" t="s">
        <v>1766</v>
      </c>
      <c r="C163" s="1" t="s">
        <v>74</v>
      </c>
      <c r="D163" s="1" t="s">
        <v>74</v>
      </c>
      <c r="E163" s="1" t="s">
        <v>74</v>
      </c>
      <c r="F163" s="1" t="s">
        <v>1766</v>
      </c>
      <c r="G163" s="1" t="s">
        <v>74</v>
      </c>
      <c r="H163" s="1" t="s">
        <v>74</v>
      </c>
      <c r="I163" s="1" t="s">
        <v>1767</v>
      </c>
      <c r="J163" s="1" t="s">
        <v>1768</v>
      </c>
      <c r="K163" s="1" t="s">
        <v>74</v>
      </c>
      <c r="L163" s="1" t="s">
        <v>74</v>
      </c>
      <c r="M163" s="1" t="s">
        <v>74</v>
      </c>
      <c r="N163" s="1" t="s">
        <v>74</v>
      </c>
      <c r="O163" s="1" t="s">
        <v>74</v>
      </c>
      <c r="P163" s="1" t="s">
        <v>74</v>
      </c>
      <c r="Q163" s="1" t="s">
        <v>74</v>
      </c>
      <c r="R163" s="1" t="s">
        <v>74</v>
      </c>
      <c r="S163" s="1" t="s">
        <v>74</v>
      </c>
      <c r="T163" s="1" t="s">
        <v>74</v>
      </c>
      <c r="U163" s="1" t="s">
        <v>74</v>
      </c>
      <c r="V163" s="1" t="s">
        <v>1769</v>
      </c>
      <c r="W163" s="1" t="s">
        <v>74</v>
      </c>
      <c r="X163" s="1" t="s">
        <v>74</v>
      </c>
      <c r="Y163" s="1" t="s">
        <v>74</v>
      </c>
      <c r="Z163" s="1" t="s">
        <v>74</v>
      </c>
      <c r="AA163" s="1" t="s">
        <v>1770</v>
      </c>
      <c r="AB163" s="1" t="s">
        <v>1771</v>
      </c>
      <c r="AC163" s="1" t="s">
        <v>74</v>
      </c>
      <c r="AD163" s="1" t="s">
        <v>74</v>
      </c>
      <c r="AE163" s="1" t="s">
        <v>74</v>
      </c>
      <c r="AF163" s="1" t="s">
        <v>74</v>
      </c>
      <c r="AG163" s="1" t="s">
        <v>74</v>
      </c>
      <c r="AH163" s="1" t="s">
        <v>74</v>
      </c>
      <c r="AI163" s="1" t="s">
        <v>74</v>
      </c>
      <c r="AJ163" s="1" t="s">
        <v>74</v>
      </c>
      <c r="AK163" s="1" t="s">
        <v>74</v>
      </c>
      <c r="AL163" s="1" t="s">
        <v>74</v>
      </c>
      <c r="AM163" s="1" t="s">
        <v>74</v>
      </c>
      <c r="AN163" s="1" t="s">
        <v>74</v>
      </c>
      <c r="AO163" s="1" t="s">
        <v>1772</v>
      </c>
      <c r="AP163" s="1" t="s">
        <v>74</v>
      </c>
      <c r="AQ163" s="1" t="s">
        <v>74</v>
      </c>
      <c r="AR163" s="1" t="s">
        <v>74</v>
      </c>
      <c r="AS163" s="1" t="s">
        <v>74</v>
      </c>
      <c r="AT163" s="1" t="s">
        <v>1773</v>
      </c>
      <c r="AU163" s="1">
        <v>1994.0</v>
      </c>
      <c r="AV163" s="1">
        <v>27.0</v>
      </c>
      <c r="AW163" s="1">
        <v>25.0</v>
      </c>
      <c r="AX163" s="1" t="s">
        <v>74</v>
      </c>
      <c r="AY163" s="1" t="s">
        <v>74</v>
      </c>
      <c r="AZ163" s="1" t="s">
        <v>74</v>
      </c>
      <c r="BA163" s="1" t="s">
        <v>74</v>
      </c>
      <c r="BB163" s="1">
        <v>7454.0</v>
      </c>
      <c r="BC163" s="1">
        <v>7458.0</v>
      </c>
      <c r="BD163" s="1" t="s">
        <v>74</v>
      </c>
      <c r="BE163" s="1" t="s">
        <v>1774</v>
      </c>
      <c r="BF163" s="2" t="str">
        <f>HYPERLINK("http://dx.doi.org/10.1021/ma00103a031","http://dx.doi.org/10.1021/ma00103a031")</f>
        <v>http://dx.doi.org/10.1021/ma00103a031</v>
      </c>
      <c r="BG163" s="1" t="s">
        <v>74</v>
      </c>
      <c r="BH163" s="1" t="s">
        <v>74</v>
      </c>
      <c r="BI163" s="1" t="s">
        <v>74</v>
      </c>
      <c r="BJ163" s="1" t="s">
        <v>74</v>
      </c>
      <c r="BK163" s="1" t="s">
        <v>74</v>
      </c>
      <c r="BL163" s="1" t="s">
        <v>74</v>
      </c>
      <c r="BM163" s="1" t="s">
        <v>74</v>
      </c>
      <c r="BN163" s="1" t="s">
        <v>74</v>
      </c>
      <c r="BO163" s="1" t="s">
        <v>74</v>
      </c>
      <c r="BP163" s="1" t="s">
        <v>74</v>
      </c>
      <c r="BQ163" s="1" t="s">
        <v>74</v>
      </c>
      <c r="BR163" s="1" t="s">
        <v>74</v>
      </c>
      <c r="BS163" s="1" t="s">
        <v>1775</v>
      </c>
      <c r="BT163" s="1" t="str">
        <f>HYPERLINK("https%3A%2F%2Fwww.webofscience.com%2Fwos%2Fwoscc%2Ffull-record%2FWOS:A1994PW05900031","View Full Record in Web of Science")</f>
        <v>View Full Record in Web of Science</v>
      </c>
    </row>
    <row r="164" ht="12.75" customHeight="1">
      <c r="A164" s="1" t="s">
        <v>72</v>
      </c>
      <c r="B164" s="1" t="s">
        <v>1776</v>
      </c>
      <c r="C164" s="1" t="s">
        <v>74</v>
      </c>
      <c r="D164" s="1" t="s">
        <v>74</v>
      </c>
      <c r="E164" s="1" t="s">
        <v>74</v>
      </c>
      <c r="F164" s="1" t="s">
        <v>1777</v>
      </c>
      <c r="G164" s="1" t="s">
        <v>74</v>
      </c>
      <c r="H164" s="1" t="s">
        <v>74</v>
      </c>
      <c r="I164" s="1" t="s">
        <v>1778</v>
      </c>
      <c r="J164" s="1" t="s">
        <v>1779</v>
      </c>
      <c r="K164" s="1" t="s">
        <v>74</v>
      </c>
      <c r="L164" s="1" t="s">
        <v>74</v>
      </c>
      <c r="M164" s="1" t="s">
        <v>74</v>
      </c>
      <c r="N164" s="1" t="s">
        <v>74</v>
      </c>
      <c r="O164" s="1" t="s">
        <v>74</v>
      </c>
      <c r="P164" s="1" t="s">
        <v>74</v>
      </c>
      <c r="Q164" s="1" t="s">
        <v>74</v>
      </c>
      <c r="R164" s="1" t="s">
        <v>74</v>
      </c>
      <c r="S164" s="1" t="s">
        <v>74</v>
      </c>
      <c r="T164" s="1" t="s">
        <v>74</v>
      </c>
      <c r="U164" s="1" t="s">
        <v>74</v>
      </c>
      <c r="V164" s="1" t="s">
        <v>1780</v>
      </c>
      <c r="W164" s="1" t="s">
        <v>74</v>
      </c>
      <c r="X164" s="1" t="s">
        <v>74</v>
      </c>
      <c r="Y164" s="1" t="s">
        <v>74</v>
      </c>
      <c r="Z164" s="1" t="s">
        <v>74</v>
      </c>
      <c r="AA164" s="1" t="s">
        <v>1781</v>
      </c>
      <c r="AB164" s="1" t="s">
        <v>1782</v>
      </c>
      <c r="AC164" s="1" t="s">
        <v>74</v>
      </c>
      <c r="AD164" s="1" t="s">
        <v>74</v>
      </c>
      <c r="AE164" s="1" t="s">
        <v>74</v>
      </c>
      <c r="AF164" s="1" t="s">
        <v>74</v>
      </c>
      <c r="AG164" s="1" t="s">
        <v>74</v>
      </c>
      <c r="AH164" s="1" t="s">
        <v>74</v>
      </c>
      <c r="AI164" s="1" t="s">
        <v>74</v>
      </c>
      <c r="AJ164" s="1" t="s">
        <v>74</v>
      </c>
      <c r="AK164" s="1" t="s">
        <v>74</v>
      </c>
      <c r="AL164" s="1" t="s">
        <v>74</v>
      </c>
      <c r="AM164" s="1" t="s">
        <v>74</v>
      </c>
      <c r="AN164" s="1" t="s">
        <v>74</v>
      </c>
      <c r="AO164" s="1" t="s">
        <v>74</v>
      </c>
      <c r="AP164" s="1" t="s">
        <v>1783</v>
      </c>
      <c r="AQ164" s="1" t="s">
        <v>74</v>
      </c>
      <c r="AR164" s="1" t="s">
        <v>74</v>
      </c>
      <c r="AS164" s="1" t="s">
        <v>74</v>
      </c>
      <c r="AT164" s="1" t="s">
        <v>652</v>
      </c>
      <c r="AU164" s="1">
        <v>2024.0</v>
      </c>
      <c r="AV164" s="1">
        <v>16.0</v>
      </c>
      <c r="AW164" s="1">
        <v>24.0</v>
      </c>
      <c r="AX164" s="1" t="s">
        <v>74</v>
      </c>
      <c r="AY164" s="1" t="s">
        <v>74</v>
      </c>
      <c r="AZ164" s="1" t="s">
        <v>74</v>
      </c>
      <c r="BA164" s="1" t="s">
        <v>74</v>
      </c>
      <c r="BB164" s="1" t="s">
        <v>74</v>
      </c>
      <c r="BC164" s="1" t="s">
        <v>74</v>
      </c>
      <c r="BD164" s="1">
        <v>3492.0</v>
      </c>
      <c r="BE164" s="1" t="s">
        <v>1784</v>
      </c>
      <c r="BF164" s="2" t="str">
        <f>HYPERLINK("http://dx.doi.org/10.3390/polym16243492","http://dx.doi.org/10.3390/polym16243492")</f>
        <v>http://dx.doi.org/10.3390/polym16243492</v>
      </c>
      <c r="BG164" s="1" t="s">
        <v>74</v>
      </c>
      <c r="BH164" s="1" t="s">
        <v>74</v>
      </c>
      <c r="BI164" s="1" t="s">
        <v>74</v>
      </c>
      <c r="BJ164" s="1" t="s">
        <v>74</v>
      </c>
      <c r="BK164" s="1" t="s">
        <v>74</v>
      </c>
      <c r="BL164" s="1" t="s">
        <v>74</v>
      </c>
      <c r="BM164" s="1" t="s">
        <v>74</v>
      </c>
      <c r="BN164" s="1">
        <v>3.9771344E7</v>
      </c>
      <c r="BO164" s="1" t="s">
        <v>74</v>
      </c>
      <c r="BP164" s="1" t="s">
        <v>74</v>
      </c>
      <c r="BQ164" s="1" t="s">
        <v>74</v>
      </c>
      <c r="BR164" s="1" t="s">
        <v>74</v>
      </c>
      <c r="BS164" s="1" t="s">
        <v>1785</v>
      </c>
      <c r="BT164" s="1" t="str">
        <f>HYPERLINK("https%3A%2F%2Fwww.webofscience.com%2Fwos%2Fwoscc%2Ffull-record%2FWOS:001383919500001","View Full Record in Web of Science")</f>
        <v>View Full Record in Web of Science</v>
      </c>
    </row>
    <row r="165" ht="12.75" customHeight="1">
      <c r="A165" s="1" t="s">
        <v>72</v>
      </c>
      <c r="B165" s="1" t="s">
        <v>1786</v>
      </c>
      <c r="C165" s="1" t="s">
        <v>74</v>
      </c>
      <c r="D165" s="1" t="s">
        <v>74</v>
      </c>
      <c r="E165" s="1" t="s">
        <v>74</v>
      </c>
      <c r="F165" s="1" t="s">
        <v>1787</v>
      </c>
      <c r="G165" s="1" t="s">
        <v>74</v>
      </c>
      <c r="H165" s="1" t="s">
        <v>74</v>
      </c>
      <c r="I165" s="1" t="s">
        <v>1788</v>
      </c>
      <c r="J165" s="1" t="s">
        <v>1789</v>
      </c>
      <c r="K165" s="1" t="s">
        <v>74</v>
      </c>
      <c r="L165" s="1" t="s">
        <v>74</v>
      </c>
      <c r="M165" s="1" t="s">
        <v>74</v>
      </c>
      <c r="N165" s="1" t="s">
        <v>74</v>
      </c>
      <c r="O165" s="1" t="s">
        <v>74</v>
      </c>
      <c r="P165" s="1" t="s">
        <v>74</v>
      </c>
      <c r="Q165" s="1" t="s">
        <v>74</v>
      </c>
      <c r="R165" s="1" t="s">
        <v>74</v>
      </c>
      <c r="S165" s="1" t="s">
        <v>74</v>
      </c>
      <c r="T165" s="1" t="s">
        <v>74</v>
      </c>
      <c r="U165" s="1" t="s">
        <v>74</v>
      </c>
      <c r="V165" s="1" t="s">
        <v>1790</v>
      </c>
      <c r="W165" s="1" t="s">
        <v>74</v>
      </c>
      <c r="X165" s="1" t="s">
        <v>74</v>
      </c>
      <c r="Y165" s="1" t="s">
        <v>74</v>
      </c>
      <c r="Z165" s="1" t="s">
        <v>74</v>
      </c>
      <c r="AA165" s="1" t="s">
        <v>1791</v>
      </c>
      <c r="AB165" s="1" t="s">
        <v>1792</v>
      </c>
      <c r="AC165" s="1" t="s">
        <v>74</v>
      </c>
      <c r="AD165" s="1" t="s">
        <v>74</v>
      </c>
      <c r="AE165" s="1" t="s">
        <v>74</v>
      </c>
      <c r="AF165" s="1" t="s">
        <v>74</v>
      </c>
      <c r="AG165" s="1" t="s">
        <v>74</v>
      </c>
      <c r="AH165" s="1" t="s">
        <v>74</v>
      </c>
      <c r="AI165" s="1" t="s">
        <v>74</v>
      </c>
      <c r="AJ165" s="1" t="s">
        <v>74</v>
      </c>
      <c r="AK165" s="1" t="s">
        <v>74</v>
      </c>
      <c r="AL165" s="1" t="s">
        <v>74</v>
      </c>
      <c r="AM165" s="1" t="s">
        <v>74</v>
      </c>
      <c r="AN165" s="1" t="s">
        <v>74</v>
      </c>
      <c r="AO165" s="1" t="s">
        <v>1793</v>
      </c>
      <c r="AP165" s="1" t="s">
        <v>1794</v>
      </c>
      <c r="AQ165" s="1" t="s">
        <v>74</v>
      </c>
      <c r="AR165" s="1" t="s">
        <v>74</v>
      </c>
      <c r="AS165" s="1" t="s">
        <v>74</v>
      </c>
      <c r="AT165" s="1" t="s">
        <v>739</v>
      </c>
      <c r="AU165" s="1">
        <v>2024.0</v>
      </c>
      <c r="AV165" s="1">
        <v>47.0</v>
      </c>
      <c r="AW165" s="1">
        <v>7.0</v>
      </c>
      <c r="AX165" s="1" t="s">
        <v>74</v>
      </c>
      <c r="AY165" s="1" t="s">
        <v>74</v>
      </c>
      <c r="AZ165" s="1" t="s">
        <v>74</v>
      </c>
      <c r="BA165" s="1" t="s">
        <v>74</v>
      </c>
      <c r="BB165" s="1">
        <v>5484.0</v>
      </c>
      <c r="BC165" s="1">
        <v>5508.0</v>
      </c>
      <c r="BD165" s="1" t="s">
        <v>74</v>
      </c>
      <c r="BE165" s="1" t="s">
        <v>1795</v>
      </c>
      <c r="BF165" s="2" t="str">
        <f>HYPERLINK("http://dx.doi.org/10.1002/mma.9875","http://dx.doi.org/10.1002/mma.9875")</f>
        <v>http://dx.doi.org/10.1002/mma.9875</v>
      </c>
      <c r="BG165" s="1" t="s">
        <v>74</v>
      </c>
      <c r="BH165" s="1" t="s">
        <v>1278</v>
      </c>
      <c r="BI165" s="1" t="s">
        <v>74</v>
      </c>
      <c r="BJ165" s="1" t="s">
        <v>74</v>
      </c>
      <c r="BK165" s="1" t="s">
        <v>74</v>
      </c>
      <c r="BL165" s="1" t="s">
        <v>74</v>
      </c>
      <c r="BM165" s="1" t="s">
        <v>74</v>
      </c>
      <c r="BN165" s="1" t="s">
        <v>74</v>
      </c>
      <c r="BO165" s="1" t="s">
        <v>74</v>
      </c>
      <c r="BP165" s="1" t="s">
        <v>74</v>
      </c>
      <c r="BQ165" s="1" t="s">
        <v>74</v>
      </c>
      <c r="BR165" s="1" t="s">
        <v>74</v>
      </c>
      <c r="BS165" s="1" t="s">
        <v>1796</v>
      </c>
      <c r="BT165" s="1" t="str">
        <f>HYPERLINK("https%3A%2F%2Fwww.webofscience.com%2Fwos%2Fwoscc%2Ffull-record%2FWOS:001139910400001","View Full Record in Web of Science")</f>
        <v>View Full Record in Web of Science</v>
      </c>
    </row>
    <row r="166" ht="12.75" customHeight="1">
      <c r="A166" s="1" t="s">
        <v>72</v>
      </c>
      <c r="B166" s="1" t="s">
        <v>1797</v>
      </c>
      <c r="C166" s="1" t="s">
        <v>74</v>
      </c>
      <c r="D166" s="1" t="s">
        <v>74</v>
      </c>
      <c r="E166" s="1" t="s">
        <v>74</v>
      </c>
      <c r="F166" s="1" t="s">
        <v>1798</v>
      </c>
      <c r="G166" s="1" t="s">
        <v>74</v>
      </c>
      <c r="H166" s="1" t="s">
        <v>74</v>
      </c>
      <c r="I166" s="1" t="s">
        <v>1799</v>
      </c>
      <c r="J166" s="1" t="s">
        <v>1800</v>
      </c>
      <c r="K166" s="1" t="s">
        <v>74</v>
      </c>
      <c r="L166" s="1" t="s">
        <v>74</v>
      </c>
      <c r="M166" s="1" t="s">
        <v>74</v>
      </c>
      <c r="N166" s="1" t="s">
        <v>74</v>
      </c>
      <c r="O166" s="1" t="s">
        <v>74</v>
      </c>
      <c r="P166" s="1" t="s">
        <v>74</v>
      </c>
      <c r="Q166" s="1" t="s">
        <v>74</v>
      </c>
      <c r="R166" s="1" t="s">
        <v>74</v>
      </c>
      <c r="S166" s="1" t="s">
        <v>74</v>
      </c>
      <c r="T166" s="1" t="s">
        <v>74</v>
      </c>
      <c r="U166" s="1" t="s">
        <v>74</v>
      </c>
      <c r="V166" s="1" t="s">
        <v>1801</v>
      </c>
      <c r="W166" s="1" t="s">
        <v>74</v>
      </c>
      <c r="X166" s="1" t="s">
        <v>74</v>
      </c>
      <c r="Y166" s="1" t="s">
        <v>74</v>
      </c>
      <c r="Z166" s="1" t="s">
        <v>74</v>
      </c>
      <c r="AA166" s="1" t="s">
        <v>1802</v>
      </c>
      <c r="AB166" s="1" t="s">
        <v>1803</v>
      </c>
      <c r="AC166" s="1" t="s">
        <v>74</v>
      </c>
      <c r="AD166" s="1" t="s">
        <v>74</v>
      </c>
      <c r="AE166" s="1" t="s">
        <v>74</v>
      </c>
      <c r="AF166" s="1" t="s">
        <v>74</v>
      </c>
      <c r="AG166" s="1" t="s">
        <v>74</v>
      </c>
      <c r="AH166" s="1" t="s">
        <v>74</v>
      </c>
      <c r="AI166" s="1" t="s">
        <v>74</v>
      </c>
      <c r="AJ166" s="1" t="s">
        <v>74</v>
      </c>
      <c r="AK166" s="1" t="s">
        <v>74</v>
      </c>
      <c r="AL166" s="1" t="s">
        <v>74</v>
      </c>
      <c r="AM166" s="1" t="s">
        <v>74</v>
      </c>
      <c r="AN166" s="1" t="s">
        <v>74</v>
      </c>
      <c r="AO166" s="1" t="s">
        <v>1804</v>
      </c>
      <c r="AP166" s="1" t="s">
        <v>74</v>
      </c>
      <c r="AQ166" s="1" t="s">
        <v>74</v>
      </c>
      <c r="AR166" s="1" t="s">
        <v>74</v>
      </c>
      <c r="AS166" s="1" t="s">
        <v>74</v>
      </c>
      <c r="AT166" s="1" t="s">
        <v>652</v>
      </c>
      <c r="AU166" s="1">
        <v>2023.0</v>
      </c>
      <c r="AV166" s="1">
        <v>42.0</v>
      </c>
      <c r="AW166" s="1" t="s">
        <v>74</v>
      </c>
      <c r="AX166" s="1" t="s">
        <v>74</v>
      </c>
      <c r="AY166" s="1" t="s">
        <v>74</v>
      </c>
      <c r="AZ166" s="1" t="s">
        <v>74</v>
      </c>
      <c r="BA166" s="1" t="s">
        <v>74</v>
      </c>
      <c r="BB166" s="1" t="s">
        <v>74</v>
      </c>
      <c r="BC166" s="1" t="s">
        <v>74</v>
      </c>
      <c r="BD166" s="1">
        <v>101387.0</v>
      </c>
      <c r="BE166" s="1" t="s">
        <v>1805</v>
      </c>
      <c r="BF166" s="2" t="str">
        <f>HYPERLINK("http://dx.doi.org/10.1016/j.coelec.2023.101387","http://dx.doi.org/10.1016/j.coelec.2023.101387")</f>
        <v>http://dx.doi.org/10.1016/j.coelec.2023.101387</v>
      </c>
      <c r="BG166" s="1" t="s">
        <v>74</v>
      </c>
      <c r="BH166" s="1" t="s">
        <v>1806</v>
      </c>
      <c r="BI166" s="1" t="s">
        <v>74</v>
      </c>
      <c r="BJ166" s="1" t="s">
        <v>74</v>
      </c>
      <c r="BK166" s="1" t="s">
        <v>74</v>
      </c>
      <c r="BL166" s="1" t="s">
        <v>74</v>
      </c>
      <c r="BM166" s="1" t="s">
        <v>74</v>
      </c>
      <c r="BN166" s="1" t="s">
        <v>74</v>
      </c>
      <c r="BO166" s="1" t="s">
        <v>74</v>
      </c>
      <c r="BP166" s="1" t="s">
        <v>74</v>
      </c>
      <c r="BQ166" s="1" t="s">
        <v>74</v>
      </c>
      <c r="BR166" s="1" t="s">
        <v>74</v>
      </c>
      <c r="BS166" s="1" t="s">
        <v>1807</v>
      </c>
      <c r="BT166" s="1" t="str">
        <f>HYPERLINK("https%3A%2F%2Fwww.webofscience.com%2Fwos%2Fwoscc%2Ffull-record%2FWOS:001088439900001","View Full Record in Web of Science")</f>
        <v>View Full Record in Web of Science</v>
      </c>
    </row>
    <row r="167" ht="12.75" customHeight="1">
      <c r="A167" s="1" t="s">
        <v>72</v>
      </c>
      <c r="B167" s="1" t="s">
        <v>1808</v>
      </c>
      <c r="C167" s="1" t="s">
        <v>74</v>
      </c>
      <c r="D167" s="1" t="s">
        <v>74</v>
      </c>
      <c r="E167" s="1" t="s">
        <v>74</v>
      </c>
      <c r="F167" s="1" t="s">
        <v>1809</v>
      </c>
      <c r="G167" s="1" t="s">
        <v>74</v>
      </c>
      <c r="H167" s="1" t="s">
        <v>74</v>
      </c>
      <c r="I167" s="1" t="s">
        <v>1810</v>
      </c>
      <c r="J167" s="1" t="s">
        <v>1811</v>
      </c>
      <c r="K167" s="1" t="s">
        <v>74</v>
      </c>
      <c r="L167" s="1" t="s">
        <v>74</v>
      </c>
      <c r="M167" s="1" t="s">
        <v>74</v>
      </c>
      <c r="N167" s="1" t="s">
        <v>74</v>
      </c>
      <c r="O167" s="1" t="s">
        <v>74</v>
      </c>
      <c r="P167" s="1" t="s">
        <v>74</v>
      </c>
      <c r="Q167" s="1" t="s">
        <v>74</v>
      </c>
      <c r="R167" s="1" t="s">
        <v>74</v>
      </c>
      <c r="S167" s="1" t="s">
        <v>74</v>
      </c>
      <c r="T167" s="1" t="s">
        <v>74</v>
      </c>
      <c r="U167" s="1" t="s">
        <v>74</v>
      </c>
      <c r="V167" s="1" t="s">
        <v>1812</v>
      </c>
      <c r="W167" s="1" t="s">
        <v>74</v>
      </c>
      <c r="X167" s="1" t="s">
        <v>74</v>
      </c>
      <c r="Y167" s="1" t="s">
        <v>74</v>
      </c>
      <c r="Z167" s="1" t="s">
        <v>74</v>
      </c>
      <c r="AA167" s="1" t="s">
        <v>74</v>
      </c>
      <c r="AB167" s="1" t="s">
        <v>74</v>
      </c>
      <c r="AC167" s="1" t="s">
        <v>74</v>
      </c>
      <c r="AD167" s="1" t="s">
        <v>74</v>
      </c>
      <c r="AE167" s="1" t="s">
        <v>74</v>
      </c>
      <c r="AF167" s="1" t="s">
        <v>74</v>
      </c>
      <c r="AG167" s="1" t="s">
        <v>74</v>
      </c>
      <c r="AH167" s="1" t="s">
        <v>74</v>
      </c>
      <c r="AI167" s="1" t="s">
        <v>74</v>
      </c>
      <c r="AJ167" s="1" t="s">
        <v>74</v>
      </c>
      <c r="AK167" s="1" t="s">
        <v>74</v>
      </c>
      <c r="AL167" s="1" t="s">
        <v>74</v>
      </c>
      <c r="AM167" s="1" t="s">
        <v>74</v>
      </c>
      <c r="AN167" s="1" t="s">
        <v>74</v>
      </c>
      <c r="AO167" s="1" t="s">
        <v>1813</v>
      </c>
      <c r="AP167" s="1" t="s">
        <v>74</v>
      </c>
      <c r="AQ167" s="1" t="s">
        <v>74</v>
      </c>
      <c r="AR167" s="1" t="s">
        <v>74</v>
      </c>
      <c r="AS167" s="1" t="s">
        <v>74</v>
      </c>
      <c r="AT167" s="1" t="s">
        <v>696</v>
      </c>
      <c r="AU167" s="1">
        <v>2023.0</v>
      </c>
      <c r="AV167" s="1">
        <v>62.0</v>
      </c>
      <c r="AW167" s="1">
        <v>1.0</v>
      </c>
      <c r="AX167" s="1" t="s">
        <v>74</v>
      </c>
      <c r="AY167" s="1" t="s">
        <v>74</v>
      </c>
      <c r="AZ167" s="1" t="s">
        <v>74</v>
      </c>
      <c r="BA167" s="1" t="s">
        <v>74</v>
      </c>
      <c r="BB167" s="1">
        <v>33.0</v>
      </c>
      <c r="BC167" s="1">
        <v>60.0</v>
      </c>
      <c r="BD167" s="1" t="s">
        <v>74</v>
      </c>
      <c r="BE167" s="1" t="s">
        <v>1814</v>
      </c>
      <c r="BF167" s="2" t="str">
        <f>HYPERLINK("http://dx.doi.org/10.4151/07189729-Vol.62-Iss.1-Art.1414","http://dx.doi.org/10.4151/07189729-Vol.62-Iss.1-Art.1414")</f>
        <v>http://dx.doi.org/10.4151/07189729-Vol.62-Iss.1-Art.1414</v>
      </c>
      <c r="BG167" s="1" t="s">
        <v>74</v>
      </c>
      <c r="BH167" s="1" t="s">
        <v>74</v>
      </c>
      <c r="BI167" s="1" t="s">
        <v>74</v>
      </c>
      <c r="BJ167" s="1" t="s">
        <v>74</v>
      </c>
      <c r="BK167" s="1" t="s">
        <v>74</v>
      </c>
      <c r="BL167" s="1" t="s">
        <v>74</v>
      </c>
      <c r="BM167" s="1" t="s">
        <v>74</v>
      </c>
      <c r="BN167" s="1" t="s">
        <v>74</v>
      </c>
      <c r="BO167" s="1" t="s">
        <v>74</v>
      </c>
      <c r="BP167" s="1" t="s">
        <v>74</v>
      </c>
      <c r="BQ167" s="1" t="s">
        <v>74</v>
      </c>
      <c r="BR167" s="1" t="s">
        <v>74</v>
      </c>
      <c r="BS167" s="1" t="s">
        <v>1815</v>
      </c>
      <c r="BT167" s="1" t="str">
        <f>HYPERLINK("https%3A%2F%2Fwww.webofscience.com%2Fwos%2Fwoscc%2Ffull-record%2FWOS:001019127100003","View Full Record in Web of Science")</f>
        <v>View Full Record in Web of Science</v>
      </c>
    </row>
    <row r="168" ht="12.75" customHeight="1">
      <c r="A168" s="1" t="s">
        <v>72</v>
      </c>
      <c r="B168" s="1" t="s">
        <v>1816</v>
      </c>
      <c r="C168" s="1" t="s">
        <v>74</v>
      </c>
      <c r="D168" s="1" t="s">
        <v>74</v>
      </c>
      <c r="E168" s="1" t="s">
        <v>74</v>
      </c>
      <c r="F168" s="1" t="s">
        <v>1817</v>
      </c>
      <c r="G168" s="1" t="s">
        <v>74</v>
      </c>
      <c r="H168" s="1" t="s">
        <v>74</v>
      </c>
      <c r="I168" s="1" t="s">
        <v>1818</v>
      </c>
      <c r="J168" s="1" t="s">
        <v>1819</v>
      </c>
      <c r="K168" s="1" t="s">
        <v>74</v>
      </c>
      <c r="L168" s="1" t="s">
        <v>74</v>
      </c>
      <c r="M168" s="1" t="s">
        <v>74</v>
      </c>
      <c r="N168" s="1" t="s">
        <v>74</v>
      </c>
      <c r="O168" s="1" t="s">
        <v>74</v>
      </c>
      <c r="P168" s="1" t="s">
        <v>74</v>
      </c>
      <c r="Q168" s="1" t="s">
        <v>74</v>
      </c>
      <c r="R168" s="1" t="s">
        <v>74</v>
      </c>
      <c r="S168" s="1" t="s">
        <v>74</v>
      </c>
      <c r="T168" s="1" t="s">
        <v>74</v>
      </c>
      <c r="U168" s="1" t="s">
        <v>74</v>
      </c>
      <c r="V168" s="1" t="s">
        <v>1820</v>
      </c>
      <c r="W168" s="1" t="s">
        <v>74</v>
      </c>
      <c r="X168" s="1" t="s">
        <v>74</v>
      </c>
      <c r="Y168" s="1" t="s">
        <v>74</v>
      </c>
      <c r="Z168" s="1" t="s">
        <v>74</v>
      </c>
      <c r="AA168" s="1" t="s">
        <v>1821</v>
      </c>
      <c r="AB168" s="1" t="s">
        <v>1822</v>
      </c>
      <c r="AC168" s="1" t="s">
        <v>74</v>
      </c>
      <c r="AD168" s="1" t="s">
        <v>74</v>
      </c>
      <c r="AE168" s="1" t="s">
        <v>74</v>
      </c>
      <c r="AF168" s="1" t="s">
        <v>74</v>
      </c>
      <c r="AG168" s="1" t="s">
        <v>74</v>
      </c>
      <c r="AH168" s="1" t="s">
        <v>74</v>
      </c>
      <c r="AI168" s="1" t="s">
        <v>74</v>
      </c>
      <c r="AJ168" s="1" t="s">
        <v>74</v>
      </c>
      <c r="AK168" s="1" t="s">
        <v>74</v>
      </c>
      <c r="AL168" s="1" t="s">
        <v>74</v>
      </c>
      <c r="AM168" s="1" t="s">
        <v>74</v>
      </c>
      <c r="AN168" s="1" t="s">
        <v>74</v>
      </c>
      <c r="AO168" s="1" t="s">
        <v>74</v>
      </c>
      <c r="AP168" s="1" t="s">
        <v>1823</v>
      </c>
      <c r="AQ168" s="1" t="s">
        <v>74</v>
      </c>
      <c r="AR168" s="1" t="s">
        <v>74</v>
      </c>
      <c r="AS168" s="1" t="s">
        <v>74</v>
      </c>
      <c r="AT168" s="1" t="s">
        <v>678</v>
      </c>
      <c r="AU168" s="1">
        <v>2022.0</v>
      </c>
      <c r="AV168" s="1">
        <v>12.0</v>
      </c>
      <c r="AW168" s="1">
        <v>11.0</v>
      </c>
      <c r="AX168" s="1" t="s">
        <v>74</v>
      </c>
      <c r="AY168" s="1" t="s">
        <v>74</v>
      </c>
      <c r="AZ168" s="1" t="s">
        <v>74</v>
      </c>
      <c r="BA168" s="1" t="s">
        <v>74</v>
      </c>
      <c r="BB168" s="1" t="s">
        <v>74</v>
      </c>
      <c r="BC168" s="1" t="s">
        <v>74</v>
      </c>
      <c r="BD168" s="1">
        <v>991.0</v>
      </c>
      <c r="BE168" s="1" t="s">
        <v>1824</v>
      </c>
      <c r="BF168" s="2" t="str">
        <f>HYPERLINK("http://dx.doi.org/10.3390/bios12110991","http://dx.doi.org/10.3390/bios12110991")</f>
        <v>http://dx.doi.org/10.3390/bios12110991</v>
      </c>
      <c r="BG168" s="1" t="s">
        <v>74</v>
      </c>
      <c r="BH168" s="1" t="s">
        <v>74</v>
      </c>
      <c r="BI168" s="1" t="s">
        <v>74</v>
      </c>
      <c r="BJ168" s="1" t="s">
        <v>74</v>
      </c>
      <c r="BK168" s="1" t="s">
        <v>74</v>
      </c>
      <c r="BL168" s="1" t="s">
        <v>74</v>
      </c>
      <c r="BM168" s="1" t="s">
        <v>74</v>
      </c>
      <c r="BN168" s="1">
        <v>3.63545E7</v>
      </c>
      <c r="BO168" s="1" t="s">
        <v>74</v>
      </c>
      <c r="BP168" s="1" t="s">
        <v>74</v>
      </c>
      <c r="BQ168" s="1" t="s">
        <v>74</v>
      </c>
      <c r="BR168" s="1" t="s">
        <v>74</v>
      </c>
      <c r="BS168" s="1" t="s">
        <v>1825</v>
      </c>
      <c r="BT168" s="1" t="str">
        <f>HYPERLINK("https%3A%2F%2Fwww.webofscience.com%2Fwos%2Fwoscc%2Ffull-record%2FWOS:000895261800001","View Full Record in Web of Science")</f>
        <v>View Full Record in Web of Science</v>
      </c>
    </row>
    <row r="169" ht="12.75" customHeight="1">
      <c r="A169" s="1" t="s">
        <v>72</v>
      </c>
      <c r="B169" s="1" t="s">
        <v>1826</v>
      </c>
      <c r="C169" s="1" t="s">
        <v>74</v>
      </c>
      <c r="D169" s="1" t="s">
        <v>74</v>
      </c>
      <c r="E169" s="1" t="s">
        <v>74</v>
      </c>
      <c r="F169" s="1" t="s">
        <v>1827</v>
      </c>
      <c r="G169" s="1" t="s">
        <v>74</v>
      </c>
      <c r="H169" s="1" t="s">
        <v>74</v>
      </c>
      <c r="I169" s="1" t="s">
        <v>1828</v>
      </c>
      <c r="J169" s="1" t="s">
        <v>1829</v>
      </c>
      <c r="K169" s="1" t="s">
        <v>74</v>
      </c>
      <c r="L169" s="1" t="s">
        <v>74</v>
      </c>
      <c r="M169" s="1" t="s">
        <v>74</v>
      </c>
      <c r="N169" s="1" t="s">
        <v>74</v>
      </c>
      <c r="O169" s="1" t="s">
        <v>74</v>
      </c>
      <c r="P169" s="1" t="s">
        <v>74</v>
      </c>
      <c r="Q169" s="1" t="s">
        <v>74</v>
      </c>
      <c r="R169" s="1" t="s">
        <v>74</v>
      </c>
      <c r="S169" s="1" t="s">
        <v>74</v>
      </c>
      <c r="T169" s="1" t="s">
        <v>74</v>
      </c>
      <c r="U169" s="1" t="s">
        <v>74</v>
      </c>
      <c r="V169" s="1" t="s">
        <v>1830</v>
      </c>
      <c r="W169" s="1" t="s">
        <v>74</v>
      </c>
      <c r="X169" s="1" t="s">
        <v>74</v>
      </c>
      <c r="Y169" s="1" t="s">
        <v>74</v>
      </c>
      <c r="Z169" s="1" t="s">
        <v>74</v>
      </c>
      <c r="AA169" s="1" t="s">
        <v>74</v>
      </c>
      <c r="AB169" s="1" t="s">
        <v>74</v>
      </c>
      <c r="AC169" s="1" t="s">
        <v>74</v>
      </c>
      <c r="AD169" s="1" t="s">
        <v>74</v>
      </c>
      <c r="AE169" s="1" t="s">
        <v>74</v>
      </c>
      <c r="AF169" s="1" t="s">
        <v>74</v>
      </c>
      <c r="AG169" s="1" t="s">
        <v>74</v>
      </c>
      <c r="AH169" s="1" t="s">
        <v>74</v>
      </c>
      <c r="AI169" s="1" t="s">
        <v>74</v>
      </c>
      <c r="AJ169" s="1" t="s">
        <v>74</v>
      </c>
      <c r="AK169" s="1" t="s">
        <v>74</v>
      </c>
      <c r="AL169" s="1" t="s">
        <v>74</v>
      </c>
      <c r="AM169" s="1" t="s">
        <v>74</v>
      </c>
      <c r="AN169" s="1" t="s">
        <v>74</v>
      </c>
      <c r="AO169" s="1" t="s">
        <v>1831</v>
      </c>
      <c r="AP169" s="1" t="s">
        <v>1832</v>
      </c>
      <c r="AQ169" s="1" t="s">
        <v>74</v>
      </c>
      <c r="AR169" s="1" t="s">
        <v>74</v>
      </c>
      <c r="AS169" s="1" t="s">
        <v>74</v>
      </c>
      <c r="AT169" s="1" t="s">
        <v>1833</v>
      </c>
      <c r="AU169" s="1">
        <v>2022.0</v>
      </c>
      <c r="AV169" s="1">
        <v>29.0</v>
      </c>
      <c r="AW169" s="1">
        <v>4.0</v>
      </c>
      <c r="AX169" s="1" t="s">
        <v>74</v>
      </c>
      <c r="AY169" s="1" t="s">
        <v>74</v>
      </c>
      <c r="AZ169" s="1" t="s">
        <v>74</v>
      </c>
      <c r="BA169" s="1" t="s">
        <v>74</v>
      </c>
      <c r="BB169" s="1">
        <v>953.0</v>
      </c>
      <c r="BC169" s="1">
        <v>972.0</v>
      </c>
      <c r="BD169" s="1" t="s">
        <v>74</v>
      </c>
      <c r="BE169" s="1" t="s">
        <v>1834</v>
      </c>
      <c r="BF169" s="2" t="str">
        <f>HYPERLINK("http://dx.doi.org/10.1590/S0104-59702022000400005","http://dx.doi.org/10.1590/S0104-59702022000400005")</f>
        <v>http://dx.doi.org/10.1590/S0104-59702022000400005</v>
      </c>
      <c r="BG169" s="1" t="s">
        <v>74</v>
      </c>
      <c r="BH169" s="1" t="s">
        <v>74</v>
      </c>
      <c r="BI169" s="1" t="s">
        <v>74</v>
      </c>
      <c r="BJ169" s="1" t="s">
        <v>74</v>
      </c>
      <c r="BK169" s="1" t="s">
        <v>74</v>
      </c>
      <c r="BL169" s="1" t="s">
        <v>74</v>
      </c>
      <c r="BM169" s="1" t="s">
        <v>74</v>
      </c>
      <c r="BN169" s="1">
        <v>3.6542032E7</v>
      </c>
      <c r="BO169" s="1" t="s">
        <v>74</v>
      </c>
      <c r="BP169" s="1" t="s">
        <v>74</v>
      </c>
      <c r="BQ169" s="1" t="s">
        <v>74</v>
      </c>
      <c r="BR169" s="1" t="s">
        <v>74</v>
      </c>
      <c r="BS169" s="1" t="s">
        <v>1835</v>
      </c>
      <c r="BT169" s="1" t="str">
        <f>HYPERLINK("https%3A%2F%2Fwww.webofscience.com%2Fwos%2Fwoscc%2Ffull-record%2FWOS:000904518700001","View Full Record in Web of Science")</f>
        <v>View Full Record in Web of Science</v>
      </c>
    </row>
    <row r="170" ht="12.75" customHeight="1">
      <c r="A170" s="1" t="s">
        <v>72</v>
      </c>
      <c r="B170" s="1" t="s">
        <v>1836</v>
      </c>
      <c r="C170" s="1" t="s">
        <v>74</v>
      </c>
      <c r="D170" s="1" t="s">
        <v>74</v>
      </c>
      <c r="E170" s="1" t="s">
        <v>74</v>
      </c>
      <c r="F170" s="1" t="s">
        <v>1837</v>
      </c>
      <c r="G170" s="1" t="s">
        <v>74</v>
      </c>
      <c r="H170" s="1" t="s">
        <v>74</v>
      </c>
      <c r="I170" s="1" t="s">
        <v>1838</v>
      </c>
      <c r="J170" s="1" t="s">
        <v>1839</v>
      </c>
      <c r="K170" s="1" t="s">
        <v>74</v>
      </c>
      <c r="L170" s="1" t="s">
        <v>74</v>
      </c>
      <c r="M170" s="1" t="s">
        <v>74</v>
      </c>
      <c r="N170" s="1" t="s">
        <v>74</v>
      </c>
      <c r="O170" s="1" t="s">
        <v>74</v>
      </c>
      <c r="P170" s="1" t="s">
        <v>74</v>
      </c>
      <c r="Q170" s="1" t="s">
        <v>74</v>
      </c>
      <c r="R170" s="1" t="s">
        <v>74</v>
      </c>
      <c r="S170" s="1" t="s">
        <v>74</v>
      </c>
      <c r="T170" s="1" t="s">
        <v>74</v>
      </c>
      <c r="U170" s="1" t="s">
        <v>74</v>
      </c>
      <c r="V170" s="1" t="s">
        <v>1840</v>
      </c>
      <c r="W170" s="1" t="s">
        <v>74</v>
      </c>
      <c r="X170" s="1" t="s">
        <v>74</v>
      </c>
      <c r="Y170" s="1" t="s">
        <v>74</v>
      </c>
      <c r="Z170" s="1" t="s">
        <v>74</v>
      </c>
      <c r="AA170" s="1" t="s">
        <v>1841</v>
      </c>
      <c r="AB170" s="1" t="s">
        <v>1842</v>
      </c>
      <c r="AC170" s="1" t="s">
        <v>74</v>
      </c>
      <c r="AD170" s="1" t="s">
        <v>74</v>
      </c>
      <c r="AE170" s="1" t="s">
        <v>74</v>
      </c>
      <c r="AF170" s="1" t="s">
        <v>74</v>
      </c>
      <c r="AG170" s="1" t="s">
        <v>74</v>
      </c>
      <c r="AH170" s="1" t="s">
        <v>74</v>
      </c>
      <c r="AI170" s="1" t="s">
        <v>74</v>
      </c>
      <c r="AJ170" s="1" t="s">
        <v>74</v>
      </c>
      <c r="AK170" s="1" t="s">
        <v>74</v>
      </c>
      <c r="AL170" s="1" t="s">
        <v>74</v>
      </c>
      <c r="AM170" s="1" t="s">
        <v>74</v>
      </c>
      <c r="AN170" s="1" t="s">
        <v>74</v>
      </c>
      <c r="AO170" s="1" t="s">
        <v>1843</v>
      </c>
      <c r="AP170" s="1" t="s">
        <v>1844</v>
      </c>
      <c r="AQ170" s="1" t="s">
        <v>74</v>
      </c>
      <c r="AR170" s="1" t="s">
        <v>74</v>
      </c>
      <c r="AS170" s="1" t="s">
        <v>74</v>
      </c>
      <c r="AT170" s="1" t="s">
        <v>696</v>
      </c>
      <c r="AU170" s="1">
        <v>2022.0</v>
      </c>
      <c r="AV170" s="1">
        <v>54.0</v>
      </c>
      <c r="AW170" s="1">
        <v>1.0</v>
      </c>
      <c r="AX170" s="1" t="s">
        <v>74</v>
      </c>
      <c r="AY170" s="1" t="s">
        <v>74</v>
      </c>
      <c r="AZ170" s="1" t="s">
        <v>74</v>
      </c>
      <c r="BA170" s="1" t="s">
        <v>74</v>
      </c>
      <c r="BB170" s="1" t="s">
        <v>74</v>
      </c>
      <c r="BC170" s="1" t="s">
        <v>74</v>
      </c>
      <c r="BD170" s="1">
        <v>10.0</v>
      </c>
      <c r="BE170" s="1" t="s">
        <v>1845</v>
      </c>
      <c r="BF170" s="2" t="str">
        <f>HYPERLINK("http://dx.doi.org/10.1007/s10714-021-02895-z","http://dx.doi.org/10.1007/s10714-021-02895-z")</f>
        <v>http://dx.doi.org/10.1007/s10714-021-02895-z</v>
      </c>
      <c r="BG170" s="1" t="s">
        <v>74</v>
      </c>
      <c r="BH170" s="1" t="s">
        <v>74</v>
      </c>
      <c r="BI170" s="1" t="s">
        <v>74</v>
      </c>
      <c r="BJ170" s="1" t="s">
        <v>74</v>
      </c>
      <c r="BK170" s="1" t="s">
        <v>74</v>
      </c>
      <c r="BL170" s="1" t="s">
        <v>74</v>
      </c>
      <c r="BM170" s="1" t="s">
        <v>74</v>
      </c>
      <c r="BN170" s="1" t="s">
        <v>74</v>
      </c>
      <c r="BO170" s="1" t="s">
        <v>74</v>
      </c>
      <c r="BP170" s="1" t="s">
        <v>74</v>
      </c>
      <c r="BQ170" s="1" t="s">
        <v>74</v>
      </c>
      <c r="BR170" s="1" t="s">
        <v>74</v>
      </c>
      <c r="BS170" s="1" t="s">
        <v>1846</v>
      </c>
      <c r="BT170" s="1" t="str">
        <f>HYPERLINK("https%3A%2F%2Fwww.webofscience.com%2Fwos%2Fwoscc%2Ffull-record%2FWOS:000745019800001","View Full Record in Web of Science")</f>
        <v>View Full Record in Web of Science</v>
      </c>
    </row>
    <row r="171" ht="12.75" customHeight="1">
      <c r="A171" s="1" t="s">
        <v>72</v>
      </c>
      <c r="B171" s="1" t="s">
        <v>1847</v>
      </c>
      <c r="C171" s="1" t="s">
        <v>74</v>
      </c>
      <c r="D171" s="1" t="s">
        <v>74</v>
      </c>
      <c r="E171" s="1" t="s">
        <v>74</v>
      </c>
      <c r="F171" s="1" t="s">
        <v>1848</v>
      </c>
      <c r="G171" s="1" t="s">
        <v>74</v>
      </c>
      <c r="H171" s="1" t="s">
        <v>74</v>
      </c>
      <c r="I171" s="1" t="s">
        <v>1849</v>
      </c>
      <c r="J171" s="1" t="s">
        <v>1850</v>
      </c>
      <c r="K171" s="1" t="s">
        <v>74</v>
      </c>
      <c r="L171" s="1" t="s">
        <v>74</v>
      </c>
      <c r="M171" s="1" t="s">
        <v>74</v>
      </c>
      <c r="N171" s="1" t="s">
        <v>74</v>
      </c>
      <c r="O171" s="1" t="s">
        <v>74</v>
      </c>
      <c r="P171" s="1" t="s">
        <v>74</v>
      </c>
      <c r="Q171" s="1" t="s">
        <v>74</v>
      </c>
      <c r="R171" s="1" t="s">
        <v>74</v>
      </c>
      <c r="S171" s="1" t="s">
        <v>74</v>
      </c>
      <c r="T171" s="1" t="s">
        <v>74</v>
      </c>
      <c r="U171" s="1" t="s">
        <v>74</v>
      </c>
      <c r="V171" s="1" t="s">
        <v>1851</v>
      </c>
      <c r="W171" s="1" t="s">
        <v>74</v>
      </c>
      <c r="X171" s="1" t="s">
        <v>74</v>
      </c>
      <c r="Y171" s="1" t="s">
        <v>74</v>
      </c>
      <c r="Z171" s="1" t="s">
        <v>74</v>
      </c>
      <c r="AA171" s="1" t="s">
        <v>1852</v>
      </c>
      <c r="AB171" s="1" t="s">
        <v>1853</v>
      </c>
      <c r="AC171" s="1" t="s">
        <v>74</v>
      </c>
      <c r="AD171" s="1" t="s">
        <v>74</v>
      </c>
      <c r="AE171" s="1" t="s">
        <v>74</v>
      </c>
      <c r="AF171" s="1" t="s">
        <v>74</v>
      </c>
      <c r="AG171" s="1" t="s">
        <v>74</v>
      </c>
      <c r="AH171" s="1" t="s">
        <v>74</v>
      </c>
      <c r="AI171" s="1" t="s">
        <v>74</v>
      </c>
      <c r="AJ171" s="1" t="s">
        <v>74</v>
      </c>
      <c r="AK171" s="1" t="s">
        <v>74</v>
      </c>
      <c r="AL171" s="1" t="s">
        <v>74</v>
      </c>
      <c r="AM171" s="1" t="s">
        <v>74</v>
      </c>
      <c r="AN171" s="1" t="s">
        <v>74</v>
      </c>
      <c r="AO171" s="1" t="s">
        <v>1854</v>
      </c>
      <c r="AP171" s="1" t="s">
        <v>1855</v>
      </c>
      <c r="AQ171" s="1" t="s">
        <v>74</v>
      </c>
      <c r="AR171" s="1" t="s">
        <v>74</v>
      </c>
      <c r="AS171" s="1" t="s">
        <v>74</v>
      </c>
      <c r="AT171" s="1" t="s">
        <v>270</v>
      </c>
      <c r="AU171" s="1">
        <v>2022.0</v>
      </c>
      <c r="AV171" s="1">
        <v>154.0</v>
      </c>
      <c r="AW171" s="1" t="s">
        <v>74</v>
      </c>
      <c r="AX171" s="1" t="s">
        <v>74</v>
      </c>
      <c r="AY171" s="1" t="s">
        <v>74</v>
      </c>
      <c r="AZ171" s="1" t="s">
        <v>74</v>
      </c>
      <c r="BA171" s="1" t="s">
        <v>74</v>
      </c>
      <c r="BB171" s="1" t="s">
        <v>74</v>
      </c>
      <c r="BC171" s="1" t="s">
        <v>74</v>
      </c>
      <c r="BD171" s="1">
        <v>112656.0</v>
      </c>
      <c r="BE171" s="1" t="s">
        <v>1856</v>
      </c>
      <c r="BF171" s="2" t="str">
        <f>HYPERLINK("http://dx.doi.org/10.1016/j.lwt.2021.112656","http://dx.doi.org/10.1016/j.lwt.2021.112656")</f>
        <v>http://dx.doi.org/10.1016/j.lwt.2021.112656</v>
      </c>
      <c r="BG171" s="1" t="s">
        <v>74</v>
      </c>
      <c r="BH171" s="1" t="s">
        <v>1857</v>
      </c>
      <c r="BI171" s="1" t="s">
        <v>74</v>
      </c>
      <c r="BJ171" s="1" t="s">
        <v>74</v>
      </c>
      <c r="BK171" s="1" t="s">
        <v>74</v>
      </c>
      <c r="BL171" s="1" t="s">
        <v>74</v>
      </c>
      <c r="BM171" s="1" t="s">
        <v>74</v>
      </c>
      <c r="BN171" s="1" t="s">
        <v>74</v>
      </c>
      <c r="BO171" s="1" t="s">
        <v>74</v>
      </c>
      <c r="BP171" s="1" t="s">
        <v>74</v>
      </c>
      <c r="BQ171" s="1" t="s">
        <v>74</v>
      </c>
      <c r="BR171" s="1" t="s">
        <v>74</v>
      </c>
      <c r="BS171" s="1" t="s">
        <v>1858</v>
      </c>
      <c r="BT171" s="1" t="str">
        <f>HYPERLINK("https%3A%2F%2Fwww.webofscience.com%2Fwos%2Fwoscc%2Ffull-record%2FWOS:000714774600003","View Full Record in Web of Science")</f>
        <v>View Full Record in Web of Science</v>
      </c>
    </row>
    <row r="172" ht="12.75" customHeight="1">
      <c r="A172" s="1" t="s">
        <v>72</v>
      </c>
      <c r="B172" s="1" t="s">
        <v>1859</v>
      </c>
      <c r="C172" s="1" t="s">
        <v>74</v>
      </c>
      <c r="D172" s="1" t="s">
        <v>74</v>
      </c>
      <c r="E172" s="1" t="s">
        <v>74</v>
      </c>
      <c r="F172" s="1" t="s">
        <v>1860</v>
      </c>
      <c r="G172" s="1" t="s">
        <v>74</v>
      </c>
      <c r="H172" s="1" t="s">
        <v>74</v>
      </c>
      <c r="I172" s="1" t="s">
        <v>1861</v>
      </c>
      <c r="J172" s="1" t="s">
        <v>1862</v>
      </c>
      <c r="K172" s="1" t="s">
        <v>74</v>
      </c>
      <c r="L172" s="1" t="s">
        <v>74</v>
      </c>
      <c r="M172" s="1" t="s">
        <v>74</v>
      </c>
      <c r="N172" s="1" t="s">
        <v>74</v>
      </c>
      <c r="O172" s="1" t="s">
        <v>74</v>
      </c>
      <c r="P172" s="1" t="s">
        <v>74</v>
      </c>
      <c r="Q172" s="1" t="s">
        <v>74</v>
      </c>
      <c r="R172" s="1" t="s">
        <v>74</v>
      </c>
      <c r="S172" s="1" t="s">
        <v>74</v>
      </c>
      <c r="T172" s="1" t="s">
        <v>74</v>
      </c>
      <c r="U172" s="1" t="s">
        <v>74</v>
      </c>
      <c r="V172" s="1" t="s">
        <v>1863</v>
      </c>
      <c r="W172" s="1" t="s">
        <v>74</v>
      </c>
      <c r="X172" s="1" t="s">
        <v>74</v>
      </c>
      <c r="Y172" s="1" t="s">
        <v>74</v>
      </c>
      <c r="Z172" s="1" t="s">
        <v>74</v>
      </c>
      <c r="AA172" s="1" t="s">
        <v>1864</v>
      </c>
      <c r="AB172" s="1" t="s">
        <v>1865</v>
      </c>
      <c r="AC172" s="1" t="s">
        <v>74</v>
      </c>
      <c r="AD172" s="1" t="s">
        <v>74</v>
      </c>
      <c r="AE172" s="1" t="s">
        <v>74</v>
      </c>
      <c r="AF172" s="1" t="s">
        <v>74</v>
      </c>
      <c r="AG172" s="1" t="s">
        <v>74</v>
      </c>
      <c r="AH172" s="1" t="s">
        <v>74</v>
      </c>
      <c r="AI172" s="1" t="s">
        <v>74</v>
      </c>
      <c r="AJ172" s="1" t="s">
        <v>74</v>
      </c>
      <c r="AK172" s="1" t="s">
        <v>74</v>
      </c>
      <c r="AL172" s="1" t="s">
        <v>74</v>
      </c>
      <c r="AM172" s="1" t="s">
        <v>74</v>
      </c>
      <c r="AN172" s="1" t="s">
        <v>74</v>
      </c>
      <c r="AO172" s="1" t="s">
        <v>1866</v>
      </c>
      <c r="AP172" s="1" t="s">
        <v>74</v>
      </c>
      <c r="AQ172" s="1" t="s">
        <v>74</v>
      </c>
      <c r="AR172" s="1" t="s">
        <v>74</v>
      </c>
      <c r="AS172" s="1" t="s">
        <v>74</v>
      </c>
      <c r="AT172" s="1" t="s">
        <v>339</v>
      </c>
      <c r="AU172" s="1">
        <v>2021.0</v>
      </c>
      <c r="AV172" s="1">
        <v>27.0</v>
      </c>
      <c r="AW172" s="1" t="s">
        <v>74</v>
      </c>
      <c r="AX172" s="1" t="s">
        <v>74</v>
      </c>
      <c r="AY172" s="1" t="s">
        <v>74</v>
      </c>
      <c r="AZ172" s="1" t="s">
        <v>74</v>
      </c>
      <c r="BA172" s="1" t="s">
        <v>74</v>
      </c>
      <c r="BB172" s="1" t="s">
        <v>74</v>
      </c>
      <c r="BC172" s="1" t="s">
        <v>74</v>
      </c>
      <c r="BD172" s="1">
        <v>100497.0</v>
      </c>
      <c r="BE172" s="1" t="s">
        <v>1867</v>
      </c>
      <c r="BF172" s="2" t="str">
        <f>HYPERLINK("http://dx.doi.org/10.1016/j.segan.2021.100497","http://dx.doi.org/10.1016/j.segan.2021.100497")</f>
        <v>http://dx.doi.org/10.1016/j.segan.2021.100497</v>
      </c>
      <c r="BG172" s="1" t="s">
        <v>74</v>
      </c>
      <c r="BH172" s="1" t="s">
        <v>1868</v>
      </c>
      <c r="BI172" s="1" t="s">
        <v>74</v>
      </c>
      <c r="BJ172" s="1" t="s">
        <v>74</v>
      </c>
      <c r="BK172" s="1" t="s">
        <v>74</v>
      </c>
      <c r="BL172" s="1" t="s">
        <v>74</v>
      </c>
      <c r="BM172" s="1" t="s">
        <v>74</v>
      </c>
      <c r="BN172" s="1" t="s">
        <v>74</v>
      </c>
      <c r="BO172" s="1" t="s">
        <v>74</v>
      </c>
      <c r="BP172" s="1" t="s">
        <v>74</v>
      </c>
      <c r="BQ172" s="1" t="s">
        <v>74</v>
      </c>
      <c r="BR172" s="1" t="s">
        <v>74</v>
      </c>
      <c r="BS172" s="1" t="s">
        <v>1869</v>
      </c>
      <c r="BT172" s="1" t="str">
        <f>HYPERLINK("https%3A%2F%2Fwww.webofscience.com%2Fwos%2Fwoscc%2Ffull-record%2FWOS:000692827300001","View Full Record in Web of Science")</f>
        <v>View Full Record in Web of Science</v>
      </c>
    </row>
    <row r="173" ht="12.75" customHeight="1">
      <c r="A173" s="1" t="s">
        <v>72</v>
      </c>
      <c r="B173" s="1" t="s">
        <v>1870</v>
      </c>
      <c r="C173" s="1" t="s">
        <v>74</v>
      </c>
      <c r="D173" s="1" t="s">
        <v>74</v>
      </c>
      <c r="E173" s="1" t="s">
        <v>74</v>
      </c>
      <c r="F173" s="1" t="s">
        <v>1871</v>
      </c>
      <c r="G173" s="1" t="s">
        <v>74</v>
      </c>
      <c r="H173" s="1" t="s">
        <v>74</v>
      </c>
      <c r="I173" s="1" t="s">
        <v>1872</v>
      </c>
      <c r="J173" s="1" t="s">
        <v>1873</v>
      </c>
      <c r="K173" s="1" t="s">
        <v>74</v>
      </c>
      <c r="L173" s="1" t="s">
        <v>74</v>
      </c>
      <c r="M173" s="1" t="s">
        <v>74</v>
      </c>
      <c r="N173" s="1" t="s">
        <v>74</v>
      </c>
      <c r="O173" s="1" t="s">
        <v>74</v>
      </c>
      <c r="P173" s="1" t="s">
        <v>74</v>
      </c>
      <c r="Q173" s="1" t="s">
        <v>74</v>
      </c>
      <c r="R173" s="1" t="s">
        <v>74</v>
      </c>
      <c r="S173" s="1" t="s">
        <v>74</v>
      </c>
      <c r="T173" s="1" t="s">
        <v>74</v>
      </c>
      <c r="U173" s="1" t="s">
        <v>74</v>
      </c>
      <c r="V173" s="1" t="s">
        <v>1874</v>
      </c>
      <c r="W173" s="1" t="s">
        <v>74</v>
      </c>
      <c r="X173" s="1" t="s">
        <v>74</v>
      </c>
      <c r="Y173" s="1" t="s">
        <v>74</v>
      </c>
      <c r="Z173" s="1" t="s">
        <v>74</v>
      </c>
      <c r="AA173" s="1" t="s">
        <v>1875</v>
      </c>
      <c r="AB173" s="1" t="s">
        <v>1876</v>
      </c>
      <c r="AC173" s="1" t="s">
        <v>74</v>
      </c>
      <c r="AD173" s="1" t="s">
        <v>74</v>
      </c>
      <c r="AE173" s="1" t="s">
        <v>74</v>
      </c>
      <c r="AF173" s="1" t="s">
        <v>74</v>
      </c>
      <c r="AG173" s="1" t="s">
        <v>74</v>
      </c>
      <c r="AH173" s="1" t="s">
        <v>74</v>
      </c>
      <c r="AI173" s="1" t="s">
        <v>74</v>
      </c>
      <c r="AJ173" s="1" t="s">
        <v>74</v>
      </c>
      <c r="AK173" s="1" t="s">
        <v>74</v>
      </c>
      <c r="AL173" s="1" t="s">
        <v>74</v>
      </c>
      <c r="AM173" s="1" t="s">
        <v>74</v>
      </c>
      <c r="AN173" s="1" t="s">
        <v>74</v>
      </c>
      <c r="AO173" s="1" t="s">
        <v>74</v>
      </c>
      <c r="AP173" s="1" t="s">
        <v>1877</v>
      </c>
      <c r="AQ173" s="1" t="s">
        <v>74</v>
      </c>
      <c r="AR173" s="1" t="s">
        <v>74</v>
      </c>
      <c r="AS173" s="1" t="s">
        <v>74</v>
      </c>
      <c r="AT173" s="1" t="s">
        <v>652</v>
      </c>
      <c r="AU173" s="1">
        <v>2020.0</v>
      </c>
      <c r="AV173" s="1">
        <v>24.0</v>
      </c>
      <c r="AW173" s="1" t="s">
        <v>74</v>
      </c>
      <c r="AX173" s="1" t="s">
        <v>74</v>
      </c>
      <c r="AY173" s="1" t="s">
        <v>74</v>
      </c>
      <c r="AZ173" s="1" t="s">
        <v>74</v>
      </c>
      <c r="BA173" s="1" t="s">
        <v>74</v>
      </c>
      <c r="BB173" s="1" t="s">
        <v>74</v>
      </c>
      <c r="BC173" s="1" t="s">
        <v>74</v>
      </c>
      <c r="BD173" s="1" t="s">
        <v>1878</v>
      </c>
      <c r="BE173" s="1" t="s">
        <v>1879</v>
      </c>
      <c r="BF173" s="2" t="str">
        <f>HYPERLINK("http://dx.doi.org/10.1016/j.gecco.2020.e01355","http://dx.doi.org/10.1016/j.gecco.2020.e01355")</f>
        <v>http://dx.doi.org/10.1016/j.gecco.2020.e01355</v>
      </c>
      <c r="BG173" s="1" t="s">
        <v>74</v>
      </c>
      <c r="BH173" s="1" t="s">
        <v>74</v>
      </c>
      <c r="BI173" s="1" t="s">
        <v>74</v>
      </c>
      <c r="BJ173" s="1" t="s">
        <v>74</v>
      </c>
      <c r="BK173" s="1" t="s">
        <v>74</v>
      </c>
      <c r="BL173" s="1" t="s">
        <v>74</v>
      </c>
      <c r="BM173" s="1" t="s">
        <v>74</v>
      </c>
      <c r="BN173" s="1" t="s">
        <v>74</v>
      </c>
      <c r="BO173" s="1" t="s">
        <v>74</v>
      </c>
      <c r="BP173" s="1" t="s">
        <v>74</v>
      </c>
      <c r="BQ173" s="1" t="s">
        <v>74</v>
      </c>
      <c r="BR173" s="1" t="s">
        <v>74</v>
      </c>
      <c r="BS173" s="1" t="s">
        <v>1880</v>
      </c>
      <c r="BT173" s="1" t="str">
        <f>HYPERLINK("https%3A%2F%2Fwww.webofscience.com%2Fwos%2Fwoscc%2Ffull-record%2FWOS:000608479000014","View Full Record in Web of Science")</f>
        <v>View Full Record in Web of Science</v>
      </c>
    </row>
    <row r="174" ht="12.75" customHeight="1">
      <c r="A174" s="1" t="s">
        <v>72</v>
      </c>
      <c r="B174" s="1" t="s">
        <v>1881</v>
      </c>
      <c r="C174" s="1" t="s">
        <v>74</v>
      </c>
      <c r="D174" s="1" t="s">
        <v>74</v>
      </c>
      <c r="E174" s="1" t="s">
        <v>74</v>
      </c>
      <c r="F174" s="1" t="s">
        <v>1882</v>
      </c>
      <c r="G174" s="1" t="s">
        <v>74</v>
      </c>
      <c r="H174" s="1" t="s">
        <v>74</v>
      </c>
      <c r="I174" s="1" t="s">
        <v>1883</v>
      </c>
      <c r="J174" s="1" t="s">
        <v>1884</v>
      </c>
      <c r="K174" s="1" t="s">
        <v>74</v>
      </c>
      <c r="L174" s="1" t="s">
        <v>74</v>
      </c>
      <c r="M174" s="1" t="s">
        <v>74</v>
      </c>
      <c r="N174" s="1" t="s">
        <v>74</v>
      </c>
      <c r="O174" s="1" t="s">
        <v>74</v>
      </c>
      <c r="P174" s="1" t="s">
        <v>74</v>
      </c>
      <c r="Q174" s="1" t="s">
        <v>74</v>
      </c>
      <c r="R174" s="1" t="s">
        <v>74</v>
      </c>
      <c r="S174" s="1" t="s">
        <v>74</v>
      </c>
      <c r="T174" s="1" t="s">
        <v>74</v>
      </c>
      <c r="U174" s="1" t="s">
        <v>74</v>
      </c>
      <c r="V174" s="1" t="s">
        <v>1885</v>
      </c>
      <c r="W174" s="1" t="s">
        <v>74</v>
      </c>
      <c r="X174" s="1" t="s">
        <v>74</v>
      </c>
      <c r="Y174" s="1" t="s">
        <v>74</v>
      </c>
      <c r="Z174" s="1" t="s">
        <v>74</v>
      </c>
      <c r="AA174" s="1" t="s">
        <v>1886</v>
      </c>
      <c r="AB174" s="1" t="s">
        <v>1887</v>
      </c>
      <c r="AC174" s="1" t="s">
        <v>74</v>
      </c>
      <c r="AD174" s="1" t="s">
        <v>74</v>
      </c>
      <c r="AE174" s="1" t="s">
        <v>74</v>
      </c>
      <c r="AF174" s="1" t="s">
        <v>74</v>
      </c>
      <c r="AG174" s="1" t="s">
        <v>74</v>
      </c>
      <c r="AH174" s="1" t="s">
        <v>74</v>
      </c>
      <c r="AI174" s="1" t="s">
        <v>74</v>
      </c>
      <c r="AJ174" s="1" t="s">
        <v>74</v>
      </c>
      <c r="AK174" s="1" t="s">
        <v>74</v>
      </c>
      <c r="AL174" s="1" t="s">
        <v>74</v>
      </c>
      <c r="AM174" s="1" t="s">
        <v>74</v>
      </c>
      <c r="AN174" s="1" t="s">
        <v>74</v>
      </c>
      <c r="AO174" s="1" t="s">
        <v>1888</v>
      </c>
      <c r="AP174" s="1" t="s">
        <v>1889</v>
      </c>
      <c r="AQ174" s="1" t="s">
        <v>74</v>
      </c>
      <c r="AR174" s="1" t="s">
        <v>74</v>
      </c>
      <c r="AS174" s="1" t="s">
        <v>74</v>
      </c>
      <c r="AT174" s="1" t="s">
        <v>696</v>
      </c>
      <c r="AU174" s="1">
        <v>2021.0</v>
      </c>
      <c r="AV174" s="1">
        <v>49.0</v>
      </c>
      <c r="AW174" s="1">
        <v>1.0</v>
      </c>
      <c r="AX174" s="1" t="s">
        <v>74</v>
      </c>
      <c r="AY174" s="1" t="s">
        <v>74</v>
      </c>
      <c r="AZ174" s="1" t="s">
        <v>445</v>
      </c>
      <c r="BA174" s="1" t="s">
        <v>74</v>
      </c>
      <c r="BB174" s="1">
        <v>95.0</v>
      </c>
      <c r="BC174" s="1">
        <v>117.0</v>
      </c>
      <c r="BD174" s="1" t="s">
        <v>74</v>
      </c>
      <c r="BE174" s="1" t="s">
        <v>1890</v>
      </c>
      <c r="BF174" s="2" t="str">
        <f>HYPERLINK("http://dx.doi.org/10.1002/jcop.22431","http://dx.doi.org/10.1002/jcop.22431")</f>
        <v>http://dx.doi.org/10.1002/jcop.22431</v>
      </c>
      <c r="BG174" s="1" t="s">
        <v>74</v>
      </c>
      <c r="BH174" s="1" t="s">
        <v>1891</v>
      </c>
      <c r="BI174" s="1" t="s">
        <v>74</v>
      </c>
      <c r="BJ174" s="1" t="s">
        <v>74</v>
      </c>
      <c r="BK174" s="1" t="s">
        <v>74</v>
      </c>
      <c r="BL174" s="1" t="s">
        <v>74</v>
      </c>
      <c r="BM174" s="1" t="s">
        <v>74</v>
      </c>
      <c r="BN174" s="1">
        <v>3.2840883E7</v>
      </c>
      <c r="BO174" s="1" t="s">
        <v>74</v>
      </c>
      <c r="BP174" s="1" t="s">
        <v>74</v>
      </c>
      <c r="BQ174" s="1" t="s">
        <v>74</v>
      </c>
      <c r="BR174" s="1" t="s">
        <v>74</v>
      </c>
      <c r="BS174" s="1" t="s">
        <v>1892</v>
      </c>
      <c r="BT174" s="1" t="str">
        <f>HYPERLINK("https%3A%2F%2Fwww.webofscience.com%2Fwos%2Fwoscc%2Ffull-record%2FWOS:000564231600001","View Full Record in Web of Science")</f>
        <v>View Full Record in Web of Science</v>
      </c>
    </row>
    <row r="175" ht="12.75" customHeight="1">
      <c r="A175" s="1" t="s">
        <v>72</v>
      </c>
      <c r="B175" s="1" t="s">
        <v>1893</v>
      </c>
      <c r="C175" s="1" t="s">
        <v>74</v>
      </c>
      <c r="D175" s="1" t="s">
        <v>74</v>
      </c>
      <c r="E175" s="1" t="s">
        <v>74</v>
      </c>
      <c r="F175" s="1" t="s">
        <v>1894</v>
      </c>
      <c r="G175" s="1" t="s">
        <v>74</v>
      </c>
      <c r="H175" s="1" t="s">
        <v>74</v>
      </c>
      <c r="I175" s="1" t="s">
        <v>1895</v>
      </c>
      <c r="J175" s="1" t="s">
        <v>1896</v>
      </c>
      <c r="K175" s="1" t="s">
        <v>74</v>
      </c>
      <c r="L175" s="1" t="s">
        <v>74</v>
      </c>
      <c r="M175" s="1" t="s">
        <v>74</v>
      </c>
      <c r="N175" s="1" t="s">
        <v>74</v>
      </c>
      <c r="O175" s="1" t="s">
        <v>74</v>
      </c>
      <c r="P175" s="1" t="s">
        <v>74</v>
      </c>
      <c r="Q175" s="1" t="s">
        <v>74</v>
      </c>
      <c r="R175" s="1" t="s">
        <v>74</v>
      </c>
      <c r="S175" s="1" t="s">
        <v>74</v>
      </c>
      <c r="T175" s="1" t="s">
        <v>74</v>
      </c>
      <c r="U175" s="1" t="s">
        <v>74</v>
      </c>
      <c r="V175" s="1" t="s">
        <v>1897</v>
      </c>
      <c r="W175" s="1" t="s">
        <v>74</v>
      </c>
      <c r="X175" s="1" t="s">
        <v>74</v>
      </c>
      <c r="Y175" s="1" t="s">
        <v>74</v>
      </c>
      <c r="Z175" s="1" t="s">
        <v>74</v>
      </c>
      <c r="AA175" s="1" t="s">
        <v>1898</v>
      </c>
      <c r="AB175" s="1" t="s">
        <v>1899</v>
      </c>
      <c r="AC175" s="1" t="s">
        <v>74</v>
      </c>
      <c r="AD175" s="1" t="s">
        <v>74</v>
      </c>
      <c r="AE175" s="1" t="s">
        <v>74</v>
      </c>
      <c r="AF175" s="1" t="s">
        <v>74</v>
      </c>
      <c r="AG175" s="1" t="s">
        <v>74</v>
      </c>
      <c r="AH175" s="1" t="s">
        <v>74</v>
      </c>
      <c r="AI175" s="1" t="s">
        <v>74</v>
      </c>
      <c r="AJ175" s="1" t="s">
        <v>74</v>
      </c>
      <c r="AK175" s="1" t="s">
        <v>74</v>
      </c>
      <c r="AL175" s="1" t="s">
        <v>74</v>
      </c>
      <c r="AM175" s="1" t="s">
        <v>74</v>
      </c>
      <c r="AN175" s="1" t="s">
        <v>74</v>
      </c>
      <c r="AO175" s="1" t="s">
        <v>1900</v>
      </c>
      <c r="AP175" s="1" t="s">
        <v>1901</v>
      </c>
      <c r="AQ175" s="1" t="s">
        <v>74</v>
      </c>
      <c r="AR175" s="1" t="s">
        <v>74</v>
      </c>
      <c r="AS175" s="1" t="s">
        <v>74</v>
      </c>
      <c r="AT175" s="1" t="s">
        <v>158</v>
      </c>
      <c r="AU175" s="1">
        <v>2020.0</v>
      </c>
      <c r="AV175" s="1">
        <v>178.0</v>
      </c>
      <c r="AW175" s="1" t="s">
        <v>74</v>
      </c>
      <c r="AX175" s="1" t="s">
        <v>74</v>
      </c>
      <c r="AY175" s="1" t="s">
        <v>74</v>
      </c>
      <c r="AZ175" s="1" t="s">
        <v>74</v>
      </c>
      <c r="BA175" s="1" t="s">
        <v>74</v>
      </c>
      <c r="BB175" s="1" t="s">
        <v>74</v>
      </c>
      <c r="BC175" s="1" t="s">
        <v>74</v>
      </c>
      <c r="BD175" s="1">
        <v>108356.0</v>
      </c>
      <c r="BE175" s="1" t="s">
        <v>1902</v>
      </c>
      <c r="BF175" s="2" t="str">
        <f>HYPERLINK("http://dx.doi.org/10.1016/j.dyepig.2020.108356","http://dx.doi.org/10.1016/j.dyepig.2020.108356")</f>
        <v>http://dx.doi.org/10.1016/j.dyepig.2020.108356</v>
      </c>
      <c r="BG175" s="1" t="s">
        <v>74</v>
      </c>
      <c r="BH175" s="1" t="s">
        <v>74</v>
      </c>
      <c r="BI175" s="1" t="s">
        <v>74</v>
      </c>
      <c r="BJ175" s="1" t="s">
        <v>74</v>
      </c>
      <c r="BK175" s="1" t="s">
        <v>74</v>
      </c>
      <c r="BL175" s="1" t="s">
        <v>74</v>
      </c>
      <c r="BM175" s="1" t="s">
        <v>74</v>
      </c>
      <c r="BN175" s="1" t="s">
        <v>74</v>
      </c>
      <c r="BO175" s="1" t="s">
        <v>74</v>
      </c>
      <c r="BP175" s="1" t="s">
        <v>74</v>
      </c>
      <c r="BQ175" s="1" t="s">
        <v>74</v>
      </c>
      <c r="BR175" s="1" t="s">
        <v>74</v>
      </c>
      <c r="BS175" s="1" t="s">
        <v>1903</v>
      </c>
      <c r="BT175" s="1" t="str">
        <f>HYPERLINK("https%3A%2F%2Fwww.webofscience.com%2Fwos%2Fwoscc%2Ffull-record%2FWOS:000525304400031","View Full Record in Web of Science")</f>
        <v>View Full Record in Web of Science</v>
      </c>
    </row>
    <row r="176" ht="12.75" customHeight="1">
      <c r="A176" s="1" t="s">
        <v>72</v>
      </c>
      <c r="B176" s="1" t="s">
        <v>1904</v>
      </c>
      <c r="C176" s="1" t="s">
        <v>74</v>
      </c>
      <c r="D176" s="1" t="s">
        <v>74</v>
      </c>
      <c r="E176" s="1" t="s">
        <v>74</v>
      </c>
      <c r="F176" s="1" t="s">
        <v>1905</v>
      </c>
      <c r="G176" s="1" t="s">
        <v>74</v>
      </c>
      <c r="H176" s="1" t="s">
        <v>74</v>
      </c>
      <c r="I176" s="1" t="s">
        <v>1906</v>
      </c>
      <c r="J176" s="1" t="s">
        <v>1605</v>
      </c>
      <c r="K176" s="1" t="s">
        <v>74</v>
      </c>
      <c r="L176" s="1" t="s">
        <v>74</v>
      </c>
      <c r="M176" s="1" t="s">
        <v>74</v>
      </c>
      <c r="N176" s="1" t="s">
        <v>74</v>
      </c>
      <c r="O176" s="1" t="s">
        <v>74</v>
      </c>
      <c r="P176" s="1" t="s">
        <v>74</v>
      </c>
      <c r="Q176" s="1" t="s">
        <v>74</v>
      </c>
      <c r="R176" s="1" t="s">
        <v>74</v>
      </c>
      <c r="S176" s="1" t="s">
        <v>74</v>
      </c>
      <c r="T176" s="1" t="s">
        <v>74</v>
      </c>
      <c r="U176" s="1" t="s">
        <v>74</v>
      </c>
      <c r="V176" s="1" t="s">
        <v>1907</v>
      </c>
      <c r="W176" s="1" t="s">
        <v>74</v>
      </c>
      <c r="X176" s="1" t="s">
        <v>74</v>
      </c>
      <c r="Y176" s="1" t="s">
        <v>74</v>
      </c>
      <c r="Z176" s="1" t="s">
        <v>74</v>
      </c>
      <c r="AA176" s="1" t="s">
        <v>1444</v>
      </c>
      <c r="AB176" s="1" t="s">
        <v>1908</v>
      </c>
      <c r="AC176" s="1" t="s">
        <v>74</v>
      </c>
      <c r="AD176" s="1" t="s">
        <v>74</v>
      </c>
      <c r="AE176" s="1" t="s">
        <v>74</v>
      </c>
      <c r="AF176" s="1" t="s">
        <v>74</v>
      </c>
      <c r="AG176" s="1" t="s">
        <v>74</v>
      </c>
      <c r="AH176" s="1" t="s">
        <v>74</v>
      </c>
      <c r="AI176" s="1" t="s">
        <v>74</v>
      </c>
      <c r="AJ176" s="1" t="s">
        <v>74</v>
      </c>
      <c r="AK176" s="1" t="s">
        <v>74</v>
      </c>
      <c r="AL176" s="1" t="s">
        <v>74</v>
      </c>
      <c r="AM176" s="1" t="s">
        <v>74</v>
      </c>
      <c r="AN176" s="1" t="s">
        <v>74</v>
      </c>
      <c r="AO176" s="1" t="s">
        <v>1609</v>
      </c>
      <c r="AP176" s="1" t="s">
        <v>74</v>
      </c>
      <c r="AQ176" s="1" t="s">
        <v>74</v>
      </c>
      <c r="AR176" s="1" t="s">
        <v>74</v>
      </c>
      <c r="AS176" s="1" t="s">
        <v>74</v>
      </c>
      <c r="AT176" s="1" t="s">
        <v>1375</v>
      </c>
      <c r="AU176" s="1">
        <v>2020.0</v>
      </c>
      <c r="AV176" s="1">
        <v>15.0</v>
      </c>
      <c r="AW176" s="1">
        <v>1.0</v>
      </c>
      <c r="AX176" s="1" t="s">
        <v>74</v>
      </c>
      <c r="AY176" s="1" t="s">
        <v>74</v>
      </c>
      <c r="AZ176" s="1" t="s">
        <v>74</v>
      </c>
      <c r="BA176" s="1" t="s">
        <v>74</v>
      </c>
      <c r="BB176" s="1" t="s">
        <v>74</v>
      </c>
      <c r="BC176" s="1" t="s">
        <v>74</v>
      </c>
      <c r="BD176" s="1" t="s">
        <v>1909</v>
      </c>
      <c r="BE176" s="1" t="s">
        <v>1910</v>
      </c>
      <c r="BF176" s="2" t="str">
        <f>HYPERLINK("http://dx.doi.org/10.1371/journal.pone.0224545","http://dx.doi.org/10.1371/journal.pone.0224545")</f>
        <v>http://dx.doi.org/10.1371/journal.pone.0224545</v>
      </c>
      <c r="BG176" s="1" t="s">
        <v>74</v>
      </c>
      <c r="BH176" s="1" t="s">
        <v>74</v>
      </c>
      <c r="BI176" s="1" t="s">
        <v>74</v>
      </c>
      <c r="BJ176" s="1" t="s">
        <v>74</v>
      </c>
      <c r="BK176" s="1" t="s">
        <v>74</v>
      </c>
      <c r="BL176" s="1" t="s">
        <v>74</v>
      </c>
      <c r="BM176" s="1" t="s">
        <v>74</v>
      </c>
      <c r="BN176" s="1">
        <v>3.1910212E7</v>
      </c>
      <c r="BO176" s="1" t="s">
        <v>74</v>
      </c>
      <c r="BP176" s="1" t="s">
        <v>74</v>
      </c>
      <c r="BQ176" s="1" t="s">
        <v>74</v>
      </c>
      <c r="BR176" s="1" t="s">
        <v>74</v>
      </c>
      <c r="BS176" s="1" t="s">
        <v>1911</v>
      </c>
      <c r="BT176" s="1" t="str">
        <f>HYPERLINK("https%3A%2F%2Fwww.webofscience.com%2Fwos%2Fwoscc%2Ffull-record%2FWOS:000534333800007","View Full Record in Web of Science")</f>
        <v>View Full Record in Web of Science</v>
      </c>
    </row>
    <row r="177" ht="12.75" customHeight="1">
      <c r="A177" s="1" t="s">
        <v>182</v>
      </c>
      <c r="B177" s="1" t="s">
        <v>1912</v>
      </c>
      <c r="C177" s="1" t="s">
        <v>74</v>
      </c>
      <c r="D177" s="1" t="s">
        <v>74</v>
      </c>
      <c r="E177" s="1" t="s">
        <v>184</v>
      </c>
      <c r="F177" s="1" t="s">
        <v>1913</v>
      </c>
      <c r="G177" s="1" t="s">
        <v>74</v>
      </c>
      <c r="H177" s="1" t="s">
        <v>74</v>
      </c>
      <c r="I177" s="1" t="s">
        <v>1914</v>
      </c>
      <c r="J177" s="1" t="s">
        <v>1915</v>
      </c>
      <c r="K177" s="1" t="s">
        <v>74</v>
      </c>
      <c r="L177" s="1" t="s">
        <v>74</v>
      </c>
      <c r="M177" s="1" t="s">
        <v>74</v>
      </c>
      <c r="N177" s="1" t="s">
        <v>74</v>
      </c>
      <c r="O177" s="1" t="s">
        <v>1916</v>
      </c>
      <c r="P177" s="1" t="s">
        <v>1917</v>
      </c>
      <c r="Q177" s="1" t="s">
        <v>1918</v>
      </c>
      <c r="R177" s="1" t="s">
        <v>1919</v>
      </c>
      <c r="S177" s="1" t="s">
        <v>74</v>
      </c>
      <c r="T177" s="1" t="s">
        <v>74</v>
      </c>
      <c r="U177" s="1" t="s">
        <v>74</v>
      </c>
      <c r="V177" s="1" t="s">
        <v>1920</v>
      </c>
      <c r="W177" s="1" t="s">
        <v>74</v>
      </c>
      <c r="X177" s="1" t="s">
        <v>74</v>
      </c>
      <c r="Y177" s="1" t="s">
        <v>74</v>
      </c>
      <c r="Z177" s="1" t="s">
        <v>74</v>
      </c>
      <c r="AA177" s="1" t="s">
        <v>1921</v>
      </c>
      <c r="AB177" s="1" t="s">
        <v>1922</v>
      </c>
      <c r="AC177" s="1" t="s">
        <v>74</v>
      </c>
      <c r="AD177" s="1" t="s">
        <v>74</v>
      </c>
      <c r="AE177" s="1" t="s">
        <v>74</v>
      </c>
      <c r="AF177" s="1" t="s">
        <v>74</v>
      </c>
      <c r="AG177" s="1" t="s">
        <v>74</v>
      </c>
      <c r="AH177" s="1" t="s">
        <v>74</v>
      </c>
      <c r="AI177" s="1" t="s">
        <v>74</v>
      </c>
      <c r="AJ177" s="1" t="s">
        <v>74</v>
      </c>
      <c r="AK177" s="1" t="s">
        <v>74</v>
      </c>
      <c r="AL177" s="1" t="s">
        <v>74</v>
      </c>
      <c r="AM177" s="1" t="s">
        <v>74</v>
      </c>
      <c r="AN177" s="1" t="s">
        <v>74</v>
      </c>
      <c r="AO177" s="1" t="s">
        <v>74</v>
      </c>
      <c r="AP177" s="1" t="s">
        <v>74</v>
      </c>
      <c r="AQ177" s="1" t="s">
        <v>1923</v>
      </c>
      <c r="AR177" s="1" t="s">
        <v>74</v>
      </c>
      <c r="AS177" s="1" t="s">
        <v>74</v>
      </c>
      <c r="AT177" s="1" t="s">
        <v>74</v>
      </c>
      <c r="AU177" s="1">
        <v>2019.0</v>
      </c>
      <c r="AV177" s="1" t="s">
        <v>74</v>
      </c>
      <c r="AW177" s="1" t="s">
        <v>74</v>
      </c>
      <c r="AX177" s="1" t="s">
        <v>74</v>
      </c>
      <c r="AY177" s="1" t="s">
        <v>74</v>
      </c>
      <c r="AZ177" s="1" t="s">
        <v>74</v>
      </c>
      <c r="BA177" s="1" t="s">
        <v>74</v>
      </c>
      <c r="BB177" s="1" t="s">
        <v>74</v>
      </c>
      <c r="BC177" s="1" t="s">
        <v>74</v>
      </c>
      <c r="BD177" s="1" t="s">
        <v>74</v>
      </c>
      <c r="BE177" s="1" t="s">
        <v>1924</v>
      </c>
      <c r="BF177" s="2" t="str">
        <f>HYPERLINK("http://dx.doi.org/10.1109/chilecon47746.2019.8988111","http://dx.doi.org/10.1109/chilecon47746.2019.8988111")</f>
        <v>http://dx.doi.org/10.1109/chilecon47746.2019.8988111</v>
      </c>
      <c r="BG177" s="1" t="s">
        <v>74</v>
      </c>
      <c r="BH177" s="1" t="s">
        <v>74</v>
      </c>
      <c r="BI177" s="1" t="s">
        <v>74</v>
      </c>
      <c r="BJ177" s="1" t="s">
        <v>74</v>
      </c>
      <c r="BK177" s="1" t="s">
        <v>74</v>
      </c>
      <c r="BL177" s="1" t="s">
        <v>74</v>
      </c>
      <c r="BM177" s="1" t="s">
        <v>74</v>
      </c>
      <c r="BN177" s="1" t="s">
        <v>74</v>
      </c>
      <c r="BO177" s="1" t="s">
        <v>74</v>
      </c>
      <c r="BP177" s="1" t="s">
        <v>74</v>
      </c>
      <c r="BQ177" s="1" t="s">
        <v>74</v>
      </c>
      <c r="BR177" s="1" t="s">
        <v>74</v>
      </c>
      <c r="BS177" s="1" t="s">
        <v>1925</v>
      </c>
      <c r="BT177" s="1" t="str">
        <f>HYPERLINK("https%3A%2F%2Fwww.webofscience.com%2Fwos%2Fwoscc%2Ffull-record%2FWOS:000542919100212","View Full Record in Web of Science")</f>
        <v>View Full Record in Web of Science</v>
      </c>
    </row>
    <row r="178" ht="12.75" customHeight="1">
      <c r="A178" s="1" t="s">
        <v>274</v>
      </c>
      <c r="B178" s="1" t="s">
        <v>1926</v>
      </c>
      <c r="C178" s="1" t="s">
        <v>74</v>
      </c>
      <c r="D178" s="1" t="s">
        <v>1927</v>
      </c>
      <c r="E178" s="1" t="s">
        <v>74</v>
      </c>
      <c r="F178" s="1" t="s">
        <v>1928</v>
      </c>
      <c r="G178" s="1" t="s">
        <v>74</v>
      </c>
      <c r="H178" s="1" t="s">
        <v>74</v>
      </c>
      <c r="I178" s="1" t="s">
        <v>1929</v>
      </c>
      <c r="J178" s="1" t="s">
        <v>1930</v>
      </c>
      <c r="K178" s="1" t="s">
        <v>74</v>
      </c>
      <c r="L178" s="1" t="s">
        <v>74</v>
      </c>
      <c r="M178" s="1" t="s">
        <v>74</v>
      </c>
      <c r="N178" s="1" t="s">
        <v>74</v>
      </c>
      <c r="O178" s="1" t="s">
        <v>74</v>
      </c>
      <c r="P178" s="1" t="s">
        <v>74</v>
      </c>
      <c r="Q178" s="1" t="s">
        <v>74</v>
      </c>
      <c r="R178" s="1" t="s">
        <v>74</v>
      </c>
      <c r="S178" s="1" t="s">
        <v>74</v>
      </c>
      <c r="T178" s="1" t="s">
        <v>74</v>
      </c>
      <c r="U178" s="1" t="s">
        <v>74</v>
      </c>
      <c r="V178" s="1" t="s">
        <v>74</v>
      </c>
      <c r="W178" s="1" t="s">
        <v>74</v>
      </c>
      <c r="X178" s="1" t="s">
        <v>74</v>
      </c>
      <c r="Y178" s="1" t="s">
        <v>74</v>
      </c>
      <c r="Z178" s="1" t="s">
        <v>74</v>
      </c>
      <c r="AA178" s="1" t="s">
        <v>1931</v>
      </c>
      <c r="AB178" s="1" t="s">
        <v>74</v>
      </c>
      <c r="AC178" s="1" t="s">
        <v>74</v>
      </c>
      <c r="AD178" s="1" t="s">
        <v>74</v>
      </c>
      <c r="AE178" s="1" t="s">
        <v>74</v>
      </c>
      <c r="AF178" s="1" t="s">
        <v>74</v>
      </c>
      <c r="AG178" s="1" t="s">
        <v>74</v>
      </c>
      <c r="AH178" s="1" t="s">
        <v>74</v>
      </c>
      <c r="AI178" s="1" t="s">
        <v>74</v>
      </c>
      <c r="AJ178" s="1" t="s">
        <v>74</v>
      </c>
      <c r="AK178" s="1" t="s">
        <v>74</v>
      </c>
      <c r="AL178" s="1" t="s">
        <v>74</v>
      </c>
      <c r="AM178" s="1" t="s">
        <v>74</v>
      </c>
      <c r="AN178" s="1" t="s">
        <v>74</v>
      </c>
      <c r="AO178" s="1" t="s">
        <v>74</v>
      </c>
      <c r="AP178" s="1" t="s">
        <v>74</v>
      </c>
      <c r="AQ178" s="1" t="s">
        <v>1932</v>
      </c>
      <c r="AR178" s="1" t="s">
        <v>74</v>
      </c>
      <c r="AS178" s="1" t="s">
        <v>74</v>
      </c>
      <c r="AT178" s="1" t="s">
        <v>74</v>
      </c>
      <c r="AU178" s="1">
        <v>2019.0</v>
      </c>
      <c r="AV178" s="1" t="s">
        <v>74</v>
      </c>
      <c r="AW178" s="1" t="s">
        <v>74</v>
      </c>
      <c r="AX178" s="1" t="s">
        <v>74</v>
      </c>
      <c r="AY178" s="1" t="s">
        <v>74</v>
      </c>
      <c r="AZ178" s="1" t="s">
        <v>74</v>
      </c>
      <c r="BA178" s="1" t="s">
        <v>74</v>
      </c>
      <c r="BB178" s="1">
        <v>129.0</v>
      </c>
      <c r="BC178" s="1">
        <v>150.0</v>
      </c>
      <c r="BD178" s="1" t="s">
        <v>74</v>
      </c>
      <c r="BE178" s="1" t="s">
        <v>74</v>
      </c>
      <c r="BF178" s="1" t="s">
        <v>74</v>
      </c>
      <c r="BG178" s="1" t="s">
        <v>74</v>
      </c>
      <c r="BH178" s="1" t="s">
        <v>74</v>
      </c>
      <c r="BI178" s="1" t="s">
        <v>74</v>
      </c>
      <c r="BJ178" s="1" t="s">
        <v>74</v>
      </c>
      <c r="BK178" s="1" t="s">
        <v>74</v>
      </c>
      <c r="BL178" s="1" t="s">
        <v>74</v>
      </c>
      <c r="BM178" s="1" t="s">
        <v>74</v>
      </c>
      <c r="BN178" s="1" t="s">
        <v>74</v>
      </c>
      <c r="BO178" s="1" t="s">
        <v>74</v>
      </c>
      <c r="BP178" s="1" t="s">
        <v>74</v>
      </c>
      <c r="BQ178" s="1" t="s">
        <v>74</v>
      </c>
      <c r="BR178" s="1" t="s">
        <v>74</v>
      </c>
      <c r="BS178" s="1" t="s">
        <v>1933</v>
      </c>
      <c r="BT178" s="1" t="str">
        <f>HYPERLINK("https%3A%2F%2Fwww.webofscience.com%2Fwos%2Fwoscc%2Ffull-record%2FWOS:000480324700008","View Full Record in Web of Science")</f>
        <v>View Full Record in Web of Science</v>
      </c>
    </row>
    <row r="179" ht="12.75" customHeight="1">
      <c r="A179" s="1" t="s">
        <v>72</v>
      </c>
      <c r="B179" s="1" t="s">
        <v>1934</v>
      </c>
      <c r="C179" s="1" t="s">
        <v>74</v>
      </c>
      <c r="D179" s="1" t="s">
        <v>74</v>
      </c>
      <c r="E179" s="1" t="s">
        <v>74</v>
      </c>
      <c r="F179" s="1" t="s">
        <v>1935</v>
      </c>
      <c r="G179" s="1" t="s">
        <v>74</v>
      </c>
      <c r="H179" s="1" t="s">
        <v>74</v>
      </c>
      <c r="I179" s="1" t="s">
        <v>1936</v>
      </c>
      <c r="J179" s="1" t="s">
        <v>1937</v>
      </c>
      <c r="K179" s="1" t="s">
        <v>74</v>
      </c>
      <c r="L179" s="1" t="s">
        <v>74</v>
      </c>
      <c r="M179" s="1" t="s">
        <v>74</v>
      </c>
      <c r="N179" s="1" t="s">
        <v>74</v>
      </c>
      <c r="O179" s="1" t="s">
        <v>74</v>
      </c>
      <c r="P179" s="1" t="s">
        <v>74</v>
      </c>
      <c r="Q179" s="1" t="s">
        <v>74</v>
      </c>
      <c r="R179" s="1" t="s">
        <v>74</v>
      </c>
      <c r="S179" s="1" t="s">
        <v>74</v>
      </c>
      <c r="T179" s="1" t="s">
        <v>74</v>
      </c>
      <c r="U179" s="1" t="s">
        <v>74</v>
      </c>
      <c r="V179" s="1" t="s">
        <v>1938</v>
      </c>
      <c r="W179" s="1" t="s">
        <v>74</v>
      </c>
      <c r="X179" s="1" t="s">
        <v>74</v>
      </c>
      <c r="Y179" s="1" t="s">
        <v>74</v>
      </c>
      <c r="Z179" s="1" t="s">
        <v>74</v>
      </c>
      <c r="AA179" s="1" t="s">
        <v>1939</v>
      </c>
      <c r="AB179" s="1" t="s">
        <v>1940</v>
      </c>
      <c r="AC179" s="1" t="s">
        <v>74</v>
      </c>
      <c r="AD179" s="1" t="s">
        <v>74</v>
      </c>
      <c r="AE179" s="1" t="s">
        <v>74</v>
      </c>
      <c r="AF179" s="1" t="s">
        <v>74</v>
      </c>
      <c r="AG179" s="1" t="s">
        <v>74</v>
      </c>
      <c r="AH179" s="1" t="s">
        <v>74</v>
      </c>
      <c r="AI179" s="1" t="s">
        <v>74</v>
      </c>
      <c r="AJ179" s="1" t="s">
        <v>74</v>
      </c>
      <c r="AK179" s="1" t="s">
        <v>74</v>
      </c>
      <c r="AL179" s="1" t="s">
        <v>74</v>
      </c>
      <c r="AM179" s="1" t="s">
        <v>74</v>
      </c>
      <c r="AN179" s="1" t="s">
        <v>74</v>
      </c>
      <c r="AO179" s="1" t="s">
        <v>1941</v>
      </c>
      <c r="AP179" s="1" t="s">
        <v>1942</v>
      </c>
      <c r="AQ179" s="1" t="s">
        <v>74</v>
      </c>
      <c r="AR179" s="1" t="s">
        <v>74</v>
      </c>
      <c r="AS179" s="1" t="s">
        <v>74</v>
      </c>
      <c r="AT179" s="1" t="s">
        <v>180</v>
      </c>
      <c r="AU179" s="1">
        <v>2018.0</v>
      </c>
      <c r="AV179" s="1">
        <v>11.0</v>
      </c>
      <c r="AW179" s="1">
        <v>4.0</v>
      </c>
      <c r="AX179" s="1" t="s">
        <v>74</v>
      </c>
      <c r="AY179" s="1" t="s">
        <v>74</v>
      </c>
      <c r="AZ179" s="1" t="s">
        <v>74</v>
      </c>
      <c r="BA179" s="1" t="s">
        <v>74</v>
      </c>
      <c r="BB179" s="1">
        <v>525.0</v>
      </c>
      <c r="BC179" s="1">
        <v>537.0</v>
      </c>
      <c r="BD179" s="1" t="s">
        <v>74</v>
      </c>
      <c r="BE179" s="1" t="s">
        <v>1943</v>
      </c>
      <c r="BF179" s="2" t="str">
        <f>HYPERLINK("http://dx.doi.org/10.1016/j.arabjc.2017.05.007","http://dx.doi.org/10.1016/j.arabjc.2017.05.007")</f>
        <v>http://dx.doi.org/10.1016/j.arabjc.2017.05.007</v>
      </c>
      <c r="BG179" s="1" t="s">
        <v>74</v>
      </c>
      <c r="BH179" s="1" t="s">
        <v>74</v>
      </c>
      <c r="BI179" s="1" t="s">
        <v>74</v>
      </c>
      <c r="BJ179" s="1" t="s">
        <v>74</v>
      </c>
      <c r="BK179" s="1" t="s">
        <v>74</v>
      </c>
      <c r="BL179" s="1" t="s">
        <v>74</v>
      </c>
      <c r="BM179" s="1" t="s">
        <v>74</v>
      </c>
      <c r="BN179" s="1" t="s">
        <v>74</v>
      </c>
      <c r="BO179" s="1" t="s">
        <v>74</v>
      </c>
      <c r="BP179" s="1" t="s">
        <v>74</v>
      </c>
      <c r="BQ179" s="1" t="s">
        <v>74</v>
      </c>
      <c r="BR179" s="1" t="s">
        <v>74</v>
      </c>
      <c r="BS179" s="1" t="s">
        <v>1944</v>
      </c>
      <c r="BT179" s="1" t="str">
        <f>HYPERLINK("https%3A%2F%2Fwww.webofscience.com%2Fwos%2Fwoscc%2Ffull-record%2FWOS:000438122800008","View Full Record in Web of Science")</f>
        <v>View Full Record in Web of Science</v>
      </c>
    </row>
    <row r="180" ht="12.75" customHeight="1">
      <c r="A180" s="1" t="s">
        <v>72</v>
      </c>
      <c r="B180" s="1" t="s">
        <v>1945</v>
      </c>
      <c r="C180" s="1" t="s">
        <v>74</v>
      </c>
      <c r="D180" s="1" t="s">
        <v>74</v>
      </c>
      <c r="E180" s="1" t="s">
        <v>74</v>
      </c>
      <c r="F180" s="1" t="s">
        <v>1946</v>
      </c>
      <c r="G180" s="1" t="s">
        <v>74</v>
      </c>
      <c r="H180" s="1" t="s">
        <v>74</v>
      </c>
      <c r="I180" s="1" t="s">
        <v>1947</v>
      </c>
      <c r="J180" s="1" t="s">
        <v>1948</v>
      </c>
      <c r="K180" s="1" t="s">
        <v>74</v>
      </c>
      <c r="L180" s="1" t="s">
        <v>74</v>
      </c>
      <c r="M180" s="1" t="s">
        <v>74</v>
      </c>
      <c r="N180" s="1" t="s">
        <v>74</v>
      </c>
      <c r="O180" s="1" t="s">
        <v>74</v>
      </c>
      <c r="P180" s="1" t="s">
        <v>74</v>
      </c>
      <c r="Q180" s="1" t="s">
        <v>74</v>
      </c>
      <c r="R180" s="1" t="s">
        <v>74</v>
      </c>
      <c r="S180" s="1" t="s">
        <v>74</v>
      </c>
      <c r="T180" s="1" t="s">
        <v>74</v>
      </c>
      <c r="U180" s="1" t="s">
        <v>74</v>
      </c>
      <c r="V180" s="1" t="s">
        <v>1949</v>
      </c>
      <c r="W180" s="1" t="s">
        <v>74</v>
      </c>
      <c r="X180" s="1" t="s">
        <v>74</v>
      </c>
      <c r="Y180" s="1" t="s">
        <v>74</v>
      </c>
      <c r="Z180" s="1" t="s">
        <v>74</v>
      </c>
      <c r="AA180" s="1" t="s">
        <v>1950</v>
      </c>
      <c r="AB180" s="1" t="s">
        <v>1951</v>
      </c>
      <c r="AC180" s="1" t="s">
        <v>74</v>
      </c>
      <c r="AD180" s="1" t="s">
        <v>74</v>
      </c>
      <c r="AE180" s="1" t="s">
        <v>74</v>
      </c>
      <c r="AF180" s="1" t="s">
        <v>74</v>
      </c>
      <c r="AG180" s="1" t="s">
        <v>74</v>
      </c>
      <c r="AH180" s="1" t="s">
        <v>74</v>
      </c>
      <c r="AI180" s="1" t="s">
        <v>74</v>
      </c>
      <c r="AJ180" s="1" t="s">
        <v>74</v>
      </c>
      <c r="AK180" s="1" t="s">
        <v>74</v>
      </c>
      <c r="AL180" s="1" t="s">
        <v>74</v>
      </c>
      <c r="AM180" s="1" t="s">
        <v>74</v>
      </c>
      <c r="AN180" s="1" t="s">
        <v>74</v>
      </c>
      <c r="AO180" s="1" t="s">
        <v>1952</v>
      </c>
      <c r="AP180" s="1" t="s">
        <v>1953</v>
      </c>
      <c r="AQ180" s="1" t="s">
        <v>74</v>
      </c>
      <c r="AR180" s="1" t="s">
        <v>74</v>
      </c>
      <c r="AS180" s="1" t="s">
        <v>74</v>
      </c>
      <c r="AT180" s="1" t="s">
        <v>74</v>
      </c>
      <c r="AU180" s="1">
        <v>2018.0</v>
      </c>
      <c r="AV180" s="1">
        <v>15.0</v>
      </c>
      <c r="AW180" s="1" t="s">
        <v>1954</v>
      </c>
      <c r="AX180" s="1" t="s">
        <v>74</v>
      </c>
      <c r="AY180" s="1" t="s">
        <v>74</v>
      </c>
      <c r="AZ180" s="1" t="s">
        <v>74</v>
      </c>
      <c r="BA180" s="1" t="s">
        <v>74</v>
      </c>
      <c r="BB180" s="1">
        <v>518.0</v>
      </c>
      <c r="BC180" s="1">
        <v>527.0</v>
      </c>
      <c r="BD180" s="1" t="s">
        <v>74</v>
      </c>
      <c r="BE180" s="1" t="s">
        <v>1955</v>
      </c>
      <c r="BF180" s="2" t="str">
        <f>HYPERLINK("http://dx.doi.org/10.1080/15476286.2017.1349049","http://dx.doi.org/10.1080/15476286.2017.1349049")</f>
        <v>http://dx.doi.org/10.1080/15476286.2017.1349049</v>
      </c>
      <c r="BG180" s="1" t="s">
        <v>74</v>
      </c>
      <c r="BH180" s="1" t="s">
        <v>74</v>
      </c>
      <c r="BI180" s="1" t="s">
        <v>74</v>
      </c>
      <c r="BJ180" s="1" t="s">
        <v>74</v>
      </c>
      <c r="BK180" s="1" t="s">
        <v>74</v>
      </c>
      <c r="BL180" s="1" t="s">
        <v>74</v>
      </c>
      <c r="BM180" s="1" t="s">
        <v>74</v>
      </c>
      <c r="BN180" s="1">
        <v>2.8708455E7</v>
      </c>
      <c r="BO180" s="1" t="s">
        <v>74</v>
      </c>
      <c r="BP180" s="1" t="s">
        <v>74</v>
      </c>
      <c r="BQ180" s="1" t="s">
        <v>74</v>
      </c>
      <c r="BR180" s="1" t="s">
        <v>74</v>
      </c>
      <c r="BS180" s="1" t="s">
        <v>1956</v>
      </c>
      <c r="BT180" s="1" t="str">
        <f>HYPERLINK("https%3A%2F%2Fwww.webofscience.com%2Fwos%2Fwoscc%2Ffull-record%2FWOS:000441672400011","View Full Record in Web of Science")</f>
        <v>View Full Record in Web of Science</v>
      </c>
    </row>
    <row r="181" ht="12.75" customHeight="1">
      <c r="A181" s="1" t="s">
        <v>72</v>
      </c>
      <c r="B181" s="1" t="s">
        <v>1957</v>
      </c>
      <c r="C181" s="1" t="s">
        <v>74</v>
      </c>
      <c r="D181" s="1" t="s">
        <v>74</v>
      </c>
      <c r="E181" s="1" t="s">
        <v>74</v>
      </c>
      <c r="F181" s="1" t="s">
        <v>1958</v>
      </c>
      <c r="G181" s="1" t="s">
        <v>74</v>
      </c>
      <c r="H181" s="1" t="s">
        <v>74</v>
      </c>
      <c r="I181" s="1" t="s">
        <v>1959</v>
      </c>
      <c r="J181" s="1" t="s">
        <v>1960</v>
      </c>
      <c r="K181" s="1" t="s">
        <v>74</v>
      </c>
      <c r="L181" s="1" t="s">
        <v>74</v>
      </c>
      <c r="M181" s="1" t="s">
        <v>74</v>
      </c>
      <c r="N181" s="1" t="s">
        <v>74</v>
      </c>
      <c r="O181" s="1" t="s">
        <v>74</v>
      </c>
      <c r="P181" s="1" t="s">
        <v>74</v>
      </c>
      <c r="Q181" s="1" t="s">
        <v>74</v>
      </c>
      <c r="R181" s="1" t="s">
        <v>74</v>
      </c>
      <c r="S181" s="1" t="s">
        <v>74</v>
      </c>
      <c r="T181" s="1" t="s">
        <v>74</v>
      </c>
      <c r="U181" s="1" t="s">
        <v>74</v>
      </c>
      <c r="V181" s="1" t="s">
        <v>1961</v>
      </c>
      <c r="W181" s="1" t="s">
        <v>74</v>
      </c>
      <c r="X181" s="1" t="s">
        <v>74</v>
      </c>
      <c r="Y181" s="1" t="s">
        <v>74</v>
      </c>
      <c r="Z181" s="1" t="s">
        <v>74</v>
      </c>
      <c r="AA181" s="1" t="s">
        <v>1962</v>
      </c>
      <c r="AB181" s="1" t="s">
        <v>1963</v>
      </c>
      <c r="AC181" s="1" t="s">
        <v>74</v>
      </c>
      <c r="AD181" s="1" t="s">
        <v>74</v>
      </c>
      <c r="AE181" s="1" t="s">
        <v>74</v>
      </c>
      <c r="AF181" s="1" t="s">
        <v>74</v>
      </c>
      <c r="AG181" s="1" t="s">
        <v>74</v>
      </c>
      <c r="AH181" s="1" t="s">
        <v>74</v>
      </c>
      <c r="AI181" s="1" t="s">
        <v>74</v>
      </c>
      <c r="AJ181" s="1" t="s">
        <v>74</v>
      </c>
      <c r="AK181" s="1" t="s">
        <v>74</v>
      </c>
      <c r="AL181" s="1" t="s">
        <v>74</v>
      </c>
      <c r="AM181" s="1" t="s">
        <v>74</v>
      </c>
      <c r="AN181" s="1" t="s">
        <v>74</v>
      </c>
      <c r="AO181" s="1" t="s">
        <v>1964</v>
      </c>
      <c r="AP181" s="1" t="s">
        <v>1965</v>
      </c>
      <c r="AQ181" s="1" t="s">
        <v>74</v>
      </c>
      <c r="AR181" s="1" t="s">
        <v>74</v>
      </c>
      <c r="AS181" s="1" t="s">
        <v>74</v>
      </c>
      <c r="AT181" s="1" t="s">
        <v>74</v>
      </c>
      <c r="AU181" s="1">
        <v>2018.0</v>
      </c>
      <c r="AV181" s="1">
        <v>2018.0</v>
      </c>
      <c r="AW181" s="1" t="s">
        <v>74</v>
      </c>
      <c r="AX181" s="1" t="s">
        <v>74</v>
      </c>
      <c r="AY181" s="1" t="s">
        <v>74</v>
      </c>
      <c r="AZ181" s="1" t="s">
        <v>74</v>
      </c>
      <c r="BA181" s="1" t="s">
        <v>74</v>
      </c>
      <c r="BB181" s="1" t="s">
        <v>74</v>
      </c>
      <c r="BC181" s="1" t="s">
        <v>74</v>
      </c>
      <c r="BD181" s="1">
        <v>5036542.0</v>
      </c>
      <c r="BE181" s="1" t="s">
        <v>1966</v>
      </c>
      <c r="BF181" s="2" t="str">
        <f>HYPERLINK("http://dx.doi.org/10.1155/2018/5036542","http://dx.doi.org/10.1155/2018/5036542")</f>
        <v>http://dx.doi.org/10.1155/2018/5036542</v>
      </c>
      <c r="BG181" s="1" t="s">
        <v>74</v>
      </c>
      <c r="BH181" s="1" t="s">
        <v>74</v>
      </c>
      <c r="BI181" s="1" t="s">
        <v>74</v>
      </c>
      <c r="BJ181" s="1" t="s">
        <v>74</v>
      </c>
      <c r="BK181" s="1" t="s">
        <v>74</v>
      </c>
      <c r="BL181" s="1" t="s">
        <v>74</v>
      </c>
      <c r="BM181" s="1" t="s">
        <v>74</v>
      </c>
      <c r="BN181" s="1">
        <v>2.9977642E7</v>
      </c>
      <c r="BO181" s="1" t="s">
        <v>74</v>
      </c>
      <c r="BP181" s="1" t="s">
        <v>74</v>
      </c>
      <c r="BQ181" s="1" t="s">
        <v>74</v>
      </c>
      <c r="BR181" s="1" t="s">
        <v>74</v>
      </c>
      <c r="BS181" s="1" t="s">
        <v>1967</v>
      </c>
      <c r="BT181" s="1" t="str">
        <f>HYPERLINK("https%3A%2F%2Fwww.webofscience.com%2Fwos%2Fwoscc%2Ffull-record%2FWOS:000435808800001","View Full Record in Web of Science")</f>
        <v>View Full Record in Web of Science</v>
      </c>
    </row>
    <row r="182" ht="12.75" customHeight="1">
      <c r="A182" s="1" t="s">
        <v>72</v>
      </c>
      <c r="B182" s="1" t="s">
        <v>1968</v>
      </c>
      <c r="C182" s="1" t="s">
        <v>74</v>
      </c>
      <c r="D182" s="1" t="s">
        <v>74</v>
      </c>
      <c r="E182" s="1" t="s">
        <v>74</v>
      </c>
      <c r="F182" s="1" t="s">
        <v>1969</v>
      </c>
      <c r="G182" s="1" t="s">
        <v>74</v>
      </c>
      <c r="H182" s="1" t="s">
        <v>74</v>
      </c>
      <c r="I182" s="1" t="s">
        <v>1970</v>
      </c>
      <c r="J182" s="1" t="s">
        <v>1971</v>
      </c>
      <c r="K182" s="1" t="s">
        <v>74</v>
      </c>
      <c r="L182" s="1" t="s">
        <v>74</v>
      </c>
      <c r="M182" s="1" t="s">
        <v>74</v>
      </c>
      <c r="N182" s="1" t="s">
        <v>74</v>
      </c>
      <c r="O182" s="1" t="s">
        <v>74</v>
      </c>
      <c r="P182" s="1" t="s">
        <v>74</v>
      </c>
      <c r="Q182" s="1" t="s">
        <v>74</v>
      </c>
      <c r="R182" s="1" t="s">
        <v>74</v>
      </c>
      <c r="S182" s="1" t="s">
        <v>74</v>
      </c>
      <c r="T182" s="1" t="s">
        <v>74</v>
      </c>
      <c r="U182" s="1" t="s">
        <v>74</v>
      </c>
      <c r="V182" s="1" t="s">
        <v>1972</v>
      </c>
      <c r="W182" s="1" t="s">
        <v>74</v>
      </c>
      <c r="X182" s="1" t="s">
        <v>74</v>
      </c>
      <c r="Y182" s="1" t="s">
        <v>74</v>
      </c>
      <c r="Z182" s="1" t="s">
        <v>74</v>
      </c>
      <c r="AA182" s="1" t="s">
        <v>1973</v>
      </c>
      <c r="AB182" s="1" t="s">
        <v>1974</v>
      </c>
      <c r="AC182" s="1" t="s">
        <v>74</v>
      </c>
      <c r="AD182" s="1" t="s">
        <v>74</v>
      </c>
      <c r="AE182" s="1" t="s">
        <v>74</v>
      </c>
      <c r="AF182" s="1" t="s">
        <v>74</v>
      </c>
      <c r="AG182" s="1" t="s">
        <v>74</v>
      </c>
      <c r="AH182" s="1" t="s">
        <v>74</v>
      </c>
      <c r="AI182" s="1" t="s">
        <v>74</v>
      </c>
      <c r="AJ182" s="1" t="s">
        <v>74</v>
      </c>
      <c r="AK182" s="1" t="s">
        <v>74</v>
      </c>
      <c r="AL182" s="1" t="s">
        <v>74</v>
      </c>
      <c r="AM182" s="1" t="s">
        <v>74</v>
      </c>
      <c r="AN182" s="1" t="s">
        <v>74</v>
      </c>
      <c r="AO182" s="1" t="s">
        <v>1975</v>
      </c>
      <c r="AP182" s="1" t="s">
        <v>1976</v>
      </c>
      <c r="AQ182" s="1" t="s">
        <v>74</v>
      </c>
      <c r="AR182" s="1" t="s">
        <v>74</v>
      </c>
      <c r="AS182" s="1" t="s">
        <v>74</v>
      </c>
      <c r="AT182" s="1" t="s">
        <v>1977</v>
      </c>
      <c r="AU182" s="1">
        <v>2016.0</v>
      </c>
      <c r="AV182" s="1">
        <v>44.0</v>
      </c>
      <c r="AW182" s="1">
        <v>1.0</v>
      </c>
      <c r="AX182" s="1" t="s">
        <v>74</v>
      </c>
      <c r="AY182" s="1" t="s">
        <v>74</v>
      </c>
      <c r="AZ182" s="1" t="s">
        <v>74</v>
      </c>
      <c r="BA182" s="1" t="s">
        <v>74</v>
      </c>
      <c r="BB182" s="1">
        <v>3.0</v>
      </c>
      <c r="BC182" s="1">
        <v>8.0</v>
      </c>
      <c r="BD182" s="1" t="s">
        <v>74</v>
      </c>
      <c r="BE182" s="1" t="s">
        <v>1978</v>
      </c>
      <c r="BF182" s="2" t="str">
        <f>HYPERLINK("http://dx.doi.org/10.1016/j.aller.2015.05.011","http://dx.doi.org/10.1016/j.aller.2015.05.011")</f>
        <v>http://dx.doi.org/10.1016/j.aller.2015.05.011</v>
      </c>
      <c r="BG182" s="1" t="s">
        <v>74</v>
      </c>
      <c r="BH182" s="1" t="s">
        <v>74</v>
      </c>
      <c r="BI182" s="1" t="s">
        <v>74</v>
      </c>
      <c r="BJ182" s="1" t="s">
        <v>74</v>
      </c>
      <c r="BK182" s="1" t="s">
        <v>74</v>
      </c>
      <c r="BL182" s="1" t="s">
        <v>74</v>
      </c>
      <c r="BM182" s="1" t="s">
        <v>74</v>
      </c>
      <c r="BN182" s="1">
        <v>2.6318414E7</v>
      </c>
      <c r="BO182" s="1" t="s">
        <v>74</v>
      </c>
      <c r="BP182" s="1" t="s">
        <v>74</v>
      </c>
      <c r="BQ182" s="1" t="s">
        <v>74</v>
      </c>
      <c r="BR182" s="1" t="s">
        <v>74</v>
      </c>
      <c r="BS182" s="1" t="s">
        <v>1979</v>
      </c>
      <c r="BT182" s="1" t="str">
        <f>HYPERLINK("https%3A%2F%2Fwww.webofscience.com%2Fwos%2Fwoscc%2Ffull-record%2FWOS:000369047300002","View Full Record in Web of Science")</f>
        <v>View Full Record in Web of Science</v>
      </c>
    </row>
    <row r="183" ht="12.75" customHeight="1">
      <c r="A183" s="1" t="s">
        <v>72</v>
      </c>
      <c r="B183" s="1" t="s">
        <v>1980</v>
      </c>
      <c r="C183" s="1" t="s">
        <v>74</v>
      </c>
      <c r="D183" s="1" t="s">
        <v>74</v>
      </c>
      <c r="E183" s="1" t="s">
        <v>74</v>
      </c>
      <c r="F183" s="1" t="s">
        <v>1981</v>
      </c>
      <c r="G183" s="1" t="s">
        <v>74</v>
      </c>
      <c r="H183" s="1" t="s">
        <v>74</v>
      </c>
      <c r="I183" s="1" t="s">
        <v>1982</v>
      </c>
      <c r="J183" s="1" t="s">
        <v>1983</v>
      </c>
      <c r="K183" s="1" t="s">
        <v>74</v>
      </c>
      <c r="L183" s="1" t="s">
        <v>74</v>
      </c>
      <c r="M183" s="1" t="s">
        <v>74</v>
      </c>
      <c r="N183" s="1" t="s">
        <v>74</v>
      </c>
      <c r="O183" s="1" t="s">
        <v>1984</v>
      </c>
      <c r="P183" s="1" t="s">
        <v>1985</v>
      </c>
      <c r="Q183" s="1" t="s">
        <v>1986</v>
      </c>
      <c r="R183" s="1" t="s">
        <v>1987</v>
      </c>
      <c r="S183" s="1" t="s">
        <v>74</v>
      </c>
      <c r="T183" s="1" t="s">
        <v>74</v>
      </c>
      <c r="U183" s="1" t="s">
        <v>74</v>
      </c>
      <c r="V183" s="1" t="s">
        <v>1988</v>
      </c>
      <c r="W183" s="1" t="s">
        <v>74</v>
      </c>
      <c r="X183" s="1" t="s">
        <v>74</v>
      </c>
      <c r="Y183" s="1" t="s">
        <v>74</v>
      </c>
      <c r="Z183" s="1" t="s">
        <v>74</v>
      </c>
      <c r="AA183" s="1" t="s">
        <v>1989</v>
      </c>
      <c r="AB183" s="1" t="s">
        <v>1990</v>
      </c>
      <c r="AC183" s="1" t="s">
        <v>74</v>
      </c>
      <c r="AD183" s="1" t="s">
        <v>74</v>
      </c>
      <c r="AE183" s="1" t="s">
        <v>74</v>
      </c>
      <c r="AF183" s="1" t="s">
        <v>74</v>
      </c>
      <c r="AG183" s="1" t="s">
        <v>74</v>
      </c>
      <c r="AH183" s="1" t="s">
        <v>74</v>
      </c>
      <c r="AI183" s="1" t="s">
        <v>74</v>
      </c>
      <c r="AJ183" s="1" t="s">
        <v>74</v>
      </c>
      <c r="AK183" s="1" t="s">
        <v>74</v>
      </c>
      <c r="AL183" s="1" t="s">
        <v>74</v>
      </c>
      <c r="AM183" s="1" t="s">
        <v>74</v>
      </c>
      <c r="AN183" s="1" t="s">
        <v>74</v>
      </c>
      <c r="AO183" s="1" t="s">
        <v>1991</v>
      </c>
      <c r="AP183" s="1" t="s">
        <v>1992</v>
      </c>
      <c r="AQ183" s="1" t="s">
        <v>74</v>
      </c>
      <c r="AR183" s="1" t="s">
        <v>74</v>
      </c>
      <c r="AS183" s="1" t="s">
        <v>74</v>
      </c>
      <c r="AT183" s="1" t="s">
        <v>678</v>
      </c>
      <c r="AU183" s="1">
        <v>2015.0</v>
      </c>
      <c r="AV183" s="1">
        <v>57.0</v>
      </c>
      <c r="AW183" s="1">
        <v>6.0</v>
      </c>
      <c r="AX183" s="1" t="s">
        <v>74</v>
      </c>
      <c r="AY183" s="1" t="s">
        <v>74</v>
      </c>
      <c r="AZ183" s="1" t="s">
        <v>445</v>
      </c>
      <c r="BA183" s="1" t="s">
        <v>74</v>
      </c>
      <c r="BB183" s="1">
        <v>982.0</v>
      </c>
      <c r="BC183" s="1">
        <v>1001.0</v>
      </c>
      <c r="BD183" s="1" t="s">
        <v>74</v>
      </c>
      <c r="BE183" s="1" t="s">
        <v>1993</v>
      </c>
      <c r="BF183" s="2" t="str">
        <f>HYPERLINK("http://dx.doi.org/10.1002/bimj.201400125","http://dx.doi.org/10.1002/bimj.201400125")</f>
        <v>http://dx.doi.org/10.1002/bimj.201400125</v>
      </c>
      <c r="BG183" s="1" t="s">
        <v>74</v>
      </c>
      <c r="BH183" s="1" t="s">
        <v>74</v>
      </c>
      <c r="BI183" s="1" t="s">
        <v>74</v>
      </c>
      <c r="BJ183" s="1" t="s">
        <v>74</v>
      </c>
      <c r="BK183" s="1" t="s">
        <v>74</v>
      </c>
      <c r="BL183" s="1" t="s">
        <v>74</v>
      </c>
      <c r="BM183" s="1" t="s">
        <v>74</v>
      </c>
      <c r="BN183" s="1">
        <v>2.6153049E7</v>
      </c>
      <c r="BO183" s="1" t="s">
        <v>74</v>
      </c>
      <c r="BP183" s="1" t="s">
        <v>74</v>
      </c>
      <c r="BQ183" s="1" t="s">
        <v>74</v>
      </c>
      <c r="BR183" s="1" t="s">
        <v>74</v>
      </c>
      <c r="BS183" s="1" t="s">
        <v>1994</v>
      </c>
      <c r="BT183" s="1" t="str">
        <f>HYPERLINK("https%3A%2F%2Fwww.webofscience.com%2Fwos%2Fwoscc%2Ffull-record%2FWOS:000363419700004","View Full Record in Web of Science")</f>
        <v>View Full Record in Web of Science</v>
      </c>
    </row>
    <row r="184" ht="12.75" customHeight="1">
      <c r="A184" s="1" t="s">
        <v>72</v>
      </c>
      <c r="B184" s="1" t="s">
        <v>1995</v>
      </c>
      <c r="C184" s="1" t="s">
        <v>74</v>
      </c>
      <c r="D184" s="1" t="s">
        <v>74</v>
      </c>
      <c r="E184" s="1" t="s">
        <v>74</v>
      </c>
      <c r="F184" s="1" t="s">
        <v>1996</v>
      </c>
      <c r="G184" s="1" t="s">
        <v>74</v>
      </c>
      <c r="H184" s="1" t="s">
        <v>74</v>
      </c>
      <c r="I184" s="1" t="s">
        <v>1997</v>
      </c>
      <c r="J184" s="1" t="s">
        <v>1517</v>
      </c>
      <c r="K184" s="1" t="s">
        <v>74</v>
      </c>
      <c r="L184" s="1" t="s">
        <v>74</v>
      </c>
      <c r="M184" s="1" t="s">
        <v>74</v>
      </c>
      <c r="N184" s="1" t="s">
        <v>74</v>
      </c>
      <c r="O184" s="1" t="s">
        <v>74</v>
      </c>
      <c r="P184" s="1" t="s">
        <v>74</v>
      </c>
      <c r="Q184" s="1" t="s">
        <v>74</v>
      </c>
      <c r="R184" s="1" t="s">
        <v>74</v>
      </c>
      <c r="S184" s="1" t="s">
        <v>74</v>
      </c>
      <c r="T184" s="1" t="s">
        <v>74</v>
      </c>
      <c r="U184" s="1" t="s">
        <v>74</v>
      </c>
      <c r="V184" s="1" t="s">
        <v>1998</v>
      </c>
      <c r="W184" s="1" t="s">
        <v>74</v>
      </c>
      <c r="X184" s="1" t="s">
        <v>74</v>
      </c>
      <c r="Y184" s="1" t="s">
        <v>74</v>
      </c>
      <c r="Z184" s="1" t="s">
        <v>74</v>
      </c>
      <c r="AA184" s="1" t="s">
        <v>1999</v>
      </c>
      <c r="AB184" s="1" t="s">
        <v>1974</v>
      </c>
      <c r="AC184" s="1" t="s">
        <v>74</v>
      </c>
      <c r="AD184" s="1" t="s">
        <v>74</v>
      </c>
      <c r="AE184" s="1" t="s">
        <v>74</v>
      </c>
      <c r="AF184" s="1" t="s">
        <v>74</v>
      </c>
      <c r="AG184" s="1" t="s">
        <v>74</v>
      </c>
      <c r="AH184" s="1" t="s">
        <v>74</v>
      </c>
      <c r="AI184" s="1" t="s">
        <v>74</v>
      </c>
      <c r="AJ184" s="1" t="s">
        <v>74</v>
      </c>
      <c r="AK184" s="1" t="s">
        <v>74</v>
      </c>
      <c r="AL184" s="1" t="s">
        <v>74</v>
      </c>
      <c r="AM184" s="1" t="s">
        <v>74</v>
      </c>
      <c r="AN184" s="1" t="s">
        <v>74</v>
      </c>
      <c r="AO184" s="1" t="s">
        <v>1521</v>
      </c>
      <c r="AP184" s="1" t="s">
        <v>1522</v>
      </c>
      <c r="AQ184" s="1" t="s">
        <v>74</v>
      </c>
      <c r="AR184" s="1" t="s">
        <v>74</v>
      </c>
      <c r="AS184" s="1" t="s">
        <v>74</v>
      </c>
      <c r="AT184" s="1" t="s">
        <v>2000</v>
      </c>
      <c r="AU184" s="1">
        <v>2013.0</v>
      </c>
      <c r="AV184" s="1">
        <v>89.0</v>
      </c>
      <c r="AW184" s="1">
        <v>6.0</v>
      </c>
      <c r="AX184" s="1" t="s">
        <v>74</v>
      </c>
      <c r="AY184" s="1" t="s">
        <v>74</v>
      </c>
      <c r="AZ184" s="1" t="s">
        <v>74</v>
      </c>
      <c r="BA184" s="1" t="s">
        <v>74</v>
      </c>
      <c r="BB184" s="1">
        <v>559.0</v>
      </c>
      <c r="BC184" s="1">
        <v>566.0</v>
      </c>
      <c r="BD184" s="1" t="s">
        <v>74</v>
      </c>
      <c r="BE184" s="1" t="s">
        <v>2001</v>
      </c>
      <c r="BF184" s="2" t="str">
        <f>HYPERLINK("http://dx.doi.org/10.1016/j.jped.2013.04.004","http://dx.doi.org/10.1016/j.jped.2013.04.004")</f>
        <v>http://dx.doi.org/10.1016/j.jped.2013.04.004</v>
      </c>
      <c r="BG184" s="1" t="s">
        <v>74</v>
      </c>
      <c r="BH184" s="1" t="s">
        <v>74</v>
      </c>
      <c r="BI184" s="1" t="s">
        <v>74</v>
      </c>
      <c r="BJ184" s="1" t="s">
        <v>74</v>
      </c>
      <c r="BK184" s="1" t="s">
        <v>74</v>
      </c>
      <c r="BL184" s="1" t="s">
        <v>74</v>
      </c>
      <c r="BM184" s="1" t="s">
        <v>74</v>
      </c>
      <c r="BN184" s="1">
        <v>2.4035876E7</v>
      </c>
      <c r="BO184" s="1" t="s">
        <v>74</v>
      </c>
      <c r="BP184" s="1" t="s">
        <v>74</v>
      </c>
      <c r="BQ184" s="1" t="s">
        <v>74</v>
      </c>
      <c r="BR184" s="1" t="s">
        <v>74</v>
      </c>
      <c r="BS184" s="1" t="s">
        <v>2002</v>
      </c>
      <c r="BT184" s="1" t="str">
        <f>HYPERLINK("https%3A%2F%2Fwww.webofscience.com%2Fwos%2Fwoscc%2Ffull-record%2FWOS:000328910100008","View Full Record in Web of Science")</f>
        <v>View Full Record in Web of Science</v>
      </c>
    </row>
    <row r="185" ht="12.75" customHeight="1">
      <c r="A185" s="1" t="s">
        <v>72</v>
      </c>
      <c r="B185" s="1" t="s">
        <v>2003</v>
      </c>
      <c r="C185" s="1" t="s">
        <v>74</v>
      </c>
      <c r="D185" s="1" t="s">
        <v>74</v>
      </c>
      <c r="E185" s="1" t="s">
        <v>74</v>
      </c>
      <c r="F185" s="1" t="s">
        <v>2004</v>
      </c>
      <c r="G185" s="1" t="s">
        <v>74</v>
      </c>
      <c r="H185" s="1" t="s">
        <v>74</v>
      </c>
      <c r="I185" s="1" t="s">
        <v>2005</v>
      </c>
      <c r="J185" s="1" t="s">
        <v>2006</v>
      </c>
      <c r="K185" s="1" t="s">
        <v>74</v>
      </c>
      <c r="L185" s="1" t="s">
        <v>74</v>
      </c>
      <c r="M185" s="1" t="s">
        <v>74</v>
      </c>
      <c r="N185" s="1" t="s">
        <v>74</v>
      </c>
      <c r="O185" s="1" t="s">
        <v>74</v>
      </c>
      <c r="P185" s="1" t="s">
        <v>74</v>
      </c>
      <c r="Q185" s="1" t="s">
        <v>74</v>
      </c>
      <c r="R185" s="1" t="s">
        <v>74</v>
      </c>
      <c r="S185" s="1" t="s">
        <v>74</v>
      </c>
      <c r="T185" s="1" t="s">
        <v>74</v>
      </c>
      <c r="U185" s="1" t="s">
        <v>74</v>
      </c>
      <c r="V185" s="1" t="s">
        <v>2007</v>
      </c>
      <c r="W185" s="1" t="s">
        <v>74</v>
      </c>
      <c r="X185" s="1" t="s">
        <v>74</v>
      </c>
      <c r="Y185" s="1" t="s">
        <v>74</v>
      </c>
      <c r="Z185" s="1" t="s">
        <v>74</v>
      </c>
      <c r="AA185" s="1" t="s">
        <v>2008</v>
      </c>
      <c r="AB185" s="1" t="s">
        <v>74</v>
      </c>
      <c r="AC185" s="1" t="s">
        <v>74</v>
      </c>
      <c r="AD185" s="1" t="s">
        <v>74</v>
      </c>
      <c r="AE185" s="1" t="s">
        <v>74</v>
      </c>
      <c r="AF185" s="1" t="s">
        <v>74</v>
      </c>
      <c r="AG185" s="1" t="s">
        <v>74</v>
      </c>
      <c r="AH185" s="1" t="s">
        <v>74</v>
      </c>
      <c r="AI185" s="1" t="s">
        <v>74</v>
      </c>
      <c r="AJ185" s="1" t="s">
        <v>74</v>
      </c>
      <c r="AK185" s="1" t="s">
        <v>74</v>
      </c>
      <c r="AL185" s="1" t="s">
        <v>74</v>
      </c>
      <c r="AM185" s="1" t="s">
        <v>74</v>
      </c>
      <c r="AN185" s="1" t="s">
        <v>74</v>
      </c>
      <c r="AO185" s="1" t="s">
        <v>2009</v>
      </c>
      <c r="AP185" s="1" t="s">
        <v>74</v>
      </c>
      <c r="AQ185" s="1" t="s">
        <v>74</v>
      </c>
      <c r="AR185" s="1" t="s">
        <v>74</v>
      </c>
      <c r="AS185" s="1" t="s">
        <v>74</v>
      </c>
      <c r="AT185" s="1" t="s">
        <v>158</v>
      </c>
      <c r="AU185" s="1">
        <v>2013.0</v>
      </c>
      <c r="AV185" s="1">
        <v>12.0</v>
      </c>
      <c r="AW185" s="1">
        <v>4.0</v>
      </c>
      <c r="AX185" s="1" t="s">
        <v>74</v>
      </c>
      <c r="AY185" s="1" t="s">
        <v>74</v>
      </c>
      <c r="AZ185" s="1" t="s">
        <v>74</v>
      </c>
      <c r="BA185" s="1" t="s">
        <v>74</v>
      </c>
      <c r="BB185" s="1">
        <v>1547.0</v>
      </c>
      <c r="BC185" s="1">
        <v>1568.0</v>
      </c>
      <c r="BD185" s="1" t="s">
        <v>74</v>
      </c>
      <c r="BE185" s="1" t="s">
        <v>2010</v>
      </c>
      <c r="BF185" s="2" t="str">
        <f>HYPERLINK("http://dx.doi.org/10.3934/cpaa.2013.12.1547","http://dx.doi.org/10.3934/cpaa.2013.12.1547")</f>
        <v>http://dx.doi.org/10.3934/cpaa.2013.12.1547</v>
      </c>
      <c r="BG185" s="1" t="s">
        <v>74</v>
      </c>
      <c r="BH185" s="1" t="s">
        <v>74</v>
      </c>
      <c r="BI185" s="1" t="s">
        <v>74</v>
      </c>
      <c r="BJ185" s="1" t="s">
        <v>74</v>
      </c>
      <c r="BK185" s="1" t="s">
        <v>74</v>
      </c>
      <c r="BL185" s="1" t="s">
        <v>74</v>
      </c>
      <c r="BM185" s="1" t="s">
        <v>74</v>
      </c>
      <c r="BN185" s="1" t="s">
        <v>74</v>
      </c>
      <c r="BO185" s="1" t="s">
        <v>74</v>
      </c>
      <c r="BP185" s="1" t="s">
        <v>74</v>
      </c>
      <c r="BQ185" s="1" t="s">
        <v>74</v>
      </c>
      <c r="BR185" s="1" t="s">
        <v>74</v>
      </c>
      <c r="BS185" s="1" t="s">
        <v>2011</v>
      </c>
      <c r="BT185" s="1" t="str">
        <f>HYPERLINK("https%3A%2F%2Fwww.webofscience.com%2Fwos%2Fwoscc%2Ffull-record%2FWOS:000313274100003","View Full Record in Web of Science")</f>
        <v>View Full Record in Web of Science</v>
      </c>
    </row>
    <row r="186" ht="12.75" customHeight="1">
      <c r="A186" s="1" t="s">
        <v>72</v>
      </c>
      <c r="B186" s="1" t="s">
        <v>2012</v>
      </c>
      <c r="C186" s="1" t="s">
        <v>74</v>
      </c>
      <c r="D186" s="1" t="s">
        <v>74</v>
      </c>
      <c r="E186" s="1" t="s">
        <v>74</v>
      </c>
      <c r="F186" s="1" t="s">
        <v>2013</v>
      </c>
      <c r="G186" s="1" t="s">
        <v>74</v>
      </c>
      <c r="H186" s="1" t="s">
        <v>74</v>
      </c>
      <c r="I186" s="1" t="s">
        <v>2014</v>
      </c>
      <c r="J186" s="1" t="s">
        <v>2015</v>
      </c>
      <c r="K186" s="1" t="s">
        <v>74</v>
      </c>
      <c r="L186" s="1" t="s">
        <v>74</v>
      </c>
      <c r="M186" s="1" t="s">
        <v>74</v>
      </c>
      <c r="N186" s="1" t="s">
        <v>74</v>
      </c>
      <c r="O186" s="1" t="s">
        <v>74</v>
      </c>
      <c r="P186" s="1" t="s">
        <v>74</v>
      </c>
      <c r="Q186" s="1" t="s">
        <v>74</v>
      </c>
      <c r="R186" s="1" t="s">
        <v>74</v>
      </c>
      <c r="S186" s="1" t="s">
        <v>74</v>
      </c>
      <c r="T186" s="1" t="s">
        <v>74</v>
      </c>
      <c r="U186" s="1" t="s">
        <v>74</v>
      </c>
      <c r="V186" s="1" t="s">
        <v>2016</v>
      </c>
      <c r="W186" s="1" t="s">
        <v>74</v>
      </c>
      <c r="X186" s="1" t="s">
        <v>74</v>
      </c>
      <c r="Y186" s="1" t="s">
        <v>74</v>
      </c>
      <c r="Z186" s="1" t="s">
        <v>74</v>
      </c>
      <c r="AA186" s="1" t="s">
        <v>2017</v>
      </c>
      <c r="AB186" s="1" t="s">
        <v>2018</v>
      </c>
      <c r="AC186" s="1" t="s">
        <v>74</v>
      </c>
      <c r="AD186" s="1" t="s">
        <v>74</v>
      </c>
      <c r="AE186" s="1" t="s">
        <v>74</v>
      </c>
      <c r="AF186" s="1" t="s">
        <v>74</v>
      </c>
      <c r="AG186" s="1" t="s">
        <v>74</v>
      </c>
      <c r="AH186" s="1" t="s">
        <v>74</v>
      </c>
      <c r="AI186" s="1" t="s">
        <v>74</v>
      </c>
      <c r="AJ186" s="1" t="s">
        <v>74</v>
      </c>
      <c r="AK186" s="1" t="s">
        <v>74</v>
      </c>
      <c r="AL186" s="1" t="s">
        <v>74</v>
      </c>
      <c r="AM186" s="1" t="s">
        <v>74</v>
      </c>
      <c r="AN186" s="1" t="s">
        <v>74</v>
      </c>
      <c r="AO186" s="1" t="s">
        <v>2019</v>
      </c>
      <c r="AP186" s="1" t="s">
        <v>2020</v>
      </c>
      <c r="AQ186" s="1" t="s">
        <v>74</v>
      </c>
      <c r="AR186" s="1" t="s">
        <v>74</v>
      </c>
      <c r="AS186" s="1" t="s">
        <v>74</v>
      </c>
      <c r="AT186" s="1" t="s">
        <v>158</v>
      </c>
      <c r="AU186" s="1">
        <v>2013.0</v>
      </c>
      <c r="AV186" s="1">
        <v>70.0</v>
      </c>
      <c r="AW186" s="1">
        <v>7.0</v>
      </c>
      <c r="AX186" s="1" t="s">
        <v>74</v>
      </c>
      <c r="AY186" s="1" t="s">
        <v>74</v>
      </c>
      <c r="AZ186" s="1" t="s">
        <v>74</v>
      </c>
      <c r="BA186" s="1" t="s">
        <v>74</v>
      </c>
      <c r="BB186" s="1">
        <v>2111.0</v>
      </c>
      <c r="BC186" s="1">
        <v>2123.0</v>
      </c>
      <c r="BD186" s="1" t="s">
        <v>74</v>
      </c>
      <c r="BE186" s="1" t="s">
        <v>2021</v>
      </c>
      <c r="BF186" s="2" t="str">
        <f>HYPERLINK("http://dx.doi.org/10.1007/s00289-013-0935-y","http://dx.doi.org/10.1007/s00289-013-0935-y")</f>
        <v>http://dx.doi.org/10.1007/s00289-013-0935-y</v>
      </c>
      <c r="BG186" s="1" t="s">
        <v>74</v>
      </c>
      <c r="BH186" s="1" t="s">
        <v>74</v>
      </c>
      <c r="BI186" s="1" t="s">
        <v>74</v>
      </c>
      <c r="BJ186" s="1" t="s">
        <v>74</v>
      </c>
      <c r="BK186" s="1" t="s">
        <v>74</v>
      </c>
      <c r="BL186" s="1" t="s">
        <v>74</v>
      </c>
      <c r="BM186" s="1" t="s">
        <v>74</v>
      </c>
      <c r="BN186" s="1" t="s">
        <v>74</v>
      </c>
      <c r="BO186" s="1" t="s">
        <v>74</v>
      </c>
      <c r="BP186" s="1" t="s">
        <v>74</v>
      </c>
      <c r="BQ186" s="1" t="s">
        <v>74</v>
      </c>
      <c r="BR186" s="1" t="s">
        <v>74</v>
      </c>
      <c r="BS186" s="1" t="s">
        <v>2022</v>
      </c>
      <c r="BT186" s="1" t="str">
        <f>HYPERLINK("https%3A%2F%2Fwww.webofscience.com%2Fwos%2Fwoscc%2Ffull-record%2FWOS:000319884300011","View Full Record in Web of Science")</f>
        <v>View Full Record in Web of Science</v>
      </c>
    </row>
    <row r="187" ht="12.75" customHeight="1">
      <c r="A187" s="1" t="s">
        <v>72</v>
      </c>
      <c r="B187" s="1" t="s">
        <v>2023</v>
      </c>
      <c r="C187" s="1" t="s">
        <v>74</v>
      </c>
      <c r="D187" s="1" t="s">
        <v>74</v>
      </c>
      <c r="E187" s="1" t="s">
        <v>74</v>
      </c>
      <c r="F187" s="1" t="s">
        <v>2024</v>
      </c>
      <c r="G187" s="1" t="s">
        <v>74</v>
      </c>
      <c r="H187" s="1" t="s">
        <v>74</v>
      </c>
      <c r="I187" s="1" t="s">
        <v>2025</v>
      </c>
      <c r="J187" s="1" t="s">
        <v>2026</v>
      </c>
      <c r="K187" s="1" t="s">
        <v>74</v>
      </c>
      <c r="L187" s="1" t="s">
        <v>74</v>
      </c>
      <c r="M187" s="1" t="s">
        <v>74</v>
      </c>
      <c r="N187" s="1" t="s">
        <v>74</v>
      </c>
      <c r="O187" s="1" t="s">
        <v>74</v>
      </c>
      <c r="P187" s="1" t="s">
        <v>74</v>
      </c>
      <c r="Q187" s="1" t="s">
        <v>74</v>
      </c>
      <c r="R187" s="1" t="s">
        <v>74</v>
      </c>
      <c r="S187" s="1" t="s">
        <v>74</v>
      </c>
      <c r="T187" s="1" t="s">
        <v>74</v>
      </c>
      <c r="U187" s="1" t="s">
        <v>74</v>
      </c>
      <c r="V187" s="1" t="s">
        <v>2027</v>
      </c>
      <c r="W187" s="1" t="s">
        <v>74</v>
      </c>
      <c r="X187" s="1" t="s">
        <v>74</v>
      </c>
      <c r="Y187" s="1" t="s">
        <v>74</v>
      </c>
      <c r="Z187" s="1" t="s">
        <v>74</v>
      </c>
      <c r="AA187" s="1" t="s">
        <v>2028</v>
      </c>
      <c r="AB187" s="1" t="s">
        <v>2029</v>
      </c>
      <c r="AC187" s="1" t="s">
        <v>74</v>
      </c>
      <c r="AD187" s="1" t="s">
        <v>74</v>
      </c>
      <c r="AE187" s="1" t="s">
        <v>74</v>
      </c>
      <c r="AF187" s="1" t="s">
        <v>74</v>
      </c>
      <c r="AG187" s="1" t="s">
        <v>74</v>
      </c>
      <c r="AH187" s="1" t="s">
        <v>74</v>
      </c>
      <c r="AI187" s="1" t="s">
        <v>74</v>
      </c>
      <c r="AJ187" s="1" t="s">
        <v>74</v>
      </c>
      <c r="AK187" s="1" t="s">
        <v>74</v>
      </c>
      <c r="AL187" s="1" t="s">
        <v>74</v>
      </c>
      <c r="AM187" s="1" t="s">
        <v>74</v>
      </c>
      <c r="AN187" s="1" t="s">
        <v>74</v>
      </c>
      <c r="AO187" s="1" t="s">
        <v>2030</v>
      </c>
      <c r="AP187" s="1" t="s">
        <v>74</v>
      </c>
      <c r="AQ187" s="1" t="s">
        <v>74</v>
      </c>
      <c r="AR187" s="1" t="s">
        <v>74</v>
      </c>
      <c r="AS187" s="1" t="s">
        <v>74</v>
      </c>
      <c r="AT187" s="1" t="s">
        <v>444</v>
      </c>
      <c r="AU187" s="1">
        <v>2012.0</v>
      </c>
      <c r="AV187" s="1">
        <v>25.0</v>
      </c>
      <c r="AW187" s="1" t="s">
        <v>2031</v>
      </c>
      <c r="AX187" s="1" t="s">
        <v>74</v>
      </c>
      <c r="AY187" s="1" t="s">
        <v>74</v>
      </c>
      <c r="AZ187" s="1" t="s">
        <v>74</v>
      </c>
      <c r="BA187" s="1" t="s">
        <v>74</v>
      </c>
      <c r="BB187" s="1">
        <v>657.0</v>
      </c>
      <c r="BC187" s="1">
        <v>664.0</v>
      </c>
      <c r="BD187" s="1" t="s">
        <v>74</v>
      </c>
      <c r="BE187" s="1" t="s">
        <v>74</v>
      </c>
      <c r="BF187" s="1" t="s">
        <v>74</v>
      </c>
      <c r="BG187" s="1" t="s">
        <v>74</v>
      </c>
      <c r="BH187" s="1" t="s">
        <v>74</v>
      </c>
      <c r="BI187" s="1" t="s">
        <v>74</v>
      </c>
      <c r="BJ187" s="1" t="s">
        <v>74</v>
      </c>
      <c r="BK187" s="1" t="s">
        <v>74</v>
      </c>
      <c r="BL187" s="1" t="s">
        <v>74</v>
      </c>
      <c r="BM187" s="1" t="s">
        <v>74</v>
      </c>
      <c r="BN187" s="1" t="s">
        <v>74</v>
      </c>
      <c r="BO187" s="1" t="s">
        <v>74</v>
      </c>
      <c r="BP187" s="1" t="s">
        <v>74</v>
      </c>
      <c r="BQ187" s="1" t="s">
        <v>74</v>
      </c>
      <c r="BR187" s="1" t="s">
        <v>74</v>
      </c>
      <c r="BS187" s="1" t="s">
        <v>2032</v>
      </c>
      <c r="BT187" s="1" t="str">
        <f>HYPERLINK("https%3A%2F%2Fwww.webofscience.com%2Fwos%2Fwoscc%2Ffull-record%2FWOS:000305163600005","View Full Record in Web of Science")</f>
        <v>View Full Record in Web of Science</v>
      </c>
    </row>
    <row r="188" ht="12.75" customHeight="1">
      <c r="A188" s="1" t="s">
        <v>72</v>
      </c>
      <c r="B188" s="1" t="s">
        <v>2033</v>
      </c>
      <c r="C188" s="1" t="s">
        <v>74</v>
      </c>
      <c r="D188" s="1" t="s">
        <v>74</v>
      </c>
      <c r="E188" s="1" t="s">
        <v>74</v>
      </c>
      <c r="F188" s="1" t="s">
        <v>2034</v>
      </c>
      <c r="G188" s="1" t="s">
        <v>74</v>
      </c>
      <c r="H188" s="1" t="s">
        <v>74</v>
      </c>
      <c r="I188" s="1" t="s">
        <v>2035</v>
      </c>
      <c r="J188" s="1" t="s">
        <v>2036</v>
      </c>
      <c r="K188" s="1" t="s">
        <v>74</v>
      </c>
      <c r="L188" s="1" t="s">
        <v>74</v>
      </c>
      <c r="M188" s="1" t="s">
        <v>74</v>
      </c>
      <c r="N188" s="1" t="s">
        <v>74</v>
      </c>
      <c r="O188" s="1" t="s">
        <v>74</v>
      </c>
      <c r="P188" s="1" t="s">
        <v>74</v>
      </c>
      <c r="Q188" s="1" t="s">
        <v>74</v>
      </c>
      <c r="R188" s="1" t="s">
        <v>74</v>
      </c>
      <c r="S188" s="1" t="s">
        <v>74</v>
      </c>
      <c r="T188" s="1" t="s">
        <v>74</v>
      </c>
      <c r="U188" s="1" t="s">
        <v>74</v>
      </c>
      <c r="V188" s="1" t="s">
        <v>2037</v>
      </c>
      <c r="W188" s="1" t="s">
        <v>74</v>
      </c>
      <c r="X188" s="1" t="s">
        <v>74</v>
      </c>
      <c r="Y188" s="1" t="s">
        <v>74</v>
      </c>
      <c r="Z188" s="1" t="s">
        <v>74</v>
      </c>
      <c r="AA188" s="1" t="s">
        <v>2038</v>
      </c>
      <c r="AB188" s="1" t="s">
        <v>2039</v>
      </c>
      <c r="AC188" s="1" t="s">
        <v>74</v>
      </c>
      <c r="AD188" s="1" t="s">
        <v>74</v>
      </c>
      <c r="AE188" s="1" t="s">
        <v>74</v>
      </c>
      <c r="AF188" s="1" t="s">
        <v>74</v>
      </c>
      <c r="AG188" s="1" t="s">
        <v>74</v>
      </c>
      <c r="AH188" s="1" t="s">
        <v>74</v>
      </c>
      <c r="AI188" s="1" t="s">
        <v>74</v>
      </c>
      <c r="AJ188" s="1" t="s">
        <v>74</v>
      </c>
      <c r="AK188" s="1" t="s">
        <v>74</v>
      </c>
      <c r="AL188" s="1" t="s">
        <v>74</v>
      </c>
      <c r="AM188" s="1" t="s">
        <v>74</v>
      </c>
      <c r="AN188" s="1" t="s">
        <v>74</v>
      </c>
      <c r="AO188" s="1" t="s">
        <v>2040</v>
      </c>
      <c r="AP188" s="1" t="s">
        <v>2041</v>
      </c>
      <c r="AQ188" s="1" t="s">
        <v>74</v>
      </c>
      <c r="AR188" s="1" t="s">
        <v>74</v>
      </c>
      <c r="AS188" s="1" t="s">
        <v>74</v>
      </c>
      <c r="AT188" s="1" t="s">
        <v>180</v>
      </c>
      <c r="AU188" s="1">
        <v>2010.0</v>
      </c>
      <c r="AV188" s="1">
        <v>49.0</v>
      </c>
      <c r="AW188" s="1">
        <v>3.0</v>
      </c>
      <c r="AX188" s="1" t="s">
        <v>74</v>
      </c>
      <c r="AY188" s="1" t="s">
        <v>74</v>
      </c>
      <c r="AZ188" s="1" t="s">
        <v>74</v>
      </c>
      <c r="BA188" s="1" t="s">
        <v>74</v>
      </c>
      <c r="BB188" s="1">
        <v>381.0</v>
      </c>
      <c r="BC188" s="1">
        <v>391.0</v>
      </c>
      <c r="BD188" s="1" t="s">
        <v>74</v>
      </c>
      <c r="BE188" s="1" t="s">
        <v>74</v>
      </c>
      <c r="BF188" s="1" t="s">
        <v>74</v>
      </c>
      <c r="BG188" s="1" t="s">
        <v>74</v>
      </c>
      <c r="BH188" s="1" t="s">
        <v>74</v>
      </c>
      <c r="BI188" s="1" t="s">
        <v>74</v>
      </c>
      <c r="BJ188" s="1" t="s">
        <v>74</v>
      </c>
      <c r="BK188" s="1" t="s">
        <v>74</v>
      </c>
      <c r="BL188" s="1" t="s">
        <v>74</v>
      </c>
      <c r="BM188" s="1" t="s">
        <v>74</v>
      </c>
      <c r="BN188" s="1" t="s">
        <v>74</v>
      </c>
      <c r="BO188" s="1" t="s">
        <v>74</v>
      </c>
      <c r="BP188" s="1" t="s">
        <v>74</v>
      </c>
      <c r="BQ188" s="1" t="s">
        <v>74</v>
      </c>
      <c r="BR188" s="1" t="s">
        <v>74</v>
      </c>
      <c r="BS188" s="1" t="s">
        <v>2042</v>
      </c>
      <c r="BT188" s="1" t="str">
        <f>HYPERLINK("https%3A%2F%2Fwww.webofscience.com%2Fwos%2Fwoscc%2Ffull-record%2FWOS:000277820800011","View Full Record in Web of Science")</f>
        <v>View Full Record in Web of Science</v>
      </c>
    </row>
    <row r="189" ht="12.75" customHeight="1">
      <c r="A189" s="1" t="s">
        <v>72</v>
      </c>
      <c r="B189" s="1" t="s">
        <v>2043</v>
      </c>
      <c r="C189" s="1" t="s">
        <v>74</v>
      </c>
      <c r="D189" s="1" t="s">
        <v>74</v>
      </c>
      <c r="E189" s="1" t="s">
        <v>74</v>
      </c>
      <c r="F189" s="1" t="s">
        <v>2044</v>
      </c>
      <c r="G189" s="1" t="s">
        <v>74</v>
      </c>
      <c r="H189" s="1" t="s">
        <v>74</v>
      </c>
      <c r="I189" s="1" t="s">
        <v>2045</v>
      </c>
      <c r="J189" s="1" t="s">
        <v>2046</v>
      </c>
      <c r="K189" s="1" t="s">
        <v>74</v>
      </c>
      <c r="L189" s="1" t="s">
        <v>74</v>
      </c>
      <c r="M189" s="1" t="s">
        <v>74</v>
      </c>
      <c r="N189" s="1" t="s">
        <v>74</v>
      </c>
      <c r="O189" s="1" t="s">
        <v>2047</v>
      </c>
      <c r="P189" s="1" t="s">
        <v>2048</v>
      </c>
      <c r="Q189" s="1" t="s">
        <v>2049</v>
      </c>
      <c r="R189" s="1" t="s">
        <v>74</v>
      </c>
      <c r="S189" s="1" t="s">
        <v>74</v>
      </c>
      <c r="T189" s="1" t="s">
        <v>74</v>
      </c>
      <c r="U189" s="1" t="s">
        <v>74</v>
      </c>
      <c r="V189" s="1" t="s">
        <v>2050</v>
      </c>
      <c r="W189" s="1" t="s">
        <v>74</v>
      </c>
      <c r="X189" s="1" t="s">
        <v>74</v>
      </c>
      <c r="Y189" s="1" t="s">
        <v>74</v>
      </c>
      <c r="Z189" s="1" t="s">
        <v>74</v>
      </c>
      <c r="AA189" s="1" t="s">
        <v>2051</v>
      </c>
      <c r="AB189" s="1" t="s">
        <v>2052</v>
      </c>
      <c r="AC189" s="1" t="s">
        <v>74</v>
      </c>
      <c r="AD189" s="1" t="s">
        <v>74</v>
      </c>
      <c r="AE189" s="1" t="s">
        <v>74</v>
      </c>
      <c r="AF189" s="1" t="s">
        <v>74</v>
      </c>
      <c r="AG189" s="1" t="s">
        <v>74</v>
      </c>
      <c r="AH189" s="1" t="s">
        <v>74</v>
      </c>
      <c r="AI189" s="1" t="s">
        <v>74</v>
      </c>
      <c r="AJ189" s="1" t="s">
        <v>74</v>
      </c>
      <c r="AK189" s="1" t="s">
        <v>74</v>
      </c>
      <c r="AL189" s="1" t="s">
        <v>74</v>
      </c>
      <c r="AM189" s="1" t="s">
        <v>74</v>
      </c>
      <c r="AN189" s="1" t="s">
        <v>74</v>
      </c>
      <c r="AO189" s="1" t="s">
        <v>2053</v>
      </c>
      <c r="AP189" s="1" t="s">
        <v>2054</v>
      </c>
      <c r="AQ189" s="1" t="s">
        <v>74</v>
      </c>
      <c r="AR189" s="1" t="s">
        <v>74</v>
      </c>
      <c r="AS189" s="1" t="s">
        <v>74</v>
      </c>
      <c r="AT189" s="1" t="s">
        <v>235</v>
      </c>
      <c r="AU189" s="1">
        <v>2010.0</v>
      </c>
      <c r="AV189" s="1">
        <v>20.0</v>
      </c>
      <c r="AW189" s="1">
        <v>2.0</v>
      </c>
      <c r="AX189" s="1" t="s">
        <v>74</v>
      </c>
      <c r="AY189" s="1" t="s">
        <v>74</v>
      </c>
      <c r="AZ189" s="1" t="s">
        <v>74</v>
      </c>
      <c r="BA189" s="1" t="s">
        <v>74</v>
      </c>
      <c r="BB189" s="1">
        <v>235.0</v>
      </c>
      <c r="BC189" s="1">
        <v>242.0</v>
      </c>
      <c r="BD189" s="1" t="s">
        <v>74</v>
      </c>
      <c r="BE189" s="1" t="s">
        <v>2055</v>
      </c>
      <c r="BF189" s="2" t="str">
        <f>HYPERLINK("http://dx.doi.org/10.1142/S0218127410025673","http://dx.doi.org/10.1142/S0218127410025673")</f>
        <v>http://dx.doi.org/10.1142/S0218127410025673</v>
      </c>
      <c r="BG189" s="1" t="s">
        <v>74</v>
      </c>
      <c r="BH189" s="1" t="s">
        <v>74</v>
      </c>
      <c r="BI189" s="1" t="s">
        <v>74</v>
      </c>
      <c r="BJ189" s="1" t="s">
        <v>74</v>
      </c>
      <c r="BK189" s="1" t="s">
        <v>74</v>
      </c>
      <c r="BL189" s="1" t="s">
        <v>74</v>
      </c>
      <c r="BM189" s="1" t="s">
        <v>74</v>
      </c>
      <c r="BN189" s="1" t="s">
        <v>74</v>
      </c>
      <c r="BO189" s="1" t="s">
        <v>74</v>
      </c>
      <c r="BP189" s="1" t="s">
        <v>74</v>
      </c>
      <c r="BQ189" s="1" t="s">
        <v>74</v>
      </c>
      <c r="BR189" s="1" t="s">
        <v>74</v>
      </c>
      <c r="BS189" s="1" t="s">
        <v>2056</v>
      </c>
      <c r="BT189" s="1" t="str">
        <f>HYPERLINK("https%3A%2F%2Fwww.webofscience.com%2Fwos%2Fwoscc%2Ffull-record%2FWOS:000276977400005","View Full Record in Web of Science")</f>
        <v>View Full Record in Web of Science</v>
      </c>
    </row>
    <row r="190" ht="12.75" customHeight="1">
      <c r="A190" s="1" t="s">
        <v>72</v>
      </c>
      <c r="B190" s="1" t="s">
        <v>2057</v>
      </c>
      <c r="C190" s="1" t="s">
        <v>74</v>
      </c>
      <c r="D190" s="1" t="s">
        <v>74</v>
      </c>
      <c r="E190" s="1" t="s">
        <v>74</v>
      </c>
      <c r="F190" s="1" t="s">
        <v>2058</v>
      </c>
      <c r="G190" s="1" t="s">
        <v>74</v>
      </c>
      <c r="H190" s="1" t="s">
        <v>74</v>
      </c>
      <c r="I190" s="1" t="s">
        <v>2059</v>
      </c>
      <c r="J190" s="1" t="s">
        <v>2060</v>
      </c>
      <c r="K190" s="1" t="s">
        <v>74</v>
      </c>
      <c r="L190" s="1" t="s">
        <v>74</v>
      </c>
      <c r="M190" s="1" t="s">
        <v>74</v>
      </c>
      <c r="N190" s="1" t="s">
        <v>74</v>
      </c>
      <c r="O190" s="1" t="s">
        <v>74</v>
      </c>
      <c r="P190" s="1" t="s">
        <v>74</v>
      </c>
      <c r="Q190" s="1" t="s">
        <v>74</v>
      </c>
      <c r="R190" s="1" t="s">
        <v>74</v>
      </c>
      <c r="S190" s="1" t="s">
        <v>74</v>
      </c>
      <c r="T190" s="1" t="s">
        <v>74</v>
      </c>
      <c r="U190" s="1" t="s">
        <v>74</v>
      </c>
      <c r="V190" s="1" t="s">
        <v>2061</v>
      </c>
      <c r="W190" s="1" t="s">
        <v>74</v>
      </c>
      <c r="X190" s="1" t="s">
        <v>74</v>
      </c>
      <c r="Y190" s="1" t="s">
        <v>74</v>
      </c>
      <c r="Z190" s="1" t="s">
        <v>74</v>
      </c>
      <c r="AA190" s="1" t="s">
        <v>2062</v>
      </c>
      <c r="AB190" s="1" t="s">
        <v>1792</v>
      </c>
      <c r="AC190" s="1" t="s">
        <v>74</v>
      </c>
      <c r="AD190" s="1" t="s">
        <v>74</v>
      </c>
      <c r="AE190" s="1" t="s">
        <v>74</v>
      </c>
      <c r="AF190" s="1" t="s">
        <v>74</v>
      </c>
      <c r="AG190" s="1" t="s">
        <v>74</v>
      </c>
      <c r="AH190" s="1" t="s">
        <v>74</v>
      </c>
      <c r="AI190" s="1" t="s">
        <v>74</v>
      </c>
      <c r="AJ190" s="1" t="s">
        <v>74</v>
      </c>
      <c r="AK190" s="1" t="s">
        <v>74</v>
      </c>
      <c r="AL190" s="1" t="s">
        <v>74</v>
      </c>
      <c r="AM190" s="1" t="s">
        <v>74</v>
      </c>
      <c r="AN190" s="1" t="s">
        <v>74</v>
      </c>
      <c r="AO190" s="1" t="s">
        <v>2063</v>
      </c>
      <c r="AP190" s="1" t="s">
        <v>2064</v>
      </c>
      <c r="AQ190" s="1" t="s">
        <v>74</v>
      </c>
      <c r="AR190" s="1" t="s">
        <v>74</v>
      </c>
      <c r="AS190" s="1" t="s">
        <v>74</v>
      </c>
      <c r="AT190" s="1" t="s">
        <v>74</v>
      </c>
      <c r="AU190" s="1">
        <v>2010.0</v>
      </c>
      <c r="AV190" s="1">
        <v>2010.0</v>
      </c>
      <c r="AW190" s="1" t="s">
        <v>74</v>
      </c>
      <c r="AX190" s="1" t="s">
        <v>74</v>
      </c>
      <c r="AY190" s="1" t="s">
        <v>74</v>
      </c>
      <c r="AZ190" s="1" t="s">
        <v>74</v>
      </c>
      <c r="BA190" s="1" t="s">
        <v>74</v>
      </c>
      <c r="BB190" s="1" t="s">
        <v>74</v>
      </c>
      <c r="BC190" s="1" t="s">
        <v>74</v>
      </c>
      <c r="BD190" s="1">
        <v>196956.0</v>
      </c>
      <c r="BE190" s="1" t="s">
        <v>2065</v>
      </c>
      <c r="BF190" s="2" t="str">
        <f>HYPERLINK("http://dx.doi.org/10.1155/2010/196956","http://dx.doi.org/10.1155/2010/196956")</f>
        <v>http://dx.doi.org/10.1155/2010/196956</v>
      </c>
      <c r="BG190" s="1" t="s">
        <v>74</v>
      </c>
      <c r="BH190" s="1" t="s">
        <v>74</v>
      </c>
      <c r="BI190" s="1" t="s">
        <v>74</v>
      </c>
      <c r="BJ190" s="1" t="s">
        <v>74</v>
      </c>
      <c r="BK190" s="1" t="s">
        <v>74</v>
      </c>
      <c r="BL190" s="1" t="s">
        <v>74</v>
      </c>
      <c r="BM190" s="1" t="s">
        <v>74</v>
      </c>
      <c r="BN190" s="1" t="s">
        <v>74</v>
      </c>
      <c r="BO190" s="1" t="s">
        <v>74</v>
      </c>
      <c r="BP190" s="1" t="s">
        <v>74</v>
      </c>
      <c r="BQ190" s="1" t="s">
        <v>74</v>
      </c>
      <c r="BR190" s="1" t="s">
        <v>74</v>
      </c>
      <c r="BS190" s="1" t="s">
        <v>2066</v>
      </c>
      <c r="BT190" s="1" t="str">
        <f>HYPERLINK("https%3A%2F%2Fwww.webofscience.com%2Fwos%2Fwoscc%2Ffull-record%2FWOS:000277897700001","View Full Record in Web of Science")</f>
        <v>View Full Record in Web of Science</v>
      </c>
    </row>
    <row r="191" ht="12.75" customHeight="1">
      <c r="A191" s="1" t="s">
        <v>72</v>
      </c>
      <c r="B191" s="1" t="s">
        <v>2067</v>
      </c>
      <c r="C191" s="1" t="s">
        <v>74</v>
      </c>
      <c r="D191" s="1" t="s">
        <v>74</v>
      </c>
      <c r="E191" s="1" t="s">
        <v>74</v>
      </c>
      <c r="F191" s="1" t="s">
        <v>2068</v>
      </c>
      <c r="G191" s="1" t="s">
        <v>74</v>
      </c>
      <c r="H191" s="1" t="s">
        <v>74</v>
      </c>
      <c r="I191" s="1" t="s">
        <v>2069</v>
      </c>
      <c r="J191" s="1" t="s">
        <v>2070</v>
      </c>
      <c r="K191" s="1" t="s">
        <v>74</v>
      </c>
      <c r="L191" s="1" t="s">
        <v>74</v>
      </c>
      <c r="M191" s="1" t="s">
        <v>74</v>
      </c>
      <c r="N191" s="1" t="s">
        <v>74</v>
      </c>
      <c r="O191" s="1" t="s">
        <v>74</v>
      </c>
      <c r="P191" s="1" t="s">
        <v>74</v>
      </c>
      <c r="Q191" s="1" t="s">
        <v>74</v>
      </c>
      <c r="R191" s="1" t="s">
        <v>74</v>
      </c>
      <c r="S191" s="1" t="s">
        <v>74</v>
      </c>
      <c r="T191" s="1" t="s">
        <v>74</v>
      </c>
      <c r="U191" s="1" t="s">
        <v>74</v>
      </c>
      <c r="V191" s="1" t="s">
        <v>2071</v>
      </c>
      <c r="W191" s="1" t="s">
        <v>74</v>
      </c>
      <c r="X191" s="1" t="s">
        <v>74</v>
      </c>
      <c r="Y191" s="1" t="s">
        <v>74</v>
      </c>
      <c r="Z191" s="1" t="s">
        <v>74</v>
      </c>
      <c r="AA191" s="1" t="s">
        <v>74</v>
      </c>
      <c r="AB191" s="1" t="s">
        <v>74</v>
      </c>
      <c r="AC191" s="1" t="s">
        <v>74</v>
      </c>
      <c r="AD191" s="1" t="s">
        <v>74</v>
      </c>
      <c r="AE191" s="1" t="s">
        <v>74</v>
      </c>
      <c r="AF191" s="1" t="s">
        <v>74</v>
      </c>
      <c r="AG191" s="1" t="s">
        <v>74</v>
      </c>
      <c r="AH191" s="1" t="s">
        <v>74</v>
      </c>
      <c r="AI191" s="1" t="s">
        <v>74</v>
      </c>
      <c r="AJ191" s="1" t="s">
        <v>74</v>
      </c>
      <c r="AK191" s="1" t="s">
        <v>74</v>
      </c>
      <c r="AL191" s="1" t="s">
        <v>74</v>
      </c>
      <c r="AM191" s="1" t="s">
        <v>74</v>
      </c>
      <c r="AN191" s="1" t="s">
        <v>74</v>
      </c>
      <c r="AO191" s="1" t="s">
        <v>2072</v>
      </c>
      <c r="AP191" s="1" t="s">
        <v>74</v>
      </c>
      <c r="AQ191" s="1" t="s">
        <v>74</v>
      </c>
      <c r="AR191" s="1" t="s">
        <v>74</v>
      </c>
      <c r="AS191" s="1" t="s">
        <v>74</v>
      </c>
      <c r="AT191" s="1" t="s">
        <v>74</v>
      </c>
      <c r="AU191" s="1">
        <v>2008.0</v>
      </c>
      <c r="AV191" s="1">
        <v>8.0</v>
      </c>
      <c r="AW191" s="1">
        <v>3.0</v>
      </c>
      <c r="AX191" s="1" t="s">
        <v>74</v>
      </c>
      <c r="AY191" s="1" t="s">
        <v>74</v>
      </c>
      <c r="AZ191" s="1" t="s">
        <v>74</v>
      </c>
      <c r="BA191" s="1" t="s">
        <v>74</v>
      </c>
      <c r="BB191" s="1">
        <v>477.0</v>
      </c>
      <c r="BC191" s="1">
        <v>492.0</v>
      </c>
      <c r="BD191" s="1" t="s">
        <v>74</v>
      </c>
      <c r="BE191" s="1" t="s">
        <v>2073</v>
      </c>
      <c r="BF191" s="2" t="str">
        <f>HYPERLINK("http://dx.doi.org/10.17323/1609-4514-2008-8-3-477-492","http://dx.doi.org/10.17323/1609-4514-2008-8-3-477-492")</f>
        <v>http://dx.doi.org/10.17323/1609-4514-2008-8-3-477-492</v>
      </c>
      <c r="BG191" s="1" t="s">
        <v>74</v>
      </c>
      <c r="BH191" s="1" t="s">
        <v>74</v>
      </c>
      <c r="BI191" s="1" t="s">
        <v>74</v>
      </c>
      <c r="BJ191" s="1" t="s">
        <v>74</v>
      </c>
      <c r="BK191" s="1" t="s">
        <v>74</v>
      </c>
      <c r="BL191" s="1" t="s">
        <v>74</v>
      </c>
      <c r="BM191" s="1" t="s">
        <v>74</v>
      </c>
      <c r="BN191" s="1" t="s">
        <v>74</v>
      </c>
      <c r="BO191" s="1" t="s">
        <v>74</v>
      </c>
      <c r="BP191" s="1" t="s">
        <v>74</v>
      </c>
      <c r="BQ191" s="1" t="s">
        <v>74</v>
      </c>
      <c r="BR191" s="1" t="s">
        <v>74</v>
      </c>
      <c r="BS191" s="1" t="s">
        <v>2074</v>
      </c>
      <c r="BT191" s="1" t="str">
        <f>HYPERLINK("https%3A%2F%2Fwww.webofscience.com%2Fwos%2Fwoscc%2Ffull-record%2FWOS:000261829800005","View Full Record in Web of Science")</f>
        <v>View Full Record in Web of Science</v>
      </c>
    </row>
    <row r="192" ht="12.75" customHeight="1">
      <c r="A192" s="1" t="s">
        <v>72</v>
      </c>
      <c r="B192" s="1" t="s">
        <v>2075</v>
      </c>
      <c r="C192" s="1" t="s">
        <v>74</v>
      </c>
      <c r="D192" s="1" t="s">
        <v>74</v>
      </c>
      <c r="E192" s="1" t="s">
        <v>74</v>
      </c>
      <c r="F192" s="1" t="s">
        <v>2076</v>
      </c>
      <c r="G192" s="1" t="s">
        <v>74</v>
      </c>
      <c r="H192" s="1" t="s">
        <v>74</v>
      </c>
      <c r="I192" s="1" t="s">
        <v>2077</v>
      </c>
      <c r="J192" s="1" t="s">
        <v>2078</v>
      </c>
      <c r="K192" s="1" t="s">
        <v>74</v>
      </c>
      <c r="L192" s="1" t="s">
        <v>74</v>
      </c>
      <c r="M192" s="1" t="s">
        <v>74</v>
      </c>
      <c r="N192" s="1" t="s">
        <v>74</v>
      </c>
      <c r="O192" s="1" t="s">
        <v>74</v>
      </c>
      <c r="P192" s="1" t="s">
        <v>74</v>
      </c>
      <c r="Q192" s="1" t="s">
        <v>74</v>
      </c>
      <c r="R192" s="1" t="s">
        <v>74</v>
      </c>
      <c r="S192" s="1" t="s">
        <v>74</v>
      </c>
      <c r="T192" s="1" t="s">
        <v>74</v>
      </c>
      <c r="U192" s="1" t="s">
        <v>74</v>
      </c>
      <c r="V192" s="1" t="s">
        <v>2079</v>
      </c>
      <c r="W192" s="1" t="s">
        <v>74</v>
      </c>
      <c r="X192" s="1" t="s">
        <v>74</v>
      </c>
      <c r="Y192" s="1" t="s">
        <v>74</v>
      </c>
      <c r="Z192" s="1" t="s">
        <v>74</v>
      </c>
      <c r="AA192" s="1" t="s">
        <v>2080</v>
      </c>
      <c r="AB192" s="1" t="s">
        <v>2081</v>
      </c>
      <c r="AC192" s="1" t="s">
        <v>74</v>
      </c>
      <c r="AD192" s="1" t="s">
        <v>74</v>
      </c>
      <c r="AE192" s="1" t="s">
        <v>74</v>
      </c>
      <c r="AF192" s="1" t="s">
        <v>74</v>
      </c>
      <c r="AG192" s="1" t="s">
        <v>74</v>
      </c>
      <c r="AH192" s="1" t="s">
        <v>74</v>
      </c>
      <c r="AI192" s="1" t="s">
        <v>74</v>
      </c>
      <c r="AJ192" s="1" t="s">
        <v>74</v>
      </c>
      <c r="AK192" s="1" t="s">
        <v>74</v>
      </c>
      <c r="AL192" s="1" t="s">
        <v>74</v>
      </c>
      <c r="AM192" s="1" t="s">
        <v>74</v>
      </c>
      <c r="AN192" s="1" t="s">
        <v>74</v>
      </c>
      <c r="AO192" s="1" t="s">
        <v>2082</v>
      </c>
      <c r="AP192" s="1" t="s">
        <v>74</v>
      </c>
      <c r="AQ192" s="1" t="s">
        <v>74</v>
      </c>
      <c r="AR192" s="1" t="s">
        <v>74</v>
      </c>
      <c r="AS192" s="1" t="s">
        <v>74</v>
      </c>
      <c r="AT192" s="1" t="s">
        <v>2083</v>
      </c>
      <c r="AU192" s="1">
        <v>2006.0</v>
      </c>
      <c r="AV192" s="1">
        <v>89.0</v>
      </c>
      <c r="AW192" s="1">
        <v>13.0</v>
      </c>
      <c r="AX192" s="1" t="s">
        <v>74</v>
      </c>
      <c r="AY192" s="1" t="s">
        <v>74</v>
      </c>
      <c r="AZ192" s="1" t="s">
        <v>74</v>
      </c>
      <c r="BA192" s="1" t="s">
        <v>74</v>
      </c>
      <c r="BB192" s="1" t="s">
        <v>74</v>
      </c>
      <c r="BC192" s="1" t="s">
        <v>74</v>
      </c>
      <c r="BD192" s="1">
        <v>132501.0</v>
      </c>
      <c r="BE192" s="1" t="s">
        <v>2084</v>
      </c>
      <c r="BF192" s="2" t="str">
        <f>HYPERLINK("http://dx.doi.org/10.1063/1.2356692","http://dx.doi.org/10.1063/1.2356692")</f>
        <v>http://dx.doi.org/10.1063/1.2356692</v>
      </c>
      <c r="BG192" s="1" t="s">
        <v>74</v>
      </c>
      <c r="BH192" s="1" t="s">
        <v>74</v>
      </c>
      <c r="BI192" s="1" t="s">
        <v>74</v>
      </c>
      <c r="BJ192" s="1" t="s">
        <v>74</v>
      </c>
      <c r="BK192" s="1" t="s">
        <v>74</v>
      </c>
      <c r="BL192" s="1" t="s">
        <v>74</v>
      </c>
      <c r="BM192" s="1" t="s">
        <v>74</v>
      </c>
      <c r="BN192" s="1" t="s">
        <v>74</v>
      </c>
      <c r="BO192" s="1" t="s">
        <v>74</v>
      </c>
      <c r="BP192" s="1" t="s">
        <v>74</v>
      </c>
      <c r="BQ192" s="1" t="s">
        <v>74</v>
      </c>
      <c r="BR192" s="1" t="s">
        <v>74</v>
      </c>
      <c r="BS192" s="1" t="s">
        <v>2085</v>
      </c>
      <c r="BT192" s="1" t="str">
        <f>HYPERLINK("https%3A%2F%2Fwww.webofscience.com%2Fwos%2Fwoscc%2Ffull-record%2FWOS:000240875800077","View Full Record in Web of Science")</f>
        <v>View Full Record in Web of Science</v>
      </c>
    </row>
    <row r="193" ht="12.75" customHeight="1">
      <c r="A193" s="1" t="s">
        <v>72</v>
      </c>
      <c r="B193" s="1" t="s">
        <v>2086</v>
      </c>
      <c r="C193" s="1" t="s">
        <v>74</v>
      </c>
      <c r="D193" s="1" t="s">
        <v>74</v>
      </c>
      <c r="E193" s="1" t="s">
        <v>74</v>
      </c>
      <c r="F193" s="1" t="s">
        <v>2086</v>
      </c>
      <c r="G193" s="1" t="s">
        <v>74</v>
      </c>
      <c r="H193" s="1" t="s">
        <v>74</v>
      </c>
      <c r="I193" s="1" t="s">
        <v>2087</v>
      </c>
      <c r="J193" s="1" t="s">
        <v>2088</v>
      </c>
      <c r="K193" s="1" t="s">
        <v>74</v>
      </c>
      <c r="L193" s="1" t="s">
        <v>74</v>
      </c>
      <c r="M193" s="1" t="s">
        <v>74</v>
      </c>
      <c r="N193" s="1" t="s">
        <v>74</v>
      </c>
      <c r="O193" s="1" t="s">
        <v>74</v>
      </c>
      <c r="P193" s="1" t="s">
        <v>74</v>
      </c>
      <c r="Q193" s="1" t="s">
        <v>74</v>
      </c>
      <c r="R193" s="1" t="s">
        <v>74</v>
      </c>
      <c r="S193" s="1" t="s">
        <v>74</v>
      </c>
      <c r="T193" s="1" t="s">
        <v>74</v>
      </c>
      <c r="U193" s="1" t="s">
        <v>74</v>
      </c>
      <c r="V193" s="1" t="s">
        <v>2089</v>
      </c>
      <c r="W193" s="1" t="s">
        <v>74</v>
      </c>
      <c r="X193" s="1" t="s">
        <v>74</v>
      </c>
      <c r="Y193" s="1" t="s">
        <v>74</v>
      </c>
      <c r="Z193" s="1" t="s">
        <v>74</v>
      </c>
      <c r="AA193" s="1" t="s">
        <v>2090</v>
      </c>
      <c r="AB193" s="1" t="s">
        <v>2091</v>
      </c>
      <c r="AC193" s="1" t="s">
        <v>74</v>
      </c>
      <c r="AD193" s="1" t="s">
        <v>74</v>
      </c>
      <c r="AE193" s="1" t="s">
        <v>74</v>
      </c>
      <c r="AF193" s="1" t="s">
        <v>74</v>
      </c>
      <c r="AG193" s="1" t="s">
        <v>74</v>
      </c>
      <c r="AH193" s="1" t="s">
        <v>74</v>
      </c>
      <c r="AI193" s="1" t="s">
        <v>74</v>
      </c>
      <c r="AJ193" s="1" t="s">
        <v>74</v>
      </c>
      <c r="AK193" s="1" t="s">
        <v>74</v>
      </c>
      <c r="AL193" s="1" t="s">
        <v>74</v>
      </c>
      <c r="AM193" s="1" t="s">
        <v>74</v>
      </c>
      <c r="AN193" s="1" t="s">
        <v>74</v>
      </c>
      <c r="AO193" s="1" t="s">
        <v>2092</v>
      </c>
      <c r="AP193" s="1" t="s">
        <v>2093</v>
      </c>
      <c r="AQ193" s="1" t="s">
        <v>74</v>
      </c>
      <c r="AR193" s="1" t="s">
        <v>74</v>
      </c>
      <c r="AS193" s="1" t="s">
        <v>74</v>
      </c>
      <c r="AT193" s="1" t="s">
        <v>2094</v>
      </c>
      <c r="AU193" s="1">
        <v>2004.0</v>
      </c>
      <c r="AV193" s="1">
        <v>6.0</v>
      </c>
      <c r="AW193" s="1">
        <v>8.0</v>
      </c>
      <c r="AX193" s="1" t="s">
        <v>74</v>
      </c>
      <c r="AY193" s="1" t="s">
        <v>74</v>
      </c>
      <c r="AZ193" s="1" t="s">
        <v>74</v>
      </c>
      <c r="BA193" s="1" t="s">
        <v>74</v>
      </c>
      <c r="BB193" s="1">
        <v>1806.0</v>
      </c>
      <c r="BC193" s="1">
        <v>1814.0</v>
      </c>
      <c r="BD193" s="1" t="s">
        <v>74</v>
      </c>
      <c r="BE193" s="1" t="s">
        <v>2095</v>
      </c>
      <c r="BF193" s="2" t="str">
        <f>HYPERLINK("http://dx.doi.org/10.1039/b314008c","http://dx.doi.org/10.1039/b314008c")</f>
        <v>http://dx.doi.org/10.1039/b314008c</v>
      </c>
      <c r="BG193" s="1" t="s">
        <v>74</v>
      </c>
      <c r="BH193" s="1" t="s">
        <v>74</v>
      </c>
      <c r="BI193" s="1" t="s">
        <v>74</v>
      </c>
      <c r="BJ193" s="1" t="s">
        <v>74</v>
      </c>
      <c r="BK193" s="1" t="s">
        <v>74</v>
      </c>
      <c r="BL193" s="1" t="s">
        <v>74</v>
      </c>
      <c r="BM193" s="1" t="s">
        <v>74</v>
      </c>
      <c r="BN193" s="1" t="s">
        <v>74</v>
      </c>
      <c r="BO193" s="1" t="s">
        <v>74</v>
      </c>
      <c r="BP193" s="1" t="s">
        <v>74</v>
      </c>
      <c r="BQ193" s="1" t="s">
        <v>74</v>
      </c>
      <c r="BR193" s="1" t="s">
        <v>74</v>
      </c>
      <c r="BS193" s="1" t="s">
        <v>2096</v>
      </c>
      <c r="BT193" s="1" t="str">
        <f>HYPERLINK("https%3A%2F%2Fwww.webofscience.com%2Fwos%2Fwoscc%2Ffull-record%2FWOS:000221455200025","View Full Record in Web of Science")</f>
        <v>View Full Record in Web of Science</v>
      </c>
    </row>
    <row r="194" ht="12.75" customHeight="1">
      <c r="A194" s="1" t="s">
        <v>72</v>
      </c>
      <c r="B194" s="1" t="s">
        <v>2097</v>
      </c>
      <c r="C194" s="1" t="s">
        <v>74</v>
      </c>
      <c r="D194" s="1" t="s">
        <v>74</v>
      </c>
      <c r="E194" s="1" t="s">
        <v>74</v>
      </c>
      <c r="F194" s="1" t="s">
        <v>2097</v>
      </c>
      <c r="G194" s="1" t="s">
        <v>74</v>
      </c>
      <c r="H194" s="1" t="s">
        <v>74</v>
      </c>
      <c r="I194" s="1" t="s">
        <v>2098</v>
      </c>
      <c r="J194" s="1" t="s">
        <v>2099</v>
      </c>
      <c r="K194" s="1" t="s">
        <v>74</v>
      </c>
      <c r="L194" s="1" t="s">
        <v>74</v>
      </c>
      <c r="M194" s="1" t="s">
        <v>74</v>
      </c>
      <c r="N194" s="1" t="s">
        <v>74</v>
      </c>
      <c r="O194" s="1" t="s">
        <v>74</v>
      </c>
      <c r="P194" s="1" t="s">
        <v>74</v>
      </c>
      <c r="Q194" s="1" t="s">
        <v>74</v>
      </c>
      <c r="R194" s="1" t="s">
        <v>74</v>
      </c>
      <c r="S194" s="1" t="s">
        <v>74</v>
      </c>
      <c r="T194" s="1" t="s">
        <v>74</v>
      </c>
      <c r="U194" s="1" t="s">
        <v>74</v>
      </c>
      <c r="V194" s="1" t="s">
        <v>2100</v>
      </c>
      <c r="W194" s="1" t="s">
        <v>74</v>
      </c>
      <c r="X194" s="1" t="s">
        <v>74</v>
      </c>
      <c r="Y194" s="1" t="s">
        <v>74</v>
      </c>
      <c r="Z194" s="1" t="s">
        <v>74</v>
      </c>
      <c r="AA194" s="1" t="s">
        <v>74</v>
      </c>
      <c r="AB194" s="1" t="s">
        <v>74</v>
      </c>
      <c r="AC194" s="1" t="s">
        <v>74</v>
      </c>
      <c r="AD194" s="1" t="s">
        <v>74</v>
      </c>
      <c r="AE194" s="1" t="s">
        <v>74</v>
      </c>
      <c r="AF194" s="1" t="s">
        <v>74</v>
      </c>
      <c r="AG194" s="1" t="s">
        <v>74</v>
      </c>
      <c r="AH194" s="1" t="s">
        <v>74</v>
      </c>
      <c r="AI194" s="1" t="s">
        <v>74</v>
      </c>
      <c r="AJ194" s="1" t="s">
        <v>74</v>
      </c>
      <c r="AK194" s="1" t="s">
        <v>74</v>
      </c>
      <c r="AL194" s="1" t="s">
        <v>74</v>
      </c>
      <c r="AM194" s="1" t="s">
        <v>74</v>
      </c>
      <c r="AN194" s="1" t="s">
        <v>74</v>
      </c>
      <c r="AO194" s="1" t="s">
        <v>2101</v>
      </c>
      <c r="AP194" s="1" t="s">
        <v>74</v>
      </c>
      <c r="AQ194" s="1" t="s">
        <v>74</v>
      </c>
      <c r="AR194" s="1" t="s">
        <v>74</v>
      </c>
      <c r="AS194" s="1" t="s">
        <v>74</v>
      </c>
      <c r="AT194" s="1" t="s">
        <v>696</v>
      </c>
      <c r="AU194" s="1">
        <v>2004.0</v>
      </c>
      <c r="AV194" s="1">
        <v>26.0</v>
      </c>
      <c r="AW194" s="1">
        <v>1.0</v>
      </c>
      <c r="AX194" s="1" t="s">
        <v>74</v>
      </c>
      <c r="AY194" s="1" t="s">
        <v>74</v>
      </c>
      <c r="AZ194" s="1" t="s">
        <v>74</v>
      </c>
      <c r="BA194" s="1" t="s">
        <v>74</v>
      </c>
      <c r="BB194" s="1">
        <v>43.0</v>
      </c>
      <c r="BC194" s="1">
        <v>52.0</v>
      </c>
      <c r="BD194" s="1" t="s">
        <v>74</v>
      </c>
      <c r="BE194" s="1" t="s">
        <v>2102</v>
      </c>
      <c r="BF194" s="2" t="str">
        <f>HYPERLINK("http://dx.doi.org/10.1016/j.medengphy.2003.08.001","http://dx.doi.org/10.1016/j.medengphy.2003.08.001")</f>
        <v>http://dx.doi.org/10.1016/j.medengphy.2003.08.001</v>
      </c>
      <c r="BG194" s="1" t="s">
        <v>74</v>
      </c>
      <c r="BH194" s="1" t="s">
        <v>74</v>
      </c>
      <c r="BI194" s="1" t="s">
        <v>74</v>
      </c>
      <c r="BJ194" s="1" t="s">
        <v>74</v>
      </c>
      <c r="BK194" s="1" t="s">
        <v>74</v>
      </c>
      <c r="BL194" s="1" t="s">
        <v>74</v>
      </c>
      <c r="BM194" s="1" t="s">
        <v>74</v>
      </c>
      <c r="BN194" s="1">
        <v>1.4644597E7</v>
      </c>
      <c r="BO194" s="1" t="s">
        <v>74</v>
      </c>
      <c r="BP194" s="1" t="s">
        <v>74</v>
      </c>
      <c r="BQ194" s="1" t="s">
        <v>74</v>
      </c>
      <c r="BR194" s="1" t="s">
        <v>74</v>
      </c>
      <c r="BS194" s="1" t="s">
        <v>2103</v>
      </c>
      <c r="BT194" s="1" t="str">
        <f>HYPERLINK("https%3A%2F%2Fwww.webofscience.com%2Fwos%2Fwoscc%2Ffull-record%2FWOS:000187752600005","View Full Record in Web of Science")</f>
        <v>View Full Record in Web of Science</v>
      </c>
    </row>
    <row r="195" ht="12.75" customHeight="1">
      <c r="A195" s="1" t="s">
        <v>72</v>
      </c>
      <c r="B195" s="1" t="s">
        <v>2104</v>
      </c>
      <c r="C195" s="1" t="s">
        <v>74</v>
      </c>
      <c r="D195" s="1" t="s">
        <v>74</v>
      </c>
      <c r="E195" s="1" t="s">
        <v>74</v>
      </c>
      <c r="F195" s="1" t="s">
        <v>2104</v>
      </c>
      <c r="G195" s="1" t="s">
        <v>74</v>
      </c>
      <c r="H195" s="1" t="s">
        <v>74</v>
      </c>
      <c r="I195" s="1" t="s">
        <v>2105</v>
      </c>
      <c r="J195" s="1" t="s">
        <v>2106</v>
      </c>
      <c r="K195" s="1" t="s">
        <v>74</v>
      </c>
      <c r="L195" s="1" t="s">
        <v>74</v>
      </c>
      <c r="M195" s="1" t="s">
        <v>74</v>
      </c>
      <c r="N195" s="1" t="s">
        <v>74</v>
      </c>
      <c r="O195" s="1" t="s">
        <v>74</v>
      </c>
      <c r="P195" s="1" t="s">
        <v>74</v>
      </c>
      <c r="Q195" s="1" t="s">
        <v>74</v>
      </c>
      <c r="R195" s="1" t="s">
        <v>74</v>
      </c>
      <c r="S195" s="1" t="s">
        <v>74</v>
      </c>
      <c r="T195" s="1" t="s">
        <v>74</v>
      </c>
      <c r="U195" s="1" t="s">
        <v>74</v>
      </c>
      <c r="V195" s="1" t="s">
        <v>2107</v>
      </c>
      <c r="W195" s="1" t="s">
        <v>74</v>
      </c>
      <c r="X195" s="1" t="s">
        <v>74</v>
      </c>
      <c r="Y195" s="1" t="s">
        <v>74</v>
      </c>
      <c r="Z195" s="1" t="s">
        <v>74</v>
      </c>
      <c r="AA195" s="1" t="s">
        <v>2108</v>
      </c>
      <c r="AB195" s="1" t="s">
        <v>2109</v>
      </c>
      <c r="AC195" s="1" t="s">
        <v>74</v>
      </c>
      <c r="AD195" s="1" t="s">
        <v>74</v>
      </c>
      <c r="AE195" s="1" t="s">
        <v>74</v>
      </c>
      <c r="AF195" s="1" t="s">
        <v>74</v>
      </c>
      <c r="AG195" s="1" t="s">
        <v>74</v>
      </c>
      <c r="AH195" s="1" t="s">
        <v>74</v>
      </c>
      <c r="AI195" s="1" t="s">
        <v>74</v>
      </c>
      <c r="AJ195" s="1" t="s">
        <v>74</v>
      </c>
      <c r="AK195" s="1" t="s">
        <v>74</v>
      </c>
      <c r="AL195" s="1" t="s">
        <v>74</v>
      </c>
      <c r="AM195" s="1" t="s">
        <v>74</v>
      </c>
      <c r="AN195" s="1" t="s">
        <v>74</v>
      </c>
      <c r="AO195" s="1" t="s">
        <v>2110</v>
      </c>
      <c r="AP195" s="1" t="s">
        <v>2111</v>
      </c>
      <c r="AQ195" s="1" t="s">
        <v>74</v>
      </c>
      <c r="AR195" s="1" t="s">
        <v>74</v>
      </c>
      <c r="AS195" s="1" t="s">
        <v>74</v>
      </c>
      <c r="AT195" s="1" t="s">
        <v>158</v>
      </c>
      <c r="AU195" s="1">
        <v>2003.0</v>
      </c>
      <c r="AV195" s="1">
        <v>45.0</v>
      </c>
      <c r="AW195" s="1">
        <v>7.0</v>
      </c>
      <c r="AX195" s="1" t="s">
        <v>74</v>
      </c>
      <c r="AY195" s="1" t="s">
        <v>74</v>
      </c>
      <c r="AZ195" s="1" t="s">
        <v>74</v>
      </c>
      <c r="BA195" s="1" t="s">
        <v>74</v>
      </c>
      <c r="BB195" s="1">
        <v>475.0</v>
      </c>
      <c r="BC195" s="1">
        <v>483.0</v>
      </c>
      <c r="BD195" s="1" t="s">
        <v>74</v>
      </c>
      <c r="BE195" s="1" t="s">
        <v>2112</v>
      </c>
      <c r="BF195" s="2" t="str">
        <f>HYPERLINK("http://dx.doi.org/10.1784/insi.45.7.475.54452","http://dx.doi.org/10.1784/insi.45.7.475.54452")</f>
        <v>http://dx.doi.org/10.1784/insi.45.7.475.54452</v>
      </c>
      <c r="BG195" s="1" t="s">
        <v>74</v>
      </c>
      <c r="BH195" s="1" t="s">
        <v>74</v>
      </c>
      <c r="BI195" s="1" t="s">
        <v>74</v>
      </c>
      <c r="BJ195" s="1" t="s">
        <v>74</v>
      </c>
      <c r="BK195" s="1" t="s">
        <v>74</v>
      </c>
      <c r="BL195" s="1" t="s">
        <v>74</v>
      </c>
      <c r="BM195" s="1" t="s">
        <v>74</v>
      </c>
      <c r="BN195" s="1" t="s">
        <v>74</v>
      </c>
      <c r="BO195" s="1" t="s">
        <v>74</v>
      </c>
      <c r="BP195" s="1" t="s">
        <v>74</v>
      </c>
      <c r="BQ195" s="1" t="s">
        <v>74</v>
      </c>
      <c r="BR195" s="1" t="s">
        <v>74</v>
      </c>
      <c r="BS195" s="1" t="s">
        <v>2113</v>
      </c>
      <c r="BT195" s="1" t="str">
        <f>HYPERLINK("https%3A%2F%2Fwww.webofscience.com%2Fwos%2Fwoscc%2Ffull-record%2FWOS:000184183300009","View Full Record in Web of Science")</f>
        <v>View Full Record in Web of Science</v>
      </c>
    </row>
    <row r="196" ht="12.75" customHeight="1">
      <c r="A196" s="1" t="s">
        <v>72</v>
      </c>
      <c r="B196" s="1" t="s">
        <v>2114</v>
      </c>
      <c r="C196" s="1" t="s">
        <v>74</v>
      </c>
      <c r="D196" s="1" t="s">
        <v>74</v>
      </c>
      <c r="E196" s="1" t="s">
        <v>74</v>
      </c>
      <c r="F196" s="1" t="s">
        <v>2114</v>
      </c>
      <c r="G196" s="1" t="s">
        <v>74</v>
      </c>
      <c r="H196" s="1" t="s">
        <v>74</v>
      </c>
      <c r="I196" s="1" t="s">
        <v>2115</v>
      </c>
      <c r="J196" s="1" t="s">
        <v>2116</v>
      </c>
      <c r="K196" s="1" t="s">
        <v>74</v>
      </c>
      <c r="L196" s="1" t="s">
        <v>74</v>
      </c>
      <c r="M196" s="1" t="s">
        <v>74</v>
      </c>
      <c r="N196" s="1" t="s">
        <v>74</v>
      </c>
      <c r="O196" s="1" t="s">
        <v>74</v>
      </c>
      <c r="P196" s="1" t="s">
        <v>74</v>
      </c>
      <c r="Q196" s="1" t="s">
        <v>74</v>
      </c>
      <c r="R196" s="1" t="s">
        <v>74</v>
      </c>
      <c r="S196" s="1" t="s">
        <v>74</v>
      </c>
      <c r="T196" s="1" t="s">
        <v>74</v>
      </c>
      <c r="U196" s="1" t="s">
        <v>74</v>
      </c>
      <c r="V196" s="1" t="s">
        <v>2117</v>
      </c>
      <c r="W196" s="1" t="s">
        <v>74</v>
      </c>
      <c r="X196" s="1" t="s">
        <v>74</v>
      </c>
      <c r="Y196" s="1" t="s">
        <v>74</v>
      </c>
      <c r="Z196" s="1" t="s">
        <v>74</v>
      </c>
      <c r="AA196" s="1" t="s">
        <v>1745</v>
      </c>
      <c r="AB196" s="1" t="s">
        <v>2118</v>
      </c>
      <c r="AC196" s="1" t="s">
        <v>74</v>
      </c>
      <c r="AD196" s="1" t="s">
        <v>74</v>
      </c>
      <c r="AE196" s="1" t="s">
        <v>74</v>
      </c>
      <c r="AF196" s="1" t="s">
        <v>74</v>
      </c>
      <c r="AG196" s="1" t="s">
        <v>74</v>
      </c>
      <c r="AH196" s="1" t="s">
        <v>74</v>
      </c>
      <c r="AI196" s="1" t="s">
        <v>74</v>
      </c>
      <c r="AJ196" s="1" t="s">
        <v>74</v>
      </c>
      <c r="AK196" s="1" t="s">
        <v>74</v>
      </c>
      <c r="AL196" s="1" t="s">
        <v>74</v>
      </c>
      <c r="AM196" s="1" t="s">
        <v>74</v>
      </c>
      <c r="AN196" s="1" t="s">
        <v>74</v>
      </c>
      <c r="AO196" s="1" t="s">
        <v>2119</v>
      </c>
      <c r="AP196" s="1" t="s">
        <v>74</v>
      </c>
      <c r="AQ196" s="1" t="s">
        <v>74</v>
      </c>
      <c r="AR196" s="1" t="s">
        <v>74</v>
      </c>
      <c r="AS196" s="1" t="s">
        <v>74</v>
      </c>
      <c r="AT196" s="1" t="s">
        <v>606</v>
      </c>
      <c r="AU196" s="1">
        <v>2002.0</v>
      </c>
      <c r="AV196" s="1">
        <v>269.0</v>
      </c>
      <c r="AW196" s="1">
        <v>20.0</v>
      </c>
      <c r="AX196" s="1" t="s">
        <v>74</v>
      </c>
      <c r="AY196" s="1" t="s">
        <v>74</v>
      </c>
      <c r="AZ196" s="1" t="s">
        <v>74</v>
      </c>
      <c r="BA196" s="1" t="s">
        <v>74</v>
      </c>
      <c r="BB196" s="1">
        <v>4960.0</v>
      </c>
      <c r="BC196" s="1">
        <v>4968.0</v>
      </c>
      <c r="BD196" s="1" t="s">
        <v>74</v>
      </c>
      <c r="BE196" s="1" t="s">
        <v>2120</v>
      </c>
      <c r="BF196" s="2" t="str">
        <f>HYPERLINK("http://dx.doi.org/10.1046/j.1432-1033.2002.03196.x","http://dx.doi.org/10.1046/j.1432-1033.2002.03196.x")</f>
        <v>http://dx.doi.org/10.1046/j.1432-1033.2002.03196.x</v>
      </c>
      <c r="BG196" s="1" t="s">
        <v>74</v>
      </c>
      <c r="BH196" s="1" t="s">
        <v>74</v>
      </c>
      <c r="BI196" s="1" t="s">
        <v>74</v>
      </c>
      <c r="BJ196" s="1" t="s">
        <v>74</v>
      </c>
      <c r="BK196" s="1" t="s">
        <v>74</v>
      </c>
      <c r="BL196" s="1" t="s">
        <v>74</v>
      </c>
      <c r="BM196" s="1" t="s">
        <v>74</v>
      </c>
      <c r="BN196" s="1">
        <v>1.2383254E7</v>
      </c>
      <c r="BO196" s="1" t="s">
        <v>74</v>
      </c>
      <c r="BP196" s="1" t="s">
        <v>74</v>
      </c>
      <c r="BQ196" s="1" t="s">
        <v>74</v>
      </c>
      <c r="BR196" s="1" t="s">
        <v>74</v>
      </c>
      <c r="BS196" s="1" t="s">
        <v>2121</v>
      </c>
      <c r="BT196" s="1" t="str">
        <f>HYPERLINK("https%3A%2F%2Fwww.webofscience.com%2Fwos%2Fwoscc%2Ffull-record%2FWOS:000178608400006","View Full Record in Web of Science")</f>
        <v>View Full Record in Web of Science</v>
      </c>
    </row>
    <row r="197" ht="12.75" customHeight="1">
      <c r="A197" s="1" t="s">
        <v>72</v>
      </c>
      <c r="B197" s="1" t="s">
        <v>2122</v>
      </c>
      <c r="C197" s="1" t="s">
        <v>74</v>
      </c>
      <c r="D197" s="1" t="s">
        <v>74</v>
      </c>
      <c r="E197" s="1" t="s">
        <v>74</v>
      </c>
      <c r="F197" s="1" t="s">
        <v>2122</v>
      </c>
      <c r="G197" s="1" t="s">
        <v>74</v>
      </c>
      <c r="H197" s="1" t="s">
        <v>74</v>
      </c>
      <c r="I197" s="1" t="s">
        <v>2123</v>
      </c>
      <c r="J197" s="1" t="s">
        <v>2124</v>
      </c>
      <c r="K197" s="1" t="s">
        <v>74</v>
      </c>
      <c r="L197" s="1" t="s">
        <v>74</v>
      </c>
      <c r="M197" s="1" t="s">
        <v>74</v>
      </c>
      <c r="N197" s="1" t="s">
        <v>74</v>
      </c>
      <c r="O197" s="1" t="s">
        <v>74</v>
      </c>
      <c r="P197" s="1" t="s">
        <v>74</v>
      </c>
      <c r="Q197" s="1" t="s">
        <v>74</v>
      </c>
      <c r="R197" s="1" t="s">
        <v>74</v>
      </c>
      <c r="S197" s="1" t="s">
        <v>74</v>
      </c>
      <c r="T197" s="1" t="s">
        <v>74</v>
      </c>
      <c r="U197" s="1" t="s">
        <v>74</v>
      </c>
      <c r="V197" s="1" t="s">
        <v>2125</v>
      </c>
      <c r="W197" s="1" t="s">
        <v>74</v>
      </c>
      <c r="X197" s="1" t="s">
        <v>74</v>
      </c>
      <c r="Y197" s="1" t="s">
        <v>74</v>
      </c>
      <c r="Z197" s="1" t="s">
        <v>74</v>
      </c>
      <c r="AA197" s="1" t="s">
        <v>1210</v>
      </c>
      <c r="AB197" s="1" t="s">
        <v>2126</v>
      </c>
      <c r="AC197" s="1" t="s">
        <v>74</v>
      </c>
      <c r="AD197" s="1" t="s">
        <v>74</v>
      </c>
      <c r="AE197" s="1" t="s">
        <v>74</v>
      </c>
      <c r="AF197" s="1" t="s">
        <v>74</v>
      </c>
      <c r="AG197" s="1" t="s">
        <v>74</v>
      </c>
      <c r="AH197" s="1" t="s">
        <v>74</v>
      </c>
      <c r="AI197" s="1" t="s">
        <v>74</v>
      </c>
      <c r="AJ197" s="1" t="s">
        <v>74</v>
      </c>
      <c r="AK197" s="1" t="s">
        <v>74</v>
      </c>
      <c r="AL197" s="1" t="s">
        <v>74</v>
      </c>
      <c r="AM197" s="1" t="s">
        <v>74</v>
      </c>
      <c r="AN197" s="1" t="s">
        <v>74</v>
      </c>
      <c r="AO197" s="1" t="s">
        <v>2127</v>
      </c>
      <c r="AP197" s="1" t="s">
        <v>2128</v>
      </c>
      <c r="AQ197" s="1" t="s">
        <v>74</v>
      </c>
      <c r="AR197" s="1" t="s">
        <v>74</v>
      </c>
      <c r="AS197" s="1" t="s">
        <v>74</v>
      </c>
      <c r="AT197" s="1" t="s">
        <v>90</v>
      </c>
      <c r="AU197" s="1">
        <v>2001.0</v>
      </c>
      <c r="AV197" s="1">
        <v>64.0</v>
      </c>
      <c r="AW197" s="1">
        <v>6.0</v>
      </c>
      <c r="AX197" s="1" t="s">
        <v>74</v>
      </c>
      <c r="AY197" s="1" t="s">
        <v>74</v>
      </c>
      <c r="AZ197" s="1" t="s">
        <v>74</v>
      </c>
      <c r="BA197" s="1" t="s">
        <v>74</v>
      </c>
      <c r="BB197" s="1" t="s">
        <v>74</v>
      </c>
      <c r="BC197" s="1" t="s">
        <v>74</v>
      </c>
      <c r="BD197" s="1">
        <v>67901.0</v>
      </c>
      <c r="BE197" s="1" t="s">
        <v>2129</v>
      </c>
      <c r="BF197" s="2" t="str">
        <f>HYPERLINK("http://dx.doi.org/10.1103/PhysRevD.64.067901","http://dx.doi.org/10.1103/PhysRevD.64.067901")</f>
        <v>http://dx.doi.org/10.1103/PhysRevD.64.067901</v>
      </c>
      <c r="BG197" s="1" t="s">
        <v>74</v>
      </c>
      <c r="BH197" s="1" t="s">
        <v>74</v>
      </c>
      <c r="BI197" s="1" t="s">
        <v>74</v>
      </c>
      <c r="BJ197" s="1" t="s">
        <v>74</v>
      </c>
      <c r="BK197" s="1" t="s">
        <v>74</v>
      </c>
      <c r="BL197" s="1" t="s">
        <v>74</v>
      </c>
      <c r="BM197" s="1" t="s">
        <v>74</v>
      </c>
      <c r="BN197" s="1" t="s">
        <v>74</v>
      </c>
      <c r="BO197" s="1" t="s">
        <v>74</v>
      </c>
      <c r="BP197" s="1" t="s">
        <v>74</v>
      </c>
      <c r="BQ197" s="1" t="s">
        <v>74</v>
      </c>
      <c r="BR197" s="1" t="s">
        <v>74</v>
      </c>
      <c r="BS197" s="1" t="s">
        <v>2130</v>
      </c>
      <c r="BT197" s="1" t="str">
        <f>HYPERLINK("https%3A%2F%2Fwww.webofscience.com%2Fwos%2Fwoscc%2Ffull-record%2FWOS:000170978200081","View Full Record in Web of Science")</f>
        <v>View Full Record in Web of Science</v>
      </c>
    </row>
    <row r="198" ht="12.75" customHeight="1">
      <c r="A198" s="1" t="s">
        <v>72</v>
      </c>
      <c r="B198" s="1" t="s">
        <v>2131</v>
      </c>
      <c r="C198" s="1" t="s">
        <v>74</v>
      </c>
      <c r="D198" s="1" t="s">
        <v>74</v>
      </c>
      <c r="E198" s="1" t="s">
        <v>74</v>
      </c>
      <c r="F198" s="1" t="s">
        <v>2131</v>
      </c>
      <c r="G198" s="1" t="s">
        <v>74</v>
      </c>
      <c r="H198" s="1" t="s">
        <v>74</v>
      </c>
      <c r="I198" s="1" t="s">
        <v>2132</v>
      </c>
      <c r="J198" s="1" t="s">
        <v>2133</v>
      </c>
      <c r="K198" s="1" t="s">
        <v>74</v>
      </c>
      <c r="L198" s="1" t="s">
        <v>74</v>
      </c>
      <c r="M198" s="1" t="s">
        <v>74</v>
      </c>
      <c r="N198" s="1" t="s">
        <v>74</v>
      </c>
      <c r="O198" s="1" t="s">
        <v>74</v>
      </c>
      <c r="P198" s="1" t="s">
        <v>74</v>
      </c>
      <c r="Q198" s="1" t="s">
        <v>74</v>
      </c>
      <c r="R198" s="1" t="s">
        <v>74</v>
      </c>
      <c r="S198" s="1" t="s">
        <v>74</v>
      </c>
      <c r="T198" s="1" t="s">
        <v>74</v>
      </c>
      <c r="U198" s="1" t="s">
        <v>74</v>
      </c>
      <c r="V198" s="1" t="s">
        <v>2134</v>
      </c>
      <c r="W198" s="1" t="s">
        <v>74</v>
      </c>
      <c r="X198" s="1" t="s">
        <v>74</v>
      </c>
      <c r="Y198" s="1" t="s">
        <v>74</v>
      </c>
      <c r="Z198" s="1" t="s">
        <v>74</v>
      </c>
      <c r="AA198" s="1" t="s">
        <v>2135</v>
      </c>
      <c r="AB198" s="1" t="s">
        <v>2136</v>
      </c>
      <c r="AC198" s="1" t="s">
        <v>74</v>
      </c>
      <c r="AD198" s="1" t="s">
        <v>74</v>
      </c>
      <c r="AE198" s="1" t="s">
        <v>74</v>
      </c>
      <c r="AF198" s="1" t="s">
        <v>74</v>
      </c>
      <c r="AG198" s="1" t="s">
        <v>74</v>
      </c>
      <c r="AH198" s="1" t="s">
        <v>74</v>
      </c>
      <c r="AI198" s="1" t="s">
        <v>74</v>
      </c>
      <c r="AJ198" s="1" t="s">
        <v>74</v>
      </c>
      <c r="AK198" s="1" t="s">
        <v>74</v>
      </c>
      <c r="AL198" s="1" t="s">
        <v>74</v>
      </c>
      <c r="AM198" s="1" t="s">
        <v>74</v>
      </c>
      <c r="AN198" s="1" t="s">
        <v>74</v>
      </c>
      <c r="AO198" s="1" t="s">
        <v>2137</v>
      </c>
      <c r="AP198" s="1" t="s">
        <v>74</v>
      </c>
      <c r="AQ198" s="1" t="s">
        <v>74</v>
      </c>
      <c r="AR198" s="1" t="s">
        <v>74</v>
      </c>
      <c r="AS198" s="1" t="s">
        <v>74</v>
      </c>
      <c r="AT198" s="1" t="s">
        <v>180</v>
      </c>
      <c r="AU198" s="1">
        <v>1998.0</v>
      </c>
      <c r="AV198" s="1">
        <v>13.0</v>
      </c>
      <c r="AW198" s="1">
        <v>5.0</v>
      </c>
      <c r="AX198" s="1" t="s">
        <v>74</v>
      </c>
      <c r="AY198" s="1" t="s">
        <v>74</v>
      </c>
      <c r="AZ198" s="1" t="s">
        <v>74</v>
      </c>
      <c r="BA198" s="1" t="s">
        <v>74</v>
      </c>
      <c r="BB198" s="1">
        <v>1163.0</v>
      </c>
      <c r="BC198" s="1">
        <v>1168.0</v>
      </c>
      <c r="BD198" s="1" t="s">
        <v>74</v>
      </c>
      <c r="BE198" s="1" t="s">
        <v>2138</v>
      </c>
      <c r="BF198" s="2" t="str">
        <f>HYPERLINK("http://dx.doi.org/10.1093/humrep/13.5.1163","http://dx.doi.org/10.1093/humrep/13.5.1163")</f>
        <v>http://dx.doi.org/10.1093/humrep/13.5.1163</v>
      </c>
      <c r="BG198" s="1" t="s">
        <v>74</v>
      </c>
      <c r="BH198" s="1" t="s">
        <v>74</v>
      </c>
      <c r="BI198" s="1" t="s">
        <v>74</v>
      </c>
      <c r="BJ198" s="1" t="s">
        <v>74</v>
      </c>
      <c r="BK198" s="1" t="s">
        <v>74</v>
      </c>
      <c r="BL198" s="1" t="s">
        <v>74</v>
      </c>
      <c r="BM198" s="1" t="s">
        <v>74</v>
      </c>
      <c r="BN198" s="1">
        <v>9647540.0</v>
      </c>
      <c r="BO198" s="1" t="s">
        <v>74</v>
      </c>
      <c r="BP198" s="1" t="s">
        <v>74</v>
      </c>
      <c r="BQ198" s="1" t="s">
        <v>74</v>
      </c>
      <c r="BR198" s="1" t="s">
        <v>74</v>
      </c>
      <c r="BS198" s="1" t="s">
        <v>2139</v>
      </c>
      <c r="BT198" s="1" t="str">
        <f>HYPERLINK("https%3A%2F%2Fwww.webofscience.com%2Fwos%2Fwoscc%2Ffull-record%2FWOS:000074105500019","View Full Record in Web of Science")</f>
        <v>View Full Record in Web of Science</v>
      </c>
    </row>
    <row r="199" ht="12.75" customHeight="1">
      <c r="A199" s="1" t="s">
        <v>72</v>
      </c>
      <c r="B199" s="1" t="s">
        <v>2140</v>
      </c>
      <c r="C199" s="1" t="s">
        <v>74</v>
      </c>
      <c r="D199" s="1" t="s">
        <v>74</v>
      </c>
      <c r="E199" s="1" t="s">
        <v>74</v>
      </c>
      <c r="F199" s="1" t="s">
        <v>2140</v>
      </c>
      <c r="G199" s="1" t="s">
        <v>74</v>
      </c>
      <c r="H199" s="1" t="s">
        <v>74</v>
      </c>
      <c r="I199" s="1" t="s">
        <v>2141</v>
      </c>
      <c r="J199" s="1" t="s">
        <v>2142</v>
      </c>
      <c r="K199" s="1" t="s">
        <v>74</v>
      </c>
      <c r="L199" s="1" t="s">
        <v>74</v>
      </c>
      <c r="M199" s="1" t="s">
        <v>74</v>
      </c>
      <c r="N199" s="1" t="s">
        <v>74</v>
      </c>
      <c r="O199" s="1" t="s">
        <v>74</v>
      </c>
      <c r="P199" s="1" t="s">
        <v>74</v>
      </c>
      <c r="Q199" s="1" t="s">
        <v>74</v>
      </c>
      <c r="R199" s="1" t="s">
        <v>74</v>
      </c>
      <c r="S199" s="1" t="s">
        <v>74</v>
      </c>
      <c r="T199" s="1" t="s">
        <v>74</v>
      </c>
      <c r="U199" s="1" t="s">
        <v>74</v>
      </c>
      <c r="V199" s="1" t="s">
        <v>2143</v>
      </c>
      <c r="W199" s="1" t="s">
        <v>74</v>
      </c>
      <c r="X199" s="1" t="s">
        <v>74</v>
      </c>
      <c r="Y199" s="1" t="s">
        <v>74</v>
      </c>
      <c r="Z199" s="1" t="s">
        <v>74</v>
      </c>
      <c r="AA199" s="1" t="s">
        <v>74</v>
      </c>
      <c r="AB199" s="1" t="s">
        <v>2144</v>
      </c>
      <c r="AC199" s="1" t="s">
        <v>74</v>
      </c>
      <c r="AD199" s="1" t="s">
        <v>74</v>
      </c>
      <c r="AE199" s="1" t="s">
        <v>74</v>
      </c>
      <c r="AF199" s="1" t="s">
        <v>74</v>
      </c>
      <c r="AG199" s="1" t="s">
        <v>74</v>
      </c>
      <c r="AH199" s="1" t="s">
        <v>74</v>
      </c>
      <c r="AI199" s="1" t="s">
        <v>74</v>
      </c>
      <c r="AJ199" s="1" t="s">
        <v>74</v>
      </c>
      <c r="AK199" s="1" t="s">
        <v>74</v>
      </c>
      <c r="AL199" s="1" t="s">
        <v>74</v>
      </c>
      <c r="AM199" s="1" t="s">
        <v>74</v>
      </c>
      <c r="AN199" s="1" t="s">
        <v>74</v>
      </c>
      <c r="AO199" s="1" t="s">
        <v>2145</v>
      </c>
      <c r="AP199" s="1" t="s">
        <v>74</v>
      </c>
      <c r="AQ199" s="1" t="s">
        <v>74</v>
      </c>
      <c r="AR199" s="1" t="s">
        <v>74</v>
      </c>
      <c r="AS199" s="1" t="s">
        <v>74</v>
      </c>
      <c r="AT199" s="1" t="s">
        <v>235</v>
      </c>
      <c r="AU199" s="1">
        <v>1992.0</v>
      </c>
      <c r="AV199" s="1">
        <v>8.0</v>
      </c>
      <c r="AW199" s="1">
        <v>2.0</v>
      </c>
      <c r="AX199" s="1" t="s">
        <v>74</v>
      </c>
      <c r="AY199" s="1" t="s">
        <v>74</v>
      </c>
      <c r="AZ199" s="1" t="s">
        <v>74</v>
      </c>
      <c r="BA199" s="1" t="s">
        <v>74</v>
      </c>
      <c r="BB199" s="1">
        <v>348.0</v>
      </c>
      <c r="BC199" s="1">
        <v>350.0</v>
      </c>
      <c r="BD199" s="1" t="s">
        <v>74</v>
      </c>
      <c r="BE199" s="1" t="s">
        <v>2146</v>
      </c>
      <c r="BF199" s="2" t="str">
        <f>HYPERLINK("http://dx.doi.org/10.1021/la00038a002","http://dx.doi.org/10.1021/la00038a002")</f>
        <v>http://dx.doi.org/10.1021/la00038a002</v>
      </c>
      <c r="BG199" s="1" t="s">
        <v>74</v>
      </c>
      <c r="BH199" s="1" t="s">
        <v>74</v>
      </c>
      <c r="BI199" s="1" t="s">
        <v>74</v>
      </c>
      <c r="BJ199" s="1" t="s">
        <v>74</v>
      </c>
      <c r="BK199" s="1" t="s">
        <v>74</v>
      </c>
      <c r="BL199" s="1" t="s">
        <v>74</v>
      </c>
      <c r="BM199" s="1" t="s">
        <v>74</v>
      </c>
      <c r="BN199" s="1" t="s">
        <v>74</v>
      </c>
      <c r="BO199" s="1" t="s">
        <v>74</v>
      </c>
      <c r="BP199" s="1" t="s">
        <v>74</v>
      </c>
      <c r="BQ199" s="1" t="s">
        <v>74</v>
      </c>
      <c r="BR199" s="1" t="s">
        <v>74</v>
      </c>
      <c r="BS199" s="1" t="s">
        <v>2147</v>
      </c>
      <c r="BT199" s="1" t="str">
        <f>HYPERLINK("https%3A%2F%2Fwww.webofscience.com%2Fwos%2Fwoscc%2Ffull-record%2FWOS:A1992HG56600002","View Full Record in Web of Science")</f>
        <v>View Full Record in Web of Science</v>
      </c>
    </row>
    <row r="200" ht="12.75" customHeight="1">
      <c r="A200" s="1" t="s">
        <v>72</v>
      </c>
      <c r="B200" s="1" t="s">
        <v>2148</v>
      </c>
      <c r="C200" s="1" t="s">
        <v>74</v>
      </c>
      <c r="D200" s="1" t="s">
        <v>74</v>
      </c>
      <c r="E200" s="1" t="s">
        <v>74</v>
      </c>
      <c r="F200" s="1" t="s">
        <v>2148</v>
      </c>
      <c r="G200" s="1" t="s">
        <v>74</v>
      </c>
      <c r="H200" s="1" t="s">
        <v>74</v>
      </c>
      <c r="I200" s="1" t="s">
        <v>2149</v>
      </c>
      <c r="J200" s="1" t="s">
        <v>2150</v>
      </c>
      <c r="K200" s="1" t="s">
        <v>74</v>
      </c>
      <c r="L200" s="1" t="s">
        <v>74</v>
      </c>
      <c r="M200" s="1" t="s">
        <v>74</v>
      </c>
      <c r="N200" s="1" t="s">
        <v>74</v>
      </c>
      <c r="O200" s="1" t="s">
        <v>74</v>
      </c>
      <c r="P200" s="1" t="s">
        <v>74</v>
      </c>
      <c r="Q200" s="1" t="s">
        <v>74</v>
      </c>
      <c r="R200" s="1" t="s">
        <v>74</v>
      </c>
      <c r="S200" s="1" t="s">
        <v>74</v>
      </c>
      <c r="T200" s="1" t="s">
        <v>74</v>
      </c>
      <c r="U200" s="1" t="s">
        <v>74</v>
      </c>
      <c r="V200" s="1" t="s">
        <v>2151</v>
      </c>
      <c r="W200" s="1" t="s">
        <v>74</v>
      </c>
      <c r="X200" s="1" t="s">
        <v>74</v>
      </c>
      <c r="Y200" s="1" t="s">
        <v>74</v>
      </c>
      <c r="Z200" s="1" t="s">
        <v>74</v>
      </c>
      <c r="AA200" s="1" t="s">
        <v>74</v>
      </c>
      <c r="AB200" s="1" t="s">
        <v>74</v>
      </c>
      <c r="AC200" s="1" t="s">
        <v>74</v>
      </c>
      <c r="AD200" s="1" t="s">
        <v>74</v>
      </c>
      <c r="AE200" s="1" t="s">
        <v>74</v>
      </c>
      <c r="AF200" s="1" t="s">
        <v>74</v>
      </c>
      <c r="AG200" s="1" t="s">
        <v>74</v>
      </c>
      <c r="AH200" s="1" t="s">
        <v>74</v>
      </c>
      <c r="AI200" s="1" t="s">
        <v>74</v>
      </c>
      <c r="AJ200" s="1" t="s">
        <v>74</v>
      </c>
      <c r="AK200" s="1" t="s">
        <v>74</v>
      </c>
      <c r="AL200" s="1" t="s">
        <v>74</v>
      </c>
      <c r="AM200" s="1" t="s">
        <v>74</v>
      </c>
      <c r="AN200" s="1" t="s">
        <v>74</v>
      </c>
      <c r="AO200" s="1" t="s">
        <v>2152</v>
      </c>
      <c r="AP200" s="1" t="s">
        <v>74</v>
      </c>
      <c r="AQ200" s="1" t="s">
        <v>74</v>
      </c>
      <c r="AR200" s="1" t="s">
        <v>74</v>
      </c>
      <c r="AS200" s="1" t="s">
        <v>74</v>
      </c>
      <c r="AT200" s="1" t="s">
        <v>74</v>
      </c>
      <c r="AU200" s="1">
        <v>1990.0</v>
      </c>
      <c r="AV200" s="1">
        <v>19.0</v>
      </c>
      <c r="AW200" s="1">
        <v>6.0</v>
      </c>
      <c r="AX200" s="1" t="s">
        <v>74</v>
      </c>
      <c r="AY200" s="1" t="s">
        <v>74</v>
      </c>
      <c r="AZ200" s="1" t="s">
        <v>74</v>
      </c>
      <c r="BA200" s="1" t="s">
        <v>74</v>
      </c>
      <c r="BB200" s="1">
        <v>54.0</v>
      </c>
      <c r="BC200" s="1">
        <v>59.0</v>
      </c>
      <c r="BD200" s="1" t="s">
        <v>74</v>
      </c>
      <c r="BE200" s="1" t="s">
        <v>2153</v>
      </c>
      <c r="BF200" s="2" t="str">
        <f>HYPERLINK("http://dx.doi.org/10.1108/eb005869","http://dx.doi.org/10.1108/eb005869")</f>
        <v>http://dx.doi.org/10.1108/eb005869</v>
      </c>
      <c r="BG200" s="1" t="s">
        <v>74</v>
      </c>
      <c r="BH200" s="1" t="s">
        <v>74</v>
      </c>
      <c r="BI200" s="1" t="s">
        <v>74</v>
      </c>
      <c r="BJ200" s="1" t="s">
        <v>74</v>
      </c>
      <c r="BK200" s="1" t="s">
        <v>74</v>
      </c>
      <c r="BL200" s="1" t="s">
        <v>74</v>
      </c>
      <c r="BM200" s="1" t="s">
        <v>74</v>
      </c>
      <c r="BN200" s="1" t="s">
        <v>74</v>
      </c>
      <c r="BO200" s="1" t="s">
        <v>74</v>
      </c>
      <c r="BP200" s="1" t="s">
        <v>74</v>
      </c>
      <c r="BQ200" s="1" t="s">
        <v>74</v>
      </c>
      <c r="BR200" s="1" t="s">
        <v>74</v>
      </c>
      <c r="BS200" s="1" t="s">
        <v>2154</v>
      </c>
      <c r="BT200" s="1" t="str">
        <f>HYPERLINK("https%3A%2F%2Fwww.webofscience.com%2Fwos%2Fwoscc%2Ffull-record%2FWOS:A1990ER63400006","View Full Record in Web of Science")</f>
        <v>View Full Record in Web of Science</v>
      </c>
    </row>
    <row r="201" ht="12.75" customHeight="1">
      <c r="A201" s="1" t="s">
        <v>72</v>
      </c>
      <c r="B201" s="1" t="s">
        <v>2155</v>
      </c>
      <c r="C201" s="1" t="s">
        <v>74</v>
      </c>
      <c r="D201" s="1" t="s">
        <v>74</v>
      </c>
      <c r="E201" s="1" t="s">
        <v>74</v>
      </c>
      <c r="F201" s="1" t="s">
        <v>2156</v>
      </c>
      <c r="G201" s="1" t="s">
        <v>74</v>
      </c>
      <c r="H201" s="1" t="s">
        <v>74</v>
      </c>
      <c r="I201" s="1" t="s">
        <v>2157</v>
      </c>
      <c r="J201" s="1" t="s">
        <v>2158</v>
      </c>
      <c r="K201" s="1" t="s">
        <v>74</v>
      </c>
      <c r="L201" s="1" t="s">
        <v>74</v>
      </c>
      <c r="M201" s="1" t="s">
        <v>74</v>
      </c>
      <c r="N201" s="1" t="s">
        <v>74</v>
      </c>
      <c r="O201" s="1" t="s">
        <v>74</v>
      </c>
      <c r="P201" s="1" t="s">
        <v>74</v>
      </c>
      <c r="Q201" s="1" t="s">
        <v>74</v>
      </c>
      <c r="R201" s="1" t="s">
        <v>74</v>
      </c>
      <c r="S201" s="1" t="s">
        <v>74</v>
      </c>
      <c r="T201" s="1" t="s">
        <v>74</v>
      </c>
      <c r="U201" s="1" t="s">
        <v>74</v>
      </c>
      <c r="V201" s="1" t="s">
        <v>74</v>
      </c>
      <c r="W201" s="1" t="s">
        <v>74</v>
      </c>
      <c r="X201" s="1" t="s">
        <v>74</v>
      </c>
      <c r="Y201" s="1" t="s">
        <v>74</v>
      </c>
      <c r="Z201" s="1" t="s">
        <v>74</v>
      </c>
      <c r="AA201" s="1" t="s">
        <v>2159</v>
      </c>
      <c r="AB201" s="1" t="s">
        <v>2160</v>
      </c>
      <c r="AC201" s="1" t="s">
        <v>74</v>
      </c>
      <c r="AD201" s="1" t="s">
        <v>74</v>
      </c>
      <c r="AE201" s="1" t="s">
        <v>74</v>
      </c>
      <c r="AF201" s="1" t="s">
        <v>74</v>
      </c>
      <c r="AG201" s="1" t="s">
        <v>74</v>
      </c>
      <c r="AH201" s="1" t="s">
        <v>74</v>
      </c>
      <c r="AI201" s="1" t="s">
        <v>74</v>
      </c>
      <c r="AJ201" s="1" t="s">
        <v>74</v>
      </c>
      <c r="AK201" s="1" t="s">
        <v>74</v>
      </c>
      <c r="AL201" s="1" t="s">
        <v>74</v>
      </c>
      <c r="AM201" s="1" t="s">
        <v>74</v>
      </c>
      <c r="AN201" s="1" t="s">
        <v>74</v>
      </c>
      <c r="AO201" s="1" t="s">
        <v>2161</v>
      </c>
      <c r="AP201" s="1" t="s">
        <v>2162</v>
      </c>
      <c r="AQ201" s="1" t="s">
        <v>74</v>
      </c>
      <c r="AR201" s="1" t="s">
        <v>74</v>
      </c>
      <c r="AS201" s="1" t="s">
        <v>74</v>
      </c>
      <c r="AT201" s="1" t="s">
        <v>2163</v>
      </c>
      <c r="AU201" s="1">
        <v>2025.0</v>
      </c>
      <c r="AV201" s="1">
        <v>55.0</v>
      </c>
      <c r="AW201" s="1">
        <v>2.0</v>
      </c>
      <c r="AX201" s="1" t="s">
        <v>74</v>
      </c>
      <c r="AY201" s="1" t="s">
        <v>74</v>
      </c>
      <c r="AZ201" s="1" t="s">
        <v>74</v>
      </c>
      <c r="BA201" s="1" t="s">
        <v>74</v>
      </c>
      <c r="BB201" s="1" t="s">
        <v>74</v>
      </c>
      <c r="BC201" s="1" t="s">
        <v>74</v>
      </c>
      <c r="BD201" s="1" t="s">
        <v>74</v>
      </c>
      <c r="BE201" s="1" t="s">
        <v>2164</v>
      </c>
      <c r="BF201" s="2" t="str">
        <f>HYPERLINK("http://dx.doi.org/10.1162/jinh_a_02037","http://dx.doi.org/10.1162/jinh_a_02037")</f>
        <v>http://dx.doi.org/10.1162/jinh_a_02037</v>
      </c>
      <c r="BG201" s="1" t="s">
        <v>74</v>
      </c>
      <c r="BH201" s="1" t="s">
        <v>74</v>
      </c>
      <c r="BI201" s="1" t="s">
        <v>74</v>
      </c>
      <c r="BJ201" s="1" t="s">
        <v>74</v>
      </c>
      <c r="BK201" s="1" t="s">
        <v>74</v>
      </c>
      <c r="BL201" s="1" t="s">
        <v>74</v>
      </c>
      <c r="BM201" s="1" t="s">
        <v>74</v>
      </c>
      <c r="BN201" s="1" t="s">
        <v>74</v>
      </c>
      <c r="BO201" s="1" t="s">
        <v>74</v>
      </c>
      <c r="BP201" s="1" t="s">
        <v>74</v>
      </c>
      <c r="BQ201" s="1" t="s">
        <v>74</v>
      </c>
      <c r="BR201" s="1" t="s">
        <v>74</v>
      </c>
      <c r="BS201" s="1" t="s">
        <v>2165</v>
      </c>
      <c r="BT201" s="1" t="str">
        <f>HYPERLINK("https%3A%2F%2Fwww.webofscience.com%2Fwos%2Fwoscc%2Ffull-record%2FWOS:001406388600002","View Full Record in Web of Science")</f>
        <v>View Full Record in Web of Science</v>
      </c>
    </row>
    <row r="202" ht="12.75" customHeight="1">
      <c r="A202" s="1" t="s">
        <v>72</v>
      </c>
      <c r="B202" s="1" t="s">
        <v>2166</v>
      </c>
      <c r="C202" s="1" t="s">
        <v>74</v>
      </c>
      <c r="D202" s="1" t="s">
        <v>74</v>
      </c>
      <c r="E202" s="1" t="s">
        <v>74</v>
      </c>
      <c r="F202" s="1" t="s">
        <v>2167</v>
      </c>
      <c r="G202" s="1" t="s">
        <v>74</v>
      </c>
      <c r="H202" s="1" t="s">
        <v>74</v>
      </c>
      <c r="I202" s="1" t="s">
        <v>2168</v>
      </c>
      <c r="J202" s="1" t="s">
        <v>2169</v>
      </c>
      <c r="K202" s="1" t="s">
        <v>74</v>
      </c>
      <c r="L202" s="1" t="s">
        <v>74</v>
      </c>
      <c r="M202" s="1" t="s">
        <v>74</v>
      </c>
      <c r="N202" s="1" t="s">
        <v>74</v>
      </c>
      <c r="O202" s="1" t="s">
        <v>74</v>
      </c>
      <c r="P202" s="1" t="s">
        <v>74</v>
      </c>
      <c r="Q202" s="1" t="s">
        <v>74</v>
      </c>
      <c r="R202" s="1" t="s">
        <v>74</v>
      </c>
      <c r="S202" s="1" t="s">
        <v>74</v>
      </c>
      <c r="T202" s="1" t="s">
        <v>74</v>
      </c>
      <c r="U202" s="1" t="s">
        <v>74</v>
      </c>
      <c r="V202" s="1" t="s">
        <v>2170</v>
      </c>
      <c r="W202" s="1" t="s">
        <v>74</v>
      </c>
      <c r="X202" s="1" t="s">
        <v>74</v>
      </c>
      <c r="Y202" s="1" t="s">
        <v>74</v>
      </c>
      <c r="Z202" s="1" t="s">
        <v>74</v>
      </c>
      <c r="AA202" s="1" t="s">
        <v>74</v>
      </c>
      <c r="AB202" s="1" t="s">
        <v>74</v>
      </c>
      <c r="AC202" s="1" t="s">
        <v>74</v>
      </c>
      <c r="AD202" s="1" t="s">
        <v>74</v>
      </c>
      <c r="AE202" s="1" t="s">
        <v>74</v>
      </c>
      <c r="AF202" s="1" t="s">
        <v>74</v>
      </c>
      <c r="AG202" s="1" t="s">
        <v>74</v>
      </c>
      <c r="AH202" s="1" t="s">
        <v>74</v>
      </c>
      <c r="AI202" s="1" t="s">
        <v>74</v>
      </c>
      <c r="AJ202" s="1" t="s">
        <v>74</v>
      </c>
      <c r="AK202" s="1" t="s">
        <v>74</v>
      </c>
      <c r="AL202" s="1" t="s">
        <v>74</v>
      </c>
      <c r="AM202" s="1" t="s">
        <v>74</v>
      </c>
      <c r="AN202" s="1" t="s">
        <v>74</v>
      </c>
      <c r="AO202" s="1" t="s">
        <v>2171</v>
      </c>
      <c r="AP202" s="1" t="s">
        <v>74</v>
      </c>
      <c r="AQ202" s="1" t="s">
        <v>74</v>
      </c>
      <c r="AR202" s="1" t="s">
        <v>74</v>
      </c>
      <c r="AS202" s="1" t="s">
        <v>74</v>
      </c>
      <c r="AT202" s="1" t="s">
        <v>606</v>
      </c>
      <c r="AU202" s="1">
        <v>2024.0</v>
      </c>
      <c r="AV202" s="1">
        <v>217.0</v>
      </c>
      <c r="AW202" s="1" t="s">
        <v>74</v>
      </c>
      <c r="AX202" s="1" t="s">
        <v>74</v>
      </c>
      <c r="AY202" s="1" t="s">
        <v>74</v>
      </c>
      <c r="AZ202" s="1" t="s">
        <v>74</v>
      </c>
      <c r="BA202" s="1" t="s">
        <v>74</v>
      </c>
      <c r="BB202" s="1" t="s">
        <v>74</v>
      </c>
      <c r="BC202" s="1" t="s">
        <v>74</v>
      </c>
      <c r="BD202" s="1">
        <v>108939.0</v>
      </c>
      <c r="BE202" s="1" t="s">
        <v>2172</v>
      </c>
      <c r="BF202" s="2" t="str">
        <f>HYPERLINK("http://dx.doi.org/10.1016/j.mineng.2024.108939","http://dx.doi.org/10.1016/j.mineng.2024.108939")</f>
        <v>http://dx.doi.org/10.1016/j.mineng.2024.108939</v>
      </c>
      <c r="BG202" s="1" t="s">
        <v>74</v>
      </c>
      <c r="BH202" s="1" t="s">
        <v>2173</v>
      </c>
      <c r="BI202" s="1" t="s">
        <v>74</v>
      </c>
      <c r="BJ202" s="1" t="s">
        <v>74</v>
      </c>
      <c r="BK202" s="1" t="s">
        <v>74</v>
      </c>
      <c r="BL202" s="1" t="s">
        <v>74</v>
      </c>
      <c r="BM202" s="1" t="s">
        <v>74</v>
      </c>
      <c r="BN202" s="1" t="s">
        <v>74</v>
      </c>
      <c r="BO202" s="1" t="s">
        <v>74</v>
      </c>
      <c r="BP202" s="1" t="s">
        <v>74</v>
      </c>
      <c r="BQ202" s="1" t="s">
        <v>74</v>
      </c>
      <c r="BR202" s="1" t="s">
        <v>74</v>
      </c>
      <c r="BS202" s="1" t="s">
        <v>2174</v>
      </c>
      <c r="BT202" s="1" t="str">
        <f>HYPERLINK("https%3A%2F%2Fwww.webofscience.com%2Fwos%2Fwoscc%2Ffull-record%2FWOS:001301518300001","View Full Record in Web of Science")</f>
        <v>View Full Record in Web of Science</v>
      </c>
    </row>
    <row r="203" ht="12.75" customHeight="1">
      <c r="A203" s="1" t="s">
        <v>72</v>
      </c>
      <c r="B203" s="1" t="s">
        <v>2175</v>
      </c>
      <c r="C203" s="1" t="s">
        <v>74</v>
      </c>
      <c r="D203" s="1" t="s">
        <v>74</v>
      </c>
      <c r="E203" s="1" t="s">
        <v>74</v>
      </c>
      <c r="F203" s="1" t="s">
        <v>2176</v>
      </c>
      <c r="G203" s="1" t="s">
        <v>74</v>
      </c>
      <c r="H203" s="1" t="s">
        <v>74</v>
      </c>
      <c r="I203" s="1" t="s">
        <v>2177</v>
      </c>
      <c r="J203" s="1" t="s">
        <v>2178</v>
      </c>
      <c r="K203" s="1" t="s">
        <v>74</v>
      </c>
      <c r="L203" s="1" t="s">
        <v>74</v>
      </c>
      <c r="M203" s="1" t="s">
        <v>74</v>
      </c>
      <c r="N203" s="1" t="s">
        <v>74</v>
      </c>
      <c r="O203" s="1" t="s">
        <v>74</v>
      </c>
      <c r="P203" s="1" t="s">
        <v>74</v>
      </c>
      <c r="Q203" s="1" t="s">
        <v>74</v>
      </c>
      <c r="R203" s="1" t="s">
        <v>74</v>
      </c>
      <c r="S203" s="1" t="s">
        <v>74</v>
      </c>
      <c r="T203" s="1" t="s">
        <v>74</v>
      </c>
      <c r="U203" s="1" t="s">
        <v>74</v>
      </c>
      <c r="V203" s="1" t="s">
        <v>2179</v>
      </c>
      <c r="W203" s="1" t="s">
        <v>74</v>
      </c>
      <c r="X203" s="1" t="s">
        <v>74</v>
      </c>
      <c r="Y203" s="1" t="s">
        <v>74</v>
      </c>
      <c r="Z203" s="1" t="s">
        <v>74</v>
      </c>
      <c r="AA203" s="1" t="s">
        <v>2180</v>
      </c>
      <c r="AB203" s="1" t="s">
        <v>74</v>
      </c>
      <c r="AC203" s="1" t="s">
        <v>74</v>
      </c>
      <c r="AD203" s="1" t="s">
        <v>74</v>
      </c>
      <c r="AE203" s="1" t="s">
        <v>74</v>
      </c>
      <c r="AF203" s="1" t="s">
        <v>74</v>
      </c>
      <c r="AG203" s="1" t="s">
        <v>74</v>
      </c>
      <c r="AH203" s="1" t="s">
        <v>74</v>
      </c>
      <c r="AI203" s="1" t="s">
        <v>74</v>
      </c>
      <c r="AJ203" s="1" t="s">
        <v>74</v>
      </c>
      <c r="AK203" s="1" t="s">
        <v>74</v>
      </c>
      <c r="AL203" s="1" t="s">
        <v>74</v>
      </c>
      <c r="AM203" s="1" t="s">
        <v>74</v>
      </c>
      <c r="AN203" s="1" t="s">
        <v>74</v>
      </c>
      <c r="AO203" s="1" t="s">
        <v>2181</v>
      </c>
      <c r="AP203" s="1" t="s">
        <v>74</v>
      </c>
      <c r="AQ203" s="1" t="s">
        <v>74</v>
      </c>
      <c r="AR203" s="1" t="s">
        <v>74</v>
      </c>
      <c r="AS203" s="1" t="s">
        <v>74</v>
      </c>
      <c r="AT203" s="1" t="s">
        <v>74</v>
      </c>
      <c r="AU203" s="1">
        <v>2024.0</v>
      </c>
      <c r="AV203" s="1">
        <v>33.0</v>
      </c>
      <c r="AW203" s="1">
        <v>2.0</v>
      </c>
      <c r="AX203" s="1" t="s">
        <v>74</v>
      </c>
      <c r="AY203" s="1" t="s">
        <v>74</v>
      </c>
      <c r="AZ203" s="1" t="s">
        <v>74</v>
      </c>
      <c r="BA203" s="1" t="s">
        <v>74</v>
      </c>
      <c r="BB203" s="1">
        <v>99.0</v>
      </c>
      <c r="BC203" s="1">
        <v>128.0</v>
      </c>
      <c r="BD203" s="1" t="s">
        <v>74</v>
      </c>
      <c r="BE203" s="1" t="s">
        <v>2182</v>
      </c>
      <c r="BF203" s="2" t="str">
        <f>HYPERLINK("http://dx.doi.org/10.60583/gypp.v33i2.8271","http://dx.doi.org/10.60583/gypp.v33i2.8271")</f>
        <v>http://dx.doi.org/10.60583/gypp.v33i2.8271</v>
      </c>
      <c r="BG203" s="1" t="s">
        <v>74</v>
      </c>
      <c r="BH203" s="1" t="s">
        <v>74</v>
      </c>
      <c r="BI203" s="1" t="s">
        <v>74</v>
      </c>
      <c r="BJ203" s="1" t="s">
        <v>74</v>
      </c>
      <c r="BK203" s="1" t="s">
        <v>74</v>
      </c>
      <c r="BL203" s="1" t="s">
        <v>74</v>
      </c>
      <c r="BM203" s="1" t="s">
        <v>74</v>
      </c>
      <c r="BN203" s="1" t="s">
        <v>74</v>
      </c>
      <c r="BO203" s="1" t="s">
        <v>74</v>
      </c>
      <c r="BP203" s="1" t="s">
        <v>74</v>
      </c>
      <c r="BQ203" s="1" t="s">
        <v>74</v>
      </c>
      <c r="BR203" s="1" t="s">
        <v>74</v>
      </c>
      <c r="BS203" s="1" t="s">
        <v>2183</v>
      </c>
      <c r="BT203" s="1" t="str">
        <f>HYPERLINK("https%3A%2F%2Fwww.webofscience.com%2Fwos%2Fwoscc%2Ffull-record%2FWOS:001332749600004","View Full Record in Web of Science")</f>
        <v>View Full Record in Web of Science</v>
      </c>
    </row>
    <row r="204" ht="12.75" customHeight="1">
      <c r="A204" s="1" t="s">
        <v>72</v>
      </c>
      <c r="B204" s="1" t="s">
        <v>2184</v>
      </c>
      <c r="C204" s="1" t="s">
        <v>74</v>
      </c>
      <c r="D204" s="1" t="s">
        <v>74</v>
      </c>
      <c r="E204" s="1" t="s">
        <v>74</v>
      </c>
      <c r="F204" s="1" t="s">
        <v>2185</v>
      </c>
      <c r="G204" s="1" t="s">
        <v>74</v>
      </c>
      <c r="H204" s="1" t="s">
        <v>74</v>
      </c>
      <c r="I204" s="1" t="s">
        <v>2186</v>
      </c>
      <c r="J204" s="1" t="s">
        <v>2187</v>
      </c>
      <c r="K204" s="1" t="s">
        <v>74</v>
      </c>
      <c r="L204" s="1" t="s">
        <v>74</v>
      </c>
      <c r="M204" s="1" t="s">
        <v>74</v>
      </c>
      <c r="N204" s="1" t="s">
        <v>74</v>
      </c>
      <c r="O204" s="1" t="s">
        <v>74</v>
      </c>
      <c r="P204" s="1" t="s">
        <v>74</v>
      </c>
      <c r="Q204" s="1" t="s">
        <v>74</v>
      </c>
      <c r="R204" s="1" t="s">
        <v>74</v>
      </c>
      <c r="S204" s="1" t="s">
        <v>74</v>
      </c>
      <c r="T204" s="1" t="s">
        <v>74</v>
      </c>
      <c r="U204" s="1" t="s">
        <v>74</v>
      </c>
      <c r="V204" s="1" t="s">
        <v>2188</v>
      </c>
      <c r="W204" s="1" t="s">
        <v>74</v>
      </c>
      <c r="X204" s="1" t="s">
        <v>74</v>
      </c>
      <c r="Y204" s="1" t="s">
        <v>74</v>
      </c>
      <c r="Z204" s="1" t="s">
        <v>74</v>
      </c>
      <c r="AA204" s="1" t="s">
        <v>2189</v>
      </c>
      <c r="AB204" s="1" t="s">
        <v>2190</v>
      </c>
      <c r="AC204" s="1" t="s">
        <v>74</v>
      </c>
      <c r="AD204" s="1" t="s">
        <v>74</v>
      </c>
      <c r="AE204" s="1" t="s">
        <v>74</v>
      </c>
      <c r="AF204" s="1" t="s">
        <v>74</v>
      </c>
      <c r="AG204" s="1" t="s">
        <v>74</v>
      </c>
      <c r="AH204" s="1" t="s">
        <v>74</v>
      </c>
      <c r="AI204" s="1" t="s">
        <v>74</v>
      </c>
      <c r="AJ204" s="1" t="s">
        <v>74</v>
      </c>
      <c r="AK204" s="1" t="s">
        <v>74</v>
      </c>
      <c r="AL204" s="1" t="s">
        <v>74</v>
      </c>
      <c r="AM204" s="1" t="s">
        <v>74</v>
      </c>
      <c r="AN204" s="1" t="s">
        <v>74</v>
      </c>
      <c r="AO204" s="1" t="s">
        <v>2191</v>
      </c>
      <c r="AP204" s="1" t="s">
        <v>74</v>
      </c>
      <c r="AQ204" s="1" t="s">
        <v>74</v>
      </c>
      <c r="AR204" s="1" t="s">
        <v>74</v>
      </c>
      <c r="AS204" s="1" t="s">
        <v>74</v>
      </c>
      <c r="AT204" s="1" t="s">
        <v>2192</v>
      </c>
      <c r="AU204" s="1">
        <v>2023.0</v>
      </c>
      <c r="AV204" s="1">
        <v>11.0</v>
      </c>
      <c r="AW204" s="1" t="s">
        <v>74</v>
      </c>
      <c r="AX204" s="1" t="s">
        <v>74</v>
      </c>
      <c r="AY204" s="1" t="s">
        <v>74</v>
      </c>
      <c r="AZ204" s="1" t="s">
        <v>74</v>
      </c>
      <c r="BA204" s="1" t="s">
        <v>74</v>
      </c>
      <c r="BB204" s="1" t="s">
        <v>74</v>
      </c>
      <c r="BC204" s="1" t="s">
        <v>74</v>
      </c>
      <c r="BD204" s="1">
        <v>1301988.0</v>
      </c>
      <c r="BE204" s="1" t="s">
        <v>2193</v>
      </c>
      <c r="BF204" s="2" t="str">
        <f>HYPERLINK("http://dx.doi.org/10.3389/fbioe.2023.1301988","http://dx.doi.org/10.3389/fbioe.2023.1301988")</f>
        <v>http://dx.doi.org/10.3389/fbioe.2023.1301988</v>
      </c>
      <c r="BG204" s="1" t="s">
        <v>74</v>
      </c>
      <c r="BH204" s="1" t="s">
        <v>74</v>
      </c>
      <c r="BI204" s="1" t="s">
        <v>74</v>
      </c>
      <c r="BJ204" s="1" t="s">
        <v>74</v>
      </c>
      <c r="BK204" s="1" t="s">
        <v>74</v>
      </c>
      <c r="BL204" s="1" t="s">
        <v>74</v>
      </c>
      <c r="BM204" s="1" t="s">
        <v>74</v>
      </c>
      <c r="BN204" s="1">
        <v>3.8053847E7</v>
      </c>
      <c r="BO204" s="1" t="s">
        <v>74</v>
      </c>
      <c r="BP204" s="1" t="s">
        <v>74</v>
      </c>
      <c r="BQ204" s="1" t="s">
        <v>74</v>
      </c>
      <c r="BR204" s="1" t="s">
        <v>74</v>
      </c>
      <c r="BS204" s="1" t="s">
        <v>2194</v>
      </c>
      <c r="BT204" s="1" t="str">
        <f>HYPERLINK("https%3A%2F%2Fwww.webofscience.com%2Fwos%2Fwoscc%2Ffull-record%2FWOS:001112622900001","View Full Record in Web of Science")</f>
        <v>View Full Record in Web of Science</v>
      </c>
    </row>
    <row r="205" ht="12.75" customHeight="1">
      <c r="A205" s="1" t="s">
        <v>72</v>
      </c>
      <c r="B205" s="1" t="s">
        <v>2195</v>
      </c>
      <c r="C205" s="1" t="s">
        <v>74</v>
      </c>
      <c r="D205" s="1" t="s">
        <v>74</v>
      </c>
      <c r="E205" s="1" t="s">
        <v>74</v>
      </c>
      <c r="F205" s="1" t="s">
        <v>2196</v>
      </c>
      <c r="G205" s="1" t="s">
        <v>74</v>
      </c>
      <c r="H205" s="1" t="s">
        <v>74</v>
      </c>
      <c r="I205" s="1" t="s">
        <v>2197</v>
      </c>
      <c r="J205" s="1" t="s">
        <v>2198</v>
      </c>
      <c r="K205" s="1" t="s">
        <v>74</v>
      </c>
      <c r="L205" s="1" t="s">
        <v>74</v>
      </c>
      <c r="M205" s="1" t="s">
        <v>74</v>
      </c>
      <c r="N205" s="1" t="s">
        <v>74</v>
      </c>
      <c r="O205" s="1" t="s">
        <v>74</v>
      </c>
      <c r="P205" s="1" t="s">
        <v>74</v>
      </c>
      <c r="Q205" s="1" t="s">
        <v>74</v>
      </c>
      <c r="R205" s="1" t="s">
        <v>74</v>
      </c>
      <c r="S205" s="1" t="s">
        <v>74</v>
      </c>
      <c r="T205" s="1" t="s">
        <v>74</v>
      </c>
      <c r="U205" s="1" t="s">
        <v>74</v>
      </c>
      <c r="V205" s="1" t="s">
        <v>2199</v>
      </c>
      <c r="W205" s="1" t="s">
        <v>74</v>
      </c>
      <c r="X205" s="1" t="s">
        <v>74</v>
      </c>
      <c r="Y205" s="1" t="s">
        <v>74</v>
      </c>
      <c r="Z205" s="1" t="s">
        <v>74</v>
      </c>
      <c r="AA205" s="1" t="s">
        <v>2200</v>
      </c>
      <c r="AB205" s="1" t="s">
        <v>2039</v>
      </c>
      <c r="AC205" s="1" t="s">
        <v>74</v>
      </c>
      <c r="AD205" s="1" t="s">
        <v>74</v>
      </c>
      <c r="AE205" s="1" t="s">
        <v>74</v>
      </c>
      <c r="AF205" s="1" t="s">
        <v>74</v>
      </c>
      <c r="AG205" s="1" t="s">
        <v>74</v>
      </c>
      <c r="AH205" s="1" t="s">
        <v>74</v>
      </c>
      <c r="AI205" s="1" t="s">
        <v>74</v>
      </c>
      <c r="AJ205" s="1" t="s">
        <v>74</v>
      </c>
      <c r="AK205" s="1" t="s">
        <v>74</v>
      </c>
      <c r="AL205" s="1" t="s">
        <v>74</v>
      </c>
      <c r="AM205" s="1" t="s">
        <v>74</v>
      </c>
      <c r="AN205" s="1" t="s">
        <v>74</v>
      </c>
      <c r="AO205" s="1" t="s">
        <v>2201</v>
      </c>
      <c r="AP205" s="1" t="s">
        <v>2202</v>
      </c>
      <c r="AQ205" s="1" t="s">
        <v>74</v>
      </c>
      <c r="AR205" s="1" t="s">
        <v>74</v>
      </c>
      <c r="AS205" s="1" t="s">
        <v>74</v>
      </c>
      <c r="AT205" s="1" t="s">
        <v>606</v>
      </c>
      <c r="AU205" s="1">
        <v>2023.0</v>
      </c>
      <c r="AV205" s="1">
        <v>51.0</v>
      </c>
      <c r="AW205" s="1">
        <v>2.0</v>
      </c>
      <c r="AX205" s="1" t="s">
        <v>74</v>
      </c>
      <c r="AY205" s="1" t="s">
        <v>74</v>
      </c>
      <c r="AZ205" s="1" t="s">
        <v>74</v>
      </c>
      <c r="BA205" s="1" t="s">
        <v>74</v>
      </c>
      <c r="BB205" s="1">
        <v>195.0</v>
      </c>
      <c r="BC205" s="1">
        <v>199.0</v>
      </c>
      <c r="BD205" s="1" t="s">
        <v>74</v>
      </c>
      <c r="BE205" s="1" t="s">
        <v>74</v>
      </c>
      <c r="BF205" s="1" t="s">
        <v>74</v>
      </c>
      <c r="BG205" s="1" t="s">
        <v>74</v>
      </c>
      <c r="BH205" s="1" t="s">
        <v>74</v>
      </c>
      <c r="BI205" s="1" t="s">
        <v>74</v>
      </c>
      <c r="BJ205" s="1" t="s">
        <v>74</v>
      </c>
      <c r="BK205" s="1" t="s">
        <v>74</v>
      </c>
      <c r="BL205" s="1" t="s">
        <v>74</v>
      </c>
      <c r="BM205" s="1" t="s">
        <v>74</v>
      </c>
      <c r="BN205" s="1" t="s">
        <v>74</v>
      </c>
      <c r="BO205" s="1" t="s">
        <v>74</v>
      </c>
      <c r="BP205" s="1" t="s">
        <v>74</v>
      </c>
      <c r="BQ205" s="1" t="s">
        <v>74</v>
      </c>
      <c r="BR205" s="1" t="s">
        <v>74</v>
      </c>
      <c r="BS205" s="1" t="s">
        <v>2203</v>
      </c>
      <c r="BT205" s="1" t="str">
        <f>HYPERLINK("https%3A%2F%2Fwww.webofscience.com%2Fwos%2Fwoscc%2Ffull-record%2FWOS:001181797800007","View Full Record in Web of Science")</f>
        <v>View Full Record in Web of Science</v>
      </c>
    </row>
    <row r="206" ht="12.75" customHeight="1">
      <c r="A206" s="1" t="s">
        <v>72</v>
      </c>
      <c r="B206" s="1" t="s">
        <v>2204</v>
      </c>
      <c r="C206" s="1" t="s">
        <v>74</v>
      </c>
      <c r="D206" s="1" t="s">
        <v>74</v>
      </c>
      <c r="E206" s="1" t="s">
        <v>74</v>
      </c>
      <c r="F206" s="1" t="s">
        <v>2205</v>
      </c>
      <c r="G206" s="1" t="s">
        <v>74</v>
      </c>
      <c r="H206" s="1" t="s">
        <v>74</v>
      </c>
      <c r="I206" s="1" t="s">
        <v>2206</v>
      </c>
      <c r="J206" s="1" t="s">
        <v>2124</v>
      </c>
      <c r="K206" s="1" t="s">
        <v>74</v>
      </c>
      <c r="L206" s="1" t="s">
        <v>74</v>
      </c>
      <c r="M206" s="1" t="s">
        <v>74</v>
      </c>
      <c r="N206" s="1" t="s">
        <v>74</v>
      </c>
      <c r="O206" s="1" t="s">
        <v>74</v>
      </c>
      <c r="P206" s="1" t="s">
        <v>74</v>
      </c>
      <c r="Q206" s="1" t="s">
        <v>74</v>
      </c>
      <c r="R206" s="1" t="s">
        <v>74</v>
      </c>
      <c r="S206" s="1" t="s">
        <v>74</v>
      </c>
      <c r="T206" s="1" t="s">
        <v>74</v>
      </c>
      <c r="U206" s="1" t="s">
        <v>74</v>
      </c>
      <c r="V206" s="1" t="s">
        <v>2207</v>
      </c>
      <c r="W206" s="1" t="s">
        <v>74</v>
      </c>
      <c r="X206" s="1" t="s">
        <v>74</v>
      </c>
      <c r="Y206" s="1" t="s">
        <v>74</v>
      </c>
      <c r="Z206" s="1" t="s">
        <v>74</v>
      </c>
      <c r="AA206" s="1" t="s">
        <v>2208</v>
      </c>
      <c r="AB206" s="1" t="s">
        <v>2209</v>
      </c>
      <c r="AC206" s="1" t="s">
        <v>74</v>
      </c>
      <c r="AD206" s="1" t="s">
        <v>74</v>
      </c>
      <c r="AE206" s="1" t="s">
        <v>74</v>
      </c>
      <c r="AF206" s="1" t="s">
        <v>74</v>
      </c>
      <c r="AG206" s="1" t="s">
        <v>74</v>
      </c>
      <c r="AH206" s="1" t="s">
        <v>74</v>
      </c>
      <c r="AI206" s="1" t="s">
        <v>74</v>
      </c>
      <c r="AJ206" s="1" t="s">
        <v>74</v>
      </c>
      <c r="AK206" s="1" t="s">
        <v>74</v>
      </c>
      <c r="AL206" s="1" t="s">
        <v>74</v>
      </c>
      <c r="AM206" s="1" t="s">
        <v>74</v>
      </c>
      <c r="AN206" s="1" t="s">
        <v>74</v>
      </c>
      <c r="AO206" s="1" t="s">
        <v>2127</v>
      </c>
      <c r="AP206" s="1" t="s">
        <v>2128</v>
      </c>
      <c r="AQ206" s="1" t="s">
        <v>74</v>
      </c>
      <c r="AR206" s="1" t="s">
        <v>74</v>
      </c>
      <c r="AS206" s="1" t="s">
        <v>74</v>
      </c>
      <c r="AT206" s="1" t="s">
        <v>2210</v>
      </c>
      <c r="AU206" s="1">
        <v>2023.0</v>
      </c>
      <c r="AV206" s="1">
        <v>108.0</v>
      </c>
      <c r="AW206" s="1">
        <v>2.0</v>
      </c>
      <c r="AX206" s="1" t="s">
        <v>74</v>
      </c>
      <c r="AY206" s="1" t="s">
        <v>74</v>
      </c>
      <c r="AZ206" s="1" t="s">
        <v>74</v>
      </c>
      <c r="BA206" s="1" t="s">
        <v>74</v>
      </c>
      <c r="BB206" s="1" t="s">
        <v>74</v>
      </c>
      <c r="BC206" s="1" t="s">
        <v>74</v>
      </c>
      <c r="BD206" s="1">
        <v>24069.0</v>
      </c>
      <c r="BE206" s="1" t="s">
        <v>2211</v>
      </c>
      <c r="BF206" s="2" t="str">
        <f>HYPERLINK("http://dx.doi.org/10.1103/PhysRevD.108.024069","http://dx.doi.org/10.1103/PhysRevD.108.024069")</f>
        <v>http://dx.doi.org/10.1103/PhysRevD.108.024069</v>
      </c>
      <c r="BG206" s="1" t="s">
        <v>74</v>
      </c>
      <c r="BH206" s="1" t="s">
        <v>74</v>
      </c>
      <c r="BI206" s="1" t="s">
        <v>74</v>
      </c>
      <c r="BJ206" s="1" t="s">
        <v>74</v>
      </c>
      <c r="BK206" s="1" t="s">
        <v>74</v>
      </c>
      <c r="BL206" s="1" t="s">
        <v>74</v>
      </c>
      <c r="BM206" s="1" t="s">
        <v>74</v>
      </c>
      <c r="BN206" s="1" t="s">
        <v>74</v>
      </c>
      <c r="BO206" s="1" t="s">
        <v>74</v>
      </c>
      <c r="BP206" s="1" t="s">
        <v>74</v>
      </c>
      <c r="BQ206" s="1" t="s">
        <v>74</v>
      </c>
      <c r="BR206" s="1" t="s">
        <v>74</v>
      </c>
      <c r="BS206" s="1" t="s">
        <v>2212</v>
      </c>
      <c r="BT206" s="1" t="str">
        <f>HYPERLINK("https%3A%2F%2Fwww.webofscience.com%2Fwos%2Fwoscc%2Ffull-record%2FWOS:001055253600002","View Full Record in Web of Science")</f>
        <v>View Full Record in Web of Science</v>
      </c>
    </row>
    <row r="207" ht="12.75" customHeight="1">
      <c r="A207" s="1" t="s">
        <v>72</v>
      </c>
      <c r="B207" s="1" t="s">
        <v>2213</v>
      </c>
      <c r="C207" s="1" t="s">
        <v>74</v>
      </c>
      <c r="D207" s="1" t="s">
        <v>74</v>
      </c>
      <c r="E207" s="1" t="s">
        <v>74</v>
      </c>
      <c r="F207" s="1" t="s">
        <v>2214</v>
      </c>
      <c r="G207" s="1" t="s">
        <v>74</v>
      </c>
      <c r="H207" s="1" t="s">
        <v>74</v>
      </c>
      <c r="I207" s="1" t="s">
        <v>2215</v>
      </c>
      <c r="J207" s="1" t="s">
        <v>321</v>
      </c>
      <c r="K207" s="1" t="s">
        <v>74</v>
      </c>
      <c r="L207" s="1" t="s">
        <v>74</v>
      </c>
      <c r="M207" s="1" t="s">
        <v>74</v>
      </c>
      <c r="N207" s="1" t="s">
        <v>74</v>
      </c>
      <c r="O207" s="1" t="s">
        <v>74</v>
      </c>
      <c r="P207" s="1" t="s">
        <v>74</v>
      </c>
      <c r="Q207" s="1" t="s">
        <v>74</v>
      </c>
      <c r="R207" s="1" t="s">
        <v>74</v>
      </c>
      <c r="S207" s="1" t="s">
        <v>74</v>
      </c>
      <c r="T207" s="1" t="s">
        <v>74</v>
      </c>
      <c r="U207" s="1" t="s">
        <v>74</v>
      </c>
      <c r="V207" s="1" t="s">
        <v>2216</v>
      </c>
      <c r="W207" s="1" t="s">
        <v>74</v>
      </c>
      <c r="X207" s="1" t="s">
        <v>74</v>
      </c>
      <c r="Y207" s="1" t="s">
        <v>74</v>
      </c>
      <c r="Z207" s="1" t="s">
        <v>74</v>
      </c>
      <c r="AA207" s="1" t="s">
        <v>2217</v>
      </c>
      <c r="AB207" s="1" t="s">
        <v>2218</v>
      </c>
      <c r="AC207" s="1" t="s">
        <v>74</v>
      </c>
      <c r="AD207" s="1" t="s">
        <v>74</v>
      </c>
      <c r="AE207" s="1" t="s">
        <v>74</v>
      </c>
      <c r="AF207" s="1" t="s">
        <v>74</v>
      </c>
      <c r="AG207" s="1" t="s">
        <v>74</v>
      </c>
      <c r="AH207" s="1" t="s">
        <v>74</v>
      </c>
      <c r="AI207" s="1" t="s">
        <v>74</v>
      </c>
      <c r="AJ207" s="1" t="s">
        <v>74</v>
      </c>
      <c r="AK207" s="1" t="s">
        <v>74</v>
      </c>
      <c r="AL207" s="1" t="s">
        <v>74</v>
      </c>
      <c r="AM207" s="1" t="s">
        <v>74</v>
      </c>
      <c r="AN207" s="1" t="s">
        <v>74</v>
      </c>
      <c r="AO207" s="1" t="s">
        <v>325</v>
      </c>
      <c r="AP207" s="1" t="s">
        <v>326</v>
      </c>
      <c r="AQ207" s="1" t="s">
        <v>74</v>
      </c>
      <c r="AR207" s="1" t="s">
        <v>74</v>
      </c>
      <c r="AS207" s="1" t="s">
        <v>74</v>
      </c>
      <c r="AT207" s="1" t="s">
        <v>2219</v>
      </c>
      <c r="AU207" s="1">
        <v>2023.0</v>
      </c>
      <c r="AV207" s="1">
        <v>863.0</v>
      </c>
      <c r="AW207" s="1" t="s">
        <v>74</v>
      </c>
      <c r="AX207" s="1" t="s">
        <v>74</v>
      </c>
      <c r="AY207" s="1" t="s">
        <v>74</v>
      </c>
      <c r="AZ207" s="1" t="s">
        <v>74</v>
      </c>
      <c r="BA207" s="1" t="s">
        <v>74</v>
      </c>
      <c r="BB207" s="1" t="s">
        <v>74</v>
      </c>
      <c r="BC207" s="1" t="s">
        <v>74</v>
      </c>
      <c r="BD207" s="1" t="s">
        <v>74</v>
      </c>
      <c r="BE207" s="1" t="s">
        <v>2220</v>
      </c>
      <c r="BF207" s="2" t="str">
        <f>HYPERLINK("http://dx.doi.org/10.1016/j.scitotenv.2022.160685","http://dx.doi.org/10.1016/j.scitotenv.2022.160685")</f>
        <v>http://dx.doi.org/10.1016/j.scitotenv.2022.160685</v>
      </c>
      <c r="BG207" s="1" t="s">
        <v>74</v>
      </c>
      <c r="BH207" s="1" t="s">
        <v>2221</v>
      </c>
      <c r="BI207" s="1" t="s">
        <v>74</v>
      </c>
      <c r="BJ207" s="1" t="s">
        <v>74</v>
      </c>
      <c r="BK207" s="1" t="s">
        <v>74</v>
      </c>
      <c r="BL207" s="1" t="s">
        <v>74</v>
      </c>
      <c r="BM207" s="1" t="s">
        <v>74</v>
      </c>
      <c r="BN207" s="1">
        <v>3.6476771E7</v>
      </c>
      <c r="BO207" s="1" t="s">
        <v>74</v>
      </c>
      <c r="BP207" s="1" t="s">
        <v>74</v>
      </c>
      <c r="BQ207" s="1" t="s">
        <v>74</v>
      </c>
      <c r="BR207" s="1" t="s">
        <v>74</v>
      </c>
      <c r="BS207" s="1" t="s">
        <v>2222</v>
      </c>
      <c r="BT207" s="1" t="str">
        <f>HYPERLINK("https%3A%2F%2Fwww.webofscience.com%2Fwos%2Fwoscc%2Ffull-record%2FWOS:000909991400004","View Full Record in Web of Science")</f>
        <v>View Full Record in Web of Science</v>
      </c>
    </row>
    <row r="208" ht="12.75" customHeight="1">
      <c r="A208" s="1" t="s">
        <v>72</v>
      </c>
      <c r="B208" s="1" t="s">
        <v>2223</v>
      </c>
      <c r="C208" s="1" t="s">
        <v>74</v>
      </c>
      <c r="D208" s="1" t="s">
        <v>74</v>
      </c>
      <c r="E208" s="1" t="s">
        <v>74</v>
      </c>
      <c r="F208" s="1" t="s">
        <v>2224</v>
      </c>
      <c r="G208" s="1" t="s">
        <v>74</v>
      </c>
      <c r="H208" s="1" t="s">
        <v>74</v>
      </c>
      <c r="I208" s="1" t="s">
        <v>2225</v>
      </c>
      <c r="J208" s="1" t="s">
        <v>534</v>
      </c>
      <c r="K208" s="1" t="s">
        <v>74</v>
      </c>
      <c r="L208" s="1" t="s">
        <v>74</v>
      </c>
      <c r="M208" s="1" t="s">
        <v>74</v>
      </c>
      <c r="N208" s="1" t="s">
        <v>74</v>
      </c>
      <c r="O208" s="1" t="s">
        <v>74</v>
      </c>
      <c r="P208" s="1" t="s">
        <v>74</v>
      </c>
      <c r="Q208" s="1" t="s">
        <v>74</v>
      </c>
      <c r="R208" s="1" t="s">
        <v>74</v>
      </c>
      <c r="S208" s="1" t="s">
        <v>74</v>
      </c>
      <c r="T208" s="1" t="s">
        <v>74</v>
      </c>
      <c r="U208" s="1" t="s">
        <v>74</v>
      </c>
      <c r="V208" s="1" t="s">
        <v>2226</v>
      </c>
      <c r="W208" s="1" t="s">
        <v>74</v>
      </c>
      <c r="X208" s="1" t="s">
        <v>74</v>
      </c>
      <c r="Y208" s="1" t="s">
        <v>74</v>
      </c>
      <c r="Z208" s="1" t="s">
        <v>74</v>
      </c>
      <c r="AA208" s="1" t="s">
        <v>2227</v>
      </c>
      <c r="AB208" s="1" t="s">
        <v>74</v>
      </c>
      <c r="AC208" s="1" t="s">
        <v>74</v>
      </c>
      <c r="AD208" s="1" t="s">
        <v>74</v>
      </c>
      <c r="AE208" s="1" t="s">
        <v>74</v>
      </c>
      <c r="AF208" s="1" t="s">
        <v>74</v>
      </c>
      <c r="AG208" s="1" t="s">
        <v>74</v>
      </c>
      <c r="AH208" s="1" t="s">
        <v>74</v>
      </c>
      <c r="AI208" s="1" t="s">
        <v>74</v>
      </c>
      <c r="AJ208" s="1" t="s">
        <v>74</v>
      </c>
      <c r="AK208" s="1" t="s">
        <v>74</v>
      </c>
      <c r="AL208" s="1" t="s">
        <v>74</v>
      </c>
      <c r="AM208" s="1" t="s">
        <v>74</v>
      </c>
      <c r="AN208" s="1" t="s">
        <v>74</v>
      </c>
      <c r="AO208" s="1" t="s">
        <v>538</v>
      </c>
      <c r="AP208" s="1" t="s">
        <v>539</v>
      </c>
      <c r="AQ208" s="1" t="s">
        <v>74</v>
      </c>
      <c r="AR208" s="1" t="s">
        <v>74</v>
      </c>
      <c r="AS208" s="1" t="s">
        <v>74</v>
      </c>
      <c r="AT208" s="1" t="s">
        <v>294</v>
      </c>
      <c r="AU208" s="1">
        <v>2022.0</v>
      </c>
      <c r="AV208" s="1">
        <v>25.0</v>
      </c>
      <c r="AW208" s="1">
        <v>3.0</v>
      </c>
      <c r="AX208" s="1" t="s">
        <v>74</v>
      </c>
      <c r="AY208" s="1" t="s">
        <v>74</v>
      </c>
      <c r="AZ208" s="1" t="s">
        <v>74</v>
      </c>
      <c r="BA208" s="1" t="s">
        <v>74</v>
      </c>
      <c r="BB208" s="1">
        <v>887.0</v>
      </c>
      <c r="BC208" s="1">
        <v>923.0</v>
      </c>
      <c r="BD208" s="1" t="s">
        <v>74</v>
      </c>
      <c r="BE208" s="1" t="s">
        <v>2228</v>
      </c>
      <c r="BF208" s="2" t="str">
        <f>HYPERLINK("http://dx.doi.org/10.1007/s13540-022-00018-2","http://dx.doi.org/10.1007/s13540-022-00018-2")</f>
        <v>http://dx.doi.org/10.1007/s13540-022-00018-2</v>
      </c>
      <c r="BG208" s="1" t="s">
        <v>74</v>
      </c>
      <c r="BH208" s="1" t="s">
        <v>2229</v>
      </c>
      <c r="BI208" s="1" t="s">
        <v>74</v>
      </c>
      <c r="BJ208" s="1" t="s">
        <v>74</v>
      </c>
      <c r="BK208" s="1" t="s">
        <v>74</v>
      </c>
      <c r="BL208" s="1" t="s">
        <v>74</v>
      </c>
      <c r="BM208" s="1" t="s">
        <v>74</v>
      </c>
      <c r="BN208" s="1" t="s">
        <v>74</v>
      </c>
      <c r="BO208" s="1" t="s">
        <v>74</v>
      </c>
      <c r="BP208" s="1" t="s">
        <v>74</v>
      </c>
      <c r="BQ208" s="1" t="s">
        <v>74</v>
      </c>
      <c r="BR208" s="1" t="s">
        <v>74</v>
      </c>
      <c r="BS208" s="1" t="s">
        <v>2230</v>
      </c>
      <c r="BT208" s="1" t="str">
        <f>HYPERLINK("https%3A%2F%2Fwww.webofscience.com%2Fwos%2Fwoscc%2Ffull-record%2FWOS:000807923100003","View Full Record in Web of Science")</f>
        <v>View Full Record in Web of Science</v>
      </c>
    </row>
    <row r="209" ht="12.75" customHeight="1">
      <c r="A209" s="1" t="s">
        <v>72</v>
      </c>
      <c r="B209" s="1" t="s">
        <v>2231</v>
      </c>
      <c r="C209" s="1" t="s">
        <v>74</v>
      </c>
      <c r="D209" s="1" t="s">
        <v>74</v>
      </c>
      <c r="E209" s="1" t="s">
        <v>74</v>
      </c>
      <c r="F209" s="1" t="s">
        <v>2232</v>
      </c>
      <c r="G209" s="1" t="s">
        <v>74</v>
      </c>
      <c r="H209" s="1" t="s">
        <v>74</v>
      </c>
      <c r="I209" s="1" t="s">
        <v>2233</v>
      </c>
      <c r="J209" s="1" t="s">
        <v>2234</v>
      </c>
      <c r="K209" s="1" t="s">
        <v>74</v>
      </c>
      <c r="L209" s="1" t="s">
        <v>74</v>
      </c>
      <c r="M209" s="1" t="s">
        <v>74</v>
      </c>
      <c r="N209" s="1" t="s">
        <v>74</v>
      </c>
      <c r="O209" s="1" t="s">
        <v>74</v>
      </c>
      <c r="P209" s="1" t="s">
        <v>74</v>
      </c>
      <c r="Q209" s="1" t="s">
        <v>74</v>
      </c>
      <c r="R209" s="1" t="s">
        <v>74</v>
      </c>
      <c r="S209" s="1" t="s">
        <v>74</v>
      </c>
      <c r="T209" s="1" t="s">
        <v>74</v>
      </c>
      <c r="U209" s="1" t="s">
        <v>74</v>
      </c>
      <c r="V209" s="1" t="s">
        <v>2235</v>
      </c>
      <c r="W209" s="1" t="s">
        <v>74</v>
      </c>
      <c r="X209" s="1" t="s">
        <v>74</v>
      </c>
      <c r="Y209" s="1" t="s">
        <v>74</v>
      </c>
      <c r="Z209" s="1" t="s">
        <v>74</v>
      </c>
      <c r="AA209" s="1" t="s">
        <v>74</v>
      </c>
      <c r="AB209" s="1" t="s">
        <v>74</v>
      </c>
      <c r="AC209" s="1" t="s">
        <v>74</v>
      </c>
      <c r="AD209" s="1" t="s">
        <v>74</v>
      </c>
      <c r="AE209" s="1" t="s">
        <v>74</v>
      </c>
      <c r="AF209" s="1" t="s">
        <v>74</v>
      </c>
      <c r="AG209" s="1" t="s">
        <v>74</v>
      </c>
      <c r="AH209" s="1" t="s">
        <v>74</v>
      </c>
      <c r="AI209" s="1" t="s">
        <v>74</v>
      </c>
      <c r="AJ209" s="1" t="s">
        <v>74</v>
      </c>
      <c r="AK209" s="1" t="s">
        <v>74</v>
      </c>
      <c r="AL209" s="1" t="s">
        <v>74</v>
      </c>
      <c r="AM209" s="1" t="s">
        <v>74</v>
      </c>
      <c r="AN209" s="1" t="s">
        <v>74</v>
      </c>
      <c r="AO209" s="1" t="s">
        <v>2236</v>
      </c>
      <c r="AP209" s="1" t="s">
        <v>2237</v>
      </c>
      <c r="AQ209" s="1" t="s">
        <v>74</v>
      </c>
      <c r="AR209" s="1" t="s">
        <v>74</v>
      </c>
      <c r="AS209" s="1" t="s">
        <v>74</v>
      </c>
      <c r="AT209" s="1" t="s">
        <v>180</v>
      </c>
      <c r="AU209" s="1">
        <v>2022.0</v>
      </c>
      <c r="AV209" s="1" t="s">
        <v>74</v>
      </c>
      <c r="AW209" s="1" t="s">
        <v>74</v>
      </c>
      <c r="AX209" s="1" t="s">
        <v>74</v>
      </c>
      <c r="AY209" s="1" t="s">
        <v>74</v>
      </c>
      <c r="AZ209" s="1" t="s">
        <v>445</v>
      </c>
      <c r="BA209" s="1" t="s">
        <v>74</v>
      </c>
      <c r="BB209" s="1">
        <v>213.0</v>
      </c>
      <c r="BC209" s="1">
        <v>239.0</v>
      </c>
      <c r="BD209" s="1" t="s">
        <v>74</v>
      </c>
      <c r="BE209" s="1" t="s">
        <v>2238</v>
      </c>
      <c r="BF209" s="2" t="str">
        <f>HYPERLINK("http://dx.doi.org/10.7764/onomazein.ne10.13","http://dx.doi.org/10.7764/onomazein.ne10.13")</f>
        <v>http://dx.doi.org/10.7764/onomazein.ne10.13</v>
      </c>
      <c r="BG209" s="1" t="s">
        <v>74</v>
      </c>
      <c r="BH209" s="1" t="s">
        <v>74</v>
      </c>
      <c r="BI209" s="1" t="s">
        <v>74</v>
      </c>
      <c r="BJ209" s="1" t="s">
        <v>74</v>
      </c>
      <c r="BK209" s="1" t="s">
        <v>74</v>
      </c>
      <c r="BL209" s="1" t="s">
        <v>74</v>
      </c>
      <c r="BM209" s="1" t="s">
        <v>74</v>
      </c>
      <c r="BN209" s="1" t="s">
        <v>74</v>
      </c>
      <c r="BO209" s="1" t="s">
        <v>74</v>
      </c>
      <c r="BP209" s="1" t="s">
        <v>74</v>
      </c>
      <c r="BQ209" s="1" t="s">
        <v>74</v>
      </c>
      <c r="BR209" s="1" t="s">
        <v>74</v>
      </c>
      <c r="BS209" s="1" t="s">
        <v>2239</v>
      </c>
      <c r="BT209" s="1" t="str">
        <f>HYPERLINK("https%3A%2F%2Fwww.webofscience.com%2Fwos%2Fwoscc%2Ffull-record%2FWOS:000861022500013","View Full Record in Web of Science")</f>
        <v>View Full Record in Web of Science</v>
      </c>
    </row>
    <row r="210" ht="12.75" customHeight="1">
      <c r="A210" s="1" t="s">
        <v>72</v>
      </c>
      <c r="B210" s="1" t="s">
        <v>2240</v>
      </c>
      <c r="C210" s="1" t="s">
        <v>74</v>
      </c>
      <c r="D210" s="1" t="s">
        <v>74</v>
      </c>
      <c r="E210" s="1" t="s">
        <v>74</v>
      </c>
      <c r="F210" s="1" t="s">
        <v>2241</v>
      </c>
      <c r="G210" s="1" t="s">
        <v>74</v>
      </c>
      <c r="H210" s="1" t="s">
        <v>74</v>
      </c>
      <c r="I210" s="1" t="s">
        <v>2242</v>
      </c>
      <c r="J210" s="1" t="s">
        <v>2243</v>
      </c>
      <c r="K210" s="1" t="s">
        <v>74</v>
      </c>
      <c r="L210" s="1" t="s">
        <v>74</v>
      </c>
      <c r="M210" s="1" t="s">
        <v>74</v>
      </c>
      <c r="N210" s="1" t="s">
        <v>74</v>
      </c>
      <c r="O210" s="1" t="s">
        <v>74</v>
      </c>
      <c r="P210" s="1" t="s">
        <v>74</v>
      </c>
      <c r="Q210" s="1" t="s">
        <v>74</v>
      </c>
      <c r="R210" s="1" t="s">
        <v>74</v>
      </c>
      <c r="S210" s="1" t="s">
        <v>74</v>
      </c>
      <c r="T210" s="1" t="s">
        <v>74</v>
      </c>
      <c r="U210" s="1" t="s">
        <v>74</v>
      </c>
      <c r="V210" s="1" t="s">
        <v>2244</v>
      </c>
      <c r="W210" s="1" t="s">
        <v>74</v>
      </c>
      <c r="X210" s="1" t="s">
        <v>74</v>
      </c>
      <c r="Y210" s="1" t="s">
        <v>74</v>
      </c>
      <c r="Z210" s="1" t="s">
        <v>74</v>
      </c>
      <c r="AA210" s="1" t="s">
        <v>2245</v>
      </c>
      <c r="AB210" s="1" t="s">
        <v>2246</v>
      </c>
      <c r="AC210" s="1" t="s">
        <v>74</v>
      </c>
      <c r="AD210" s="1" t="s">
        <v>74</v>
      </c>
      <c r="AE210" s="1" t="s">
        <v>74</v>
      </c>
      <c r="AF210" s="1" t="s">
        <v>74</v>
      </c>
      <c r="AG210" s="1" t="s">
        <v>74</v>
      </c>
      <c r="AH210" s="1" t="s">
        <v>74</v>
      </c>
      <c r="AI210" s="1" t="s">
        <v>74</v>
      </c>
      <c r="AJ210" s="1" t="s">
        <v>74</v>
      </c>
      <c r="AK210" s="1" t="s">
        <v>74</v>
      </c>
      <c r="AL210" s="1" t="s">
        <v>74</v>
      </c>
      <c r="AM210" s="1" t="s">
        <v>74</v>
      </c>
      <c r="AN210" s="1" t="s">
        <v>74</v>
      </c>
      <c r="AO210" s="1" t="s">
        <v>74</v>
      </c>
      <c r="AP210" s="1" t="s">
        <v>2247</v>
      </c>
      <c r="AQ210" s="1" t="s">
        <v>74</v>
      </c>
      <c r="AR210" s="1" t="s">
        <v>74</v>
      </c>
      <c r="AS210" s="1" t="s">
        <v>74</v>
      </c>
      <c r="AT210" s="1" t="s">
        <v>652</v>
      </c>
      <c r="AU210" s="1">
        <v>2021.0</v>
      </c>
      <c r="AV210" s="1">
        <v>9.0</v>
      </c>
      <c r="AW210" s="1">
        <v>24.0</v>
      </c>
      <c r="AX210" s="1" t="s">
        <v>74</v>
      </c>
      <c r="AY210" s="1" t="s">
        <v>74</v>
      </c>
      <c r="AZ210" s="1" t="s">
        <v>74</v>
      </c>
      <c r="BA210" s="1" t="s">
        <v>74</v>
      </c>
      <c r="BB210" s="1" t="s">
        <v>74</v>
      </c>
      <c r="BC210" s="1" t="s">
        <v>74</v>
      </c>
      <c r="BD210" s="1">
        <v>3179.0</v>
      </c>
      <c r="BE210" s="1" t="s">
        <v>2248</v>
      </c>
      <c r="BF210" s="2" t="str">
        <f>HYPERLINK("http://dx.doi.org/10.3390/math9243179","http://dx.doi.org/10.3390/math9243179")</f>
        <v>http://dx.doi.org/10.3390/math9243179</v>
      </c>
      <c r="BG210" s="1" t="s">
        <v>74</v>
      </c>
      <c r="BH210" s="1" t="s">
        <v>74</v>
      </c>
      <c r="BI210" s="1" t="s">
        <v>74</v>
      </c>
      <c r="BJ210" s="1" t="s">
        <v>74</v>
      </c>
      <c r="BK210" s="1" t="s">
        <v>74</v>
      </c>
      <c r="BL210" s="1" t="s">
        <v>74</v>
      </c>
      <c r="BM210" s="1" t="s">
        <v>74</v>
      </c>
      <c r="BN210" s="1" t="s">
        <v>74</v>
      </c>
      <c r="BO210" s="1" t="s">
        <v>74</v>
      </c>
      <c r="BP210" s="1" t="s">
        <v>74</v>
      </c>
      <c r="BQ210" s="1" t="s">
        <v>74</v>
      </c>
      <c r="BR210" s="1" t="s">
        <v>74</v>
      </c>
      <c r="BS210" s="1" t="s">
        <v>2249</v>
      </c>
      <c r="BT210" s="1" t="str">
        <f>HYPERLINK("https%3A%2F%2Fwww.webofscience.com%2Fwos%2Fwoscc%2Ffull-record%2FWOS:000735570600001","View Full Record in Web of Science")</f>
        <v>View Full Record in Web of Science</v>
      </c>
    </row>
    <row r="211" ht="12.75" customHeight="1">
      <c r="A211" s="1" t="s">
        <v>72</v>
      </c>
      <c r="B211" s="1" t="s">
        <v>2250</v>
      </c>
      <c r="C211" s="1" t="s">
        <v>74</v>
      </c>
      <c r="D211" s="1" t="s">
        <v>74</v>
      </c>
      <c r="E211" s="1" t="s">
        <v>74</v>
      </c>
      <c r="F211" s="1" t="s">
        <v>2251</v>
      </c>
      <c r="G211" s="1" t="s">
        <v>74</v>
      </c>
      <c r="H211" s="1" t="s">
        <v>74</v>
      </c>
      <c r="I211" s="1" t="s">
        <v>2252</v>
      </c>
      <c r="J211" s="1" t="s">
        <v>1397</v>
      </c>
      <c r="K211" s="1" t="s">
        <v>74</v>
      </c>
      <c r="L211" s="1" t="s">
        <v>74</v>
      </c>
      <c r="M211" s="1" t="s">
        <v>74</v>
      </c>
      <c r="N211" s="1" t="s">
        <v>74</v>
      </c>
      <c r="O211" s="1" t="s">
        <v>74</v>
      </c>
      <c r="P211" s="1" t="s">
        <v>74</v>
      </c>
      <c r="Q211" s="1" t="s">
        <v>74</v>
      </c>
      <c r="R211" s="1" t="s">
        <v>74</v>
      </c>
      <c r="S211" s="1" t="s">
        <v>74</v>
      </c>
      <c r="T211" s="1" t="s">
        <v>74</v>
      </c>
      <c r="U211" s="1" t="s">
        <v>74</v>
      </c>
      <c r="V211" s="1" t="s">
        <v>74</v>
      </c>
      <c r="W211" s="1" t="s">
        <v>74</v>
      </c>
      <c r="X211" s="1" t="s">
        <v>74</v>
      </c>
      <c r="Y211" s="1" t="s">
        <v>74</v>
      </c>
      <c r="Z211" s="1" t="s">
        <v>74</v>
      </c>
      <c r="AA211" s="1" t="s">
        <v>1398</v>
      </c>
      <c r="AB211" s="1" t="s">
        <v>1399</v>
      </c>
      <c r="AC211" s="1" t="s">
        <v>74</v>
      </c>
      <c r="AD211" s="1" t="s">
        <v>74</v>
      </c>
      <c r="AE211" s="1" t="s">
        <v>74</v>
      </c>
      <c r="AF211" s="1" t="s">
        <v>74</v>
      </c>
      <c r="AG211" s="1" t="s">
        <v>74</v>
      </c>
      <c r="AH211" s="1" t="s">
        <v>74</v>
      </c>
      <c r="AI211" s="1" t="s">
        <v>74</v>
      </c>
      <c r="AJ211" s="1" t="s">
        <v>74</v>
      </c>
      <c r="AK211" s="1" t="s">
        <v>74</v>
      </c>
      <c r="AL211" s="1" t="s">
        <v>74</v>
      </c>
      <c r="AM211" s="1" t="s">
        <v>74</v>
      </c>
      <c r="AN211" s="1" t="s">
        <v>74</v>
      </c>
      <c r="AO211" s="1" t="s">
        <v>1400</v>
      </c>
      <c r="AP211" s="1" t="s">
        <v>1401</v>
      </c>
      <c r="AQ211" s="1" t="s">
        <v>74</v>
      </c>
      <c r="AR211" s="1" t="s">
        <v>74</v>
      </c>
      <c r="AS211" s="1" t="s">
        <v>74</v>
      </c>
      <c r="AT211" s="1" t="s">
        <v>652</v>
      </c>
      <c r="AU211" s="1">
        <v>2021.0</v>
      </c>
      <c r="AV211" s="1">
        <v>81.0</v>
      </c>
      <c r="AW211" s="1">
        <v>12.0</v>
      </c>
      <c r="AX211" s="1" t="s">
        <v>74</v>
      </c>
      <c r="AY211" s="1" t="s">
        <v>74</v>
      </c>
      <c r="AZ211" s="1" t="s">
        <v>74</v>
      </c>
      <c r="BA211" s="1" t="s">
        <v>74</v>
      </c>
      <c r="BB211" s="1" t="s">
        <v>74</v>
      </c>
      <c r="BC211" s="1" t="s">
        <v>74</v>
      </c>
      <c r="BD211" s="1">
        <v>1100.0</v>
      </c>
      <c r="BE211" s="1" t="s">
        <v>2253</v>
      </c>
      <c r="BF211" s="2" t="str">
        <f>HYPERLINK("http://dx.doi.org/10.1140/epjc/s10052-021-09911-1","http://dx.doi.org/10.1140/epjc/s10052-021-09911-1")</f>
        <v>http://dx.doi.org/10.1140/epjc/s10052-021-09911-1</v>
      </c>
      <c r="BG211" s="1" t="s">
        <v>74</v>
      </c>
      <c r="BH211" s="1" t="s">
        <v>74</v>
      </c>
      <c r="BI211" s="1" t="s">
        <v>74</v>
      </c>
      <c r="BJ211" s="1" t="s">
        <v>74</v>
      </c>
      <c r="BK211" s="1" t="s">
        <v>74</v>
      </c>
      <c r="BL211" s="1" t="s">
        <v>74</v>
      </c>
      <c r="BM211" s="1" t="s">
        <v>74</v>
      </c>
      <c r="BN211" s="1" t="s">
        <v>74</v>
      </c>
      <c r="BO211" s="1" t="s">
        <v>74</v>
      </c>
      <c r="BP211" s="1" t="s">
        <v>74</v>
      </c>
      <c r="BQ211" s="1" t="s">
        <v>74</v>
      </c>
      <c r="BR211" s="1" t="s">
        <v>74</v>
      </c>
      <c r="BS211" s="1" t="s">
        <v>2254</v>
      </c>
      <c r="BT211" s="1" t="str">
        <f>HYPERLINK("https%3A%2F%2Fwww.webofscience.com%2Fwos%2Fwoscc%2Ffull-record%2FWOS:000730224100002","View Full Record in Web of Science")</f>
        <v>View Full Record in Web of Science</v>
      </c>
    </row>
    <row r="212" ht="12.75" customHeight="1">
      <c r="A212" s="1" t="s">
        <v>72</v>
      </c>
      <c r="B212" s="1" t="s">
        <v>2255</v>
      </c>
      <c r="C212" s="1" t="s">
        <v>74</v>
      </c>
      <c r="D212" s="1" t="s">
        <v>74</v>
      </c>
      <c r="E212" s="1" t="s">
        <v>74</v>
      </c>
      <c r="F212" s="1" t="s">
        <v>2256</v>
      </c>
      <c r="G212" s="1" t="s">
        <v>74</v>
      </c>
      <c r="H212" s="1" t="s">
        <v>74</v>
      </c>
      <c r="I212" s="1" t="s">
        <v>2257</v>
      </c>
      <c r="J212" s="1" t="s">
        <v>312</v>
      </c>
      <c r="K212" s="1" t="s">
        <v>74</v>
      </c>
      <c r="L212" s="1" t="s">
        <v>74</v>
      </c>
      <c r="M212" s="1" t="s">
        <v>74</v>
      </c>
      <c r="N212" s="1" t="s">
        <v>74</v>
      </c>
      <c r="O212" s="1" t="s">
        <v>74</v>
      </c>
      <c r="P212" s="1" t="s">
        <v>74</v>
      </c>
      <c r="Q212" s="1" t="s">
        <v>74</v>
      </c>
      <c r="R212" s="1" t="s">
        <v>74</v>
      </c>
      <c r="S212" s="1" t="s">
        <v>74</v>
      </c>
      <c r="T212" s="1" t="s">
        <v>74</v>
      </c>
      <c r="U212" s="1" t="s">
        <v>74</v>
      </c>
      <c r="V212" s="1" t="s">
        <v>2258</v>
      </c>
      <c r="W212" s="1" t="s">
        <v>74</v>
      </c>
      <c r="X212" s="1" t="s">
        <v>74</v>
      </c>
      <c r="Y212" s="1" t="s">
        <v>74</v>
      </c>
      <c r="Z212" s="1" t="s">
        <v>74</v>
      </c>
      <c r="AA212" s="1" t="s">
        <v>74</v>
      </c>
      <c r="AB212" s="1" t="s">
        <v>2259</v>
      </c>
      <c r="AC212" s="1" t="s">
        <v>74</v>
      </c>
      <c r="AD212" s="1" t="s">
        <v>74</v>
      </c>
      <c r="AE212" s="1" t="s">
        <v>74</v>
      </c>
      <c r="AF212" s="1" t="s">
        <v>74</v>
      </c>
      <c r="AG212" s="1" t="s">
        <v>74</v>
      </c>
      <c r="AH212" s="1" t="s">
        <v>74</v>
      </c>
      <c r="AI212" s="1" t="s">
        <v>74</v>
      </c>
      <c r="AJ212" s="1" t="s">
        <v>74</v>
      </c>
      <c r="AK212" s="1" t="s">
        <v>74</v>
      </c>
      <c r="AL212" s="1" t="s">
        <v>74</v>
      </c>
      <c r="AM212" s="1" t="s">
        <v>74</v>
      </c>
      <c r="AN212" s="1" t="s">
        <v>74</v>
      </c>
      <c r="AO212" s="1" t="s">
        <v>315</v>
      </c>
      <c r="AP212" s="1" t="s">
        <v>316</v>
      </c>
      <c r="AQ212" s="1" t="s">
        <v>74</v>
      </c>
      <c r="AR212" s="1" t="s">
        <v>74</v>
      </c>
      <c r="AS212" s="1" t="s">
        <v>74</v>
      </c>
      <c r="AT212" s="1" t="s">
        <v>696</v>
      </c>
      <c r="AU212" s="1">
        <v>2021.0</v>
      </c>
      <c r="AV212" s="1">
        <v>149.0</v>
      </c>
      <c r="AW212" s="1">
        <v>1.0</v>
      </c>
      <c r="AX212" s="1" t="s">
        <v>74</v>
      </c>
      <c r="AY212" s="1" t="s">
        <v>74</v>
      </c>
      <c r="AZ212" s="1" t="s">
        <v>74</v>
      </c>
      <c r="BA212" s="1" t="s">
        <v>74</v>
      </c>
      <c r="BB212" s="1">
        <v>128.0</v>
      </c>
      <c r="BC212" s="1">
        <v>131.0</v>
      </c>
      <c r="BD212" s="1" t="s">
        <v>74</v>
      </c>
      <c r="BE212" s="1" t="s">
        <v>74</v>
      </c>
      <c r="BF212" s="1" t="s">
        <v>74</v>
      </c>
      <c r="BG212" s="1" t="s">
        <v>74</v>
      </c>
      <c r="BH212" s="1" t="s">
        <v>74</v>
      </c>
      <c r="BI212" s="1" t="s">
        <v>74</v>
      </c>
      <c r="BJ212" s="1" t="s">
        <v>74</v>
      </c>
      <c r="BK212" s="1" t="s">
        <v>74</v>
      </c>
      <c r="BL212" s="1" t="s">
        <v>74</v>
      </c>
      <c r="BM212" s="1" t="s">
        <v>74</v>
      </c>
      <c r="BN212" s="1">
        <v>3.4106144E7</v>
      </c>
      <c r="BO212" s="1" t="s">
        <v>74</v>
      </c>
      <c r="BP212" s="1" t="s">
        <v>74</v>
      </c>
      <c r="BQ212" s="1" t="s">
        <v>74</v>
      </c>
      <c r="BR212" s="1" t="s">
        <v>74</v>
      </c>
      <c r="BS212" s="1" t="s">
        <v>2260</v>
      </c>
      <c r="BT212" s="1" t="str">
        <f>HYPERLINK("https%3A%2F%2Fwww.webofscience.com%2Fwos%2Fwoscc%2Ffull-record%2FWOS:000652089600015","View Full Record in Web of Science")</f>
        <v>View Full Record in Web of Science</v>
      </c>
    </row>
    <row r="213" ht="12.75" customHeight="1">
      <c r="A213" s="1" t="s">
        <v>72</v>
      </c>
      <c r="B213" s="1" t="s">
        <v>2261</v>
      </c>
      <c r="C213" s="1" t="s">
        <v>74</v>
      </c>
      <c r="D213" s="1" t="s">
        <v>74</v>
      </c>
      <c r="E213" s="1" t="s">
        <v>74</v>
      </c>
      <c r="F213" s="1" t="s">
        <v>2262</v>
      </c>
      <c r="G213" s="1" t="s">
        <v>74</v>
      </c>
      <c r="H213" s="1" t="s">
        <v>74</v>
      </c>
      <c r="I213" s="1" t="s">
        <v>2263</v>
      </c>
      <c r="J213" s="1" t="s">
        <v>2264</v>
      </c>
      <c r="K213" s="1" t="s">
        <v>74</v>
      </c>
      <c r="L213" s="1" t="s">
        <v>74</v>
      </c>
      <c r="M213" s="1" t="s">
        <v>74</v>
      </c>
      <c r="N213" s="1" t="s">
        <v>74</v>
      </c>
      <c r="O213" s="1" t="s">
        <v>74</v>
      </c>
      <c r="P213" s="1" t="s">
        <v>74</v>
      </c>
      <c r="Q213" s="1" t="s">
        <v>74</v>
      </c>
      <c r="R213" s="1" t="s">
        <v>74</v>
      </c>
      <c r="S213" s="1" t="s">
        <v>74</v>
      </c>
      <c r="T213" s="1" t="s">
        <v>74</v>
      </c>
      <c r="U213" s="1" t="s">
        <v>74</v>
      </c>
      <c r="V213" s="1" t="s">
        <v>74</v>
      </c>
      <c r="W213" s="1" t="s">
        <v>74</v>
      </c>
      <c r="X213" s="1" t="s">
        <v>74</v>
      </c>
      <c r="Y213" s="1" t="s">
        <v>74</v>
      </c>
      <c r="Z213" s="1" t="s">
        <v>74</v>
      </c>
      <c r="AA213" s="1" t="s">
        <v>74</v>
      </c>
      <c r="AB213" s="1" t="s">
        <v>74</v>
      </c>
      <c r="AC213" s="1" t="s">
        <v>74</v>
      </c>
      <c r="AD213" s="1" t="s">
        <v>74</v>
      </c>
      <c r="AE213" s="1" t="s">
        <v>74</v>
      </c>
      <c r="AF213" s="1" t="s">
        <v>74</v>
      </c>
      <c r="AG213" s="1" t="s">
        <v>74</v>
      </c>
      <c r="AH213" s="1" t="s">
        <v>74</v>
      </c>
      <c r="AI213" s="1" t="s">
        <v>74</v>
      </c>
      <c r="AJ213" s="1" t="s">
        <v>74</v>
      </c>
      <c r="AK213" s="1" t="s">
        <v>74</v>
      </c>
      <c r="AL213" s="1" t="s">
        <v>74</v>
      </c>
      <c r="AM213" s="1" t="s">
        <v>74</v>
      </c>
      <c r="AN213" s="1" t="s">
        <v>74</v>
      </c>
      <c r="AO213" s="1" t="s">
        <v>74</v>
      </c>
      <c r="AP213" s="1" t="s">
        <v>2265</v>
      </c>
      <c r="AQ213" s="1" t="s">
        <v>74</v>
      </c>
      <c r="AR213" s="1" t="s">
        <v>74</v>
      </c>
      <c r="AS213" s="1" t="s">
        <v>74</v>
      </c>
      <c r="AT213" s="1" t="s">
        <v>74</v>
      </c>
      <c r="AU213" s="1">
        <v>2021.0</v>
      </c>
      <c r="AV213" s="1">
        <v>12.0</v>
      </c>
      <c r="AW213" s="1" t="s">
        <v>74</v>
      </c>
      <c r="AX213" s="1" t="s">
        <v>74</v>
      </c>
      <c r="AY213" s="1" t="s">
        <v>74</v>
      </c>
      <c r="AZ213" s="1" t="s">
        <v>74</v>
      </c>
      <c r="BA213" s="1" t="s">
        <v>74</v>
      </c>
      <c r="BB213" s="1">
        <v>5.0</v>
      </c>
      <c r="BC213" s="1">
        <v>9.0</v>
      </c>
      <c r="BD213" s="1" t="s">
        <v>74</v>
      </c>
      <c r="BE213" s="1" t="s">
        <v>74</v>
      </c>
      <c r="BF213" s="1" t="s">
        <v>74</v>
      </c>
      <c r="BG213" s="1" t="s">
        <v>74</v>
      </c>
      <c r="BH213" s="1" t="s">
        <v>74</v>
      </c>
      <c r="BI213" s="1" t="s">
        <v>74</v>
      </c>
      <c r="BJ213" s="1" t="s">
        <v>74</v>
      </c>
      <c r="BK213" s="1" t="s">
        <v>74</v>
      </c>
      <c r="BL213" s="1" t="s">
        <v>74</v>
      </c>
      <c r="BM213" s="1" t="s">
        <v>74</v>
      </c>
      <c r="BN213" s="1" t="s">
        <v>74</v>
      </c>
      <c r="BO213" s="1" t="s">
        <v>74</v>
      </c>
      <c r="BP213" s="1" t="s">
        <v>74</v>
      </c>
      <c r="BQ213" s="1" t="s">
        <v>74</v>
      </c>
      <c r="BR213" s="1" t="s">
        <v>74</v>
      </c>
      <c r="BS213" s="1" t="s">
        <v>2266</v>
      </c>
      <c r="BT213" s="1" t="str">
        <f>HYPERLINK("https%3A%2F%2Fwww.webofscience.com%2Fwos%2Fwoscc%2Ffull-record%2FWOS:000706760800001","View Full Record in Web of Science")</f>
        <v>View Full Record in Web of Science</v>
      </c>
    </row>
    <row r="214" ht="12.75" customHeight="1">
      <c r="A214" s="1" t="s">
        <v>182</v>
      </c>
      <c r="B214" s="1" t="s">
        <v>2267</v>
      </c>
      <c r="C214" s="1" t="s">
        <v>74</v>
      </c>
      <c r="D214" s="1" t="s">
        <v>74</v>
      </c>
      <c r="E214" s="1" t="s">
        <v>184</v>
      </c>
      <c r="F214" s="1" t="s">
        <v>2268</v>
      </c>
      <c r="G214" s="1" t="s">
        <v>74</v>
      </c>
      <c r="H214" s="1" t="s">
        <v>74</v>
      </c>
      <c r="I214" s="1" t="s">
        <v>2269</v>
      </c>
      <c r="J214" s="1" t="s">
        <v>2270</v>
      </c>
      <c r="K214" s="1" t="s">
        <v>74</v>
      </c>
      <c r="L214" s="1" t="s">
        <v>74</v>
      </c>
      <c r="M214" s="1" t="s">
        <v>74</v>
      </c>
      <c r="N214" s="1" t="s">
        <v>74</v>
      </c>
      <c r="O214" s="1" t="s">
        <v>2271</v>
      </c>
      <c r="P214" s="1" t="s">
        <v>2272</v>
      </c>
      <c r="Q214" s="1" t="s">
        <v>2273</v>
      </c>
      <c r="R214" s="1" t="s">
        <v>2274</v>
      </c>
      <c r="S214" s="1" t="s">
        <v>74</v>
      </c>
      <c r="T214" s="1" t="s">
        <v>74</v>
      </c>
      <c r="U214" s="1" t="s">
        <v>74</v>
      </c>
      <c r="V214" s="1" t="s">
        <v>2275</v>
      </c>
      <c r="W214" s="1" t="s">
        <v>74</v>
      </c>
      <c r="X214" s="1" t="s">
        <v>74</v>
      </c>
      <c r="Y214" s="1" t="s">
        <v>74</v>
      </c>
      <c r="Z214" s="1" t="s">
        <v>74</v>
      </c>
      <c r="AA214" s="1" t="s">
        <v>2276</v>
      </c>
      <c r="AB214" s="1" t="s">
        <v>2277</v>
      </c>
      <c r="AC214" s="1" t="s">
        <v>74</v>
      </c>
      <c r="AD214" s="1" t="s">
        <v>74</v>
      </c>
      <c r="AE214" s="1" t="s">
        <v>74</v>
      </c>
      <c r="AF214" s="1" t="s">
        <v>74</v>
      </c>
      <c r="AG214" s="1" t="s">
        <v>74</v>
      </c>
      <c r="AH214" s="1" t="s">
        <v>74</v>
      </c>
      <c r="AI214" s="1" t="s">
        <v>74</v>
      </c>
      <c r="AJ214" s="1" t="s">
        <v>74</v>
      </c>
      <c r="AK214" s="1" t="s">
        <v>74</v>
      </c>
      <c r="AL214" s="1" t="s">
        <v>74</v>
      </c>
      <c r="AM214" s="1" t="s">
        <v>74</v>
      </c>
      <c r="AN214" s="1" t="s">
        <v>74</v>
      </c>
      <c r="AO214" s="1" t="s">
        <v>74</v>
      </c>
      <c r="AP214" s="1" t="s">
        <v>74</v>
      </c>
      <c r="AQ214" s="1" t="s">
        <v>2278</v>
      </c>
      <c r="AR214" s="1" t="s">
        <v>74</v>
      </c>
      <c r="AS214" s="1" t="s">
        <v>74</v>
      </c>
      <c r="AT214" s="1" t="s">
        <v>74</v>
      </c>
      <c r="AU214" s="1">
        <v>2021.0</v>
      </c>
      <c r="AV214" s="1" t="s">
        <v>74</v>
      </c>
      <c r="AW214" s="1" t="s">
        <v>74</v>
      </c>
      <c r="AX214" s="1" t="s">
        <v>74</v>
      </c>
      <c r="AY214" s="1" t="s">
        <v>74</v>
      </c>
      <c r="AZ214" s="1" t="s">
        <v>74</v>
      </c>
      <c r="BA214" s="1" t="s">
        <v>74</v>
      </c>
      <c r="BB214" s="1">
        <v>13.0</v>
      </c>
      <c r="BC214" s="1">
        <v>18.0</v>
      </c>
      <c r="BD214" s="1" t="s">
        <v>74</v>
      </c>
      <c r="BE214" s="1" t="s">
        <v>2279</v>
      </c>
      <c r="BF214" s="2" t="str">
        <f>HYPERLINK("http://dx.doi.org/10.1109/SACVLC53127.2021.9652247","http://dx.doi.org/10.1109/SACVLC53127.2021.9652247")</f>
        <v>http://dx.doi.org/10.1109/SACVLC53127.2021.9652247</v>
      </c>
      <c r="BG214" s="1" t="s">
        <v>74</v>
      </c>
      <c r="BH214" s="1" t="s">
        <v>74</v>
      </c>
      <c r="BI214" s="1" t="s">
        <v>74</v>
      </c>
      <c r="BJ214" s="1" t="s">
        <v>74</v>
      </c>
      <c r="BK214" s="1" t="s">
        <v>74</v>
      </c>
      <c r="BL214" s="1" t="s">
        <v>74</v>
      </c>
      <c r="BM214" s="1" t="s">
        <v>74</v>
      </c>
      <c r="BN214" s="1" t="s">
        <v>74</v>
      </c>
      <c r="BO214" s="1" t="s">
        <v>74</v>
      </c>
      <c r="BP214" s="1" t="s">
        <v>74</v>
      </c>
      <c r="BQ214" s="1" t="s">
        <v>74</v>
      </c>
      <c r="BR214" s="1" t="s">
        <v>74</v>
      </c>
      <c r="BS214" s="1" t="s">
        <v>2280</v>
      </c>
      <c r="BT214" s="1" t="str">
        <f>HYPERLINK("https%3A%2F%2Fwww.webofscience.com%2Fwos%2Fwoscc%2Ffull-record%2FWOS:000760247000003","View Full Record in Web of Science")</f>
        <v>View Full Record in Web of Science</v>
      </c>
    </row>
    <row r="215" ht="12.75" customHeight="1">
      <c r="A215" s="1" t="s">
        <v>72</v>
      </c>
      <c r="B215" s="1" t="s">
        <v>2281</v>
      </c>
      <c r="C215" s="1" t="s">
        <v>74</v>
      </c>
      <c r="D215" s="1" t="s">
        <v>74</v>
      </c>
      <c r="E215" s="1" t="s">
        <v>74</v>
      </c>
      <c r="F215" s="1" t="s">
        <v>2282</v>
      </c>
      <c r="G215" s="1" t="s">
        <v>74</v>
      </c>
      <c r="H215" s="1" t="s">
        <v>74</v>
      </c>
      <c r="I215" s="1" t="s">
        <v>2283</v>
      </c>
      <c r="J215" s="1" t="s">
        <v>635</v>
      </c>
      <c r="K215" s="1" t="s">
        <v>74</v>
      </c>
      <c r="L215" s="1" t="s">
        <v>74</v>
      </c>
      <c r="M215" s="1" t="s">
        <v>74</v>
      </c>
      <c r="N215" s="1" t="s">
        <v>74</v>
      </c>
      <c r="O215" s="1" t="s">
        <v>74</v>
      </c>
      <c r="P215" s="1" t="s">
        <v>74</v>
      </c>
      <c r="Q215" s="1" t="s">
        <v>74</v>
      </c>
      <c r="R215" s="1" t="s">
        <v>74</v>
      </c>
      <c r="S215" s="1" t="s">
        <v>74</v>
      </c>
      <c r="T215" s="1" t="s">
        <v>74</v>
      </c>
      <c r="U215" s="1" t="s">
        <v>74</v>
      </c>
      <c r="V215" s="1" t="s">
        <v>2284</v>
      </c>
      <c r="W215" s="1" t="s">
        <v>74</v>
      </c>
      <c r="X215" s="1" t="s">
        <v>74</v>
      </c>
      <c r="Y215" s="1" t="s">
        <v>74</v>
      </c>
      <c r="Z215" s="1" t="s">
        <v>74</v>
      </c>
      <c r="AA215" s="1" t="s">
        <v>2285</v>
      </c>
      <c r="AB215" s="1" t="s">
        <v>2286</v>
      </c>
      <c r="AC215" s="1" t="s">
        <v>74</v>
      </c>
      <c r="AD215" s="1" t="s">
        <v>74</v>
      </c>
      <c r="AE215" s="1" t="s">
        <v>74</v>
      </c>
      <c r="AF215" s="1" t="s">
        <v>74</v>
      </c>
      <c r="AG215" s="1" t="s">
        <v>74</v>
      </c>
      <c r="AH215" s="1" t="s">
        <v>74</v>
      </c>
      <c r="AI215" s="1" t="s">
        <v>74</v>
      </c>
      <c r="AJ215" s="1" t="s">
        <v>74</v>
      </c>
      <c r="AK215" s="1" t="s">
        <v>74</v>
      </c>
      <c r="AL215" s="1" t="s">
        <v>74</v>
      </c>
      <c r="AM215" s="1" t="s">
        <v>74</v>
      </c>
      <c r="AN215" s="1" t="s">
        <v>74</v>
      </c>
      <c r="AO215" s="1" t="s">
        <v>639</v>
      </c>
      <c r="AP215" s="1" t="s">
        <v>640</v>
      </c>
      <c r="AQ215" s="1" t="s">
        <v>74</v>
      </c>
      <c r="AR215" s="1" t="s">
        <v>74</v>
      </c>
      <c r="AS215" s="1" t="s">
        <v>74</v>
      </c>
      <c r="AT215" s="1" t="s">
        <v>2287</v>
      </c>
      <c r="AU215" s="1">
        <v>2020.0</v>
      </c>
      <c r="AV215" s="1">
        <v>357.0</v>
      </c>
      <c r="AW215" s="1" t="s">
        <v>74</v>
      </c>
      <c r="AX215" s="1" t="s">
        <v>74</v>
      </c>
      <c r="AY215" s="1" t="s">
        <v>74</v>
      </c>
      <c r="AZ215" s="1" t="s">
        <v>74</v>
      </c>
      <c r="BA215" s="1" t="s">
        <v>74</v>
      </c>
      <c r="BB215" s="1" t="s">
        <v>74</v>
      </c>
      <c r="BC215" s="1" t="s">
        <v>74</v>
      </c>
      <c r="BD215" s="1">
        <v>136881.0</v>
      </c>
      <c r="BE215" s="1" t="s">
        <v>2288</v>
      </c>
      <c r="BF215" s="2" t="str">
        <f>HYPERLINK("http://dx.doi.org/10.1016/j.electacta.2020.136881","http://dx.doi.org/10.1016/j.electacta.2020.136881")</f>
        <v>http://dx.doi.org/10.1016/j.electacta.2020.136881</v>
      </c>
      <c r="BG215" s="1" t="s">
        <v>74</v>
      </c>
      <c r="BH215" s="1" t="s">
        <v>74</v>
      </c>
      <c r="BI215" s="1" t="s">
        <v>74</v>
      </c>
      <c r="BJ215" s="1" t="s">
        <v>74</v>
      </c>
      <c r="BK215" s="1" t="s">
        <v>74</v>
      </c>
      <c r="BL215" s="1" t="s">
        <v>74</v>
      </c>
      <c r="BM215" s="1" t="s">
        <v>74</v>
      </c>
      <c r="BN215" s="1" t="s">
        <v>74</v>
      </c>
      <c r="BO215" s="1" t="s">
        <v>74</v>
      </c>
      <c r="BP215" s="1" t="s">
        <v>74</v>
      </c>
      <c r="BQ215" s="1" t="s">
        <v>74</v>
      </c>
      <c r="BR215" s="1" t="s">
        <v>74</v>
      </c>
      <c r="BS215" s="1" t="s">
        <v>2289</v>
      </c>
      <c r="BT215" s="1" t="str">
        <f>HYPERLINK("https%3A%2F%2Fwww.webofscience.com%2Fwos%2Fwoscc%2Ffull-record%2FWOS:000582852200032","View Full Record in Web of Science")</f>
        <v>View Full Record in Web of Science</v>
      </c>
    </row>
    <row r="216" ht="12.75" customHeight="1">
      <c r="A216" s="1" t="s">
        <v>72</v>
      </c>
      <c r="B216" s="1" t="s">
        <v>2290</v>
      </c>
      <c r="C216" s="1" t="s">
        <v>74</v>
      </c>
      <c r="D216" s="1" t="s">
        <v>74</v>
      </c>
      <c r="E216" s="1" t="s">
        <v>74</v>
      </c>
      <c r="F216" s="1" t="s">
        <v>2291</v>
      </c>
      <c r="G216" s="1" t="s">
        <v>74</v>
      </c>
      <c r="H216" s="1" t="s">
        <v>74</v>
      </c>
      <c r="I216" s="1" t="s">
        <v>2292</v>
      </c>
      <c r="J216" s="1" t="s">
        <v>2293</v>
      </c>
      <c r="K216" s="1" t="s">
        <v>74</v>
      </c>
      <c r="L216" s="1" t="s">
        <v>74</v>
      </c>
      <c r="M216" s="1" t="s">
        <v>74</v>
      </c>
      <c r="N216" s="1" t="s">
        <v>74</v>
      </c>
      <c r="O216" s="1" t="s">
        <v>74</v>
      </c>
      <c r="P216" s="1" t="s">
        <v>74</v>
      </c>
      <c r="Q216" s="1" t="s">
        <v>74</v>
      </c>
      <c r="R216" s="1" t="s">
        <v>74</v>
      </c>
      <c r="S216" s="1" t="s">
        <v>74</v>
      </c>
      <c r="T216" s="1" t="s">
        <v>74</v>
      </c>
      <c r="U216" s="1" t="s">
        <v>74</v>
      </c>
      <c r="V216" s="1" t="s">
        <v>2294</v>
      </c>
      <c r="W216" s="1" t="s">
        <v>74</v>
      </c>
      <c r="X216" s="1" t="s">
        <v>74</v>
      </c>
      <c r="Y216" s="1" t="s">
        <v>74</v>
      </c>
      <c r="Z216" s="1" t="s">
        <v>74</v>
      </c>
      <c r="AA216" s="1" t="s">
        <v>2295</v>
      </c>
      <c r="AB216" s="1" t="s">
        <v>2296</v>
      </c>
      <c r="AC216" s="1" t="s">
        <v>74</v>
      </c>
      <c r="AD216" s="1" t="s">
        <v>74</v>
      </c>
      <c r="AE216" s="1" t="s">
        <v>74</v>
      </c>
      <c r="AF216" s="1" t="s">
        <v>74</v>
      </c>
      <c r="AG216" s="1" t="s">
        <v>74</v>
      </c>
      <c r="AH216" s="1" t="s">
        <v>74</v>
      </c>
      <c r="AI216" s="1" t="s">
        <v>74</v>
      </c>
      <c r="AJ216" s="1" t="s">
        <v>74</v>
      </c>
      <c r="AK216" s="1" t="s">
        <v>74</v>
      </c>
      <c r="AL216" s="1" t="s">
        <v>74</v>
      </c>
      <c r="AM216" s="1" t="s">
        <v>74</v>
      </c>
      <c r="AN216" s="1" t="s">
        <v>74</v>
      </c>
      <c r="AO216" s="1" t="s">
        <v>2297</v>
      </c>
      <c r="AP216" s="1" t="s">
        <v>2298</v>
      </c>
      <c r="AQ216" s="1" t="s">
        <v>74</v>
      </c>
      <c r="AR216" s="1" t="s">
        <v>74</v>
      </c>
      <c r="AS216" s="1" t="s">
        <v>74</v>
      </c>
      <c r="AT216" s="1" t="s">
        <v>294</v>
      </c>
      <c r="AU216" s="1">
        <v>2021.0</v>
      </c>
      <c r="AV216" s="1">
        <v>40.0</v>
      </c>
      <c r="AW216" s="1">
        <v>6.0</v>
      </c>
      <c r="AX216" s="1" t="s">
        <v>74</v>
      </c>
      <c r="AY216" s="1" t="s">
        <v>74</v>
      </c>
      <c r="AZ216" s="1" t="s">
        <v>74</v>
      </c>
      <c r="BA216" s="1" t="s">
        <v>74</v>
      </c>
      <c r="BB216" s="1">
        <v>1125.0</v>
      </c>
      <c r="BC216" s="1">
        <v>1130.0</v>
      </c>
      <c r="BD216" s="1" t="s">
        <v>74</v>
      </c>
      <c r="BE216" s="1" t="s">
        <v>2299</v>
      </c>
      <c r="BF216" s="2" t="str">
        <f>HYPERLINK("http://dx.doi.org/10.1002/jum.15489","http://dx.doi.org/10.1002/jum.15489")</f>
        <v>http://dx.doi.org/10.1002/jum.15489</v>
      </c>
      <c r="BG216" s="1" t="s">
        <v>74</v>
      </c>
      <c r="BH216" s="1" t="s">
        <v>1450</v>
      </c>
      <c r="BI216" s="1" t="s">
        <v>74</v>
      </c>
      <c r="BJ216" s="1" t="s">
        <v>74</v>
      </c>
      <c r="BK216" s="1" t="s">
        <v>74</v>
      </c>
      <c r="BL216" s="1" t="s">
        <v>74</v>
      </c>
      <c r="BM216" s="1" t="s">
        <v>74</v>
      </c>
      <c r="BN216" s="1">
        <v>3.2896906E7</v>
      </c>
      <c r="BO216" s="1" t="s">
        <v>74</v>
      </c>
      <c r="BP216" s="1" t="s">
        <v>74</v>
      </c>
      <c r="BQ216" s="1" t="s">
        <v>74</v>
      </c>
      <c r="BR216" s="1" t="s">
        <v>74</v>
      </c>
      <c r="BS216" s="1" t="s">
        <v>2300</v>
      </c>
      <c r="BT216" s="1" t="str">
        <f>HYPERLINK("https%3A%2F%2Fwww.webofscience.com%2Fwos%2Fwoscc%2Ffull-record%2FWOS:000566763200001","View Full Record in Web of Science")</f>
        <v>View Full Record in Web of Science</v>
      </c>
    </row>
    <row r="217" ht="12.75" customHeight="1">
      <c r="A217" s="1" t="s">
        <v>72</v>
      </c>
      <c r="B217" s="1" t="s">
        <v>2301</v>
      </c>
      <c r="C217" s="1" t="s">
        <v>74</v>
      </c>
      <c r="D217" s="1" t="s">
        <v>74</v>
      </c>
      <c r="E217" s="1" t="s">
        <v>74</v>
      </c>
      <c r="F217" s="1" t="s">
        <v>2302</v>
      </c>
      <c r="G217" s="1" t="s">
        <v>74</v>
      </c>
      <c r="H217" s="1" t="s">
        <v>74</v>
      </c>
      <c r="I217" s="1" t="s">
        <v>2303</v>
      </c>
      <c r="J217" s="1" t="s">
        <v>2304</v>
      </c>
      <c r="K217" s="1" t="s">
        <v>74</v>
      </c>
      <c r="L217" s="1" t="s">
        <v>74</v>
      </c>
      <c r="M217" s="1" t="s">
        <v>74</v>
      </c>
      <c r="N217" s="1" t="s">
        <v>74</v>
      </c>
      <c r="O217" s="1" t="s">
        <v>74</v>
      </c>
      <c r="P217" s="1" t="s">
        <v>74</v>
      </c>
      <c r="Q217" s="1" t="s">
        <v>74</v>
      </c>
      <c r="R217" s="1" t="s">
        <v>74</v>
      </c>
      <c r="S217" s="1" t="s">
        <v>74</v>
      </c>
      <c r="T217" s="1" t="s">
        <v>74</v>
      </c>
      <c r="U217" s="1" t="s">
        <v>74</v>
      </c>
      <c r="V217" s="1" t="s">
        <v>2305</v>
      </c>
      <c r="W217" s="1" t="s">
        <v>74</v>
      </c>
      <c r="X217" s="1" t="s">
        <v>74</v>
      </c>
      <c r="Y217" s="1" t="s">
        <v>74</v>
      </c>
      <c r="Z217" s="1" t="s">
        <v>74</v>
      </c>
      <c r="AA217" s="1" t="s">
        <v>2306</v>
      </c>
      <c r="AB217" s="1" t="s">
        <v>2307</v>
      </c>
      <c r="AC217" s="1" t="s">
        <v>74</v>
      </c>
      <c r="AD217" s="1" t="s">
        <v>74</v>
      </c>
      <c r="AE217" s="1" t="s">
        <v>74</v>
      </c>
      <c r="AF217" s="1" t="s">
        <v>74</v>
      </c>
      <c r="AG217" s="1" t="s">
        <v>74</v>
      </c>
      <c r="AH217" s="1" t="s">
        <v>74</v>
      </c>
      <c r="AI217" s="1" t="s">
        <v>74</v>
      </c>
      <c r="AJ217" s="1" t="s">
        <v>74</v>
      </c>
      <c r="AK217" s="1" t="s">
        <v>74</v>
      </c>
      <c r="AL217" s="1" t="s">
        <v>74</v>
      </c>
      <c r="AM217" s="1" t="s">
        <v>74</v>
      </c>
      <c r="AN217" s="1" t="s">
        <v>74</v>
      </c>
      <c r="AO217" s="1" t="s">
        <v>2308</v>
      </c>
      <c r="AP217" s="1" t="s">
        <v>2309</v>
      </c>
      <c r="AQ217" s="1" t="s">
        <v>74</v>
      </c>
      <c r="AR217" s="1" t="s">
        <v>74</v>
      </c>
      <c r="AS217" s="1" t="s">
        <v>74</v>
      </c>
      <c r="AT217" s="1" t="s">
        <v>2310</v>
      </c>
      <c r="AU217" s="1">
        <v>2020.0</v>
      </c>
      <c r="AV217" s="1">
        <v>11.0</v>
      </c>
      <c r="AW217" s="1">
        <v>7.0</v>
      </c>
      <c r="AX217" s="1" t="s">
        <v>74</v>
      </c>
      <c r="AY217" s="1" t="s">
        <v>74</v>
      </c>
      <c r="AZ217" s="1" t="s">
        <v>74</v>
      </c>
      <c r="BA217" s="1" t="s">
        <v>74</v>
      </c>
      <c r="BB217" s="1">
        <v>5955.0</v>
      </c>
      <c r="BC217" s="1">
        <v>5964.0</v>
      </c>
      <c r="BD217" s="1" t="s">
        <v>74</v>
      </c>
      <c r="BE217" s="1" t="s">
        <v>2311</v>
      </c>
      <c r="BF217" s="2" t="str">
        <f>HYPERLINK("http://dx.doi.org/10.1039/d0fo01202e","http://dx.doi.org/10.1039/d0fo01202e")</f>
        <v>http://dx.doi.org/10.1039/d0fo01202e</v>
      </c>
      <c r="BG217" s="1" t="s">
        <v>74</v>
      </c>
      <c r="BH217" s="1" t="s">
        <v>74</v>
      </c>
      <c r="BI217" s="1" t="s">
        <v>74</v>
      </c>
      <c r="BJ217" s="1" t="s">
        <v>74</v>
      </c>
      <c r="BK217" s="1" t="s">
        <v>74</v>
      </c>
      <c r="BL217" s="1" t="s">
        <v>74</v>
      </c>
      <c r="BM217" s="1" t="s">
        <v>74</v>
      </c>
      <c r="BN217" s="1">
        <v>3.2609135E7</v>
      </c>
      <c r="BO217" s="1" t="s">
        <v>74</v>
      </c>
      <c r="BP217" s="1" t="s">
        <v>74</v>
      </c>
      <c r="BQ217" s="1" t="s">
        <v>74</v>
      </c>
      <c r="BR217" s="1" t="s">
        <v>74</v>
      </c>
      <c r="BS217" s="1" t="s">
        <v>2312</v>
      </c>
      <c r="BT217" s="1" t="str">
        <f>HYPERLINK("https%3A%2F%2Fwww.webofscience.com%2Fwos%2Fwoscc%2Ffull-record%2FWOS:000551326500021","View Full Record in Web of Science")</f>
        <v>View Full Record in Web of Science</v>
      </c>
    </row>
    <row r="218" ht="12.75" customHeight="1">
      <c r="A218" s="1" t="s">
        <v>72</v>
      </c>
      <c r="B218" s="1" t="s">
        <v>2313</v>
      </c>
      <c r="C218" s="1" t="s">
        <v>74</v>
      </c>
      <c r="D218" s="1" t="s">
        <v>74</v>
      </c>
      <c r="E218" s="1" t="s">
        <v>74</v>
      </c>
      <c r="F218" s="1" t="s">
        <v>2314</v>
      </c>
      <c r="G218" s="1" t="s">
        <v>74</v>
      </c>
      <c r="H218" s="1" t="s">
        <v>74</v>
      </c>
      <c r="I218" s="1" t="s">
        <v>2315</v>
      </c>
      <c r="J218" s="1" t="s">
        <v>765</v>
      </c>
      <c r="K218" s="1" t="s">
        <v>74</v>
      </c>
      <c r="L218" s="1" t="s">
        <v>74</v>
      </c>
      <c r="M218" s="1" t="s">
        <v>74</v>
      </c>
      <c r="N218" s="1" t="s">
        <v>74</v>
      </c>
      <c r="O218" s="1" t="s">
        <v>74</v>
      </c>
      <c r="P218" s="1" t="s">
        <v>74</v>
      </c>
      <c r="Q218" s="1" t="s">
        <v>74</v>
      </c>
      <c r="R218" s="1" t="s">
        <v>74</v>
      </c>
      <c r="S218" s="1" t="s">
        <v>74</v>
      </c>
      <c r="T218" s="1" t="s">
        <v>74</v>
      </c>
      <c r="U218" s="1" t="s">
        <v>74</v>
      </c>
      <c r="V218" s="1" t="s">
        <v>2316</v>
      </c>
      <c r="W218" s="1" t="s">
        <v>74</v>
      </c>
      <c r="X218" s="1" t="s">
        <v>74</v>
      </c>
      <c r="Y218" s="1" t="s">
        <v>74</v>
      </c>
      <c r="Z218" s="1" t="s">
        <v>74</v>
      </c>
      <c r="AA218" s="1" t="s">
        <v>2317</v>
      </c>
      <c r="AB218" s="1" t="s">
        <v>2318</v>
      </c>
      <c r="AC218" s="1" t="s">
        <v>74</v>
      </c>
      <c r="AD218" s="1" t="s">
        <v>74</v>
      </c>
      <c r="AE218" s="1" t="s">
        <v>74</v>
      </c>
      <c r="AF218" s="1" t="s">
        <v>74</v>
      </c>
      <c r="AG218" s="1" t="s">
        <v>74</v>
      </c>
      <c r="AH218" s="1" t="s">
        <v>74</v>
      </c>
      <c r="AI218" s="1" t="s">
        <v>74</v>
      </c>
      <c r="AJ218" s="1" t="s">
        <v>74</v>
      </c>
      <c r="AK218" s="1" t="s">
        <v>74</v>
      </c>
      <c r="AL218" s="1" t="s">
        <v>74</v>
      </c>
      <c r="AM218" s="1" t="s">
        <v>74</v>
      </c>
      <c r="AN218" s="1" t="s">
        <v>74</v>
      </c>
      <c r="AO218" s="1" t="s">
        <v>769</v>
      </c>
      <c r="AP218" s="1" t="s">
        <v>74</v>
      </c>
      <c r="AQ218" s="1" t="s">
        <v>74</v>
      </c>
      <c r="AR218" s="1" t="s">
        <v>74</v>
      </c>
      <c r="AS218" s="1" t="s">
        <v>74</v>
      </c>
      <c r="AT218" s="1" t="s">
        <v>2319</v>
      </c>
      <c r="AU218" s="1">
        <v>2020.0</v>
      </c>
      <c r="AV218" s="1">
        <v>10.0</v>
      </c>
      <c r="AW218" s="1">
        <v>1.0</v>
      </c>
      <c r="AX218" s="1" t="s">
        <v>74</v>
      </c>
      <c r="AY218" s="1" t="s">
        <v>74</v>
      </c>
      <c r="AZ218" s="1" t="s">
        <v>74</v>
      </c>
      <c r="BA218" s="1" t="s">
        <v>74</v>
      </c>
      <c r="BB218" s="1" t="s">
        <v>74</v>
      </c>
      <c r="BC218" s="1" t="s">
        <v>74</v>
      </c>
      <c r="BD218" s="1">
        <v>4482.0</v>
      </c>
      <c r="BE218" s="1" t="s">
        <v>2320</v>
      </c>
      <c r="BF218" s="2" t="str">
        <f>HYPERLINK("http://dx.doi.org/10.1038/s41598-020-61501-5","http://dx.doi.org/10.1038/s41598-020-61501-5")</f>
        <v>http://dx.doi.org/10.1038/s41598-020-61501-5</v>
      </c>
      <c r="BG218" s="1" t="s">
        <v>74</v>
      </c>
      <c r="BH218" s="1" t="s">
        <v>74</v>
      </c>
      <c r="BI218" s="1" t="s">
        <v>74</v>
      </c>
      <c r="BJ218" s="1" t="s">
        <v>74</v>
      </c>
      <c r="BK218" s="1" t="s">
        <v>74</v>
      </c>
      <c r="BL218" s="1" t="s">
        <v>74</v>
      </c>
      <c r="BM218" s="1" t="s">
        <v>74</v>
      </c>
      <c r="BN218" s="1">
        <v>3.2161357E7</v>
      </c>
      <c r="BO218" s="1" t="s">
        <v>74</v>
      </c>
      <c r="BP218" s="1" t="s">
        <v>74</v>
      </c>
      <c r="BQ218" s="1" t="s">
        <v>74</v>
      </c>
      <c r="BR218" s="1" t="s">
        <v>74</v>
      </c>
      <c r="BS218" s="1" t="s">
        <v>2321</v>
      </c>
      <c r="BT218" s="1" t="str">
        <f>HYPERLINK("https%3A%2F%2Fwww.webofscience.com%2Fwos%2Fwoscc%2Ffull-record%2FWOS:000560132200014","View Full Record in Web of Science")</f>
        <v>View Full Record in Web of Science</v>
      </c>
    </row>
    <row r="219" ht="12.75" customHeight="1">
      <c r="A219" s="1" t="s">
        <v>72</v>
      </c>
      <c r="B219" s="1" t="s">
        <v>2322</v>
      </c>
      <c r="C219" s="1" t="s">
        <v>74</v>
      </c>
      <c r="D219" s="1" t="s">
        <v>74</v>
      </c>
      <c r="E219" s="1" t="s">
        <v>74</v>
      </c>
      <c r="F219" s="1" t="s">
        <v>2323</v>
      </c>
      <c r="G219" s="1" t="s">
        <v>74</v>
      </c>
      <c r="H219" s="1" t="s">
        <v>74</v>
      </c>
      <c r="I219" s="1" t="s">
        <v>2324</v>
      </c>
      <c r="J219" s="1" t="s">
        <v>2325</v>
      </c>
      <c r="K219" s="1" t="s">
        <v>74</v>
      </c>
      <c r="L219" s="1" t="s">
        <v>74</v>
      </c>
      <c r="M219" s="1" t="s">
        <v>74</v>
      </c>
      <c r="N219" s="1" t="s">
        <v>74</v>
      </c>
      <c r="O219" s="1" t="s">
        <v>74</v>
      </c>
      <c r="P219" s="1" t="s">
        <v>74</v>
      </c>
      <c r="Q219" s="1" t="s">
        <v>74</v>
      </c>
      <c r="R219" s="1" t="s">
        <v>74</v>
      </c>
      <c r="S219" s="1" t="s">
        <v>74</v>
      </c>
      <c r="T219" s="1" t="s">
        <v>74</v>
      </c>
      <c r="U219" s="1" t="s">
        <v>74</v>
      </c>
      <c r="V219" s="1" t="s">
        <v>2326</v>
      </c>
      <c r="W219" s="1" t="s">
        <v>74</v>
      </c>
      <c r="X219" s="1" t="s">
        <v>74</v>
      </c>
      <c r="Y219" s="1" t="s">
        <v>74</v>
      </c>
      <c r="Z219" s="1" t="s">
        <v>74</v>
      </c>
      <c r="AA219" s="1" t="s">
        <v>2327</v>
      </c>
      <c r="AB219" s="1" t="s">
        <v>2328</v>
      </c>
      <c r="AC219" s="1" t="s">
        <v>74</v>
      </c>
      <c r="AD219" s="1" t="s">
        <v>74</v>
      </c>
      <c r="AE219" s="1" t="s">
        <v>74</v>
      </c>
      <c r="AF219" s="1" t="s">
        <v>74</v>
      </c>
      <c r="AG219" s="1" t="s">
        <v>74</v>
      </c>
      <c r="AH219" s="1" t="s">
        <v>74</v>
      </c>
      <c r="AI219" s="1" t="s">
        <v>74</v>
      </c>
      <c r="AJ219" s="1" t="s">
        <v>74</v>
      </c>
      <c r="AK219" s="1" t="s">
        <v>74</v>
      </c>
      <c r="AL219" s="1" t="s">
        <v>74</v>
      </c>
      <c r="AM219" s="1" t="s">
        <v>74</v>
      </c>
      <c r="AN219" s="1" t="s">
        <v>74</v>
      </c>
      <c r="AO219" s="1" t="s">
        <v>2329</v>
      </c>
      <c r="AP219" s="1" t="s">
        <v>2330</v>
      </c>
      <c r="AQ219" s="1" t="s">
        <v>74</v>
      </c>
      <c r="AR219" s="1" t="s">
        <v>74</v>
      </c>
      <c r="AS219" s="1" t="s">
        <v>74</v>
      </c>
      <c r="AT219" s="1" t="s">
        <v>235</v>
      </c>
      <c r="AU219" s="1">
        <v>2020.0</v>
      </c>
      <c r="AV219" s="1">
        <v>37.0</v>
      </c>
      <c r="AW219" s="1" t="s">
        <v>74</v>
      </c>
      <c r="AX219" s="1" t="s">
        <v>74</v>
      </c>
      <c r="AY219" s="1" t="s">
        <v>74</v>
      </c>
      <c r="AZ219" s="1" t="s">
        <v>74</v>
      </c>
      <c r="BA219" s="1" t="s">
        <v>74</v>
      </c>
      <c r="BB219" s="1" t="s">
        <v>74</v>
      </c>
      <c r="BC219" s="1" t="s">
        <v>74</v>
      </c>
      <c r="BD219" s="1">
        <v>100640.0</v>
      </c>
      <c r="BE219" s="1" t="s">
        <v>2331</v>
      </c>
      <c r="BF219" s="2" t="str">
        <f>HYPERLINK("http://dx.doi.org/10.1016/j.seta.2020.100640","http://dx.doi.org/10.1016/j.seta.2020.100640")</f>
        <v>http://dx.doi.org/10.1016/j.seta.2020.100640</v>
      </c>
      <c r="BG219" s="1" t="s">
        <v>74</v>
      </c>
      <c r="BH219" s="1" t="s">
        <v>74</v>
      </c>
      <c r="BI219" s="1" t="s">
        <v>74</v>
      </c>
      <c r="BJ219" s="1" t="s">
        <v>74</v>
      </c>
      <c r="BK219" s="1" t="s">
        <v>74</v>
      </c>
      <c r="BL219" s="1" t="s">
        <v>74</v>
      </c>
      <c r="BM219" s="1" t="s">
        <v>74</v>
      </c>
      <c r="BN219" s="1" t="s">
        <v>74</v>
      </c>
      <c r="BO219" s="1" t="s">
        <v>74</v>
      </c>
      <c r="BP219" s="1" t="s">
        <v>74</v>
      </c>
      <c r="BQ219" s="1" t="s">
        <v>74</v>
      </c>
      <c r="BR219" s="1" t="s">
        <v>74</v>
      </c>
      <c r="BS219" s="1" t="s">
        <v>2332</v>
      </c>
      <c r="BT219" s="1" t="str">
        <f>HYPERLINK("https%3A%2F%2Fwww.webofscience.com%2Fwos%2Fwoscc%2Ffull-record%2FWOS:000514838400065","View Full Record in Web of Science")</f>
        <v>View Full Record in Web of Science</v>
      </c>
    </row>
    <row r="220" ht="12.75" customHeight="1">
      <c r="A220" s="1" t="s">
        <v>72</v>
      </c>
      <c r="B220" s="1" t="s">
        <v>2333</v>
      </c>
      <c r="C220" s="1" t="s">
        <v>74</v>
      </c>
      <c r="D220" s="1" t="s">
        <v>74</v>
      </c>
      <c r="E220" s="1" t="s">
        <v>74</v>
      </c>
      <c r="F220" s="1" t="s">
        <v>2334</v>
      </c>
      <c r="G220" s="1" t="s">
        <v>74</v>
      </c>
      <c r="H220" s="1" t="s">
        <v>74</v>
      </c>
      <c r="I220" s="1" t="s">
        <v>2335</v>
      </c>
      <c r="J220" s="1" t="s">
        <v>2124</v>
      </c>
      <c r="K220" s="1" t="s">
        <v>74</v>
      </c>
      <c r="L220" s="1" t="s">
        <v>74</v>
      </c>
      <c r="M220" s="1" t="s">
        <v>74</v>
      </c>
      <c r="N220" s="1" t="s">
        <v>74</v>
      </c>
      <c r="O220" s="1" t="s">
        <v>74</v>
      </c>
      <c r="P220" s="1" t="s">
        <v>74</v>
      </c>
      <c r="Q220" s="1" t="s">
        <v>74</v>
      </c>
      <c r="R220" s="1" t="s">
        <v>74</v>
      </c>
      <c r="S220" s="1" t="s">
        <v>74</v>
      </c>
      <c r="T220" s="1" t="s">
        <v>74</v>
      </c>
      <c r="U220" s="1" t="s">
        <v>74</v>
      </c>
      <c r="V220" s="1" t="s">
        <v>2336</v>
      </c>
      <c r="W220" s="1" t="s">
        <v>74</v>
      </c>
      <c r="X220" s="1" t="s">
        <v>74</v>
      </c>
      <c r="Y220" s="1" t="s">
        <v>74</v>
      </c>
      <c r="Z220" s="1" t="s">
        <v>74</v>
      </c>
      <c r="AA220" s="1" t="s">
        <v>1210</v>
      </c>
      <c r="AB220" s="1" t="s">
        <v>2337</v>
      </c>
      <c r="AC220" s="1" t="s">
        <v>74</v>
      </c>
      <c r="AD220" s="1" t="s">
        <v>74</v>
      </c>
      <c r="AE220" s="1" t="s">
        <v>74</v>
      </c>
      <c r="AF220" s="1" t="s">
        <v>74</v>
      </c>
      <c r="AG220" s="1" t="s">
        <v>74</v>
      </c>
      <c r="AH220" s="1" t="s">
        <v>74</v>
      </c>
      <c r="AI220" s="1" t="s">
        <v>74</v>
      </c>
      <c r="AJ220" s="1" t="s">
        <v>74</v>
      </c>
      <c r="AK220" s="1" t="s">
        <v>74</v>
      </c>
      <c r="AL220" s="1" t="s">
        <v>74</v>
      </c>
      <c r="AM220" s="1" t="s">
        <v>74</v>
      </c>
      <c r="AN220" s="1" t="s">
        <v>74</v>
      </c>
      <c r="AO220" s="1" t="s">
        <v>2127</v>
      </c>
      <c r="AP220" s="1" t="s">
        <v>2128</v>
      </c>
      <c r="AQ220" s="1" t="s">
        <v>74</v>
      </c>
      <c r="AR220" s="1" t="s">
        <v>74</v>
      </c>
      <c r="AS220" s="1" t="s">
        <v>74</v>
      </c>
      <c r="AT220" s="1" t="s">
        <v>2338</v>
      </c>
      <c r="AU220" s="1">
        <v>2020.0</v>
      </c>
      <c r="AV220" s="1">
        <v>101.0</v>
      </c>
      <c r="AW220" s="1">
        <v>1.0</v>
      </c>
      <c r="AX220" s="1" t="s">
        <v>74</v>
      </c>
      <c r="AY220" s="1" t="s">
        <v>74</v>
      </c>
      <c r="AZ220" s="1" t="s">
        <v>74</v>
      </c>
      <c r="BA220" s="1" t="s">
        <v>74</v>
      </c>
      <c r="BB220" s="1" t="s">
        <v>74</v>
      </c>
      <c r="BC220" s="1" t="s">
        <v>74</v>
      </c>
      <c r="BD220" s="1">
        <v>15013.0</v>
      </c>
      <c r="BE220" s="1" t="s">
        <v>2339</v>
      </c>
      <c r="BF220" s="2" t="str">
        <f>HYPERLINK("http://dx.doi.org/10.1103/PhysRevD.101.015013","http://dx.doi.org/10.1103/PhysRevD.101.015013")</f>
        <v>http://dx.doi.org/10.1103/PhysRevD.101.015013</v>
      </c>
      <c r="BG220" s="1" t="s">
        <v>74</v>
      </c>
      <c r="BH220" s="1" t="s">
        <v>74</v>
      </c>
      <c r="BI220" s="1" t="s">
        <v>74</v>
      </c>
      <c r="BJ220" s="1" t="s">
        <v>74</v>
      </c>
      <c r="BK220" s="1" t="s">
        <v>74</v>
      </c>
      <c r="BL220" s="1" t="s">
        <v>74</v>
      </c>
      <c r="BM220" s="1" t="s">
        <v>74</v>
      </c>
      <c r="BN220" s="1" t="s">
        <v>74</v>
      </c>
      <c r="BO220" s="1" t="s">
        <v>74</v>
      </c>
      <c r="BP220" s="1" t="s">
        <v>74</v>
      </c>
      <c r="BQ220" s="1" t="s">
        <v>74</v>
      </c>
      <c r="BR220" s="1" t="s">
        <v>74</v>
      </c>
      <c r="BS220" s="1" t="s">
        <v>2340</v>
      </c>
      <c r="BT220" s="1" t="str">
        <f>HYPERLINK("https%3A%2F%2Fwww.webofscience.com%2Fwos%2Fwoscc%2Ffull-record%2FWOS:000509495300002","View Full Record in Web of Science")</f>
        <v>View Full Record in Web of Science</v>
      </c>
    </row>
    <row r="221" ht="12.75" customHeight="1">
      <c r="A221" s="1" t="s">
        <v>72</v>
      </c>
      <c r="B221" s="1" t="s">
        <v>2341</v>
      </c>
      <c r="C221" s="1" t="s">
        <v>74</v>
      </c>
      <c r="D221" s="1" t="s">
        <v>74</v>
      </c>
      <c r="E221" s="1" t="s">
        <v>74</v>
      </c>
      <c r="F221" s="1" t="s">
        <v>2342</v>
      </c>
      <c r="G221" s="1" t="s">
        <v>74</v>
      </c>
      <c r="H221" s="1" t="s">
        <v>74</v>
      </c>
      <c r="I221" s="1" t="s">
        <v>2343</v>
      </c>
      <c r="J221" s="1" t="s">
        <v>264</v>
      </c>
      <c r="K221" s="1" t="s">
        <v>74</v>
      </c>
      <c r="L221" s="1" t="s">
        <v>74</v>
      </c>
      <c r="M221" s="1" t="s">
        <v>74</v>
      </c>
      <c r="N221" s="1" t="s">
        <v>74</v>
      </c>
      <c r="O221" s="1" t="s">
        <v>74</v>
      </c>
      <c r="P221" s="1" t="s">
        <v>74</v>
      </c>
      <c r="Q221" s="1" t="s">
        <v>74</v>
      </c>
      <c r="R221" s="1" t="s">
        <v>74</v>
      </c>
      <c r="S221" s="1" t="s">
        <v>74</v>
      </c>
      <c r="T221" s="1" t="s">
        <v>74</v>
      </c>
      <c r="U221" s="1" t="s">
        <v>74</v>
      </c>
      <c r="V221" s="1" t="s">
        <v>2344</v>
      </c>
      <c r="W221" s="1" t="s">
        <v>74</v>
      </c>
      <c r="X221" s="1" t="s">
        <v>74</v>
      </c>
      <c r="Y221" s="1" t="s">
        <v>74</v>
      </c>
      <c r="Z221" s="1" t="s">
        <v>74</v>
      </c>
      <c r="AA221" s="1" t="s">
        <v>2345</v>
      </c>
      <c r="AB221" s="1" t="s">
        <v>2346</v>
      </c>
      <c r="AC221" s="1" t="s">
        <v>74</v>
      </c>
      <c r="AD221" s="1" t="s">
        <v>74</v>
      </c>
      <c r="AE221" s="1" t="s">
        <v>74</v>
      </c>
      <c r="AF221" s="1" t="s">
        <v>74</v>
      </c>
      <c r="AG221" s="1" t="s">
        <v>74</v>
      </c>
      <c r="AH221" s="1" t="s">
        <v>74</v>
      </c>
      <c r="AI221" s="1" t="s">
        <v>74</v>
      </c>
      <c r="AJ221" s="1" t="s">
        <v>74</v>
      </c>
      <c r="AK221" s="1" t="s">
        <v>74</v>
      </c>
      <c r="AL221" s="1" t="s">
        <v>74</v>
      </c>
      <c r="AM221" s="1" t="s">
        <v>74</v>
      </c>
      <c r="AN221" s="1" t="s">
        <v>74</v>
      </c>
      <c r="AO221" s="1" t="s">
        <v>268</v>
      </c>
      <c r="AP221" s="1" t="s">
        <v>269</v>
      </c>
      <c r="AQ221" s="1" t="s">
        <v>74</v>
      </c>
      <c r="AR221" s="1" t="s">
        <v>74</v>
      </c>
      <c r="AS221" s="1" t="s">
        <v>74</v>
      </c>
      <c r="AT221" s="1" t="s">
        <v>168</v>
      </c>
      <c r="AU221" s="1">
        <v>2019.0</v>
      </c>
      <c r="AV221" s="1">
        <v>288.0</v>
      </c>
      <c r="AW221" s="1" t="s">
        <v>74</v>
      </c>
      <c r="AX221" s="1" t="s">
        <v>74</v>
      </c>
      <c r="AY221" s="1" t="s">
        <v>74</v>
      </c>
      <c r="AZ221" s="1" t="s">
        <v>74</v>
      </c>
      <c r="BA221" s="1" t="s">
        <v>74</v>
      </c>
      <c r="BB221" s="1" t="s">
        <v>74</v>
      </c>
      <c r="BC221" s="1" t="s">
        <v>74</v>
      </c>
      <c r="BD221" s="1">
        <v>111038.0</v>
      </c>
      <c r="BE221" s="1" t="s">
        <v>2347</v>
      </c>
      <c r="BF221" s="2" t="str">
        <f>HYPERLINK("http://dx.doi.org/10.1016/j.molliq.2019.111038","http://dx.doi.org/10.1016/j.molliq.2019.111038")</f>
        <v>http://dx.doi.org/10.1016/j.molliq.2019.111038</v>
      </c>
      <c r="BG221" s="1" t="s">
        <v>74</v>
      </c>
      <c r="BH221" s="1" t="s">
        <v>74</v>
      </c>
      <c r="BI221" s="1" t="s">
        <v>74</v>
      </c>
      <c r="BJ221" s="1" t="s">
        <v>74</v>
      </c>
      <c r="BK221" s="1" t="s">
        <v>74</v>
      </c>
      <c r="BL221" s="1" t="s">
        <v>74</v>
      </c>
      <c r="BM221" s="1" t="s">
        <v>74</v>
      </c>
      <c r="BN221" s="1" t="s">
        <v>74</v>
      </c>
      <c r="BO221" s="1" t="s">
        <v>74</v>
      </c>
      <c r="BP221" s="1" t="s">
        <v>74</v>
      </c>
      <c r="BQ221" s="1" t="s">
        <v>74</v>
      </c>
      <c r="BR221" s="1" t="s">
        <v>74</v>
      </c>
      <c r="BS221" s="1" t="s">
        <v>2348</v>
      </c>
      <c r="BT221" s="1" t="str">
        <f>HYPERLINK("https%3A%2F%2Fwww.webofscience.com%2Fwos%2Fwoscc%2Ffull-record%2FWOS:000480664700036","View Full Record in Web of Science")</f>
        <v>View Full Record in Web of Science</v>
      </c>
    </row>
    <row r="222" ht="12.75" customHeight="1">
      <c r="A222" s="1" t="s">
        <v>72</v>
      </c>
      <c r="B222" s="1" t="s">
        <v>2349</v>
      </c>
      <c r="C222" s="1" t="s">
        <v>74</v>
      </c>
      <c r="D222" s="1" t="s">
        <v>74</v>
      </c>
      <c r="E222" s="1" t="s">
        <v>74</v>
      </c>
      <c r="F222" s="1" t="s">
        <v>2350</v>
      </c>
      <c r="G222" s="1" t="s">
        <v>74</v>
      </c>
      <c r="H222" s="1" t="s">
        <v>74</v>
      </c>
      <c r="I222" s="1" t="s">
        <v>2351</v>
      </c>
      <c r="J222" s="1" t="s">
        <v>2352</v>
      </c>
      <c r="K222" s="1" t="s">
        <v>74</v>
      </c>
      <c r="L222" s="1" t="s">
        <v>74</v>
      </c>
      <c r="M222" s="1" t="s">
        <v>74</v>
      </c>
      <c r="N222" s="1" t="s">
        <v>74</v>
      </c>
      <c r="O222" s="1" t="s">
        <v>74</v>
      </c>
      <c r="P222" s="1" t="s">
        <v>74</v>
      </c>
      <c r="Q222" s="1" t="s">
        <v>74</v>
      </c>
      <c r="R222" s="1" t="s">
        <v>74</v>
      </c>
      <c r="S222" s="1" t="s">
        <v>74</v>
      </c>
      <c r="T222" s="1" t="s">
        <v>74</v>
      </c>
      <c r="U222" s="1" t="s">
        <v>74</v>
      </c>
      <c r="V222" s="1" t="s">
        <v>74</v>
      </c>
      <c r="W222" s="1" t="s">
        <v>74</v>
      </c>
      <c r="X222" s="1" t="s">
        <v>74</v>
      </c>
      <c r="Y222" s="1" t="s">
        <v>74</v>
      </c>
      <c r="Z222" s="1" t="s">
        <v>74</v>
      </c>
      <c r="AA222" s="1" t="s">
        <v>74</v>
      </c>
      <c r="AB222" s="1" t="s">
        <v>2353</v>
      </c>
      <c r="AC222" s="1" t="s">
        <v>74</v>
      </c>
      <c r="AD222" s="1" t="s">
        <v>74</v>
      </c>
      <c r="AE222" s="1" t="s">
        <v>74</v>
      </c>
      <c r="AF222" s="1" t="s">
        <v>74</v>
      </c>
      <c r="AG222" s="1" t="s">
        <v>74</v>
      </c>
      <c r="AH222" s="1" t="s">
        <v>74</v>
      </c>
      <c r="AI222" s="1" t="s">
        <v>74</v>
      </c>
      <c r="AJ222" s="1" t="s">
        <v>74</v>
      </c>
      <c r="AK222" s="1" t="s">
        <v>74</v>
      </c>
      <c r="AL222" s="1" t="s">
        <v>74</v>
      </c>
      <c r="AM222" s="1" t="s">
        <v>74</v>
      </c>
      <c r="AN222" s="1" t="s">
        <v>74</v>
      </c>
      <c r="AO222" s="1" t="s">
        <v>2354</v>
      </c>
      <c r="AP222" s="1" t="s">
        <v>2355</v>
      </c>
      <c r="AQ222" s="1" t="s">
        <v>74</v>
      </c>
      <c r="AR222" s="1" t="s">
        <v>74</v>
      </c>
      <c r="AS222" s="1" t="s">
        <v>74</v>
      </c>
      <c r="AT222" s="1" t="s">
        <v>350</v>
      </c>
      <c r="AU222" s="1">
        <v>2019.0</v>
      </c>
      <c r="AV222" s="1">
        <v>29.0</v>
      </c>
      <c r="AW222" s="1">
        <v>8.0</v>
      </c>
      <c r="AX222" s="1" t="s">
        <v>74</v>
      </c>
      <c r="AY222" s="1" t="s">
        <v>74</v>
      </c>
      <c r="AZ222" s="1" t="s">
        <v>74</v>
      </c>
      <c r="BA222" s="1" t="s">
        <v>74</v>
      </c>
      <c r="BB222" s="1">
        <v>2718.0</v>
      </c>
      <c r="BC222" s="1">
        <v>2718.0</v>
      </c>
      <c r="BD222" s="1" t="s">
        <v>74</v>
      </c>
      <c r="BE222" s="1" t="s">
        <v>2356</v>
      </c>
      <c r="BF222" s="2" t="str">
        <f>HYPERLINK("http://dx.doi.org/10.1007/s11695-019-03950-0","http://dx.doi.org/10.1007/s11695-019-03950-0")</f>
        <v>http://dx.doi.org/10.1007/s11695-019-03950-0</v>
      </c>
      <c r="BG222" s="1" t="s">
        <v>74</v>
      </c>
      <c r="BH222" s="1" t="s">
        <v>74</v>
      </c>
      <c r="BI222" s="1" t="s">
        <v>74</v>
      </c>
      <c r="BJ222" s="1" t="s">
        <v>74</v>
      </c>
      <c r="BK222" s="1" t="s">
        <v>74</v>
      </c>
      <c r="BL222" s="1" t="s">
        <v>74</v>
      </c>
      <c r="BM222" s="1" t="s">
        <v>74</v>
      </c>
      <c r="BN222" s="1">
        <v>3.1140164E7</v>
      </c>
      <c r="BO222" s="1" t="s">
        <v>74</v>
      </c>
      <c r="BP222" s="1" t="s">
        <v>74</v>
      </c>
      <c r="BQ222" s="1" t="s">
        <v>74</v>
      </c>
      <c r="BR222" s="1" t="s">
        <v>74</v>
      </c>
      <c r="BS222" s="1" t="s">
        <v>2357</v>
      </c>
      <c r="BT222" s="1" t="str">
        <f>HYPERLINK("https%3A%2F%2Fwww.webofscience.com%2Fwos%2Fwoscc%2Ffull-record%2FWOS:000477590600054","View Full Record in Web of Science")</f>
        <v>View Full Record in Web of Science</v>
      </c>
    </row>
    <row r="223" ht="12.75" customHeight="1">
      <c r="A223" s="1" t="s">
        <v>72</v>
      </c>
      <c r="B223" s="1" t="s">
        <v>2358</v>
      </c>
      <c r="C223" s="1" t="s">
        <v>74</v>
      </c>
      <c r="D223" s="1" t="s">
        <v>74</v>
      </c>
      <c r="E223" s="1" t="s">
        <v>74</v>
      </c>
      <c r="F223" s="1" t="s">
        <v>2359</v>
      </c>
      <c r="G223" s="1" t="s">
        <v>74</v>
      </c>
      <c r="H223" s="1" t="s">
        <v>74</v>
      </c>
      <c r="I223" s="1" t="s">
        <v>2360</v>
      </c>
      <c r="J223" s="1" t="s">
        <v>2361</v>
      </c>
      <c r="K223" s="1" t="s">
        <v>74</v>
      </c>
      <c r="L223" s="1" t="s">
        <v>74</v>
      </c>
      <c r="M223" s="1" t="s">
        <v>74</v>
      </c>
      <c r="N223" s="1" t="s">
        <v>74</v>
      </c>
      <c r="O223" s="1" t="s">
        <v>74</v>
      </c>
      <c r="P223" s="1" t="s">
        <v>74</v>
      </c>
      <c r="Q223" s="1" t="s">
        <v>74</v>
      </c>
      <c r="R223" s="1" t="s">
        <v>74</v>
      </c>
      <c r="S223" s="1" t="s">
        <v>74</v>
      </c>
      <c r="T223" s="1" t="s">
        <v>74</v>
      </c>
      <c r="U223" s="1" t="s">
        <v>74</v>
      </c>
      <c r="V223" s="1" t="s">
        <v>2362</v>
      </c>
      <c r="W223" s="1" t="s">
        <v>74</v>
      </c>
      <c r="X223" s="1" t="s">
        <v>74</v>
      </c>
      <c r="Y223" s="1" t="s">
        <v>74</v>
      </c>
      <c r="Z223" s="1" t="s">
        <v>74</v>
      </c>
      <c r="AA223" s="1" t="s">
        <v>74</v>
      </c>
      <c r="AB223" s="1" t="s">
        <v>2363</v>
      </c>
      <c r="AC223" s="1" t="s">
        <v>74</v>
      </c>
      <c r="AD223" s="1" t="s">
        <v>74</v>
      </c>
      <c r="AE223" s="1" t="s">
        <v>74</v>
      </c>
      <c r="AF223" s="1" t="s">
        <v>74</v>
      </c>
      <c r="AG223" s="1" t="s">
        <v>74</v>
      </c>
      <c r="AH223" s="1" t="s">
        <v>74</v>
      </c>
      <c r="AI223" s="1" t="s">
        <v>74</v>
      </c>
      <c r="AJ223" s="1" t="s">
        <v>74</v>
      </c>
      <c r="AK223" s="1" t="s">
        <v>74</v>
      </c>
      <c r="AL223" s="1" t="s">
        <v>74</v>
      </c>
      <c r="AM223" s="1" t="s">
        <v>74</v>
      </c>
      <c r="AN223" s="1" t="s">
        <v>74</v>
      </c>
      <c r="AO223" s="1" t="s">
        <v>2364</v>
      </c>
      <c r="AP223" s="1" t="s">
        <v>2365</v>
      </c>
      <c r="AQ223" s="1" t="s">
        <v>74</v>
      </c>
      <c r="AR223" s="1" t="s">
        <v>74</v>
      </c>
      <c r="AS223" s="1" t="s">
        <v>74</v>
      </c>
      <c r="AT223" s="1" t="s">
        <v>2366</v>
      </c>
      <c r="AU223" s="1">
        <v>2019.0</v>
      </c>
      <c r="AV223" s="1">
        <v>777.0</v>
      </c>
      <c r="AW223" s="1" t="s">
        <v>74</v>
      </c>
      <c r="AX223" s="1" t="s">
        <v>74</v>
      </c>
      <c r="AY223" s="1" t="s">
        <v>74</v>
      </c>
      <c r="AZ223" s="1" t="s">
        <v>74</v>
      </c>
      <c r="BA223" s="1" t="s">
        <v>74</v>
      </c>
      <c r="BB223" s="1">
        <v>93.0</v>
      </c>
      <c r="BC223" s="1">
        <v>110.0</v>
      </c>
      <c r="BD223" s="1" t="s">
        <v>74</v>
      </c>
      <c r="BE223" s="1" t="s">
        <v>2367</v>
      </c>
      <c r="BF223" s="2" t="str">
        <f>HYPERLINK("http://dx.doi.org/10.1016/j.tcs.2018.09.012","http://dx.doi.org/10.1016/j.tcs.2018.09.012")</f>
        <v>http://dx.doi.org/10.1016/j.tcs.2018.09.012</v>
      </c>
      <c r="BG223" s="1" t="s">
        <v>74</v>
      </c>
      <c r="BH223" s="1" t="s">
        <v>74</v>
      </c>
      <c r="BI223" s="1" t="s">
        <v>74</v>
      </c>
      <c r="BJ223" s="1" t="s">
        <v>74</v>
      </c>
      <c r="BK223" s="1" t="s">
        <v>74</v>
      </c>
      <c r="BL223" s="1" t="s">
        <v>74</v>
      </c>
      <c r="BM223" s="1" t="s">
        <v>74</v>
      </c>
      <c r="BN223" s="1" t="s">
        <v>74</v>
      </c>
      <c r="BO223" s="1" t="s">
        <v>74</v>
      </c>
      <c r="BP223" s="1" t="s">
        <v>74</v>
      </c>
      <c r="BQ223" s="1" t="s">
        <v>74</v>
      </c>
      <c r="BR223" s="1" t="s">
        <v>74</v>
      </c>
      <c r="BS223" s="1" t="s">
        <v>2368</v>
      </c>
      <c r="BT223" s="1" t="str">
        <f>HYPERLINK("https%3A%2F%2Fwww.webofscience.com%2Fwos%2Fwoscc%2Ffull-record%2FWOS:000473372800006","View Full Record in Web of Science")</f>
        <v>View Full Record in Web of Science</v>
      </c>
    </row>
    <row r="224" ht="12.75" customHeight="1">
      <c r="A224" s="1" t="s">
        <v>72</v>
      </c>
      <c r="B224" s="1" t="s">
        <v>2369</v>
      </c>
      <c r="C224" s="1" t="s">
        <v>74</v>
      </c>
      <c r="D224" s="1" t="s">
        <v>74</v>
      </c>
      <c r="E224" s="1" t="s">
        <v>74</v>
      </c>
      <c r="F224" s="1" t="s">
        <v>2370</v>
      </c>
      <c r="G224" s="1" t="s">
        <v>74</v>
      </c>
      <c r="H224" s="1" t="s">
        <v>74</v>
      </c>
      <c r="I224" s="1" t="s">
        <v>2371</v>
      </c>
      <c r="J224" s="1" t="s">
        <v>2372</v>
      </c>
      <c r="K224" s="1" t="s">
        <v>74</v>
      </c>
      <c r="L224" s="1" t="s">
        <v>74</v>
      </c>
      <c r="M224" s="1" t="s">
        <v>74</v>
      </c>
      <c r="N224" s="1" t="s">
        <v>74</v>
      </c>
      <c r="O224" s="1" t="s">
        <v>74</v>
      </c>
      <c r="P224" s="1" t="s">
        <v>74</v>
      </c>
      <c r="Q224" s="1" t="s">
        <v>74</v>
      </c>
      <c r="R224" s="1" t="s">
        <v>74</v>
      </c>
      <c r="S224" s="1" t="s">
        <v>74</v>
      </c>
      <c r="T224" s="1" t="s">
        <v>74</v>
      </c>
      <c r="U224" s="1" t="s">
        <v>74</v>
      </c>
      <c r="V224" s="1" t="s">
        <v>2373</v>
      </c>
      <c r="W224" s="1" t="s">
        <v>74</v>
      </c>
      <c r="X224" s="1" t="s">
        <v>74</v>
      </c>
      <c r="Y224" s="1" t="s">
        <v>74</v>
      </c>
      <c r="Z224" s="1" t="s">
        <v>74</v>
      </c>
      <c r="AA224" s="1" t="s">
        <v>2374</v>
      </c>
      <c r="AB224" s="1" t="s">
        <v>2375</v>
      </c>
      <c r="AC224" s="1" t="s">
        <v>74</v>
      </c>
      <c r="AD224" s="1" t="s">
        <v>74</v>
      </c>
      <c r="AE224" s="1" t="s">
        <v>74</v>
      </c>
      <c r="AF224" s="1" t="s">
        <v>74</v>
      </c>
      <c r="AG224" s="1" t="s">
        <v>74</v>
      </c>
      <c r="AH224" s="1" t="s">
        <v>74</v>
      </c>
      <c r="AI224" s="1" t="s">
        <v>74</v>
      </c>
      <c r="AJ224" s="1" t="s">
        <v>74</v>
      </c>
      <c r="AK224" s="1" t="s">
        <v>74</v>
      </c>
      <c r="AL224" s="1" t="s">
        <v>74</v>
      </c>
      <c r="AM224" s="1" t="s">
        <v>74</v>
      </c>
      <c r="AN224" s="1" t="s">
        <v>74</v>
      </c>
      <c r="AO224" s="1" t="s">
        <v>2376</v>
      </c>
      <c r="AP224" s="1" t="s">
        <v>2377</v>
      </c>
      <c r="AQ224" s="1" t="s">
        <v>74</v>
      </c>
      <c r="AR224" s="1" t="s">
        <v>74</v>
      </c>
      <c r="AS224" s="1" t="s">
        <v>74</v>
      </c>
      <c r="AT224" s="1" t="s">
        <v>2378</v>
      </c>
      <c r="AU224" s="1">
        <v>2019.0</v>
      </c>
      <c r="AV224" s="1">
        <v>5.0</v>
      </c>
      <c r="AW224" s="1">
        <v>2.0</v>
      </c>
      <c r="AX224" s="1" t="s">
        <v>74</v>
      </c>
      <c r="AY224" s="1" t="s">
        <v>74</v>
      </c>
      <c r="AZ224" s="1" t="s">
        <v>74</v>
      </c>
      <c r="BA224" s="1" t="s">
        <v>74</v>
      </c>
      <c r="BB224" s="1">
        <v>134.0</v>
      </c>
      <c r="BC224" s="1">
        <v>144.0</v>
      </c>
      <c r="BD224" s="1" t="s">
        <v>74</v>
      </c>
      <c r="BE224" s="1" t="s">
        <v>2379</v>
      </c>
      <c r="BF224" s="2" t="str">
        <f>HYPERLINK("http://dx.doi.org/10.1080/23288604.2019.1589916","http://dx.doi.org/10.1080/23288604.2019.1589916")</f>
        <v>http://dx.doi.org/10.1080/23288604.2019.1589916</v>
      </c>
      <c r="BG224" s="1" t="s">
        <v>74</v>
      </c>
      <c r="BH224" s="1" t="s">
        <v>74</v>
      </c>
      <c r="BI224" s="1" t="s">
        <v>74</v>
      </c>
      <c r="BJ224" s="1" t="s">
        <v>74</v>
      </c>
      <c r="BK224" s="1" t="s">
        <v>74</v>
      </c>
      <c r="BL224" s="1" t="s">
        <v>74</v>
      </c>
      <c r="BM224" s="1" t="s">
        <v>74</v>
      </c>
      <c r="BN224" s="1">
        <v>3.1194642E7</v>
      </c>
      <c r="BO224" s="1" t="s">
        <v>74</v>
      </c>
      <c r="BP224" s="1" t="s">
        <v>74</v>
      </c>
      <c r="BQ224" s="1" t="s">
        <v>74</v>
      </c>
      <c r="BR224" s="1" t="s">
        <v>74</v>
      </c>
      <c r="BS224" s="1" t="s">
        <v>2380</v>
      </c>
      <c r="BT224" s="1" t="str">
        <f>HYPERLINK("https%3A%2F%2Fwww.webofscience.com%2Fwos%2Fwoscc%2Ffull-record%2FWOS:000473721400007","View Full Record in Web of Science")</f>
        <v>View Full Record in Web of Science</v>
      </c>
    </row>
    <row r="225" ht="12.75" customHeight="1">
      <c r="A225" s="1" t="s">
        <v>72</v>
      </c>
      <c r="B225" s="1" t="s">
        <v>2381</v>
      </c>
      <c r="C225" s="1" t="s">
        <v>74</v>
      </c>
      <c r="D225" s="1" t="s">
        <v>74</v>
      </c>
      <c r="E225" s="1" t="s">
        <v>74</v>
      </c>
      <c r="F225" s="1" t="s">
        <v>2382</v>
      </c>
      <c r="G225" s="1" t="s">
        <v>74</v>
      </c>
      <c r="H225" s="1" t="s">
        <v>74</v>
      </c>
      <c r="I225" s="1" t="s">
        <v>2383</v>
      </c>
      <c r="J225" s="1" t="s">
        <v>2384</v>
      </c>
      <c r="K225" s="1" t="s">
        <v>74</v>
      </c>
      <c r="L225" s="1" t="s">
        <v>74</v>
      </c>
      <c r="M225" s="1" t="s">
        <v>74</v>
      </c>
      <c r="N225" s="1" t="s">
        <v>74</v>
      </c>
      <c r="O225" s="1" t="s">
        <v>74</v>
      </c>
      <c r="P225" s="1" t="s">
        <v>74</v>
      </c>
      <c r="Q225" s="1" t="s">
        <v>74</v>
      </c>
      <c r="R225" s="1" t="s">
        <v>74</v>
      </c>
      <c r="S225" s="1" t="s">
        <v>74</v>
      </c>
      <c r="T225" s="1" t="s">
        <v>74</v>
      </c>
      <c r="U225" s="1" t="s">
        <v>74</v>
      </c>
      <c r="V225" s="1" t="s">
        <v>2385</v>
      </c>
      <c r="W225" s="1" t="s">
        <v>74</v>
      </c>
      <c r="X225" s="1" t="s">
        <v>74</v>
      </c>
      <c r="Y225" s="1" t="s">
        <v>74</v>
      </c>
      <c r="Z225" s="1" t="s">
        <v>74</v>
      </c>
      <c r="AA225" s="1" t="s">
        <v>2386</v>
      </c>
      <c r="AB225" s="1" t="s">
        <v>2387</v>
      </c>
      <c r="AC225" s="1" t="s">
        <v>74</v>
      </c>
      <c r="AD225" s="1" t="s">
        <v>74</v>
      </c>
      <c r="AE225" s="1" t="s">
        <v>74</v>
      </c>
      <c r="AF225" s="1" t="s">
        <v>74</v>
      </c>
      <c r="AG225" s="1" t="s">
        <v>74</v>
      </c>
      <c r="AH225" s="1" t="s">
        <v>74</v>
      </c>
      <c r="AI225" s="1" t="s">
        <v>74</v>
      </c>
      <c r="AJ225" s="1" t="s">
        <v>74</v>
      </c>
      <c r="AK225" s="1" t="s">
        <v>74</v>
      </c>
      <c r="AL225" s="1" t="s">
        <v>74</v>
      </c>
      <c r="AM225" s="1" t="s">
        <v>74</v>
      </c>
      <c r="AN225" s="1" t="s">
        <v>74</v>
      </c>
      <c r="AO225" s="1" t="s">
        <v>2388</v>
      </c>
      <c r="AP225" s="1" t="s">
        <v>2389</v>
      </c>
      <c r="AQ225" s="1" t="s">
        <v>74</v>
      </c>
      <c r="AR225" s="1" t="s">
        <v>74</v>
      </c>
      <c r="AS225" s="1" t="s">
        <v>74</v>
      </c>
      <c r="AT225" s="1" t="s">
        <v>74</v>
      </c>
      <c r="AU225" s="1">
        <v>2019.0</v>
      </c>
      <c r="AV225" s="1">
        <v>49.0</v>
      </c>
      <c r="AW225" s="1">
        <v>16.0</v>
      </c>
      <c r="AX225" s="1" t="s">
        <v>74</v>
      </c>
      <c r="AY225" s="1" t="s">
        <v>74</v>
      </c>
      <c r="AZ225" s="1" t="s">
        <v>74</v>
      </c>
      <c r="BA225" s="1" t="s">
        <v>74</v>
      </c>
      <c r="BB225" s="1">
        <v>1476.0</v>
      </c>
      <c r="BC225" s="1">
        <v>1514.0</v>
      </c>
      <c r="BD225" s="1" t="s">
        <v>74</v>
      </c>
      <c r="BE225" s="1" t="s">
        <v>2390</v>
      </c>
      <c r="BF225" s="2" t="str">
        <f>HYPERLINK("http://dx.doi.org/10.1080/10643389.2019.1579627","http://dx.doi.org/10.1080/10643389.2019.1579627")</f>
        <v>http://dx.doi.org/10.1080/10643389.2019.1579627</v>
      </c>
      <c r="BG225" s="1" t="s">
        <v>74</v>
      </c>
      <c r="BH225" s="1" t="s">
        <v>2391</v>
      </c>
      <c r="BI225" s="1" t="s">
        <v>74</v>
      </c>
      <c r="BJ225" s="1" t="s">
        <v>74</v>
      </c>
      <c r="BK225" s="1" t="s">
        <v>74</v>
      </c>
      <c r="BL225" s="1" t="s">
        <v>74</v>
      </c>
      <c r="BM225" s="1" t="s">
        <v>74</v>
      </c>
      <c r="BN225" s="1" t="s">
        <v>74</v>
      </c>
      <c r="BO225" s="1" t="s">
        <v>74</v>
      </c>
      <c r="BP225" s="1" t="s">
        <v>74</v>
      </c>
      <c r="BQ225" s="1" t="s">
        <v>74</v>
      </c>
      <c r="BR225" s="1" t="s">
        <v>74</v>
      </c>
      <c r="BS225" s="1" t="s">
        <v>2392</v>
      </c>
      <c r="BT225" s="1" t="str">
        <f>HYPERLINK("https%3A%2F%2Fwww.webofscience.com%2Fwos%2Fwoscc%2Ffull-record%2FWOS:000463455900001","View Full Record in Web of Science")</f>
        <v>View Full Record in Web of Science</v>
      </c>
    </row>
    <row r="226" ht="12.75" customHeight="1">
      <c r="A226" s="1" t="s">
        <v>274</v>
      </c>
      <c r="B226" s="1" t="s">
        <v>2393</v>
      </c>
      <c r="C226" s="1" t="s">
        <v>74</v>
      </c>
      <c r="D226" s="1" t="s">
        <v>1927</v>
      </c>
      <c r="E226" s="1" t="s">
        <v>74</v>
      </c>
      <c r="F226" s="1" t="s">
        <v>2394</v>
      </c>
      <c r="G226" s="1" t="s">
        <v>74</v>
      </c>
      <c r="H226" s="1" t="s">
        <v>74</v>
      </c>
      <c r="I226" s="1" t="s">
        <v>2395</v>
      </c>
      <c r="J226" s="1" t="s">
        <v>1930</v>
      </c>
      <c r="K226" s="1" t="s">
        <v>74</v>
      </c>
      <c r="L226" s="1" t="s">
        <v>74</v>
      </c>
      <c r="M226" s="1" t="s">
        <v>74</v>
      </c>
      <c r="N226" s="1" t="s">
        <v>74</v>
      </c>
      <c r="O226" s="1" t="s">
        <v>74</v>
      </c>
      <c r="P226" s="1" t="s">
        <v>74</v>
      </c>
      <c r="Q226" s="1" t="s">
        <v>74</v>
      </c>
      <c r="R226" s="1" t="s">
        <v>74</v>
      </c>
      <c r="S226" s="1" t="s">
        <v>74</v>
      </c>
      <c r="T226" s="1" t="s">
        <v>74</v>
      </c>
      <c r="U226" s="1" t="s">
        <v>74</v>
      </c>
      <c r="V226" s="1" t="s">
        <v>74</v>
      </c>
      <c r="W226" s="1" t="s">
        <v>74</v>
      </c>
      <c r="X226" s="1" t="s">
        <v>74</v>
      </c>
      <c r="Y226" s="1" t="s">
        <v>74</v>
      </c>
      <c r="Z226" s="1" t="s">
        <v>74</v>
      </c>
      <c r="AA226" s="1" t="s">
        <v>2396</v>
      </c>
      <c r="AB226" s="1" t="s">
        <v>74</v>
      </c>
      <c r="AC226" s="1" t="s">
        <v>74</v>
      </c>
      <c r="AD226" s="1" t="s">
        <v>74</v>
      </c>
      <c r="AE226" s="1" t="s">
        <v>74</v>
      </c>
      <c r="AF226" s="1" t="s">
        <v>74</v>
      </c>
      <c r="AG226" s="1" t="s">
        <v>74</v>
      </c>
      <c r="AH226" s="1" t="s">
        <v>74</v>
      </c>
      <c r="AI226" s="1" t="s">
        <v>74</v>
      </c>
      <c r="AJ226" s="1" t="s">
        <v>74</v>
      </c>
      <c r="AK226" s="1" t="s">
        <v>74</v>
      </c>
      <c r="AL226" s="1" t="s">
        <v>74</v>
      </c>
      <c r="AM226" s="1" t="s">
        <v>74</v>
      </c>
      <c r="AN226" s="1" t="s">
        <v>74</v>
      </c>
      <c r="AO226" s="1" t="s">
        <v>74</v>
      </c>
      <c r="AP226" s="1" t="s">
        <v>74</v>
      </c>
      <c r="AQ226" s="1" t="s">
        <v>1932</v>
      </c>
      <c r="AR226" s="1" t="s">
        <v>74</v>
      </c>
      <c r="AS226" s="1" t="s">
        <v>74</v>
      </c>
      <c r="AT226" s="1" t="s">
        <v>74</v>
      </c>
      <c r="AU226" s="1">
        <v>2019.0</v>
      </c>
      <c r="AV226" s="1" t="s">
        <v>74</v>
      </c>
      <c r="AW226" s="1" t="s">
        <v>74</v>
      </c>
      <c r="AX226" s="1" t="s">
        <v>74</v>
      </c>
      <c r="AY226" s="1" t="s">
        <v>74</v>
      </c>
      <c r="AZ226" s="1" t="s">
        <v>74</v>
      </c>
      <c r="BA226" s="1" t="s">
        <v>74</v>
      </c>
      <c r="BB226" s="1">
        <v>13.0</v>
      </c>
      <c r="BC226" s="1">
        <v>16.0</v>
      </c>
      <c r="BD226" s="1" t="s">
        <v>74</v>
      </c>
      <c r="BE226" s="1" t="s">
        <v>74</v>
      </c>
      <c r="BF226" s="1" t="s">
        <v>74</v>
      </c>
      <c r="BG226" s="1" t="s">
        <v>74</v>
      </c>
      <c r="BH226" s="1" t="s">
        <v>74</v>
      </c>
      <c r="BI226" s="1" t="s">
        <v>74</v>
      </c>
      <c r="BJ226" s="1" t="s">
        <v>74</v>
      </c>
      <c r="BK226" s="1" t="s">
        <v>74</v>
      </c>
      <c r="BL226" s="1" t="s">
        <v>74</v>
      </c>
      <c r="BM226" s="1" t="s">
        <v>74</v>
      </c>
      <c r="BN226" s="1" t="s">
        <v>74</v>
      </c>
      <c r="BO226" s="1" t="s">
        <v>74</v>
      </c>
      <c r="BP226" s="1" t="s">
        <v>74</v>
      </c>
      <c r="BQ226" s="1" t="s">
        <v>74</v>
      </c>
      <c r="BR226" s="1" t="s">
        <v>74</v>
      </c>
      <c r="BS226" s="1" t="s">
        <v>2397</v>
      </c>
      <c r="BT226" s="1" t="str">
        <f>HYPERLINK("https%3A%2F%2Fwww.webofscience.com%2Fwos%2Fwoscc%2Ffull-record%2FWOS:000480324700001","View Full Record in Web of Science")</f>
        <v>View Full Record in Web of Science</v>
      </c>
    </row>
    <row r="227" ht="12.75" customHeight="1">
      <c r="A227" s="1" t="s">
        <v>72</v>
      </c>
      <c r="B227" s="1" t="s">
        <v>2398</v>
      </c>
      <c r="C227" s="1" t="s">
        <v>74</v>
      </c>
      <c r="D227" s="1" t="s">
        <v>74</v>
      </c>
      <c r="E227" s="1" t="s">
        <v>74</v>
      </c>
      <c r="F227" s="1" t="s">
        <v>2399</v>
      </c>
      <c r="G227" s="1" t="s">
        <v>74</v>
      </c>
      <c r="H227" s="1" t="s">
        <v>74</v>
      </c>
      <c r="I227" s="1" t="s">
        <v>2400</v>
      </c>
      <c r="J227" s="1" t="s">
        <v>2401</v>
      </c>
      <c r="K227" s="1" t="s">
        <v>74</v>
      </c>
      <c r="L227" s="1" t="s">
        <v>74</v>
      </c>
      <c r="M227" s="1" t="s">
        <v>74</v>
      </c>
      <c r="N227" s="1" t="s">
        <v>74</v>
      </c>
      <c r="O227" s="1" t="s">
        <v>74</v>
      </c>
      <c r="P227" s="1" t="s">
        <v>74</v>
      </c>
      <c r="Q227" s="1" t="s">
        <v>74</v>
      </c>
      <c r="R227" s="1" t="s">
        <v>74</v>
      </c>
      <c r="S227" s="1" t="s">
        <v>74</v>
      </c>
      <c r="T227" s="1" t="s">
        <v>74</v>
      </c>
      <c r="U227" s="1" t="s">
        <v>74</v>
      </c>
      <c r="V227" s="1" t="s">
        <v>2402</v>
      </c>
      <c r="W227" s="1" t="s">
        <v>74</v>
      </c>
      <c r="X227" s="1" t="s">
        <v>74</v>
      </c>
      <c r="Y227" s="1" t="s">
        <v>74</v>
      </c>
      <c r="Z227" s="1" t="s">
        <v>74</v>
      </c>
      <c r="AA227" s="1" t="s">
        <v>2403</v>
      </c>
      <c r="AB227" s="1" t="s">
        <v>2404</v>
      </c>
      <c r="AC227" s="1" t="s">
        <v>74</v>
      </c>
      <c r="AD227" s="1" t="s">
        <v>74</v>
      </c>
      <c r="AE227" s="1" t="s">
        <v>74</v>
      </c>
      <c r="AF227" s="1" t="s">
        <v>74</v>
      </c>
      <c r="AG227" s="1" t="s">
        <v>74</v>
      </c>
      <c r="AH227" s="1" t="s">
        <v>74</v>
      </c>
      <c r="AI227" s="1" t="s">
        <v>74</v>
      </c>
      <c r="AJ227" s="1" t="s">
        <v>74</v>
      </c>
      <c r="AK227" s="1" t="s">
        <v>74</v>
      </c>
      <c r="AL227" s="1" t="s">
        <v>74</v>
      </c>
      <c r="AM227" s="1" t="s">
        <v>74</v>
      </c>
      <c r="AN227" s="1" t="s">
        <v>74</v>
      </c>
      <c r="AO227" s="1" t="s">
        <v>2405</v>
      </c>
      <c r="AP227" s="1" t="s">
        <v>2406</v>
      </c>
      <c r="AQ227" s="1" t="s">
        <v>74</v>
      </c>
      <c r="AR227" s="1" t="s">
        <v>74</v>
      </c>
      <c r="AS227" s="1" t="s">
        <v>74</v>
      </c>
      <c r="AT227" s="1" t="s">
        <v>74</v>
      </c>
      <c r="AU227" s="1">
        <v>2019.0</v>
      </c>
      <c r="AV227" s="1">
        <v>54.0</v>
      </c>
      <c r="AW227" s="1">
        <v>17.0</v>
      </c>
      <c r="AX227" s="1" t="s">
        <v>74</v>
      </c>
      <c r="AY227" s="1" t="s">
        <v>74</v>
      </c>
      <c r="AZ227" s="1" t="s">
        <v>74</v>
      </c>
      <c r="BA227" s="1" t="s">
        <v>74</v>
      </c>
      <c r="BB227" s="1">
        <v>2895.0</v>
      </c>
      <c r="BC227" s="1">
        <v>2906.0</v>
      </c>
      <c r="BD227" s="1" t="s">
        <v>74</v>
      </c>
      <c r="BE227" s="1" t="s">
        <v>2407</v>
      </c>
      <c r="BF227" s="2" t="str">
        <f>HYPERLINK("http://dx.doi.org/10.1080/01496395.2018.1555171","http://dx.doi.org/10.1080/01496395.2018.1555171")</f>
        <v>http://dx.doi.org/10.1080/01496395.2018.1555171</v>
      </c>
      <c r="BG227" s="1" t="s">
        <v>74</v>
      </c>
      <c r="BH227" s="1" t="s">
        <v>74</v>
      </c>
      <c r="BI227" s="1" t="s">
        <v>74</v>
      </c>
      <c r="BJ227" s="1" t="s">
        <v>74</v>
      </c>
      <c r="BK227" s="1" t="s">
        <v>74</v>
      </c>
      <c r="BL227" s="1" t="s">
        <v>74</v>
      </c>
      <c r="BM227" s="1" t="s">
        <v>74</v>
      </c>
      <c r="BN227" s="1" t="s">
        <v>74</v>
      </c>
      <c r="BO227" s="1" t="s">
        <v>74</v>
      </c>
      <c r="BP227" s="1" t="s">
        <v>74</v>
      </c>
      <c r="BQ227" s="1" t="s">
        <v>74</v>
      </c>
      <c r="BR227" s="1" t="s">
        <v>74</v>
      </c>
      <c r="BS227" s="1" t="s">
        <v>2408</v>
      </c>
      <c r="BT227" s="1" t="str">
        <f>HYPERLINK("https%3A%2F%2Fwww.webofscience.com%2Fwos%2Fwoscc%2Ffull-record%2FWOS:000711843700001","View Full Record in Web of Science")</f>
        <v>View Full Record in Web of Science</v>
      </c>
    </row>
    <row r="228" ht="12.75" customHeight="1">
      <c r="A228" s="1" t="s">
        <v>72</v>
      </c>
      <c r="B228" s="1" t="s">
        <v>993</v>
      </c>
      <c r="C228" s="1" t="s">
        <v>74</v>
      </c>
      <c r="D228" s="1" t="s">
        <v>74</v>
      </c>
      <c r="E228" s="1" t="s">
        <v>74</v>
      </c>
      <c r="F228" s="1" t="s">
        <v>1043</v>
      </c>
      <c r="G228" s="1" t="s">
        <v>74</v>
      </c>
      <c r="H228" s="1" t="s">
        <v>74</v>
      </c>
      <c r="I228" s="1" t="s">
        <v>2409</v>
      </c>
      <c r="J228" s="1" t="s">
        <v>2410</v>
      </c>
      <c r="K228" s="1" t="s">
        <v>74</v>
      </c>
      <c r="L228" s="1" t="s">
        <v>74</v>
      </c>
      <c r="M228" s="1" t="s">
        <v>74</v>
      </c>
      <c r="N228" s="1" t="s">
        <v>74</v>
      </c>
      <c r="O228" s="1" t="s">
        <v>74</v>
      </c>
      <c r="P228" s="1" t="s">
        <v>74</v>
      </c>
      <c r="Q228" s="1" t="s">
        <v>74</v>
      </c>
      <c r="R228" s="1" t="s">
        <v>74</v>
      </c>
      <c r="S228" s="1" t="s">
        <v>74</v>
      </c>
      <c r="T228" s="1" t="s">
        <v>74</v>
      </c>
      <c r="U228" s="1" t="s">
        <v>74</v>
      </c>
      <c r="V228" s="1" t="s">
        <v>2411</v>
      </c>
      <c r="W228" s="1" t="s">
        <v>74</v>
      </c>
      <c r="X228" s="1" t="s">
        <v>74</v>
      </c>
      <c r="Y228" s="1" t="s">
        <v>74</v>
      </c>
      <c r="Z228" s="1" t="s">
        <v>74</v>
      </c>
      <c r="AA228" s="1" t="s">
        <v>74</v>
      </c>
      <c r="AB228" s="1" t="s">
        <v>998</v>
      </c>
      <c r="AC228" s="1" t="s">
        <v>74</v>
      </c>
      <c r="AD228" s="1" t="s">
        <v>74</v>
      </c>
      <c r="AE228" s="1" t="s">
        <v>74</v>
      </c>
      <c r="AF228" s="1" t="s">
        <v>74</v>
      </c>
      <c r="AG228" s="1" t="s">
        <v>74</v>
      </c>
      <c r="AH228" s="1" t="s">
        <v>74</v>
      </c>
      <c r="AI228" s="1" t="s">
        <v>74</v>
      </c>
      <c r="AJ228" s="1" t="s">
        <v>74</v>
      </c>
      <c r="AK228" s="1" t="s">
        <v>74</v>
      </c>
      <c r="AL228" s="1" t="s">
        <v>74</v>
      </c>
      <c r="AM228" s="1" t="s">
        <v>74</v>
      </c>
      <c r="AN228" s="1" t="s">
        <v>74</v>
      </c>
      <c r="AO228" s="1" t="s">
        <v>2412</v>
      </c>
      <c r="AP228" s="1" t="s">
        <v>2413</v>
      </c>
      <c r="AQ228" s="1" t="s">
        <v>74</v>
      </c>
      <c r="AR228" s="1" t="s">
        <v>74</v>
      </c>
      <c r="AS228" s="1" t="s">
        <v>74</v>
      </c>
      <c r="AT228" s="1" t="s">
        <v>696</v>
      </c>
      <c r="AU228" s="1">
        <v>2019.0</v>
      </c>
      <c r="AV228" s="1">
        <v>8.0</v>
      </c>
      <c r="AW228" s="1">
        <v>1.0</v>
      </c>
      <c r="AX228" s="1" t="s">
        <v>74</v>
      </c>
      <c r="AY228" s="1" t="s">
        <v>74</v>
      </c>
      <c r="AZ228" s="1" t="s">
        <v>74</v>
      </c>
      <c r="BA228" s="1" t="s">
        <v>74</v>
      </c>
      <c r="BB228" s="1">
        <v>175.0</v>
      </c>
      <c r="BC228" s="1">
        <v>192.0</v>
      </c>
      <c r="BD228" s="1" t="s">
        <v>74</v>
      </c>
      <c r="BE228" s="1" t="s">
        <v>2414</v>
      </c>
      <c r="BF228" s="2" t="str">
        <f>HYPERLINK("http://dx.doi.org/10.1515/anona-2016-0023","http://dx.doi.org/10.1515/anona-2016-0023")</f>
        <v>http://dx.doi.org/10.1515/anona-2016-0023</v>
      </c>
      <c r="BG228" s="1" t="s">
        <v>74</v>
      </c>
      <c r="BH228" s="1" t="s">
        <v>74</v>
      </c>
      <c r="BI228" s="1" t="s">
        <v>74</v>
      </c>
      <c r="BJ228" s="1" t="s">
        <v>74</v>
      </c>
      <c r="BK228" s="1" t="s">
        <v>74</v>
      </c>
      <c r="BL228" s="1" t="s">
        <v>74</v>
      </c>
      <c r="BM228" s="1" t="s">
        <v>74</v>
      </c>
      <c r="BN228" s="1" t="s">
        <v>74</v>
      </c>
      <c r="BO228" s="1" t="s">
        <v>74</v>
      </c>
      <c r="BP228" s="1" t="s">
        <v>74</v>
      </c>
      <c r="BQ228" s="1" t="s">
        <v>74</v>
      </c>
      <c r="BR228" s="1" t="s">
        <v>74</v>
      </c>
      <c r="BS228" s="1" t="s">
        <v>2415</v>
      </c>
      <c r="BT228" s="1" t="str">
        <f>HYPERLINK("https%3A%2F%2Fwww.webofscience.com%2Fwos%2Fwoscc%2Ffull-record%2FWOS:000459891200009","View Full Record in Web of Science")</f>
        <v>View Full Record in Web of Science</v>
      </c>
    </row>
    <row r="229" ht="12.75" customHeight="1">
      <c r="A229" s="1" t="s">
        <v>72</v>
      </c>
      <c r="B229" s="1" t="s">
        <v>2416</v>
      </c>
      <c r="C229" s="1" t="s">
        <v>74</v>
      </c>
      <c r="D229" s="1" t="s">
        <v>74</v>
      </c>
      <c r="E229" s="1" t="s">
        <v>74</v>
      </c>
      <c r="F229" s="1" t="s">
        <v>2417</v>
      </c>
      <c r="G229" s="1" t="s">
        <v>74</v>
      </c>
      <c r="H229" s="1" t="s">
        <v>74</v>
      </c>
      <c r="I229" s="1" t="s">
        <v>2418</v>
      </c>
      <c r="J229" s="1" t="s">
        <v>2234</v>
      </c>
      <c r="K229" s="1" t="s">
        <v>74</v>
      </c>
      <c r="L229" s="1" t="s">
        <v>74</v>
      </c>
      <c r="M229" s="1" t="s">
        <v>74</v>
      </c>
      <c r="N229" s="1" t="s">
        <v>74</v>
      </c>
      <c r="O229" s="1" t="s">
        <v>74</v>
      </c>
      <c r="P229" s="1" t="s">
        <v>74</v>
      </c>
      <c r="Q229" s="1" t="s">
        <v>74</v>
      </c>
      <c r="R229" s="1" t="s">
        <v>74</v>
      </c>
      <c r="S229" s="1" t="s">
        <v>74</v>
      </c>
      <c r="T229" s="1" t="s">
        <v>74</v>
      </c>
      <c r="U229" s="1" t="s">
        <v>74</v>
      </c>
      <c r="V229" s="1" t="s">
        <v>2419</v>
      </c>
      <c r="W229" s="1" t="s">
        <v>74</v>
      </c>
      <c r="X229" s="1" t="s">
        <v>74</v>
      </c>
      <c r="Y229" s="1" t="s">
        <v>74</v>
      </c>
      <c r="Z229" s="1" t="s">
        <v>74</v>
      </c>
      <c r="AA229" s="1" t="s">
        <v>2420</v>
      </c>
      <c r="AB229" s="1" t="s">
        <v>2421</v>
      </c>
      <c r="AC229" s="1" t="s">
        <v>74</v>
      </c>
      <c r="AD229" s="1" t="s">
        <v>74</v>
      </c>
      <c r="AE229" s="1" t="s">
        <v>74</v>
      </c>
      <c r="AF229" s="1" t="s">
        <v>74</v>
      </c>
      <c r="AG229" s="1" t="s">
        <v>74</v>
      </c>
      <c r="AH229" s="1" t="s">
        <v>74</v>
      </c>
      <c r="AI229" s="1" t="s">
        <v>74</v>
      </c>
      <c r="AJ229" s="1" t="s">
        <v>74</v>
      </c>
      <c r="AK229" s="1" t="s">
        <v>74</v>
      </c>
      <c r="AL229" s="1" t="s">
        <v>74</v>
      </c>
      <c r="AM229" s="1" t="s">
        <v>74</v>
      </c>
      <c r="AN229" s="1" t="s">
        <v>74</v>
      </c>
      <c r="AO229" s="1" t="s">
        <v>2236</v>
      </c>
      <c r="AP229" s="1" t="s">
        <v>2237</v>
      </c>
      <c r="AQ229" s="1" t="s">
        <v>74</v>
      </c>
      <c r="AR229" s="1" t="s">
        <v>74</v>
      </c>
      <c r="AS229" s="1" t="s">
        <v>74</v>
      </c>
      <c r="AT229" s="1" t="s">
        <v>294</v>
      </c>
      <c r="AU229" s="1">
        <v>2018.0</v>
      </c>
      <c r="AV229" s="1" t="s">
        <v>74</v>
      </c>
      <c r="AW229" s="1">
        <v>40.0</v>
      </c>
      <c r="AX229" s="1" t="s">
        <v>74</v>
      </c>
      <c r="AY229" s="1" t="s">
        <v>74</v>
      </c>
      <c r="AZ229" s="1" t="s">
        <v>74</v>
      </c>
      <c r="BA229" s="1" t="s">
        <v>74</v>
      </c>
      <c r="BB229" s="1">
        <v>56.0</v>
      </c>
      <c r="BC229" s="1">
        <v>76.0</v>
      </c>
      <c r="BD229" s="1" t="s">
        <v>74</v>
      </c>
      <c r="BE229" s="1" t="s">
        <v>2422</v>
      </c>
      <c r="BF229" s="2" t="str">
        <f>HYPERLINK("http://dx.doi.org/10.7764/onomazein.40.04","http://dx.doi.org/10.7764/onomazein.40.04")</f>
        <v>http://dx.doi.org/10.7764/onomazein.40.04</v>
      </c>
      <c r="BG229" s="1" t="s">
        <v>74</v>
      </c>
      <c r="BH229" s="1" t="s">
        <v>74</v>
      </c>
      <c r="BI229" s="1" t="s">
        <v>74</v>
      </c>
      <c r="BJ229" s="1" t="s">
        <v>74</v>
      </c>
      <c r="BK229" s="1" t="s">
        <v>74</v>
      </c>
      <c r="BL229" s="1" t="s">
        <v>74</v>
      </c>
      <c r="BM229" s="1" t="s">
        <v>74</v>
      </c>
      <c r="BN229" s="1" t="s">
        <v>74</v>
      </c>
      <c r="BO229" s="1" t="s">
        <v>74</v>
      </c>
      <c r="BP229" s="1" t="s">
        <v>74</v>
      </c>
      <c r="BQ229" s="1" t="s">
        <v>74</v>
      </c>
      <c r="BR229" s="1" t="s">
        <v>74</v>
      </c>
      <c r="BS229" s="1" t="s">
        <v>2423</v>
      </c>
      <c r="BT229" s="1" t="str">
        <f>HYPERLINK("https%3A%2F%2Fwww.webofscience.com%2Fwos%2Fwoscc%2Ffull-record%2FWOS:000437735200004","View Full Record in Web of Science")</f>
        <v>View Full Record in Web of Science</v>
      </c>
    </row>
    <row r="230" ht="12.75" customHeight="1">
      <c r="A230" s="1" t="s">
        <v>72</v>
      </c>
      <c r="B230" s="1" t="s">
        <v>2424</v>
      </c>
      <c r="C230" s="1" t="s">
        <v>74</v>
      </c>
      <c r="D230" s="1" t="s">
        <v>74</v>
      </c>
      <c r="E230" s="1" t="s">
        <v>74</v>
      </c>
      <c r="F230" s="1" t="s">
        <v>2425</v>
      </c>
      <c r="G230" s="1" t="s">
        <v>74</v>
      </c>
      <c r="H230" s="1" t="s">
        <v>74</v>
      </c>
      <c r="I230" s="1" t="s">
        <v>2426</v>
      </c>
      <c r="J230" s="1" t="s">
        <v>2427</v>
      </c>
      <c r="K230" s="1" t="s">
        <v>74</v>
      </c>
      <c r="L230" s="1" t="s">
        <v>74</v>
      </c>
      <c r="M230" s="1" t="s">
        <v>74</v>
      </c>
      <c r="N230" s="1" t="s">
        <v>74</v>
      </c>
      <c r="O230" s="1" t="s">
        <v>74</v>
      </c>
      <c r="P230" s="1" t="s">
        <v>74</v>
      </c>
      <c r="Q230" s="1" t="s">
        <v>74</v>
      </c>
      <c r="R230" s="1" t="s">
        <v>74</v>
      </c>
      <c r="S230" s="1" t="s">
        <v>74</v>
      </c>
      <c r="T230" s="1" t="s">
        <v>74</v>
      </c>
      <c r="U230" s="1" t="s">
        <v>74</v>
      </c>
      <c r="V230" s="1" t="s">
        <v>74</v>
      </c>
      <c r="W230" s="1" t="s">
        <v>74</v>
      </c>
      <c r="X230" s="1" t="s">
        <v>74</v>
      </c>
      <c r="Y230" s="1" t="s">
        <v>74</v>
      </c>
      <c r="Z230" s="1" t="s">
        <v>74</v>
      </c>
      <c r="AA230" s="1" t="s">
        <v>74</v>
      </c>
      <c r="AB230" s="1" t="s">
        <v>2428</v>
      </c>
      <c r="AC230" s="1" t="s">
        <v>74</v>
      </c>
      <c r="AD230" s="1" t="s">
        <v>74</v>
      </c>
      <c r="AE230" s="1" t="s">
        <v>74</v>
      </c>
      <c r="AF230" s="1" t="s">
        <v>74</v>
      </c>
      <c r="AG230" s="1" t="s">
        <v>74</v>
      </c>
      <c r="AH230" s="1" t="s">
        <v>74</v>
      </c>
      <c r="AI230" s="1" t="s">
        <v>74</v>
      </c>
      <c r="AJ230" s="1" t="s">
        <v>74</v>
      </c>
      <c r="AK230" s="1" t="s">
        <v>74</v>
      </c>
      <c r="AL230" s="1" t="s">
        <v>74</v>
      </c>
      <c r="AM230" s="1" t="s">
        <v>74</v>
      </c>
      <c r="AN230" s="1" t="s">
        <v>74</v>
      </c>
      <c r="AO230" s="1" t="s">
        <v>2429</v>
      </c>
      <c r="AP230" s="1" t="s">
        <v>2430</v>
      </c>
      <c r="AQ230" s="1" t="s">
        <v>74</v>
      </c>
      <c r="AR230" s="1" t="s">
        <v>74</v>
      </c>
      <c r="AS230" s="1" t="s">
        <v>74</v>
      </c>
      <c r="AT230" s="1" t="s">
        <v>2431</v>
      </c>
      <c r="AU230" s="1">
        <v>2018.0</v>
      </c>
      <c r="AV230" s="1">
        <v>93.0</v>
      </c>
      <c r="AW230" s="1">
        <v>3.0</v>
      </c>
      <c r="AX230" s="1" t="s">
        <v>74</v>
      </c>
      <c r="AY230" s="1" t="s">
        <v>74</v>
      </c>
      <c r="AZ230" s="1" t="s">
        <v>74</v>
      </c>
      <c r="BA230" s="1" t="s">
        <v>74</v>
      </c>
      <c r="BB230" s="1">
        <v>477.0</v>
      </c>
      <c r="BC230" s="1">
        <v>478.0</v>
      </c>
      <c r="BD230" s="1" t="s">
        <v>74</v>
      </c>
      <c r="BE230" s="1" t="s">
        <v>2432</v>
      </c>
      <c r="BF230" s="2" t="str">
        <f>HYPERLINK("http://dx.doi.org/10.1590/abd1806-4841.20187798","http://dx.doi.org/10.1590/abd1806-4841.20187798")</f>
        <v>http://dx.doi.org/10.1590/abd1806-4841.20187798</v>
      </c>
      <c r="BG230" s="1" t="s">
        <v>74</v>
      </c>
      <c r="BH230" s="1" t="s">
        <v>74</v>
      </c>
      <c r="BI230" s="1" t="s">
        <v>74</v>
      </c>
      <c r="BJ230" s="1" t="s">
        <v>74</v>
      </c>
      <c r="BK230" s="1" t="s">
        <v>74</v>
      </c>
      <c r="BL230" s="1" t="s">
        <v>74</v>
      </c>
      <c r="BM230" s="1" t="s">
        <v>74</v>
      </c>
      <c r="BN230" s="1" t="s">
        <v>74</v>
      </c>
      <c r="BO230" s="1" t="s">
        <v>74</v>
      </c>
      <c r="BP230" s="1" t="s">
        <v>74</v>
      </c>
      <c r="BQ230" s="1" t="s">
        <v>74</v>
      </c>
      <c r="BR230" s="1" t="s">
        <v>74</v>
      </c>
      <c r="BS230" s="1" t="s">
        <v>2433</v>
      </c>
      <c r="BT230" s="1" t="str">
        <f>HYPERLINK("https%3A%2F%2Fwww.webofscience.com%2Fwos%2Fwoscc%2Ffull-record%2FWOS:000435632300040","View Full Record in Web of Science")</f>
        <v>View Full Record in Web of Science</v>
      </c>
    </row>
    <row r="231" ht="12.75" customHeight="1">
      <c r="A231" s="1" t="s">
        <v>72</v>
      </c>
      <c r="B231" s="1" t="s">
        <v>2434</v>
      </c>
      <c r="C231" s="1" t="s">
        <v>74</v>
      </c>
      <c r="D231" s="1" t="s">
        <v>74</v>
      </c>
      <c r="E231" s="1" t="s">
        <v>74</v>
      </c>
      <c r="F231" s="1" t="s">
        <v>2435</v>
      </c>
      <c r="G231" s="1" t="s">
        <v>74</v>
      </c>
      <c r="H231" s="1" t="s">
        <v>74</v>
      </c>
      <c r="I231" s="1" t="s">
        <v>2436</v>
      </c>
      <c r="J231" s="1" t="s">
        <v>2437</v>
      </c>
      <c r="K231" s="1" t="s">
        <v>74</v>
      </c>
      <c r="L231" s="1" t="s">
        <v>74</v>
      </c>
      <c r="M231" s="1" t="s">
        <v>74</v>
      </c>
      <c r="N231" s="1" t="s">
        <v>74</v>
      </c>
      <c r="O231" s="1" t="s">
        <v>74</v>
      </c>
      <c r="P231" s="1" t="s">
        <v>74</v>
      </c>
      <c r="Q231" s="1" t="s">
        <v>74</v>
      </c>
      <c r="R231" s="1" t="s">
        <v>74</v>
      </c>
      <c r="S231" s="1" t="s">
        <v>74</v>
      </c>
      <c r="T231" s="1" t="s">
        <v>74</v>
      </c>
      <c r="U231" s="1" t="s">
        <v>74</v>
      </c>
      <c r="V231" s="1" t="s">
        <v>2438</v>
      </c>
      <c r="W231" s="1" t="s">
        <v>74</v>
      </c>
      <c r="X231" s="1" t="s">
        <v>74</v>
      </c>
      <c r="Y231" s="1" t="s">
        <v>74</v>
      </c>
      <c r="Z231" s="1" t="s">
        <v>74</v>
      </c>
      <c r="AA231" s="1" t="s">
        <v>2439</v>
      </c>
      <c r="AB231" s="1" t="s">
        <v>2440</v>
      </c>
      <c r="AC231" s="1" t="s">
        <v>74</v>
      </c>
      <c r="AD231" s="1" t="s">
        <v>74</v>
      </c>
      <c r="AE231" s="1" t="s">
        <v>74</v>
      </c>
      <c r="AF231" s="1" t="s">
        <v>74</v>
      </c>
      <c r="AG231" s="1" t="s">
        <v>74</v>
      </c>
      <c r="AH231" s="1" t="s">
        <v>74</v>
      </c>
      <c r="AI231" s="1" t="s">
        <v>74</v>
      </c>
      <c r="AJ231" s="1" t="s">
        <v>74</v>
      </c>
      <c r="AK231" s="1" t="s">
        <v>74</v>
      </c>
      <c r="AL231" s="1" t="s">
        <v>74</v>
      </c>
      <c r="AM231" s="1" t="s">
        <v>74</v>
      </c>
      <c r="AN231" s="1" t="s">
        <v>74</v>
      </c>
      <c r="AO231" s="1" t="s">
        <v>74</v>
      </c>
      <c r="AP231" s="1" t="s">
        <v>2441</v>
      </c>
      <c r="AQ231" s="1" t="s">
        <v>74</v>
      </c>
      <c r="AR231" s="1" t="s">
        <v>74</v>
      </c>
      <c r="AS231" s="1" t="s">
        <v>74</v>
      </c>
      <c r="AT231" s="1" t="s">
        <v>2442</v>
      </c>
      <c r="AU231" s="1">
        <v>2018.0</v>
      </c>
      <c r="AV231" s="1">
        <v>9.0</v>
      </c>
      <c r="AW231" s="1" t="s">
        <v>74</v>
      </c>
      <c r="AX231" s="1" t="s">
        <v>74</v>
      </c>
      <c r="AY231" s="1" t="s">
        <v>74</v>
      </c>
      <c r="AZ231" s="1" t="s">
        <v>74</v>
      </c>
      <c r="BA231" s="1" t="s">
        <v>74</v>
      </c>
      <c r="BB231" s="1" t="s">
        <v>74</v>
      </c>
      <c r="BC231" s="1" t="s">
        <v>74</v>
      </c>
      <c r="BD231" s="1">
        <v>185.0</v>
      </c>
      <c r="BE231" s="1" t="s">
        <v>2443</v>
      </c>
      <c r="BF231" s="2" t="str">
        <f>HYPERLINK("http://dx.doi.org/10.3389/fphys.2018.00185","http://dx.doi.org/10.3389/fphys.2018.00185")</f>
        <v>http://dx.doi.org/10.3389/fphys.2018.00185</v>
      </c>
      <c r="BG231" s="1" t="s">
        <v>74</v>
      </c>
      <c r="BH231" s="1" t="s">
        <v>74</v>
      </c>
      <c r="BI231" s="1" t="s">
        <v>74</v>
      </c>
      <c r="BJ231" s="1" t="s">
        <v>74</v>
      </c>
      <c r="BK231" s="1" t="s">
        <v>74</v>
      </c>
      <c r="BL231" s="1" t="s">
        <v>74</v>
      </c>
      <c r="BM231" s="1" t="s">
        <v>74</v>
      </c>
      <c r="BN231" s="1">
        <v>2.9559926E7</v>
      </c>
      <c r="BO231" s="1" t="s">
        <v>74</v>
      </c>
      <c r="BP231" s="1" t="s">
        <v>74</v>
      </c>
      <c r="BQ231" s="1" t="s">
        <v>74</v>
      </c>
      <c r="BR231" s="1" t="s">
        <v>74</v>
      </c>
      <c r="BS231" s="1" t="s">
        <v>2444</v>
      </c>
      <c r="BT231" s="1" t="str">
        <f>HYPERLINK("https%3A%2F%2Fwww.webofscience.com%2Fwos%2Fwoscc%2Ffull-record%2FWOS:000426746200001","View Full Record in Web of Science")</f>
        <v>View Full Record in Web of Science</v>
      </c>
    </row>
    <row r="232" ht="12.75" customHeight="1">
      <c r="A232" s="1" t="s">
        <v>72</v>
      </c>
      <c r="B232" s="1" t="s">
        <v>945</v>
      </c>
      <c r="C232" s="1" t="s">
        <v>74</v>
      </c>
      <c r="D232" s="1" t="s">
        <v>74</v>
      </c>
      <c r="E232" s="1" t="s">
        <v>74</v>
      </c>
      <c r="F232" s="1" t="s">
        <v>946</v>
      </c>
      <c r="G232" s="1" t="s">
        <v>74</v>
      </c>
      <c r="H232" s="1" t="s">
        <v>74</v>
      </c>
      <c r="I232" s="1" t="s">
        <v>2445</v>
      </c>
      <c r="J232" s="1" t="s">
        <v>2446</v>
      </c>
      <c r="K232" s="1" t="s">
        <v>74</v>
      </c>
      <c r="L232" s="1" t="s">
        <v>74</v>
      </c>
      <c r="M232" s="1" t="s">
        <v>74</v>
      </c>
      <c r="N232" s="1" t="s">
        <v>74</v>
      </c>
      <c r="O232" s="1" t="s">
        <v>74</v>
      </c>
      <c r="P232" s="1" t="s">
        <v>74</v>
      </c>
      <c r="Q232" s="1" t="s">
        <v>74</v>
      </c>
      <c r="R232" s="1" t="s">
        <v>74</v>
      </c>
      <c r="S232" s="1" t="s">
        <v>74</v>
      </c>
      <c r="T232" s="1" t="s">
        <v>74</v>
      </c>
      <c r="U232" s="1" t="s">
        <v>74</v>
      </c>
      <c r="V232" s="1" t="s">
        <v>2447</v>
      </c>
      <c r="W232" s="1" t="s">
        <v>74</v>
      </c>
      <c r="X232" s="1" t="s">
        <v>74</v>
      </c>
      <c r="Y232" s="1" t="s">
        <v>74</v>
      </c>
      <c r="Z232" s="1" t="s">
        <v>74</v>
      </c>
      <c r="AA232" s="1" t="s">
        <v>74</v>
      </c>
      <c r="AB232" s="1" t="s">
        <v>2448</v>
      </c>
      <c r="AC232" s="1" t="s">
        <v>74</v>
      </c>
      <c r="AD232" s="1" t="s">
        <v>74</v>
      </c>
      <c r="AE232" s="1" t="s">
        <v>74</v>
      </c>
      <c r="AF232" s="1" t="s">
        <v>74</v>
      </c>
      <c r="AG232" s="1" t="s">
        <v>74</v>
      </c>
      <c r="AH232" s="1" t="s">
        <v>74</v>
      </c>
      <c r="AI232" s="1" t="s">
        <v>74</v>
      </c>
      <c r="AJ232" s="1" t="s">
        <v>74</v>
      </c>
      <c r="AK232" s="1" t="s">
        <v>74</v>
      </c>
      <c r="AL232" s="1" t="s">
        <v>74</v>
      </c>
      <c r="AM232" s="1" t="s">
        <v>74</v>
      </c>
      <c r="AN232" s="1" t="s">
        <v>74</v>
      </c>
      <c r="AO232" s="1" t="s">
        <v>2449</v>
      </c>
      <c r="AP232" s="1" t="s">
        <v>74</v>
      </c>
      <c r="AQ232" s="1" t="s">
        <v>74</v>
      </c>
      <c r="AR232" s="1" t="s">
        <v>74</v>
      </c>
      <c r="AS232" s="1" t="s">
        <v>74</v>
      </c>
      <c r="AT232" s="1" t="s">
        <v>235</v>
      </c>
      <c r="AU232" s="1">
        <v>2018.0</v>
      </c>
      <c r="AV232" s="1">
        <v>2.0</v>
      </c>
      <c r="AW232" s="1">
        <v>2.0</v>
      </c>
      <c r="AX232" s="1" t="s">
        <v>74</v>
      </c>
      <c r="AY232" s="1" t="s">
        <v>74</v>
      </c>
      <c r="AZ232" s="1" t="s">
        <v>74</v>
      </c>
      <c r="BA232" s="1" t="s">
        <v>74</v>
      </c>
      <c r="BB232" s="1">
        <v>95.0</v>
      </c>
      <c r="BC232" s="1">
        <v>104.0</v>
      </c>
      <c r="BD232" s="1" t="s">
        <v>74</v>
      </c>
      <c r="BE232" s="1" t="s">
        <v>2450</v>
      </c>
      <c r="BF232" s="2" t="str">
        <f>HYPERLINK("http://dx.doi.org/10.1002/cptc.201700129","http://dx.doi.org/10.1002/cptc.201700129")</f>
        <v>http://dx.doi.org/10.1002/cptc.201700129</v>
      </c>
      <c r="BG232" s="1" t="s">
        <v>74</v>
      </c>
      <c r="BH232" s="1" t="s">
        <v>74</v>
      </c>
      <c r="BI232" s="1" t="s">
        <v>74</v>
      </c>
      <c r="BJ232" s="1" t="s">
        <v>74</v>
      </c>
      <c r="BK232" s="1" t="s">
        <v>74</v>
      </c>
      <c r="BL232" s="1" t="s">
        <v>74</v>
      </c>
      <c r="BM232" s="1" t="s">
        <v>74</v>
      </c>
      <c r="BN232" s="1" t="s">
        <v>74</v>
      </c>
      <c r="BO232" s="1" t="s">
        <v>74</v>
      </c>
      <c r="BP232" s="1" t="s">
        <v>74</v>
      </c>
      <c r="BQ232" s="1" t="s">
        <v>74</v>
      </c>
      <c r="BR232" s="1" t="s">
        <v>74</v>
      </c>
      <c r="BS232" s="1" t="s">
        <v>2451</v>
      </c>
      <c r="BT232" s="1" t="str">
        <f>HYPERLINK("https%3A%2F%2Fwww.webofscience.com%2Fwos%2Fwoscc%2Ffull-record%2FWOS:000424895200006","View Full Record in Web of Science")</f>
        <v>View Full Record in Web of Science</v>
      </c>
    </row>
    <row r="233" ht="12.75" customHeight="1">
      <c r="A233" s="1" t="s">
        <v>182</v>
      </c>
      <c r="B233" s="1" t="s">
        <v>2452</v>
      </c>
      <c r="C233" s="1" t="s">
        <v>74</v>
      </c>
      <c r="D233" s="1" t="s">
        <v>74</v>
      </c>
      <c r="E233" s="1" t="s">
        <v>184</v>
      </c>
      <c r="F233" s="1" t="s">
        <v>2453</v>
      </c>
      <c r="G233" s="1" t="s">
        <v>74</v>
      </c>
      <c r="H233" s="1" t="s">
        <v>74</v>
      </c>
      <c r="I233" s="1" t="s">
        <v>2454</v>
      </c>
      <c r="J233" s="1" t="s">
        <v>2455</v>
      </c>
      <c r="K233" s="1" t="s">
        <v>2456</v>
      </c>
      <c r="L233" s="1" t="s">
        <v>74</v>
      </c>
      <c r="M233" s="1" t="s">
        <v>74</v>
      </c>
      <c r="N233" s="1" t="s">
        <v>74</v>
      </c>
      <c r="O233" s="1" t="s">
        <v>2457</v>
      </c>
      <c r="P233" s="1" t="s">
        <v>2458</v>
      </c>
      <c r="Q233" s="1" t="s">
        <v>2459</v>
      </c>
      <c r="R233" s="1" t="s">
        <v>2460</v>
      </c>
      <c r="S233" s="1" t="s">
        <v>74</v>
      </c>
      <c r="T233" s="1" t="s">
        <v>74</v>
      </c>
      <c r="U233" s="1" t="s">
        <v>74</v>
      </c>
      <c r="V233" s="1" t="s">
        <v>2461</v>
      </c>
      <c r="W233" s="1" t="s">
        <v>74</v>
      </c>
      <c r="X233" s="1" t="s">
        <v>74</v>
      </c>
      <c r="Y233" s="1" t="s">
        <v>74</v>
      </c>
      <c r="Z233" s="1" t="s">
        <v>74</v>
      </c>
      <c r="AA233" s="1" t="s">
        <v>2462</v>
      </c>
      <c r="AB233" s="1" t="s">
        <v>74</v>
      </c>
      <c r="AC233" s="1" t="s">
        <v>74</v>
      </c>
      <c r="AD233" s="1" t="s">
        <v>74</v>
      </c>
      <c r="AE233" s="1" t="s">
        <v>74</v>
      </c>
      <c r="AF233" s="1" t="s">
        <v>74</v>
      </c>
      <c r="AG233" s="1" t="s">
        <v>74</v>
      </c>
      <c r="AH233" s="1" t="s">
        <v>74</v>
      </c>
      <c r="AI233" s="1" t="s">
        <v>74</v>
      </c>
      <c r="AJ233" s="1" t="s">
        <v>74</v>
      </c>
      <c r="AK233" s="1" t="s">
        <v>74</v>
      </c>
      <c r="AL233" s="1" t="s">
        <v>74</v>
      </c>
      <c r="AM233" s="1" t="s">
        <v>74</v>
      </c>
      <c r="AN233" s="1" t="s">
        <v>74</v>
      </c>
      <c r="AO233" s="1" t="s">
        <v>2463</v>
      </c>
      <c r="AP233" s="1" t="s">
        <v>74</v>
      </c>
      <c r="AQ233" s="1" t="s">
        <v>2464</v>
      </c>
      <c r="AR233" s="1" t="s">
        <v>74</v>
      </c>
      <c r="AS233" s="1" t="s">
        <v>74</v>
      </c>
      <c r="AT233" s="1" t="s">
        <v>74</v>
      </c>
      <c r="AU233" s="1">
        <v>2018.0</v>
      </c>
      <c r="AV233" s="1" t="s">
        <v>74</v>
      </c>
      <c r="AW233" s="1" t="s">
        <v>74</v>
      </c>
      <c r="AX233" s="1" t="s">
        <v>74</v>
      </c>
      <c r="AY233" s="1" t="s">
        <v>74</v>
      </c>
      <c r="AZ233" s="1" t="s">
        <v>74</v>
      </c>
      <c r="BA233" s="1" t="s">
        <v>74</v>
      </c>
      <c r="BB233" s="1" t="s">
        <v>74</v>
      </c>
      <c r="BC233" s="1" t="s">
        <v>74</v>
      </c>
      <c r="BD233" s="1" t="s">
        <v>74</v>
      </c>
      <c r="BE233" s="1" t="s">
        <v>74</v>
      </c>
      <c r="BF233" s="1" t="s">
        <v>74</v>
      </c>
      <c r="BG233" s="1" t="s">
        <v>74</v>
      </c>
      <c r="BH233" s="1" t="s">
        <v>74</v>
      </c>
      <c r="BI233" s="1" t="s">
        <v>74</v>
      </c>
      <c r="BJ233" s="1" t="s">
        <v>74</v>
      </c>
      <c r="BK233" s="1" t="s">
        <v>74</v>
      </c>
      <c r="BL233" s="1" t="s">
        <v>74</v>
      </c>
      <c r="BM233" s="1" t="s">
        <v>74</v>
      </c>
      <c r="BN233" s="1" t="s">
        <v>74</v>
      </c>
      <c r="BO233" s="1" t="s">
        <v>74</v>
      </c>
      <c r="BP233" s="1" t="s">
        <v>74</v>
      </c>
      <c r="BQ233" s="1" t="s">
        <v>74</v>
      </c>
      <c r="BR233" s="1" t="s">
        <v>74</v>
      </c>
      <c r="BS233" s="1" t="s">
        <v>2465</v>
      </c>
      <c r="BT233" s="1" t="str">
        <f>HYPERLINK("https%3A%2F%2Fwww.webofscience.com%2Fwos%2Fwoscc%2Ffull-record%2FWOS:000450299300021","View Full Record in Web of Science")</f>
        <v>View Full Record in Web of Science</v>
      </c>
    </row>
    <row r="234" ht="12.75" customHeight="1">
      <c r="A234" s="1" t="s">
        <v>72</v>
      </c>
      <c r="B234" s="1" t="s">
        <v>2466</v>
      </c>
      <c r="C234" s="1" t="s">
        <v>74</v>
      </c>
      <c r="D234" s="1" t="s">
        <v>74</v>
      </c>
      <c r="E234" s="1" t="s">
        <v>74</v>
      </c>
      <c r="F234" s="1" t="s">
        <v>2467</v>
      </c>
      <c r="G234" s="1" t="s">
        <v>74</v>
      </c>
      <c r="H234" s="1" t="s">
        <v>74</v>
      </c>
      <c r="I234" s="1" t="s">
        <v>2468</v>
      </c>
      <c r="J234" s="1" t="s">
        <v>2469</v>
      </c>
      <c r="K234" s="1" t="s">
        <v>74</v>
      </c>
      <c r="L234" s="1" t="s">
        <v>74</v>
      </c>
      <c r="M234" s="1" t="s">
        <v>74</v>
      </c>
      <c r="N234" s="1" t="s">
        <v>74</v>
      </c>
      <c r="O234" s="1" t="s">
        <v>74</v>
      </c>
      <c r="P234" s="1" t="s">
        <v>74</v>
      </c>
      <c r="Q234" s="1" t="s">
        <v>74</v>
      </c>
      <c r="R234" s="1" t="s">
        <v>74</v>
      </c>
      <c r="S234" s="1" t="s">
        <v>74</v>
      </c>
      <c r="T234" s="1" t="s">
        <v>74</v>
      </c>
      <c r="U234" s="1" t="s">
        <v>74</v>
      </c>
      <c r="V234" s="1" t="s">
        <v>2470</v>
      </c>
      <c r="W234" s="1" t="s">
        <v>74</v>
      </c>
      <c r="X234" s="1" t="s">
        <v>74</v>
      </c>
      <c r="Y234" s="1" t="s">
        <v>74</v>
      </c>
      <c r="Z234" s="1" t="s">
        <v>74</v>
      </c>
      <c r="AA234" s="1" t="s">
        <v>2471</v>
      </c>
      <c r="AB234" s="1" t="s">
        <v>2472</v>
      </c>
      <c r="AC234" s="1" t="s">
        <v>74</v>
      </c>
      <c r="AD234" s="1" t="s">
        <v>74</v>
      </c>
      <c r="AE234" s="1" t="s">
        <v>74</v>
      </c>
      <c r="AF234" s="1" t="s">
        <v>74</v>
      </c>
      <c r="AG234" s="1" t="s">
        <v>74</v>
      </c>
      <c r="AH234" s="1" t="s">
        <v>74</v>
      </c>
      <c r="AI234" s="1" t="s">
        <v>74</v>
      </c>
      <c r="AJ234" s="1" t="s">
        <v>74</v>
      </c>
      <c r="AK234" s="1" t="s">
        <v>74</v>
      </c>
      <c r="AL234" s="1" t="s">
        <v>74</v>
      </c>
      <c r="AM234" s="1" t="s">
        <v>74</v>
      </c>
      <c r="AN234" s="1" t="s">
        <v>74</v>
      </c>
      <c r="AO234" s="1" t="s">
        <v>2473</v>
      </c>
      <c r="AP234" s="1" t="s">
        <v>74</v>
      </c>
      <c r="AQ234" s="1" t="s">
        <v>74</v>
      </c>
      <c r="AR234" s="1" t="s">
        <v>74</v>
      </c>
      <c r="AS234" s="1" t="s">
        <v>74</v>
      </c>
      <c r="AT234" s="1" t="s">
        <v>2287</v>
      </c>
      <c r="AU234" s="1">
        <v>2017.0</v>
      </c>
      <c r="AV234" s="1">
        <v>8.0</v>
      </c>
      <c r="AW234" s="1" t="s">
        <v>74</v>
      </c>
      <c r="AX234" s="1" t="s">
        <v>74</v>
      </c>
      <c r="AY234" s="1" t="s">
        <v>74</v>
      </c>
      <c r="AZ234" s="1" t="s">
        <v>74</v>
      </c>
      <c r="BA234" s="1" t="s">
        <v>74</v>
      </c>
      <c r="BB234" s="1" t="s">
        <v>74</v>
      </c>
      <c r="BC234" s="1" t="s">
        <v>74</v>
      </c>
      <c r="BD234" s="1">
        <v>838.0</v>
      </c>
      <c r="BE234" s="1" t="s">
        <v>2474</v>
      </c>
      <c r="BF234" s="2" t="str">
        <f>HYPERLINK("http://dx.doi.org/10.1038/s41467-017-00960-3","http://dx.doi.org/10.1038/s41467-017-00960-3")</f>
        <v>http://dx.doi.org/10.1038/s41467-017-00960-3</v>
      </c>
      <c r="BG234" s="1" t="s">
        <v>74</v>
      </c>
      <c r="BH234" s="1" t="s">
        <v>74</v>
      </c>
      <c r="BI234" s="1" t="s">
        <v>74</v>
      </c>
      <c r="BJ234" s="1" t="s">
        <v>74</v>
      </c>
      <c r="BK234" s="1" t="s">
        <v>74</v>
      </c>
      <c r="BL234" s="1" t="s">
        <v>74</v>
      </c>
      <c r="BM234" s="1" t="s">
        <v>74</v>
      </c>
      <c r="BN234" s="1">
        <v>2.9018191E7</v>
      </c>
      <c r="BO234" s="1" t="s">
        <v>74</v>
      </c>
      <c r="BP234" s="1" t="s">
        <v>74</v>
      </c>
      <c r="BQ234" s="1" t="s">
        <v>74</v>
      </c>
      <c r="BR234" s="1" t="s">
        <v>74</v>
      </c>
      <c r="BS234" s="1" t="s">
        <v>2475</v>
      </c>
      <c r="BT234" s="1" t="str">
        <f>HYPERLINK("https%3A%2F%2Fwww.webofscience.com%2Fwos%2Fwoscc%2Ffull-record%2FWOS:000412603700001","View Full Record in Web of Science")</f>
        <v>View Full Record in Web of Science</v>
      </c>
    </row>
    <row r="235" ht="12.75" customHeight="1">
      <c r="A235" s="1" t="s">
        <v>72</v>
      </c>
      <c r="B235" s="1" t="s">
        <v>2476</v>
      </c>
      <c r="C235" s="1" t="s">
        <v>74</v>
      </c>
      <c r="D235" s="1" t="s">
        <v>74</v>
      </c>
      <c r="E235" s="1" t="s">
        <v>74</v>
      </c>
      <c r="F235" s="1" t="s">
        <v>2477</v>
      </c>
      <c r="G235" s="1" t="s">
        <v>74</v>
      </c>
      <c r="H235" s="1" t="s">
        <v>74</v>
      </c>
      <c r="I235" s="1" t="s">
        <v>2478</v>
      </c>
      <c r="J235" s="1" t="s">
        <v>2352</v>
      </c>
      <c r="K235" s="1" t="s">
        <v>74</v>
      </c>
      <c r="L235" s="1" t="s">
        <v>74</v>
      </c>
      <c r="M235" s="1" t="s">
        <v>74</v>
      </c>
      <c r="N235" s="1" t="s">
        <v>74</v>
      </c>
      <c r="O235" s="1" t="s">
        <v>74</v>
      </c>
      <c r="P235" s="1" t="s">
        <v>74</v>
      </c>
      <c r="Q235" s="1" t="s">
        <v>74</v>
      </c>
      <c r="R235" s="1" t="s">
        <v>74</v>
      </c>
      <c r="S235" s="1" t="s">
        <v>74</v>
      </c>
      <c r="T235" s="1" t="s">
        <v>74</v>
      </c>
      <c r="U235" s="1" t="s">
        <v>74</v>
      </c>
      <c r="V235" s="1" t="s">
        <v>74</v>
      </c>
      <c r="W235" s="1" t="s">
        <v>74</v>
      </c>
      <c r="X235" s="1" t="s">
        <v>74</v>
      </c>
      <c r="Y235" s="1" t="s">
        <v>74</v>
      </c>
      <c r="Z235" s="1" t="s">
        <v>74</v>
      </c>
      <c r="AA235" s="1" t="s">
        <v>2479</v>
      </c>
      <c r="AB235" s="1" t="s">
        <v>74</v>
      </c>
      <c r="AC235" s="1" t="s">
        <v>74</v>
      </c>
      <c r="AD235" s="1" t="s">
        <v>74</v>
      </c>
      <c r="AE235" s="1" t="s">
        <v>74</v>
      </c>
      <c r="AF235" s="1" t="s">
        <v>74</v>
      </c>
      <c r="AG235" s="1" t="s">
        <v>74</v>
      </c>
      <c r="AH235" s="1" t="s">
        <v>74</v>
      </c>
      <c r="AI235" s="1" t="s">
        <v>74</v>
      </c>
      <c r="AJ235" s="1" t="s">
        <v>74</v>
      </c>
      <c r="AK235" s="1" t="s">
        <v>74</v>
      </c>
      <c r="AL235" s="1" t="s">
        <v>74</v>
      </c>
      <c r="AM235" s="1" t="s">
        <v>74</v>
      </c>
      <c r="AN235" s="1" t="s">
        <v>74</v>
      </c>
      <c r="AO235" s="1" t="s">
        <v>2354</v>
      </c>
      <c r="AP235" s="1" t="s">
        <v>2355</v>
      </c>
      <c r="AQ235" s="1" t="s">
        <v>74</v>
      </c>
      <c r="AR235" s="1" t="s">
        <v>74</v>
      </c>
      <c r="AS235" s="1" t="s">
        <v>74</v>
      </c>
      <c r="AT235" s="1" t="s">
        <v>158</v>
      </c>
      <c r="AU235" s="1">
        <v>2017.0</v>
      </c>
      <c r="AV235" s="1">
        <v>27.0</v>
      </c>
      <c r="AW235" s="1" t="s">
        <v>74</v>
      </c>
      <c r="AX235" s="1" t="s">
        <v>74</v>
      </c>
      <c r="AY235" s="1">
        <v>1.0</v>
      </c>
      <c r="AZ235" s="1" t="s">
        <v>74</v>
      </c>
      <c r="BA235" s="1" t="s">
        <v>2480</v>
      </c>
      <c r="BB235" s="1">
        <v>263.0</v>
      </c>
      <c r="BC235" s="1">
        <v>263.0</v>
      </c>
      <c r="BD235" s="1" t="s">
        <v>74</v>
      </c>
      <c r="BE235" s="1" t="s">
        <v>74</v>
      </c>
      <c r="BF235" s="1" t="s">
        <v>74</v>
      </c>
      <c r="BG235" s="1" t="s">
        <v>74</v>
      </c>
      <c r="BH235" s="1" t="s">
        <v>74</v>
      </c>
      <c r="BI235" s="1" t="s">
        <v>74</v>
      </c>
      <c r="BJ235" s="1" t="s">
        <v>74</v>
      </c>
      <c r="BK235" s="1" t="s">
        <v>74</v>
      </c>
      <c r="BL235" s="1" t="s">
        <v>74</v>
      </c>
      <c r="BM235" s="1" t="s">
        <v>74</v>
      </c>
      <c r="BN235" s="1" t="s">
        <v>74</v>
      </c>
      <c r="BO235" s="1" t="s">
        <v>74</v>
      </c>
      <c r="BP235" s="1" t="s">
        <v>74</v>
      </c>
      <c r="BQ235" s="1" t="s">
        <v>74</v>
      </c>
      <c r="BR235" s="1" t="s">
        <v>74</v>
      </c>
      <c r="BS235" s="1" t="s">
        <v>2481</v>
      </c>
      <c r="BT235" s="1" t="str">
        <f>HYPERLINK("https%3A%2F%2Fwww.webofscience.com%2Fwos%2Fwoscc%2Ffull-record%2FWOS:000461382400147","View Full Record in Web of Science")</f>
        <v>View Full Record in Web of Science</v>
      </c>
    </row>
    <row r="236" ht="12.75" customHeight="1">
      <c r="A236" s="1" t="s">
        <v>72</v>
      </c>
      <c r="B236" s="1" t="s">
        <v>2482</v>
      </c>
      <c r="C236" s="1" t="s">
        <v>74</v>
      </c>
      <c r="D236" s="1" t="s">
        <v>74</v>
      </c>
      <c r="E236" s="1" t="s">
        <v>74</v>
      </c>
      <c r="F236" s="1" t="s">
        <v>2483</v>
      </c>
      <c r="G236" s="1" t="s">
        <v>74</v>
      </c>
      <c r="H236" s="1" t="s">
        <v>74</v>
      </c>
      <c r="I236" s="1" t="s">
        <v>2484</v>
      </c>
      <c r="J236" s="1" t="s">
        <v>1789</v>
      </c>
      <c r="K236" s="1" t="s">
        <v>74</v>
      </c>
      <c r="L236" s="1" t="s">
        <v>74</v>
      </c>
      <c r="M236" s="1" t="s">
        <v>74</v>
      </c>
      <c r="N236" s="1" t="s">
        <v>74</v>
      </c>
      <c r="O236" s="1" t="s">
        <v>74</v>
      </c>
      <c r="P236" s="1" t="s">
        <v>74</v>
      </c>
      <c r="Q236" s="1" t="s">
        <v>74</v>
      </c>
      <c r="R236" s="1" t="s">
        <v>74</v>
      </c>
      <c r="S236" s="1" t="s">
        <v>74</v>
      </c>
      <c r="T236" s="1" t="s">
        <v>74</v>
      </c>
      <c r="U236" s="1" t="s">
        <v>74</v>
      </c>
      <c r="V236" s="1" t="s">
        <v>2485</v>
      </c>
      <c r="W236" s="1" t="s">
        <v>74</v>
      </c>
      <c r="X236" s="1" t="s">
        <v>74</v>
      </c>
      <c r="Y236" s="1" t="s">
        <v>74</v>
      </c>
      <c r="Z236" s="1" t="s">
        <v>74</v>
      </c>
      <c r="AA236" s="1" t="s">
        <v>2486</v>
      </c>
      <c r="AB236" s="1" t="s">
        <v>74</v>
      </c>
      <c r="AC236" s="1" t="s">
        <v>74</v>
      </c>
      <c r="AD236" s="1" t="s">
        <v>74</v>
      </c>
      <c r="AE236" s="1" t="s">
        <v>74</v>
      </c>
      <c r="AF236" s="1" t="s">
        <v>74</v>
      </c>
      <c r="AG236" s="1" t="s">
        <v>74</v>
      </c>
      <c r="AH236" s="1" t="s">
        <v>74</v>
      </c>
      <c r="AI236" s="1" t="s">
        <v>74</v>
      </c>
      <c r="AJ236" s="1" t="s">
        <v>74</v>
      </c>
      <c r="AK236" s="1" t="s">
        <v>74</v>
      </c>
      <c r="AL236" s="1" t="s">
        <v>74</v>
      </c>
      <c r="AM236" s="1" t="s">
        <v>74</v>
      </c>
      <c r="AN236" s="1" t="s">
        <v>74</v>
      </c>
      <c r="AO236" s="1" t="s">
        <v>1793</v>
      </c>
      <c r="AP236" s="1" t="s">
        <v>1794</v>
      </c>
      <c r="AQ236" s="1" t="s">
        <v>74</v>
      </c>
      <c r="AR236" s="1" t="s">
        <v>74</v>
      </c>
      <c r="AS236" s="1" t="s">
        <v>74</v>
      </c>
      <c r="AT236" s="1" t="s">
        <v>652</v>
      </c>
      <c r="AU236" s="1">
        <v>2016.0</v>
      </c>
      <c r="AV236" s="1">
        <v>39.0</v>
      </c>
      <c r="AW236" s="1">
        <v>18.0</v>
      </c>
      <c r="AX236" s="1" t="s">
        <v>74</v>
      </c>
      <c r="AY236" s="1" t="s">
        <v>74</v>
      </c>
      <c r="AZ236" s="1" t="s">
        <v>74</v>
      </c>
      <c r="BA236" s="1" t="s">
        <v>74</v>
      </c>
      <c r="BB236" s="1">
        <v>5557.0</v>
      </c>
      <c r="BC236" s="1">
        <v>5569.0</v>
      </c>
      <c r="BD236" s="1" t="s">
        <v>74</v>
      </c>
      <c r="BE236" s="1" t="s">
        <v>2487</v>
      </c>
      <c r="BF236" s="2" t="str">
        <f>HYPERLINK("http://dx.doi.org/10.1002/mma.3942","http://dx.doi.org/10.1002/mma.3942")</f>
        <v>http://dx.doi.org/10.1002/mma.3942</v>
      </c>
      <c r="BG236" s="1" t="s">
        <v>74</v>
      </c>
      <c r="BH236" s="1" t="s">
        <v>74</v>
      </c>
      <c r="BI236" s="1" t="s">
        <v>74</v>
      </c>
      <c r="BJ236" s="1" t="s">
        <v>74</v>
      </c>
      <c r="BK236" s="1" t="s">
        <v>74</v>
      </c>
      <c r="BL236" s="1" t="s">
        <v>74</v>
      </c>
      <c r="BM236" s="1" t="s">
        <v>74</v>
      </c>
      <c r="BN236" s="1" t="s">
        <v>74</v>
      </c>
      <c r="BO236" s="1" t="s">
        <v>74</v>
      </c>
      <c r="BP236" s="1" t="s">
        <v>74</v>
      </c>
      <c r="BQ236" s="1" t="s">
        <v>74</v>
      </c>
      <c r="BR236" s="1" t="s">
        <v>74</v>
      </c>
      <c r="BS236" s="1" t="s">
        <v>2488</v>
      </c>
      <c r="BT236" s="1" t="str">
        <f>HYPERLINK("https%3A%2F%2Fwww.webofscience.com%2Fwos%2Fwoscc%2Ffull-record%2FWOS:000388308500034","View Full Record in Web of Science")</f>
        <v>View Full Record in Web of Science</v>
      </c>
    </row>
    <row r="237" ht="12.75" customHeight="1">
      <c r="A237" s="1" t="s">
        <v>72</v>
      </c>
      <c r="B237" s="1" t="s">
        <v>2489</v>
      </c>
      <c r="C237" s="1" t="s">
        <v>74</v>
      </c>
      <c r="D237" s="1" t="s">
        <v>74</v>
      </c>
      <c r="E237" s="1" t="s">
        <v>74</v>
      </c>
      <c r="F237" s="1" t="s">
        <v>2490</v>
      </c>
      <c r="G237" s="1" t="s">
        <v>74</v>
      </c>
      <c r="H237" s="1" t="s">
        <v>74</v>
      </c>
      <c r="I237" s="1" t="s">
        <v>2491</v>
      </c>
      <c r="J237" s="1" t="s">
        <v>2492</v>
      </c>
      <c r="K237" s="1" t="s">
        <v>74</v>
      </c>
      <c r="L237" s="1" t="s">
        <v>74</v>
      </c>
      <c r="M237" s="1" t="s">
        <v>74</v>
      </c>
      <c r="N237" s="1" t="s">
        <v>74</v>
      </c>
      <c r="O237" s="1" t="s">
        <v>74</v>
      </c>
      <c r="P237" s="1" t="s">
        <v>74</v>
      </c>
      <c r="Q237" s="1" t="s">
        <v>74</v>
      </c>
      <c r="R237" s="1" t="s">
        <v>74</v>
      </c>
      <c r="S237" s="1" t="s">
        <v>74</v>
      </c>
      <c r="T237" s="1" t="s">
        <v>74</v>
      </c>
      <c r="U237" s="1" t="s">
        <v>74</v>
      </c>
      <c r="V237" s="1" t="s">
        <v>2493</v>
      </c>
      <c r="W237" s="1" t="s">
        <v>74</v>
      </c>
      <c r="X237" s="1" t="s">
        <v>74</v>
      </c>
      <c r="Y237" s="1" t="s">
        <v>74</v>
      </c>
      <c r="Z237" s="1" t="s">
        <v>74</v>
      </c>
      <c r="AA237" s="1" t="s">
        <v>74</v>
      </c>
      <c r="AB237" s="1" t="s">
        <v>2494</v>
      </c>
      <c r="AC237" s="1" t="s">
        <v>74</v>
      </c>
      <c r="AD237" s="1" t="s">
        <v>74</v>
      </c>
      <c r="AE237" s="1" t="s">
        <v>74</v>
      </c>
      <c r="AF237" s="1" t="s">
        <v>74</v>
      </c>
      <c r="AG237" s="1" t="s">
        <v>74</v>
      </c>
      <c r="AH237" s="1" t="s">
        <v>74</v>
      </c>
      <c r="AI237" s="1" t="s">
        <v>74</v>
      </c>
      <c r="AJ237" s="1" t="s">
        <v>74</v>
      </c>
      <c r="AK237" s="1" t="s">
        <v>74</v>
      </c>
      <c r="AL237" s="1" t="s">
        <v>74</v>
      </c>
      <c r="AM237" s="1" t="s">
        <v>74</v>
      </c>
      <c r="AN237" s="1" t="s">
        <v>74</v>
      </c>
      <c r="AO237" s="1" t="s">
        <v>2495</v>
      </c>
      <c r="AP237" s="1" t="s">
        <v>2496</v>
      </c>
      <c r="AQ237" s="1" t="s">
        <v>74</v>
      </c>
      <c r="AR237" s="1" t="s">
        <v>74</v>
      </c>
      <c r="AS237" s="1" t="s">
        <v>74</v>
      </c>
      <c r="AT237" s="1" t="s">
        <v>652</v>
      </c>
      <c r="AU237" s="1">
        <v>2016.0</v>
      </c>
      <c r="AV237" s="1">
        <v>36.0</v>
      </c>
      <c r="AW237" s="1" t="s">
        <v>74</v>
      </c>
      <c r="AX237" s="1">
        <v>8.0</v>
      </c>
      <c r="AY237" s="1" t="s">
        <v>74</v>
      </c>
      <c r="AZ237" s="1" t="s">
        <v>74</v>
      </c>
      <c r="BA237" s="1" t="s">
        <v>74</v>
      </c>
      <c r="BB237" s="1">
        <v>2419.0</v>
      </c>
      <c r="BC237" s="1">
        <v>2440.0</v>
      </c>
      <c r="BD237" s="1" t="s">
        <v>74</v>
      </c>
      <c r="BE237" s="1" t="s">
        <v>2497</v>
      </c>
      <c r="BF237" s="2" t="str">
        <f>HYPERLINK("http://dx.doi.org/10.1017/etds.2015.26","http://dx.doi.org/10.1017/etds.2015.26")</f>
        <v>http://dx.doi.org/10.1017/etds.2015.26</v>
      </c>
      <c r="BG237" s="1" t="s">
        <v>74</v>
      </c>
      <c r="BH237" s="1" t="s">
        <v>74</v>
      </c>
      <c r="BI237" s="1" t="s">
        <v>74</v>
      </c>
      <c r="BJ237" s="1" t="s">
        <v>74</v>
      </c>
      <c r="BK237" s="1" t="s">
        <v>74</v>
      </c>
      <c r="BL237" s="1" t="s">
        <v>74</v>
      </c>
      <c r="BM237" s="1" t="s">
        <v>74</v>
      </c>
      <c r="BN237" s="1" t="s">
        <v>74</v>
      </c>
      <c r="BO237" s="1" t="s">
        <v>74</v>
      </c>
      <c r="BP237" s="1" t="s">
        <v>74</v>
      </c>
      <c r="BQ237" s="1" t="s">
        <v>74</v>
      </c>
      <c r="BR237" s="1" t="s">
        <v>74</v>
      </c>
      <c r="BS237" s="1" t="s">
        <v>2498</v>
      </c>
      <c r="BT237" s="1" t="str">
        <f>HYPERLINK("https%3A%2F%2Fwww.webofscience.com%2Fwos%2Fwoscc%2Ffull-record%2FWOS:000387858800004","View Full Record in Web of Science")</f>
        <v>View Full Record in Web of Science</v>
      </c>
    </row>
    <row r="238" ht="12.75" customHeight="1">
      <c r="A238" s="1" t="s">
        <v>72</v>
      </c>
      <c r="B238" s="1" t="s">
        <v>2499</v>
      </c>
      <c r="C238" s="1" t="s">
        <v>74</v>
      </c>
      <c r="D238" s="1" t="s">
        <v>74</v>
      </c>
      <c r="E238" s="1" t="s">
        <v>74</v>
      </c>
      <c r="F238" s="1" t="s">
        <v>2500</v>
      </c>
      <c r="G238" s="1" t="s">
        <v>74</v>
      </c>
      <c r="H238" s="1" t="s">
        <v>74</v>
      </c>
      <c r="I238" s="1" t="s">
        <v>2501</v>
      </c>
      <c r="J238" s="1" t="s">
        <v>2088</v>
      </c>
      <c r="K238" s="1" t="s">
        <v>74</v>
      </c>
      <c r="L238" s="1" t="s">
        <v>74</v>
      </c>
      <c r="M238" s="1" t="s">
        <v>74</v>
      </c>
      <c r="N238" s="1" t="s">
        <v>74</v>
      </c>
      <c r="O238" s="1" t="s">
        <v>74</v>
      </c>
      <c r="P238" s="1" t="s">
        <v>74</v>
      </c>
      <c r="Q238" s="1" t="s">
        <v>74</v>
      </c>
      <c r="R238" s="1" t="s">
        <v>74</v>
      </c>
      <c r="S238" s="1" t="s">
        <v>74</v>
      </c>
      <c r="T238" s="1" t="s">
        <v>74</v>
      </c>
      <c r="U238" s="1" t="s">
        <v>74</v>
      </c>
      <c r="V238" s="1" t="s">
        <v>2502</v>
      </c>
      <c r="W238" s="1" t="s">
        <v>74</v>
      </c>
      <c r="X238" s="1" t="s">
        <v>74</v>
      </c>
      <c r="Y238" s="1" t="s">
        <v>74</v>
      </c>
      <c r="Z238" s="1" t="s">
        <v>74</v>
      </c>
      <c r="AA238" s="1" t="s">
        <v>2503</v>
      </c>
      <c r="AB238" s="1" t="s">
        <v>2504</v>
      </c>
      <c r="AC238" s="1" t="s">
        <v>74</v>
      </c>
      <c r="AD238" s="1" t="s">
        <v>74</v>
      </c>
      <c r="AE238" s="1" t="s">
        <v>74</v>
      </c>
      <c r="AF238" s="1" t="s">
        <v>74</v>
      </c>
      <c r="AG238" s="1" t="s">
        <v>74</v>
      </c>
      <c r="AH238" s="1" t="s">
        <v>74</v>
      </c>
      <c r="AI238" s="1" t="s">
        <v>74</v>
      </c>
      <c r="AJ238" s="1" t="s">
        <v>74</v>
      </c>
      <c r="AK238" s="1" t="s">
        <v>74</v>
      </c>
      <c r="AL238" s="1" t="s">
        <v>74</v>
      </c>
      <c r="AM238" s="1" t="s">
        <v>74</v>
      </c>
      <c r="AN238" s="1" t="s">
        <v>74</v>
      </c>
      <c r="AO238" s="1" t="s">
        <v>2092</v>
      </c>
      <c r="AP238" s="1" t="s">
        <v>2093</v>
      </c>
      <c r="AQ238" s="1" t="s">
        <v>74</v>
      </c>
      <c r="AR238" s="1" t="s">
        <v>74</v>
      </c>
      <c r="AS238" s="1" t="s">
        <v>74</v>
      </c>
      <c r="AT238" s="1" t="s">
        <v>2505</v>
      </c>
      <c r="AU238" s="1">
        <v>2016.0</v>
      </c>
      <c r="AV238" s="1">
        <v>18.0</v>
      </c>
      <c r="AW238" s="1">
        <v>30.0</v>
      </c>
      <c r="AX238" s="1" t="s">
        <v>74</v>
      </c>
      <c r="AY238" s="1" t="s">
        <v>74</v>
      </c>
      <c r="AZ238" s="1" t="s">
        <v>74</v>
      </c>
      <c r="BA238" s="1" t="s">
        <v>74</v>
      </c>
      <c r="BB238" s="1">
        <v>20266.0</v>
      </c>
      <c r="BC238" s="1">
        <v>20269.0</v>
      </c>
      <c r="BD238" s="1" t="s">
        <v>74</v>
      </c>
      <c r="BE238" s="1" t="s">
        <v>2506</v>
      </c>
      <c r="BF238" s="2" t="str">
        <f>HYPERLINK("http://dx.doi.org/10.1039/c6cp03875a","http://dx.doi.org/10.1039/c6cp03875a")</f>
        <v>http://dx.doi.org/10.1039/c6cp03875a</v>
      </c>
      <c r="BG238" s="1" t="s">
        <v>74</v>
      </c>
      <c r="BH238" s="1" t="s">
        <v>74</v>
      </c>
      <c r="BI238" s="1" t="s">
        <v>74</v>
      </c>
      <c r="BJ238" s="1" t="s">
        <v>74</v>
      </c>
      <c r="BK238" s="1" t="s">
        <v>74</v>
      </c>
      <c r="BL238" s="1" t="s">
        <v>74</v>
      </c>
      <c r="BM238" s="1" t="s">
        <v>74</v>
      </c>
      <c r="BN238" s="1">
        <v>2.7405705E7</v>
      </c>
      <c r="BO238" s="1" t="s">
        <v>74</v>
      </c>
      <c r="BP238" s="1" t="s">
        <v>74</v>
      </c>
      <c r="BQ238" s="1" t="s">
        <v>74</v>
      </c>
      <c r="BR238" s="1" t="s">
        <v>74</v>
      </c>
      <c r="BS238" s="1" t="s">
        <v>2507</v>
      </c>
      <c r="BT238" s="1" t="str">
        <f>HYPERLINK("https%3A%2F%2Fwww.webofscience.com%2Fwos%2Fwoscc%2Ffull-record%2FWOS:000381428600028","View Full Record in Web of Science")</f>
        <v>View Full Record in Web of Science</v>
      </c>
    </row>
    <row r="239" ht="12.75" customHeight="1">
      <c r="A239" s="1" t="s">
        <v>72</v>
      </c>
      <c r="B239" s="1" t="s">
        <v>2508</v>
      </c>
      <c r="C239" s="1" t="s">
        <v>74</v>
      </c>
      <c r="D239" s="1" t="s">
        <v>74</v>
      </c>
      <c r="E239" s="1" t="s">
        <v>74</v>
      </c>
      <c r="F239" s="1" t="s">
        <v>2509</v>
      </c>
      <c r="G239" s="1" t="s">
        <v>74</v>
      </c>
      <c r="H239" s="1" t="s">
        <v>74</v>
      </c>
      <c r="I239" s="1" t="s">
        <v>2510</v>
      </c>
      <c r="J239" s="1" t="s">
        <v>2511</v>
      </c>
      <c r="K239" s="1" t="s">
        <v>74</v>
      </c>
      <c r="L239" s="1" t="s">
        <v>74</v>
      </c>
      <c r="M239" s="1" t="s">
        <v>74</v>
      </c>
      <c r="N239" s="1" t="s">
        <v>74</v>
      </c>
      <c r="O239" s="1" t="s">
        <v>74</v>
      </c>
      <c r="P239" s="1" t="s">
        <v>74</v>
      </c>
      <c r="Q239" s="1" t="s">
        <v>74</v>
      </c>
      <c r="R239" s="1" t="s">
        <v>74</v>
      </c>
      <c r="S239" s="1" t="s">
        <v>74</v>
      </c>
      <c r="T239" s="1" t="s">
        <v>74</v>
      </c>
      <c r="U239" s="1" t="s">
        <v>74</v>
      </c>
      <c r="V239" s="1" t="s">
        <v>2512</v>
      </c>
      <c r="W239" s="1" t="s">
        <v>74</v>
      </c>
      <c r="X239" s="1" t="s">
        <v>74</v>
      </c>
      <c r="Y239" s="1" t="s">
        <v>74</v>
      </c>
      <c r="Z239" s="1" t="s">
        <v>74</v>
      </c>
      <c r="AA239" s="1" t="s">
        <v>2513</v>
      </c>
      <c r="AB239" s="1" t="s">
        <v>2514</v>
      </c>
      <c r="AC239" s="1" t="s">
        <v>74</v>
      </c>
      <c r="AD239" s="1" t="s">
        <v>74</v>
      </c>
      <c r="AE239" s="1" t="s">
        <v>74</v>
      </c>
      <c r="AF239" s="1" t="s">
        <v>74</v>
      </c>
      <c r="AG239" s="1" t="s">
        <v>74</v>
      </c>
      <c r="AH239" s="1" t="s">
        <v>74</v>
      </c>
      <c r="AI239" s="1" t="s">
        <v>74</v>
      </c>
      <c r="AJ239" s="1" t="s">
        <v>74</v>
      </c>
      <c r="AK239" s="1" t="s">
        <v>74</v>
      </c>
      <c r="AL239" s="1" t="s">
        <v>74</v>
      </c>
      <c r="AM239" s="1" t="s">
        <v>74</v>
      </c>
      <c r="AN239" s="1" t="s">
        <v>74</v>
      </c>
      <c r="AO239" s="1" t="s">
        <v>2515</v>
      </c>
      <c r="AP239" s="1" t="s">
        <v>2516</v>
      </c>
      <c r="AQ239" s="1" t="s">
        <v>74</v>
      </c>
      <c r="AR239" s="1" t="s">
        <v>74</v>
      </c>
      <c r="AS239" s="1" t="s">
        <v>74</v>
      </c>
      <c r="AT239" s="1" t="s">
        <v>74</v>
      </c>
      <c r="AU239" s="1">
        <v>2016.0</v>
      </c>
      <c r="AV239" s="1">
        <v>21.0</v>
      </c>
      <c r="AW239" s="1">
        <v>4.0</v>
      </c>
      <c r="AX239" s="1" t="s">
        <v>74</v>
      </c>
      <c r="AY239" s="1" t="s">
        <v>74</v>
      </c>
      <c r="AZ239" s="1" t="s">
        <v>74</v>
      </c>
      <c r="BA239" s="1" t="s">
        <v>74</v>
      </c>
      <c r="BB239" s="1">
        <v>303.0</v>
      </c>
      <c r="BC239" s="1">
        <v>314.0</v>
      </c>
      <c r="BD239" s="1" t="s">
        <v>74</v>
      </c>
      <c r="BE239" s="1" t="s">
        <v>2517</v>
      </c>
      <c r="BF239" s="2" t="str">
        <f>HYPERLINK("http://dx.doi.org/10.1080/15325024.2015.1108788","http://dx.doi.org/10.1080/15325024.2015.1108788")</f>
        <v>http://dx.doi.org/10.1080/15325024.2015.1108788</v>
      </c>
      <c r="BG239" s="1" t="s">
        <v>74</v>
      </c>
      <c r="BH239" s="1" t="s">
        <v>74</v>
      </c>
      <c r="BI239" s="1" t="s">
        <v>74</v>
      </c>
      <c r="BJ239" s="1" t="s">
        <v>74</v>
      </c>
      <c r="BK239" s="1" t="s">
        <v>74</v>
      </c>
      <c r="BL239" s="1" t="s">
        <v>74</v>
      </c>
      <c r="BM239" s="1" t="s">
        <v>74</v>
      </c>
      <c r="BN239" s="1" t="s">
        <v>74</v>
      </c>
      <c r="BO239" s="1" t="s">
        <v>74</v>
      </c>
      <c r="BP239" s="1" t="s">
        <v>74</v>
      </c>
      <c r="BQ239" s="1" t="s">
        <v>74</v>
      </c>
      <c r="BR239" s="1" t="s">
        <v>74</v>
      </c>
      <c r="BS239" s="1" t="s">
        <v>2518</v>
      </c>
      <c r="BT239" s="1" t="str">
        <f>HYPERLINK("https%3A%2F%2Fwww.webofscience.com%2Fwos%2Fwoscc%2Ffull-record%2FWOS:000378046900006","View Full Record in Web of Science")</f>
        <v>View Full Record in Web of Science</v>
      </c>
    </row>
    <row r="240" ht="12.75" customHeight="1">
      <c r="A240" s="1" t="s">
        <v>72</v>
      </c>
      <c r="B240" s="1" t="s">
        <v>2519</v>
      </c>
      <c r="C240" s="1" t="s">
        <v>74</v>
      </c>
      <c r="D240" s="1" t="s">
        <v>74</v>
      </c>
      <c r="E240" s="1" t="s">
        <v>74</v>
      </c>
      <c r="F240" s="1" t="s">
        <v>2520</v>
      </c>
      <c r="G240" s="1" t="s">
        <v>74</v>
      </c>
      <c r="H240" s="1" t="s">
        <v>74</v>
      </c>
      <c r="I240" s="1" t="s">
        <v>2521</v>
      </c>
      <c r="J240" s="1" t="s">
        <v>2522</v>
      </c>
      <c r="K240" s="1" t="s">
        <v>74</v>
      </c>
      <c r="L240" s="1" t="s">
        <v>74</v>
      </c>
      <c r="M240" s="1" t="s">
        <v>74</v>
      </c>
      <c r="N240" s="1" t="s">
        <v>74</v>
      </c>
      <c r="O240" s="1" t="s">
        <v>74</v>
      </c>
      <c r="P240" s="1" t="s">
        <v>74</v>
      </c>
      <c r="Q240" s="1" t="s">
        <v>74</v>
      </c>
      <c r="R240" s="1" t="s">
        <v>74</v>
      </c>
      <c r="S240" s="1" t="s">
        <v>74</v>
      </c>
      <c r="T240" s="1" t="s">
        <v>74</v>
      </c>
      <c r="U240" s="1" t="s">
        <v>74</v>
      </c>
      <c r="V240" s="1" t="s">
        <v>74</v>
      </c>
      <c r="W240" s="1" t="s">
        <v>74</v>
      </c>
      <c r="X240" s="1" t="s">
        <v>74</v>
      </c>
      <c r="Y240" s="1" t="s">
        <v>74</v>
      </c>
      <c r="Z240" s="1" t="s">
        <v>74</v>
      </c>
      <c r="AA240" s="1" t="s">
        <v>2523</v>
      </c>
      <c r="AB240" s="1" t="s">
        <v>74</v>
      </c>
      <c r="AC240" s="1" t="s">
        <v>74</v>
      </c>
      <c r="AD240" s="1" t="s">
        <v>74</v>
      </c>
      <c r="AE240" s="1" t="s">
        <v>74</v>
      </c>
      <c r="AF240" s="1" t="s">
        <v>74</v>
      </c>
      <c r="AG240" s="1" t="s">
        <v>74</v>
      </c>
      <c r="AH240" s="1" t="s">
        <v>74</v>
      </c>
      <c r="AI240" s="1" t="s">
        <v>74</v>
      </c>
      <c r="AJ240" s="1" t="s">
        <v>74</v>
      </c>
      <c r="AK240" s="1" t="s">
        <v>74</v>
      </c>
      <c r="AL240" s="1" t="s">
        <v>74</v>
      </c>
      <c r="AM240" s="1" t="s">
        <v>74</v>
      </c>
      <c r="AN240" s="1" t="s">
        <v>74</v>
      </c>
      <c r="AO240" s="1" t="s">
        <v>2524</v>
      </c>
      <c r="AP240" s="1" t="s">
        <v>74</v>
      </c>
      <c r="AQ240" s="1" t="s">
        <v>74</v>
      </c>
      <c r="AR240" s="1" t="s">
        <v>74</v>
      </c>
      <c r="AS240" s="1" t="s">
        <v>74</v>
      </c>
      <c r="AT240" s="1" t="s">
        <v>1101</v>
      </c>
      <c r="AU240" s="1">
        <v>2015.0</v>
      </c>
      <c r="AV240" s="1">
        <v>250.0</v>
      </c>
      <c r="AW240" s="1" t="s">
        <v>74</v>
      </c>
      <c r="AX240" s="1" t="s">
        <v>74</v>
      </c>
      <c r="AY240" s="1" t="s">
        <v>74</v>
      </c>
      <c r="AZ240" s="1" t="s">
        <v>74</v>
      </c>
      <c r="BA240" s="1">
        <v>302.0</v>
      </c>
      <c r="BB240" s="1" t="s">
        <v>74</v>
      </c>
      <c r="BC240" s="1" t="s">
        <v>74</v>
      </c>
      <c r="BD240" s="1" t="s">
        <v>74</v>
      </c>
      <c r="BE240" s="1" t="s">
        <v>74</v>
      </c>
      <c r="BF240" s="1" t="s">
        <v>74</v>
      </c>
      <c r="BG240" s="1" t="s">
        <v>74</v>
      </c>
      <c r="BH240" s="1" t="s">
        <v>74</v>
      </c>
      <c r="BI240" s="1" t="s">
        <v>74</v>
      </c>
      <c r="BJ240" s="1" t="s">
        <v>74</v>
      </c>
      <c r="BK240" s="1" t="s">
        <v>74</v>
      </c>
      <c r="BL240" s="1" t="s">
        <v>74</v>
      </c>
      <c r="BM240" s="1" t="s">
        <v>74</v>
      </c>
      <c r="BN240" s="1" t="s">
        <v>74</v>
      </c>
      <c r="BO240" s="1" t="s">
        <v>74</v>
      </c>
      <c r="BP240" s="1" t="s">
        <v>74</v>
      </c>
      <c r="BQ240" s="1" t="s">
        <v>74</v>
      </c>
      <c r="BR240" s="1" t="s">
        <v>74</v>
      </c>
      <c r="BS240" s="1" t="s">
        <v>2525</v>
      </c>
      <c r="BT240" s="1" t="str">
        <f>HYPERLINK("https%3A%2F%2Fwww.webofscience.com%2Fwos%2Fwoscc%2Ffull-record%2FWOS:000432475502002","View Full Record in Web of Science")</f>
        <v>View Full Record in Web of Science</v>
      </c>
    </row>
    <row r="241" ht="12.75" customHeight="1">
      <c r="A241" s="1" t="s">
        <v>72</v>
      </c>
      <c r="B241" s="1" t="s">
        <v>2526</v>
      </c>
      <c r="C241" s="1" t="s">
        <v>74</v>
      </c>
      <c r="D241" s="1" t="s">
        <v>74</v>
      </c>
      <c r="E241" s="1" t="s">
        <v>74</v>
      </c>
      <c r="F241" s="1" t="s">
        <v>2527</v>
      </c>
      <c r="G241" s="1" t="s">
        <v>74</v>
      </c>
      <c r="H241" s="1" t="s">
        <v>74</v>
      </c>
      <c r="I241" s="1" t="s">
        <v>2528</v>
      </c>
      <c r="J241" s="1" t="s">
        <v>2529</v>
      </c>
      <c r="K241" s="1" t="s">
        <v>74</v>
      </c>
      <c r="L241" s="1" t="s">
        <v>74</v>
      </c>
      <c r="M241" s="1" t="s">
        <v>74</v>
      </c>
      <c r="N241" s="1" t="s">
        <v>74</v>
      </c>
      <c r="O241" s="1" t="s">
        <v>74</v>
      </c>
      <c r="P241" s="1" t="s">
        <v>74</v>
      </c>
      <c r="Q241" s="1" t="s">
        <v>74</v>
      </c>
      <c r="R241" s="1" t="s">
        <v>74</v>
      </c>
      <c r="S241" s="1" t="s">
        <v>74</v>
      </c>
      <c r="T241" s="1" t="s">
        <v>74</v>
      </c>
      <c r="U241" s="1" t="s">
        <v>74</v>
      </c>
      <c r="V241" s="1" t="s">
        <v>2530</v>
      </c>
      <c r="W241" s="1" t="s">
        <v>74</v>
      </c>
      <c r="X241" s="1" t="s">
        <v>74</v>
      </c>
      <c r="Y241" s="1" t="s">
        <v>74</v>
      </c>
      <c r="Z241" s="1" t="s">
        <v>74</v>
      </c>
      <c r="AA241" s="1" t="s">
        <v>2531</v>
      </c>
      <c r="AB241" s="1" t="s">
        <v>74</v>
      </c>
      <c r="AC241" s="1" t="s">
        <v>74</v>
      </c>
      <c r="AD241" s="1" t="s">
        <v>74</v>
      </c>
      <c r="AE241" s="1" t="s">
        <v>74</v>
      </c>
      <c r="AF241" s="1" t="s">
        <v>74</v>
      </c>
      <c r="AG241" s="1" t="s">
        <v>74</v>
      </c>
      <c r="AH241" s="1" t="s">
        <v>74</v>
      </c>
      <c r="AI241" s="1" t="s">
        <v>74</v>
      </c>
      <c r="AJ241" s="1" t="s">
        <v>74</v>
      </c>
      <c r="AK241" s="1" t="s">
        <v>74</v>
      </c>
      <c r="AL241" s="1" t="s">
        <v>74</v>
      </c>
      <c r="AM241" s="1" t="s">
        <v>74</v>
      </c>
      <c r="AN241" s="1" t="s">
        <v>74</v>
      </c>
      <c r="AO241" s="1" t="s">
        <v>2532</v>
      </c>
      <c r="AP241" s="1" t="s">
        <v>2533</v>
      </c>
      <c r="AQ241" s="1" t="s">
        <v>74</v>
      </c>
      <c r="AR241" s="1" t="s">
        <v>74</v>
      </c>
      <c r="AS241" s="1" t="s">
        <v>74</v>
      </c>
      <c r="AT241" s="1" t="s">
        <v>350</v>
      </c>
      <c r="AU241" s="1">
        <v>2015.0</v>
      </c>
      <c r="AV241" s="1" t="s">
        <v>2534</v>
      </c>
      <c r="AW241" s="1" t="s">
        <v>74</v>
      </c>
      <c r="AX241" s="1" t="s">
        <v>74</v>
      </c>
      <c r="AY241" s="1" t="s">
        <v>74</v>
      </c>
      <c r="AZ241" s="1" t="s">
        <v>74</v>
      </c>
      <c r="BA241" s="1" t="s">
        <v>74</v>
      </c>
      <c r="BB241" s="1">
        <v>68.0</v>
      </c>
      <c r="BC241" s="1">
        <v>88.0</v>
      </c>
      <c r="BD241" s="1" t="s">
        <v>74</v>
      </c>
      <c r="BE241" s="1" t="s">
        <v>2535</v>
      </c>
      <c r="BF241" s="2" t="str">
        <f>HYPERLINK("http://dx.doi.org/10.1016/j.na.2015.03.024","http://dx.doi.org/10.1016/j.na.2015.03.024")</f>
        <v>http://dx.doi.org/10.1016/j.na.2015.03.024</v>
      </c>
      <c r="BG241" s="1" t="s">
        <v>74</v>
      </c>
      <c r="BH241" s="1" t="s">
        <v>74</v>
      </c>
      <c r="BI241" s="1" t="s">
        <v>74</v>
      </c>
      <c r="BJ241" s="1" t="s">
        <v>74</v>
      </c>
      <c r="BK241" s="1" t="s">
        <v>74</v>
      </c>
      <c r="BL241" s="1" t="s">
        <v>74</v>
      </c>
      <c r="BM241" s="1" t="s">
        <v>74</v>
      </c>
      <c r="BN241" s="1" t="s">
        <v>74</v>
      </c>
      <c r="BO241" s="1" t="s">
        <v>74</v>
      </c>
      <c r="BP241" s="1" t="s">
        <v>74</v>
      </c>
      <c r="BQ241" s="1" t="s">
        <v>74</v>
      </c>
      <c r="BR241" s="1" t="s">
        <v>74</v>
      </c>
      <c r="BS241" s="1" t="s">
        <v>2536</v>
      </c>
      <c r="BT241" s="1" t="str">
        <f>HYPERLINK("https%3A%2F%2Fwww.webofscience.com%2Fwos%2Fwoscc%2Ffull-record%2FWOS:000355737200004","View Full Record in Web of Science")</f>
        <v>View Full Record in Web of Science</v>
      </c>
    </row>
    <row r="242" ht="12.75" customHeight="1">
      <c r="A242" s="1" t="s">
        <v>182</v>
      </c>
      <c r="B242" s="1" t="s">
        <v>2537</v>
      </c>
      <c r="C242" s="1" t="s">
        <v>74</v>
      </c>
      <c r="D242" s="1" t="s">
        <v>2538</v>
      </c>
      <c r="E242" s="1" t="s">
        <v>74</v>
      </c>
      <c r="F242" s="1" t="s">
        <v>2539</v>
      </c>
      <c r="G242" s="1" t="s">
        <v>74</v>
      </c>
      <c r="H242" s="1" t="s">
        <v>74</v>
      </c>
      <c r="I242" s="1" t="s">
        <v>2540</v>
      </c>
      <c r="J242" s="1" t="s">
        <v>2541</v>
      </c>
      <c r="K242" s="1" t="s">
        <v>1167</v>
      </c>
      <c r="L242" s="1" t="s">
        <v>74</v>
      </c>
      <c r="M242" s="1" t="s">
        <v>74</v>
      </c>
      <c r="N242" s="1" t="s">
        <v>74</v>
      </c>
      <c r="O242" s="1" t="s">
        <v>2542</v>
      </c>
      <c r="P242" s="1" t="s">
        <v>2543</v>
      </c>
      <c r="Q242" s="1" t="s">
        <v>2544</v>
      </c>
      <c r="R242" s="1" t="s">
        <v>2545</v>
      </c>
      <c r="S242" s="1" t="s">
        <v>74</v>
      </c>
      <c r="T242" s="1" t="s">
        <v>74</v>
      </c>
      <c r="U242" s="1" t="s">
        <v>74</v>
      </c>
      <c r="V242" s="1" t="s">
        <v>2546</v>
      </c>
      <c r="W242" s="1" t="s">
        <v>74</v>
      </c>
      <c r="X242" s="1" t="s">
        <v>74</v>
      </c>
      <c r="Y242" s="1" t="s">
        <v>74</v>
      </c>
      <c r="Z242" s="1" t="s">
        <v>74</v>
      </c>
      <c r="AA242" s="1" t="s">
        <v>2547</v>
      </c>
      <c r="AB242" s="1" t="s">
        <v>2548</v>
      </c>
      <c r="AC242" s="1" t="s">
        <v>74</v>
      </c>
      <c r="AD242" s="1" t="s">
        <v>74</v>
      </c>
      <c r="AE242" s="1" t="s">
        <v>74</v>
      </c>
      <c r="AF242" s="1" t="s">
        <v>74</v>
      </c>
      <c r="AG242" s="1" t="s">
        <v>74</v>
      </c>
      <c r="AH242" s="1" t="s">
        <v>74</v>
      </c>
      <c r="AI242" s="1" t="s">
        <v>74</v>
      </c>
      <c r="AJ242" s="1" t="s">
        <v>74</v>
      </c>
      <c r="AK242" s="1" t="s">
        <v>74</v>
      </c>
      <c r="AL242" s="1" t="s">
        <v>74</v>
      </c>
      <c r="AM242" s="1" t="s">
        <v>74</v>
      </c>
      <c r="AN242" s="1" t="s">
        <v>74</v>
      </c>
      <c r="AO242" s="1" t="s">
        <v>1175</v>
      </c>
      <c r="AP242" s="1" t="s">
        <v>1176</v>
      </c>
      <c r="AQ242" s="1" t="s">
        <v>2549</v>
      </c>
      <c r="AR242" s="1" t="s">
        <v>74</v>
      </c>
      <c r="AS242" s="1" t="s">
        <v>74</v>
      </c>
      <c r="AT242" s="1" t="s">
        <v>74</v>
      </c>
      <c r="AU242" s="1">
        <v>2015.0</v>
      </c>
      <c r="AV242" s="1">
        <v>8939.0</v>
      </c>
      <c r="AW242" s="1" t="s">
        <v>74</v>
      </c>
      <c r="AX242" s="1" t="s">
        <v>74</v>
      </c>
      <c r="AY242" s="1" t="s">
        <v>74</v>
      </c>
      <c r="AZ242" s="1" t="s">
        <v>74</v>
      </c>
      <c r="BA242" s="1" t="s">
        <v>74</v>
      </c>
      <c r="BB242" s="1">
        <v>486.0</v>
      </c>
      <c r="BC242" s="1">
        <v>497.0</v>
      </c>
      <c r="BD242" s="1" t="s">
        <v>74</v>
      </c>
      <c r="BE242" s="1" t="s">
        <v>74</v>
      </c>
      <c r="BF242" s="1" t="s">
        <v>74</v>
      </c>
      <c r="BG242" s="1" t="s">
        <v>74</v>
      </c>
      <c r="BH242" s="1" t="s">
        <v>74</v>
      </c>
      <c r="BI242" s="1" t="s">
        <v>74</v>
      </c>
      <c r="BJ242" s="1" t="s">
        <v>74</v>
      </c>
      <c r="BK242" s="1" t="s">
        <v>74</v>
      </c>
      <c r="BL242" s="1" t="s">
        <v>74</v>
      </c>
      <c r="BM242" s="1" t="s">
        <v>74</v>
      </c>
      <c r="BN242" s="1" t="s">
        <v>74</v>
      </c>
      <c r="BO242" s="1" t="s">
        <v>74</v>
      </c>
      <c r="BP242" s="1" t="s">
        <v>74</v>
      </c>
      <c r="BQ242" s="1" t="s">
        <v>74</v>
      </c>
      <c r="BR242" s="1" t="s">
        <v>74</v>
      </c>
      <c r="BS242" s="1" t="s">
        <v>2550</v>
      </c>
      <c r="BT242" s="1" t="str">
        <f>HYPERLINK("https%3A%2F%2Fwww.webofscience.com%2Fwos%2Fwoscc%2Ffull-record%2FWOS:000357679300039","View Full Record in Web of Science")</f>
        <v>View Full Record in Web of Science</v>
      </c>
    </row>
    <row r="243" ht="12.75" customHeight="1">
      <c r="A243" s="1" t="s">
        <v>72</v>
      </c>
      <c r="B243" s="1" t="s">
        <v>2551</v>
      </c>
      <c r="C243" s="1" t="s">
        <v>74</v>
      </c>
      <c r="D243" s="1" t="s">
        <v>74</v>
      </c>
      <c r="E243" s="1" t="s">
        <v>74</v>
      </c>
      <c r="F243" s="1" t="s">
        <v>2552</v>
      </c>
      <c r="G243" s="1" t="s">
        <v>74</v>
      </c>
      <c r="H243" s="1" t="s">
        <v>74</v>
      </c>
      <c r="I243" s="1" t="s">
        <v>2553</v>
      </c>
      <c r="J243" s="1" t="s">
        <v>2554</v>
      </c>
      <c r="K243" s="1" t="s">
        <v>74</v>
      </c>
      <c r="L243" s="1" t="s">
        <v>74</v>
      </c>
      <c r="M243" s="1" t="s">
        <v>74</v>
      </c>
      <c r="N243" s="1" t="s">
        <v>74</v>
      </c>
      <c r="O243" s="1" t="s">
        <v>74</v>
      </c>
      <c r="P243" s="1" t="s">
        <v>74</v>
      </c>
      <c r="Q243" s="1" t="s">
        <v>74</v>
      </c>
      <c r="R243" s="1" t="s">
        <v>74</v>
      </c>
      <c r="S243" s="1" t="s">
        <v>74</v>
      </c>
      <c r="T243" s="1" t="s">
        <v>74</v>
      </c>
      <c r="U243" s="1" t="s">
        <v>74</v>
      </c>
      <c r="V243" s="1" t="s">
        <v>2555</v>
      </c>
      <c r="W243" s="1" t="s">
        <v>74</v>
      </c>
      <c r="X243" s="1" t="s">
        <v>74</v>
      </c>
      <c r="Y243" s="1" t="s">
        <v>74</v>
      </c>
      <c r="Z243" s="1" t="s">
        <v>74</v>
      </c>
      <c r="AA243" s="1" t="s">
        <v>2556</v>
      </c>
      <c r="AB243" s="1" t="s">
        <v>2557</v>
      </c>
      <c r="AC243" s="1" t="s">
        <v>74</v>
      </c>
      <c r="AD243" s="1" t="s">
        <v>74</v>
      </c>
      <c r="AE243" s="1" t="s">
        <v>74</v>
      </c>
      <c r="AF243" s="1" t="s">
        <v>74</v>
      </c>
      <c r="AG243" s="1" t="s">
        <v>74</v>
      </c>
      <c r="AH243" s="1" t="s">
        <v>74</v>
      </c>
      <c r="AI243" s="1" t="s">
        <v>74</v>
      </c>
      <c r="AJ243" s="1" t="s">
        <v>74</v>
      </c>
      <c r="AK243" s="1" t="s">
        <v>74</v>
      </c>
      <c r="AL243" s="1" t="s">
        <v>74</v>
      </c>
      <c r="AM243" s="1" t="s">
        <v>74</v>
      </c>
      <c r="AN243" s="1" t="s">
        <v>74</v>
      </c>
      <c r="AO243" s="1" t="s">
        <v>2558</v>
      </c>
      <c r="AP243" s="1" t="s">
        <v>74</v>
      </c>
      <c r="AQ243" s="1" t="s">
        <v>74</v>
      </c>
      <c r="AR243" s="1" t="s">
        <v>74</v>
      </c>
      <c r="AS243" s="1" t="s">
        <v>74</v>
      </c>
      <c r="AT243" s="1" t="s">
        <v>652</v>
      </c>
      <c r="AU243" s="1">
        <v>2014.0</v>
      </c>
      <c r="AV243" s="1">
        <v>13.0</v>
      </c>
      <c r="AW243" s="1">
        <v>3.0</v>
      </c>
      <c r="AX243" s="1" t="s">
        <v>74</v>
      </c>
      <c r="AY243" s="1" t="s">
        <v>74</v>
      </c>
      <c r="AZ243" s="1" t="s">
        <v>74</v>
      </c>
      <c r="BA243" s="1" t="s">
        <v>74</v>
      </c>
      <c r="BB243" s="1">
        <v>749.0</v>
      </c>
      <c r="BC243" s="1">
        <v>755.0</v>
      </c>
      <c r="BD243" s="1" t="s">
        <v>74</v>
      </c>
      <c r="BE243" s="1" t="s">
        <v>74</v>
      </c>
      <c r="BF243" s="1" t="s">
        <v>74</v>
      </c>
      <c r="BG243" s="1" t="s">
        <v>74</v>
      </c>
      <c r="BH243" s="1" t="s">
        <v>74</v>
      </c>
      <c r="BI243" s="1" t="s">
        <v>74</v>
      </c>
      <c r="BJ243" s="1" t="s">
        <v>74</v>
      </c>
      <c r="BK243" s="1" t="s">
        <v>74</v>
      </c>
      <c r="BL243" s="1" t="s">
        <v>74</v>
      </c>
      <c r="BM243" s="1" t="s">
        <v>74</v>
      </c>
      <c r="BN243" s="1" t="s">
        <v>74</v>
      </c>
      <c r="BO243" s="1" t="s">
        <v>74</v>
      </c>
      <c r="BP243" s="1" t="s">
        <v>74</v>
      </c>
      <c r="BQ243" s="1" t="s">
        <v>74</v>
      </c>
      <c r="BR243" s="1" t="s">
        <v>74</v>
      </c>
      <c r="BS243" s="1" t="s">
        <v>2559</v>
      </c>
      <c r="BT243" s="1" t="str">
        <f>HYPERLINK("https%3A%2F%2Fwww.webofscience.com%2Fwos%2Fwoscc%2Ffull-record%2FWOS:000346394800009","View Full Record in Web of Science")</f>
        <v>View Full Record in Web of Science</v>
      </c>
    </row>
    <row r="244" ht="12.75" customHeight="1">
      <c r="A244" s="1" t="s">
        <v>72</v>
      </c>
      <c r="B244" s="1" t="s">
        <v>1592</v>
      </c>
      <c r="C244" s="1" t="s">
        <v>74</v>
      </c>
      <c r="D244" s="1" t="s">
        <v>74</v>
      </c>
      <c r="E244" s="1" t="s">
        <v>74</v>
      </c>
      <c r="F244" s="1" t="s">
        <v>1593</v>
      </c>
      <c r="G244" s="1" t="s">
        <v>74</v>
      </c>
      <c r="H244" s="1" t="s">
        <v>74</v>
      </c>
      <c r="I244" s="1" t="s">
        <v>2560</v>
      </c>
      <c r="J244" s="1" t="s">
        <v>2561</v>
      </c>
      <c r="K244" s="1" t="s">
        <v>74</v>
      </c>
      <c r="L244" s="1" t="s">
        <v>74</v>
      </c>
      <c r="M244" s="1" t="s">
        <v>74</v>
      </c>
      <c r="N244" s="1" t="s">
        <v>74</v>
      </c>
      <c r="O244" s="1" t="s">
        <v>74</v>
      </c>
      <c r="P244" s="1" t="s">
        <v>74</v>
      </c>
      <c r="Q244" s="1" t="s">
        <v>74</v>
      </c>
      <c r="R244" s="1" t="s">
        <v>74</v>
      </c>
      <c r="S244" s="1" t="s">
        <v>74</v>
      </c>
      <c r="T244" s="1" t="s">
        <v>74</v>
      </c>
      <c r="U244" s="1" t="s">
        <v>74</v>
      </c>
      <c r="V244" s="1" t="s">
        <v>2562</v>
      </c>
      <c r="W244" s="1" t="s">
        <v>74</v>
      </c>
      <c r="X244" s="1" t="s">
        <v>74</v>
      </c>
      <c r="Y244" s="1" t="s">
        <v>74</v>
      </c>
      <c r="Z244" s="1" t="s">
        <v>74</v>
      </c>
      <c r="AA244" s="1" t="s">
        <v>74</v>
      </c>
      <c r="AB244" s="1" t="s">
        <v>1597</v>
      </c>
      <c r="AC244" s="1" t="s">
        <v>74</v>
      </c>
      <c r="AD244" s="1" t="s">
        <v>74</v>
      </c>
      <c r="AE244" s="1" t="s">
        <v>74</v>
      </c>
      <c r="AF244" s="1" t="s">
        <v>74</v>
      </c>
      <c r="AG244" s="1" t="s">
        <v>74</v>
      </c>
      <c r="AH244" s="1" t="s">
        <v>74</v>
      </c>
      <c r="AI244" s="1" t="s">
        <v>74</v>
      </c>
      <c r="AJ244" s="1" t="s">
        <v>74</v>
      </c>
      <c r="AK244" s="1" t="s">
        <v>74</v>
      </c>
      <c r="AL244" s="1" t="s">
        <v>74</v>
      </c>
      <c r="AM244" s="1" t="s">
        <v>74</v>
      </c>
      <c r="AN244" s="1" t="s">
        <v>74</v>
      </c>
      <c r="AO244" s="1" t="s">
        <v>2563</v>
      </c>
      <c r="AP244" s="1" t="s">
        <v>2564</v>
      </c>
      <c r="AQ244" s="1" t="s">
        <v>74</v>
      </c>
      <c r="AR244" s="1" t="s">
        <v>74</v>
      </c>
      <c r="AS244" s="1" t="s">
        <v>74</v>
      </c>
      <c r="AT244" s="1" t="s">
        <v>339</v>
      </c>
      <c r="AU244" s="1">
        <v>2014.0</v>
      </c>
      <c r="AV244" s="1">
        <v>7.0</v>
      </c>
      <c r="AW244" s="1">
        <v>9.0</v>
      </c>
      <c r="AX244" s="1" t="s">
        <v>74</v>
      </c>
      <c r="AY244" s="1" t="s">
        <v>74</v>
      </c>
      <c r="AZ244" s="1" t="s">
        <v>74</v>
      </c>
      <c r="BA244" s="1" t="s">
        <v>74</v>
      </c>
      <c r="BB244" s="1">
        <v>2610.0</v>
      </c>
      <c r="BC244" s="1">
        <v>2617.0</v>
      </c>
      <c r="BD244" s="1" t="s">
        <v>74</v>
      </c>
      <c r="BE244" s="1" t="s">
        <v>2565</v>
      </c>
      <c r="BF244" s="2" t="str">
        <f>HYPERLINK("http://dx.doi.org/10.1007/s11947-014-1262-5","http://dx.doi.org/10.1007/s11947-014-1262-5")</f>
        <v>http://dx.doi.org/10.1007/s11947-014-1262-5</v>
      </c>
      <c r="BG244" s="1" t="s">
        <v>74</v>
      </c>
      <c r="BH244" s="1" t="s">
        <v>74</v>
      </c>
      <c r="BI244" s="1" t="s">
        <v>74</v>
      </c>
      <c r="BJ244" s="1" t="s">
        <v>74</v>
      </c>
      <c r="BK244" s="1" t="s">
        <v>74</v>
      </c>
      <c r="BL244" s="1" t="s">
        <v>74</v>
      </c>
      <c r="BM244" s="1" t="s">
        <v>74</v>
      </c>
      <c r="BN244" s="1" t="s">
        <v>74</v>
      </c>
      <c r="BO244" s="1" t="s">
        <v>74</v>
      </c>
      <c r="BP244" s="1" t="s">
        <v>74</v>
      </c>
      <c r="BQ244" s="1" t="s">
        <v>74</v>
      </c>
      <c r="BR244" s="1" t="s">
        <v>74</v>
      </c>
      <c r="BS244" s="1" t="s">
        <v>2566</v>
      </c>
      <c r="BT244" s="1" t="str">
        <f>HYPERLINK("https%3A%2F%2Fwww.webofscience.com%2Fwos%2Fwoscc%2Ffull-record%2FWOS:000340050400015","View Full Record in Web of Science")</f>
        <v>View Full Record in Web of Science</v>
      </c>
    </row>
    <row r="245" ht="12.75" customHeight="1">
      <c r="A245" s="1" t="s">
        <v>72</v>
      </c>
      <c r="B245" s="1" t="s">
        <v>2567</v>
      </c>
      <c r="C245" s="1" t="s">
        <v>74</v>
      </c>
      <c r="D245" s="1" t="s">
        <v>74</v>
      </c>
      <c r="E245" s="1" t="s">
        <v>74</v>
      </c>
      <c r="F245" s="1" t="s">
        <v>2568</v>
      </c>
      <c r="G245" s="1" t="s">
        <v>74</v>
      </c>
      <c r="H245" s="1" t="s">
        <v>74</v>
      </c>
      <c r="I245" s="1" t="s">
        <v>2569</v>
      </c>
      <c r="J245" s="1" t="s">
        <v>2570</v>
      </c>
      <c r="K245" s="1" t="s">
        <v>74</v>
      </c>
      <c r="L245" s="1" t="s">
        <v>74</v>
      </c>
      <c r="M245" s="1" t="s">
        <v>74</v>
      </c>
      <c r="N245" s="1" t="s">
        <v>74</v>
      </c>
      <c r="O245" s="1" t="s">
        <v>74</v>
      </c>
      <c r="P245" s="1" t="s">
        <v>74</v>
      </c>
      <c r="Q245" s="1" t="s">
        <v>74</v>
      </c>
      <c r="R245" s="1" t="s">
        <v>74</v>
      </c>
      <c r="S245" s="1" t="s">
        <v>74</v>
      </c>
      <c r="T245" s="1" t="s">
        <v>74</v>
      </c>
      <c r="U245" s="1" t="s">
        <v>74</v>
      </c>
      <c r="V245" s="1" t="s">
        <v>2571</v>
      </c>
      <c r="W245" s="1" t="s">
        <v>74</v>
      </c>
      <c r="X245" s="1" t="s">
        <v>74</v>
      </c>
      <c r="Y245" s="1" t="s">
        <v>74</v>
      </c>
      <c r="Z245" s="1" t="s">
        <v>74</v>
      </c>
      <c r="AA245" s="1" t="s">
        <v>2572</v>
      </c>
      <c r="AB245" s="1" t="s">
        <v>2573</v>
      </c>
      <c r="AC245" s="1" t="s">
        <v>74</v>
      </c>
      <c r="AD245" s="1" t="s">
        <v>74</v>
      </c>
      <c r="AE245" s="1" t="s">
        <v>74</v>
      </c>
      <c r="AF245" s="1" t="s">
        <v>74</v>
      </c>
      <c r="AG245" s="1" t="s">
        <v>74</v>
      </c>
      <c r="AH245" s="1" t="s">
        <v>74</v>
      </c>
      <c r="AI245" s="1" t="s">
        <v>74</v>
      </c>
      <c r="AJ245" s="1" t="s">
        <v>74</v>
      </c>
      <c r="AK245" s="1" t="s">
        <v>74</v>
      </c>
      <c r="AL245" s="1" t="s">
        <v>74</v>
      </c>
      <c r="AM245" s="1" t="s">
        <v>74</v>
      </c>
      <c r="AN245" s="1" t="s">
        <v>74</v>
      </c>
      <c r="AO245" s="1" t="s">
        <v>2574</v>
      </c>
      <c r="AP245" s="1" t="s">
        <v>2575</v>
      </c>
      <c r="AQ245" s="1" t="s">
        <v>74</v>
      </c>
      <c r="AR245" s="1" t="s">
        <v>74</v>
      </c>
      <c r="AS245" s="1" t="s">
        <v>74</v>
      </c>
      <c r="AT245" s="1" t="s">
        <v>444</v>
      </c>
      <c r="AU245" s="1">
        <v>2014.0</v>
      </c>
      <c r="AV245" s="1">
        <v>54.0</v>
      </c>
      <c r="AW245" s="1">
        <v>4.0</v>
      </c>
      <c r="AX245" s="1" t="s">
        <v>74</v>
      </c>
      <c r="AY245" s="1" t="s">
        <v>74</v>
      </c>
      <c r="AZ245" s="1" t="s">
        <v>74</v>
      </c>
      <c r="BA245" s="1" t="s">
        <v>74</v>
      </c>
      <c r="BB245" s="1">
        <v>393.0</v>
      </c>
      <c r="BC245" s="1">
        <v>404.0</v>
      </c>
      <c r="BD245" s="1" t="s">
        <v>74</v>
      </c>
      <c r="BE245" s="1" t="s">
        <v>2576</v>
      </c>
      <c r="BF245" s="2" t="str">
        <f>HYPERLINK("http://dx.doi.org/10.1590/S0034-759020140405","http://dx.doi.org/10.1590/S0034-759020140405")</f>
        <v>http://dx.doi.org/10.1590/S0034-759020140405</v>
      </c>
      <c r="BG245" s="1" t="s">
        <v>74</v>
      </c>
      <c r="BH245" s="1" t="s">
        <v>74</v>
      </c>
      <c r="BI245" s="1" t="s">
        <v>74</v>
      </c>
      <c r="BJ245" s="1" t="s">
        <v>74</v>
      </c>
      <c r="BK245" s="1" t="s">
        <v>74</v>
      </c>
      <c r="BL245" s="1" t="s">
        <v>74</v>
      </c>
      <c r="BM245" s="1" t="s">
        <v>74</v>
      </c>
      <c r="BN245" s="1" t="s">
        <v>74</v>
      </c>
      <c r="BO245" s="1" t="s">
        <v>74</v>
      </c>
      <c r="BP245" s="1" t="s">
        <v>74</v>
      </c>
      <c r="BQ245" s="1" t="s">
        <v>74</v>
      </c>
      <c r="BR245" s="1" t="s">
        <v>74</v>
      </c>
      <c r="BS245" s="1" t="s">
        <v>2577</v>
      </c>
      <c r="BT245" s="1" t="str">
        <f>HYPERLINK("https%3A%2F%2Fwww.webofscience.com%2Fwos%2Fwoscc%2Ffull-record%2FWOS:000339643100005","View Full Record in Web of Science")</f>
        <v>View Full Record in Web of Science</v>
      </c>
    </row>
    <row r="246" ht="12.75" customHeight="1">
      <c r="A246" s="1" t="s">
        <v>72</v>
      </c>
      <c r="B246" s="1" t="s">
        <v>2578</v>
      </c>
      <c r="C246" s="1" t="s">
        <v>74</v>
      </c>
      <c r="D246" s="1" t="s">
        <v>74</v>
      </c>
      <c r="E246" s="1" t="s">
        <v>74</v>
      </c>
      <c r="F246" s="1" t="s">
        <v>2579</v>
      </c>
      <c r="G246" s="1" t="s">
        <v>74</v>
      </c>
      <c r="H246" s="1" t="s">
        <v>74</v>
      </c>
      <c r="I246" s="1" t="s">
        <v>2580</v>
      </c>
      <c r="J246" s="1" t="s">
        <v>2581</v>
      </c>
      <c r="K246" s="1" t="s">
        <v>74</v>
      </c>
      <c r="L246" s="1" t="s">
        <v>74</v>
      </c>
      <c r="M246" s="1" t="s">
        <v>74</v>
      </c>
      <c r="N246" s="1" t="s">
        <v>74</v>
      </c>
      <c r="O246" s="1" t="s">
        <v>74</v>
      </c>
      <c r="P246" s="1" t="s">
        <v>74</v>
      </c>
      <c r="Q246" s="1" t="s">
        <v>74</v>
      </c>
      <c r="R246" s="1" t="s">
        <v>74</v>
      </c>
      <c r="S246" s="1" t="s">
        <v>74</v>
      </c>
      <c r="T246" s="1" t="s">
        <v>74</v>
      </c>
      <c r="U246" s="1" t="s">
        <v>74</v>
      </c>
      <c r="V246" s="1" t="s">
        <v>2582</v>
      </c>
      <c r="W246" s="1" t="s">
        <v>74</v>
      </c>
      <c r="X246" s="1" t="s">
        <v>74</v>
      </c>
      <c r="Y246" s="1" t="s">
        <v>74</v>
      </c>
      <c r="Z246" s="1" t="s">
        <v>74</v>
      </c>
      <c r="AA246" s="1" t="s">
        <v>2583</v>
      </c>
      <c r="AB246" s="1" t="s">
        <v>2039</v>
      </c>
      <c r="AC246" s="1" t="s">
        <v>74</v>
      </c>
      <c r="AD246" s="1" t="s">
        <v>74</v>
      </c>
      <c r="AE246" s="1" t="s">
        <v>74</v>
      </c>
      <c r="AF246" s="1" t="s">
        <v>74</v>
      </c>
      <c r="AG246" s="1" t="s">
        <v>74</v>
      </c>
      <c r="AH246" s="1" t="s">
        <v>74</v>
      </c>
      <c r="AI246" s="1" t="s">
        <v>74</v>
      </c>
      <c r="AJ246" s="1" t="s">
        <v>74</v>
      </c>
      <c r="AK246" s="1" t="s">
        <v>74</v>
      </c>
      <c r="AL246" s="1" t="s">
        <v>74</v>
      </c>
      <c r="AM246" s="1" t="s">
        <v>74</v>
      </c>
      <c r="AN246" s="1" t="s">
        <v>74</v>
      </c>
      <c r="AO246" s="1" t="s">
        <v>2584</v>
      </c>
      <c r="AP246" s="1" t="s">
        <v>2585</v>
      </c>
      <c r="AQ246" s="1" t="s">
        <v>74</v>
      </c>
      <c r="AR246" s="1" t="s">
        <v>74</v>
      </c>
      <c r="AS246" s="1" t="s">
        <v>74</v>
      </c>
      <c r="AT246" s="1" t="s">
        <v>235</v>
      </c>
      <c r="AU246" s="1">
        <v>2014.0</v>
      </c>
      <c r="AV246" s="1">
        <v>186.0</v>
      </c>
      <c r="AW246" s="1">
        <v>2.0</v>
      </c>
      <c r="AX246" s="1" t="s">
        <v>74</v>
      </c>
      <c r="AY246" s="1" t="s">
        <v>74</v>
      </c>
      <c r="AZ246" s="1" t="s">
        <v>74</v>
      </c>
      <c r="BA246" s="1" t="s">
        <v>74</v>
      </c>
      <c r="BB246" s="1">
        <v>835.0</v>
      </c>
      <c r="BC246" s="1">
        <v>843.0</v>
      </c>
      <c r="BD246" s="1" t="s">
        <v>74</v>
      </c>
      <c r="BE246" s="1" t="s">
        <v>2586</v>
      </c>
      <c r="BF246" s="2" t="str">
        <f>HYPERLINK("http://dx.doi.org/10.1007/s10661-013-3420-z","http://dx.doi.org/10.1007/s10661-013-3420-z")</f>
        <v>http://dx.doi.org/10.1007/s10661-013-3420-z</v>
      </c>
      <c r="BG246" s="1" t="s">
        <v>74</v>
      </c>
      <c r="BH246" s="1" t="s">
        <v>74</v>
      </c>
      <c r="BI246" s="1" t="s">
        <v>74</v>
      </c>
      <c r="BJ246" s="1" t="s">
        <v>74</v>
      </c>
      <c r="BK246" s="1" t="s">
        <v>74</v>
      </c>
      <c r="BL246" s="1" t="s">
        <v>74</v>
      </c>
      <c r="BM246" s="1" t="s">
        <v>74</v>
      </c>
      <c r="BN246" s="1">
        <v>2.404624E7</v>
      </c>
      <c r="BO246" s="1" t="s">
        <v>74</v>
      </c>
      <c r="BP246" s="1" t="s">
        <v>74</v>
      </c>
      <c r="BQ246" s="1" t="s">
        <v>74</v>
      </c>
      <c r="BR246" s="1" t="s">
        <v>74</v>
      </c>
      <c r="BS246" s="1" t="s">
        <v>2587</v>
      </c>
      <c r="BT246" s="1" t="str">
        <f>HYPERLINK("https%3A%2F%2Fwww.webofscience.com%2Fwos%2Fwoscc%2Ffull-record%2FWOS:000329647300015","View Full Record in Web of Science")</f>
        <v>View Full Record in Web of Science</v>
      </c>
    </row>
    <row r="247" ht="12.75" customHeight="1">
      <c r="A247" s="1" t="s">
        <v>72</v>
      </c>
      <c r="B247" s="1" t="s">
        <v>2588</v>
      </c>
      <c r="C247" s="1" t="s">
        <v>74</v>
      </c>
      <c r="D247" s="1" t="s">
        <v>74</v>
      </c>
      <c r="E247" s="1" t="s">
        <v>74</v>
      </c>
      <c r="F247" s="1" t="s">
        <v>2589</v>
      </c>
      <c r="G247" s="1" t="s">
        <v>74</v>
      </c>
      <c r="H247" s="1" t="s">
        <v>74</v>
      </c>
      <c r="I247" s="1" t="s">
        <v>2590</v>
      </c>
      <c r="J247" s="1" t="s">
        <v>2591</v>
      </c>
      <c r="K247" s="1" t="s">
        <v>74</v>
      </c>
      <c r="L247" s="1" t="s">
        <v>74</v>
      </c>
      <c r="M247" s="1" t="s">
        <v>74</v>
      </c>
      <c r="N247" s="1" t="s">
        <v>74</v>
      </c>
      <c r="O247" s="1" t="s">
        <v>74</v>
      </c>
      <c r="P247" s="1" t="s">
        <v>74</v>
      </c>
      <c r="Q247" s="1" t="s">
        <v>74</v>
      </c>
      <c r="R247" s="1" t="s">
        <v>74</v>
      </c>
      <c r="S247" s="1" t="s">
        <v>74</v>
      </c>
      <c r="T247" s="1" t="s">
        <v>74</v>
      </c>
      <c r="U247" s="1" t="s">
        <v>74</v>
      </c>
      <c r="V247" s="1" t="s">
        <v>2592</v>
      </c>
      <c r="W247" s="1" t="s">
        <v>74</v>
      </c>
      <c r="X247" s="1" t="s">
        <v>74</v>
      </c>
      <c r="Y247" s="1" t="s">
        <v>74</v>
      </c>
      <c r="Z247" s="1" t="s">
        <v>74</v>
      </c>
      <c r="AA247" s="1" t="s">
        <v>2593</v>
      </c>
      <c r="AB247" s="1" t="s">
        <v>74</v>
      </c>
      <c r="AC247" s="1" t="s">
        <v>74</v>
      </c>
      <c r="AD247" s="1" t="s">
        <v>74</v>
      </c>
      <c r="AE247" s="1" t="s">
        <v>74</v>
      </c>
      <c r="AF247" s="1" t="s">
        <v>74</v>
      </c>
      <c r="AG247" s="1" t="s">
        <v>74</v>
      </c>
      <c r="AH247" s="1" t="s">
        <v>74</v>
      </c>
      <c r="AI247" s="1" t="s">
        <v>74</v>
      </c>
      <c r="AJ247" s="1" t="s">
        <v>74</v>
      </c>
      <c r="AK247" s="1" t="s">
        <v>74</v>
      </c>
      <c r="AL247" s="1" t="s">
        <v>74</v>
      </c>
      <c r="AM247" s="1" t="s">
        <v>74</v>
      </c>
      <c r="AN247" s="1" t="s">
        <v>74</v>
      </c>
      <c r="AO247" s="1" t="s">
        <v>2594</v>
      </c>
      <c r="AP247" s="1" t="s">
        <v>74</v>
      </c>
      <c r="AQ247" s="1" t="s">
        <v>74</v>
      </c>
      <c r="AR247" s="1" t="s">
        <v>74</v>
      </c>
      <c r="AS247" s="1" t="s">
        <v>74</v>
      </c>
      <c r="AT247" s="1" t="s">
        <v>74</v>
      </c>
      <c r="AU247" s="1">
        <v>2014.0</v>
      </c>
      <c r="AV247" s="1">
        <v>71.0</v>
      </c>
      <c r="AW247" s="1">
        <v>2.0</v>
      </c>
      <c r="AX247" s="1" t="s">
        <v>74</v>
      </c>
      <c r="AY247" s="1" t="s">
        <v>74</v>
      </c>
      <c r="AZ247" s="1" t="s">
        <v>74</v>
      </c>
      <c r="BA247" s="1" t="s">
        <v>74</v>
      </c>
      <c r="BB247" s="1">
        <v>216.0</v>
      </c>
      <c r="BC247" s="1">
        <v>221.0</v>
      </c>
      <c r="BD247" s="1" t="s">
        <v>74</v>
      </c>
      <c r="BE247" s="1" t="s">
        <v>2595</v>
      </c>
      <c r="BF247" s="2" t="str">
        <f>HYPERLINK("http://dx.doi.org/10.4067/S0717-66432014000200004","http://dx.doi.org/10.4067/S0717-66432014000200004")</f>
        <v>http://dx.doi.org/10.4067/S0717-66432014000200004</v>
      </c>
      <c r="BG247" s="1" t="s">
        <v>74</v>
      </c>
      <c r="BH247" s="1" t="s">
        <v>74</v>
      </c>
      <c r="BI247" s="1" t="s">
        <v>74</v>
      </c>
      <c r="BJ247" s="1" t="s">
        <v>74</v>
      </c>
      <c r="BK247" s="1" t="s">
        <v>74</v>
      </c>
      <c r="BL247" s="1" t="s">
        <v>74</v>
      </c>
      <c r="BM247" s="1" t="s">
        <v>74</v>
      </c>
      <c r="BN247" s="1" t="s">
        <v>74</v>
      </c>
      <c r="BO247" s="1" t="s">
        <v>74</v>
      </c>
      <c r="BP247" s="1" t="s">
        <v>74</v>
      </c>
      <c r="BQ247" s="1" t="s">
        <v>74</v>
      </c>
      <c r="BR247" s="1" t="s">
        <v>74</v>
      </c>
      <c r="BS247" s="1" t="s">
        <v>2596</v>
      </c>
      <c r="BT247" s="1" t="str">
        <f>HYPERLINK("https%3A%2F%2Fwww.webofscience.com%2Fwos%2Fwoscc%2Ffull-record%2FWOS:000348178200004","View Full Record in Web of Science")</f>
        <v>View Full Record in Web of Science</v>
      </c>
    </row>
    <row r="248" ht="12.75" customHeight="1">
      <c r="A248" s="1" t="s">
        <v>72</v>
      </c>
      <c r="B248" s="1" t="s">
        <v>2597</v>
      </c>
      <c r="C248" s="1" t="s">
        <v>74</v>
      </c>
      <c r="D248" s="1" t="s">
        <v>74</v>
      </c>
      <c r="E248" s="1" t="s">
        <v>74</v>
      </c>
      <c r="F248" s="1" t="s">
        <v>2598</v>
      </c>
      <c r="G248" s="1" t="s">
        <v>74</v>
      </c>
      <c r="H248" s="1" t="s">
        <v>74</v>
      </c>
      <c r="I248" s="1" t="s">
        <v>2599</v>
      </c>
      <c r="J248" s="1" t="s">
        <v>2600</v>
      </c>
      <c r="K248" s="1" t="s">
        <v>74</v>
      </c>
      <c r="L248" s="1" t="s">
        <v>74</v>
      </c>
      <c r="M248" s="1" t="s">
        <v>74</v>
      </c>
      <c r="N248" s="1" t="s">
        <v>74</v>
      </c>
      <c r="O248" s="1" t="s">
        <v>74</v>
      </c>
      <c r="P248" s="1" t="s">
        <v>74</v>
      </c>
      <c r="Q248" s="1" t="s">
        <v>74</v>
      </c>
      <c r="R248" s="1" t="s">
        <v>74</v>
      </c>
      <c r="S248" s="1" t="s">
        <v>74</v>
      </c>
      <c r="T248" s="1" t="s">
        <v>74</v>
      </c>
      <c r="U248" s="1" t="s">
        <v>74</v>
      </c>
      <c r="V248" s="1" t="s">
        <v>2601</v>
      </c>
      <c r="W248" s="1" t="s">
        <v>74</v>
      </c>
      <c r="X248" s="1" t="s">
        <v>74</v>
      </c>
      <c r="Y248" s="1" t="s">
        <v>74</v>
      </c>
      <c r="Z248" s="1" t="s">
        <v>74</v>
      </c>
      <c r="AA248" s="1" t="s">
        <v>2602</v>
      </c>
      <c r="AB248" s="1" t="s">
        <v>2603</v>
      </c>
      <c r="AC248" s="1" t="s">
        <v>74</v>
      </c>
      <c r="AD248" s="1" t="s">
        <v>74</v>
      </c>
      <c r="AE248" s="1" t="s">
        <v>74</v>
      </c>
      <c r="AF248" s="1" t="s">
        <v>74</v>
      </c>
      <c r="AG248" s="1" t="s">
        <v>74</v>
      </c>
      <c r="AH248" s="1" t="s">
        <v>74</v>
      </c>
      <c r="AI248" s="1" t="s">
        <v>74</v>
      </c>
      <c r="AJ248" s="1" t="s">
        <v>74</v>
      </c>
      <c r="AK248" s="1" t="s">
        <v>74</v>
      </c>
      <c r="AL248" s="1" t="s">
        <v>74</v>
      </c>
      <c r="AM248" s="1" t="s">
        <v>74</v>
      </c>
      <c r="AN248" s="1" t="s">
        <v>74</v>
      </c>
      <c r="AO248" s="1" t="s">
        <v>2604</v>
      </c>
      <c r="AP248" s="1" t="s">
        <v>2605</v>
      </c>
      <c r="AQ248" s="1" t="s">
        <v>74</v>
      </c>
      <c r="AR248" s="1" t="s">
        <v>74</v>
      </c>
      <c r="AS248" s="1" t="s">
        <v>74</v>
      </c>
      <c r="AT248" s="1" t="s">
        <v>696</v>
      </c>
      <c r="AU248" s="1">
        <v>2012.0</v>
      </c>
      <c r="AV248" s="1">
        <v>28.0</v>
      </c>
      <c r="AW248" s="1">
        <v>1.0</v>
      </c>
      <c r="AX248" s="1" t="s">
        <v>74</v>
      </c>
      <c r="AY248" s="1" t="s">
        <v>74</v>
      </c>
      <c r="AZ248" s="1" t="s">
        <v>74</v>
      </c>
      <c r="BA248" s="1" t="s">
        <v>74</v>
      </c>
      <c r="BB248" s="1">
        <v>203.0</v>
      </c>
      <c r="BC248" s="1">
        <v>214.0</v>
      </c>
      <c r="BD248" s="1" t="s">
        <v>74</v>
      </c>
      <c r="BE248" s="1" t="s">
        <v>74</v>
      </c>
      <c r="BF248" s="1" t="s">
        <v>74</v>
      </c>
      <c r="BG248" s="1" t="s">
        <v>74</v>
      </c>
      <c r="BH248" s="1" t="s">
        <v>74</v>
      </c>
      <c r="BI248" s="1" t="s">
        <v>74</v>
      </c>
      <c r="BJ248" s="1" t="s">
        <v>74</v>
      </c>
      <c r="BK248" s="1" t="s">
        <v>74</v>
      </c>
      <c r="BL248" s="1" t="s">
        <v>74</v>
      </c>
      <c r="BM248" s="1" t="s">
        <v>74</v>
      </c>
      <c r="BN248" s="1" t="s">
        <v>74</v>
      </c>
      <c r="BO248" s="1" t="s">
        <v>74</v>
      </c>
      <c r="BP248" s="1" t="s">
        <v>74</v>
      </c>
      <c r="BQ248" s="1" t="s">
        <v>74</v>
      </c>
      <c r="BR248" s="1" t="s">
        <v>74</v>
      </c>
      <c r="BS248" s="1" t="s">
        <v>2606</v>
      </c>
      <c r="BT248" s="1" t="str">
        <f>HYPERLINK("https%3A%2F%2Fwww.webofscience.com%2Fwos%2Fwoscc%2Ffull-record%2FWOS:000297718000023","View Full Record in Web of Science")</f>
        <v>View Full Record in Web of Science</v>
      </c>
    </row>
    <row r="249" ht="12.75" customHeight="1">
      <c r="A249" s="1" t="s">
        <v>72</v>
      </c>
      <c r="B249" s="1" t="s">
        <v>2607</v>
      </c>
      <c r="C249" s="1" t="s">
        <v>74</v>
      </c>
      <c r="D249" s="1" t="s">
        <v>74</v>
      </c>
      <c r="E249" s="1" t="s">
        <v>74</v>
      </c>
      <c r="F249" s="1" t="s">
        <v>2608</v>
      </c>
      <c r="G249" s="1" t="s">
        <v>74</v>
      </c>
      <c r="H249" s="1" t="s">
        <v>74</v>
      </c>
      <c r="I249" s="1" t="s">
        <v>2609</v>
      </c>
      <c r="J249" s="1" t="s">
        <v>2610</v>
      </c>
      <c r="K249" s="1" t="s">
        <v>74</v>
      </c>
      <c r="L249" s="1" t="s">
        <v>74</v>
      </c>
      <c r="M249" s="1" t="s">
        <v>74</v>
      </c>
      <c r="N249" s="1" t="s">
        <v>74</v>
      </c>
      <c r="O249" s="1" t="s">
        <v>74</v>
      </c>
      <c r="P249" s="1" t="s">
        <v>74</v>
      </c>
      <c r="Q249" s="1" t="s">
        <v>74</v>
      </c>
      <c r="R249" s="1" t="s">
        <v>74</v>
      </c>
      <c r="S249" s="1" t="s">
        <v>74</v>
      </c>
      <c r="T249" s="1" t="s">
        <v>74</v>
      </c>
      <c r="U249" s="1" t="s">
        <v>74</v>
      </c>
      <c r="V249" s="1" t="s">
        <v>2611</v>
      </c>
      <c r="W249" s="1" t="s">
        <v>74</v>
      </c>
      <c r="X249" s="1" t="s">
        <v>74</v>
      </c>
      <c r="Y249" s="1" t="s">
        <v>74</v>
      </c>
      <c r="Z249" s="1" t="s">
        <v>74</v>
      </c>
      <c r="AA249" s="1" t="s">
        <v>2612</v>
      </c>
      <c r="AB249" s="1" t="s">
        <v>2613</v>
      </c>
      <c r="AC249" s="1" t="s">
        <v>74</v>
      </c>
      <c r="AD249" s="1" t="s">
        <v>74</v>
      </c>
      <c r="AE249" s="1" t="s">
        <v>74</v>
      </c>
      <c r="AF249" s="1" t="s">
        <v>74</v>
      </c>
      <c r="AG249" s="1" t="s">
        <v>74</v>
      </c>
      <c r="AH249" s="1" t="s">
        <v>74</v>
      </c>
      <c r="AI249" s="1" t="s">
        <v>74</v>
      </c>
      <c r="AJ249" s="1" t="s">
        <v>74</v>
      </c>
      <c r="AK249" s="1" t="s">
        <v>74</v>
      </c>
      <c r="AL249" s="1" t="s">
        <v>74</v>
      </c>
      <c r="AM249" s="1" t="s">
        <v>74</v>
      </c>
      <c r="AN249" s="1" t="s">
        <v>74</v>
      </c>
      <c r="AO249" s="1" t="s">
        <v>2614</v>
      </c>
      <c r="AP249" s="1" t="s">
        <v>74</v>
      </c>
      <c r="AQ249" s="1" t="s">
        <v>74</v>
      </c>
      <c r="AR249" s="1" t="s">
        <v>74</v>
      </c>
      <c r="AS249" s="1" t="s">
        <v>74</v>
      </c>
      <c r="AT249" s="1" t="s">
        <v>606</v>
      </c>
      <c r="AU249" s="1">
        <v>2011.0</v>
      </c>
      <c r="AV249" s="1">
        <v>78.0</v>
      </c>
      <c r="AW249" s="1">
        <v>169.0</v>
      </c>
      <c r="AX249" s="1" t="s">
        <v>74</v>
      </c>
      <c r="AY249" s="1" t="s">
        <v>74</v>
      </c>
      <c r="AZ249" s="1" t="s">
        <v>74</v>
      </c>
      <c r="BA249" s="1" t="s">
        <v>74</v>
      </c>
      <c r="BB249" s="1">
        <v>140.0</v>
      </c>
      <c r="BC249" s="1">
        <v>149.0</v>
      </c>
      <c r="BD249" s="1" t="s">
        <v>74</v>
      </c>
      <c r="BE249" s="1" t="s">
        <v>74</v>
      </c>
      <c r="BF249" s="1" t="s">
        <v>74</v>
      </c>
      <c r="BG249" s="1" t="s">
        <v>74</v>
      </c>
      <c r="BH249" s="1" t="s">
        <v>74</v>
      </c>
      <c r="BI249" s="1" t="s">
        <v>74</v>
      </c>
      <c r="BJ249" s="1" t="s">
        <v>74</v>
      </c>
      <c r="BK249" s="1" t="s">
        <v>74</v>
      </c>
      <c r="BL249" s="1" t="s">
        <v>74</v>
      </c>
      <c r="BM249" s="1" t="s">
        <v>74</v>
      </c>
      <c r="BN249" s="1" t="s">
        <v>74</v>
      </c>
      <c r="BO249" s="1" t="s">
        <v>74</v>
      </c>
      <c r="BP249" s="1" t="s">
        <v>74</v>
      </c>
      <c r="BQ249" s="1" t="s">
        <v>74</v>
      </c>
      <c r="BR249" s="1" t="s">
        <v>74</v>
      </c>
      <c r="BS249" s="1" t="s">
        <v>2615</v>
      </c>
      <c r="BT249" s="1" t="str">
        <f>HYPERLINK("https%3A%2F%2Fwww.webofscience.com%2Fwos%2Fwoscc%2Ffull-record%2FWOS:000297084800017","View Full Record in Web of Science")</f>
        <v>View Full Record in Web of Science</v>
      </c>
    </row>
    <row r="250" ht="12.75" customHeight="1">
      <c r="A250" s="1" t="s">
        <v>72</v>
      </c>
      <c r="B250" s="1" t="s">
        <v>2616</v>
      </c>
      <c r="C250" s="1" t="s">
        <v>74</v>
      </c>
      <c r="D250" s="1" t="s">
        <v>74</v>
      </c>
      <c r="E250" s="1" t="s">
        <v>74</v>
      </c>
      <c r="F250" s="1" t="s">
        <v>2617</v>
      </c>
      <c r="G250" s="1" t="s">
        <v>74</v>
      </c>
      <c r="H250" s="1" t="s">
        <v>74</v>
      </c>
      <c r="I250" s="1" t="s">
        <v>2618</v>
      </c>
      <c r="J250" s="1" t="s">
        <v>2619</v>
      </c>
      <c r="K250" s="1" t="s">
        <v>74</v>
      </c>
      <c r="L250" s="1" t="s">
        <v>74</v>
      </c>
      <c r="M250" s="1" t="s">
        <v>74</v>
      </c>
      <c r="N250" s="1" t="s">
        <v>74</v>
      </c>
      <c r="O250" s="1" t="s">
        <v>74</v>
      </c>
      <c r="P250" s="1" t="s">
        <v>74</v>
      </c>
      <c r="Q250" s="1" t="s">
        <v>74</v>
      </c>
      <c r="R250" s="1" t="s">
        <v>74</v>
      </c>
      <c r="S250" s="1" t="s">
        <v>74</v>
      </c>
      <c r="T250" s="1" t="s">
        <v>74</v>
      </c>
      <c r="U250" s="1" t="s">
        <v>74</v>
      </c>
      <c r="V250" s="1" t="s">
        <v>2620</v>
      </c>
      <c r="W250" s="1" t="s">
        <v>74</v>
      </c>
      <c r="X250" s="1" t="s">
        <v>74</v>
      </c>
      <c r="Y250" s="1" t="s">
        <v>74</v>
      </c>
      <c r="Z250" s="1" t="s">
        <v>74</v>
      </c>
      <c r="AA250" s="1" t="s">
        <v>2621</v>
      </c>
      <c r="AB250" s="1" t="s">
        <v>2622</v>
      </c>
      <c r="AC250" s="1" t="s">
        <v>74</v>
      </c>
      <c r="AD250" s="1" t="s">
        <v>74</v>
      </c>
      <c r="AE250" s="1" t="s">
        <v>74</v>
      </c>
      <c r="AF250" s="1" t="s">
        <v>74</v>
      </c>
      <c r="AG250" s="1" t="s">
        <v>74</v>
      </c>
      <c r="AH250" s="1" t="s">
        <v>74</v>
      </c>
      <c r="AI250" s="1" t="s">
        <v>74</v>
      </c>
      <c r="AJ250" s="1" t="s">
        <v>74</v>
      </c>
      <c r="AK250" s="1" t="s">
        <v>74</v>
      </c>
      <c r="AL250" s="1" t="s">
        <v>74</v>
      </c>
      <c r="AM250" s="1" t="s">
        <v>74</v>
      </c>
      <c r="AN250" s="1" t="s">
        <v>74</v>
      </c>
      <c r="AO250" s="1" t="s">
        <v>2623</v>
      </c>
      <c r="AP250" s="1" t="s">
        <v>74</v>
      </c>
      <c r="AQ250" s="1" t="s">
        <v>74</v>
      </c>
      <c r="AR250" s="1" t="s">
        <v>74</v>
      </c>
      <c r="AS250" s="1" t="s">
        <v>74</v>
      </c>
      <c r="AT250" s="1" t="s">
        <v>235</v>
      </c>
      <c r="AU250" s="1">
        <v>2011.0</v>
      </c>
      <c r="AV250" s="1">
        <v>89.0</v>
      </c>
      <c r="AW250" s="1">
        <v>2.0</v>
      </c>
      <c r="AX250" s="1" t="s">
        <v>74</v>
      </c>
      <c r="AY250" s="1" t="s">
        <v>74</v>
      </c>
      <c r="AZ250" s="1" t="s">
        <v>74</v>
      </c>
      <c r="BA250" s="1" t="s">
        <v>74</v>
      </c>
      <c r="BB250" s="1">
        <v>181.0</v>
      </c>
      <c r="BC250" s="1">
        <v>185.0</v>
      </c>
      <c r="BD250" s="1" t="s">
        <v>74</v>
      </c>
      <c r="BE250" s="1" t="s">
        <v>2624</v>
      </c>
      <c r="BF250" s="2" t="str">
        <f>HYPERLINK("http://dx.doi.org/10.1139/V10-114","http://dx.doi.org/10.1139/V10-114")</f>
        <v>http://dx.doi.org/10.1139/V10-114</v>
      </c>
      <c r="BG250" s="1" t="s">
        <v>74</v>
      </c>
      <c r="BH250" s="1" t="s">
        <v>74</v>
      </c>
      <c r="BI250" s="1" t="s">
        <v>74</v>
      </c>
      <c r="BJ250" s="1" t="s">
        <v>74</v>
      </c>
      <c r="BK250" s="1" t="s">
        <v>74</v>
      </c>
      <c r="BL250" s="1" t="s">
        <v>74</v>
      </c>
      <c r="BM250" s="1" t="s">
        <v>74</v>
      </c>
      <c r="BN250" s="1" t="s">
        <v>74</v>
      </c>
      <c r="BO250" s="1" t="s">
        <v>74</v>
      </c>
      <c r="BP250" s="1" t="s">
        <v>74</v>
      </c>
      <c r="BQ250" s="1" t="s">
        <v>74</v>
      </c>
      <c r="BR250" s="1" t="s">
        <v>74</v>
      </c>
      <c r="BS250" s="1" t="s">
        <v>2625</v>
      </c>
      <c r="BT250" s="1" t="str">
        <f>HYPERLINK("https%3A%2F%2Fwww.webofscience.com%2Fwos%2Fwoscc%2Ffull-record%2FWOS:000287150300015","View Full Record in Web of Science")</f>
        <v>View Full Record in Web of Science</v>
      </c>
    </row>
    <row r="251" ht="12.75" customHeight="1">
      <c r="A251" s="1" t="s">
        <v>72</v>
      </c>
      <c r="B251" s="1" t="s">
        <v>2626</v>
      </c>
      <c r="C251" s="1" t="s">
        <v>74</v>
      </c>
      <c r="D251" s="1" t="s">
        <v>74</v>
      </c>
      <c r="E251" s="1" t="s">
        <v>74</v>
      </c>
      <c r="F251" s="1" t="s">
        <v>2627</v>
      </c>
      <c r="G251" s="1" t="s">
        <v>74</v>
      </c>
      <c r="H251" s="1" t="s">
        <v>74</v>
      </c>
      <c r="I251" s="1" t="s">
        <v>2628</v>
      </c>
      <c r="J251" s="1" t="s">
        <v>2629</v>
      </c>
      <c r="K251" s="1" t="s">
        <v>74</v>
      </c>
      <c r="L251" s="1" t="s">
        <v>74</v>
      </c>
      <c r="M251" s="1" t="s">
        <v>74</v>
      </c>
      <c r="N251" s="1" t="s">
        <v>74</v>
      </c>
      <c r="O251" s="1" t="s">
        <v>2630</v>
      </c>
      <c r="P251" s="1" t="s">
        <v>2631</v>
      </c>
      <c r="Q251" s="1" t="s">
        <v>2632</v>
      </c>
      <c r="R251" s="1" t="s">
        <v>74</v>
      </c>
      <c r="S251" s="1" t="s">
        <v>2633</v>
      </c>
      <c r="T251" s="1" t="s">
        <v>74</v>
      </c>
      <c r="U251" s="1" t="s">
        <v>74</v>
      </c>
      <c r="V251" s="1" t="s">
        <v>2634</v>
      </c>
      <c r="W251" s="1" t="s">
        <v>74</v>
      </c>
      <c r="X251" s="1" t="s">
        <v>74</v>
      </c>
      <c r="Y251" s="1" t="s">
        <v>74</v>
      </c>
      <c r="Z251" s="1" t="s">
        <v>74</v>
      </c>
      <c r="AA251" s="1" t="s">
        <v>2635</v>
      </c>
      <c r="AB251" s="1" t="s">
        <v>2636</v>
      </c>
      <c r="AC251" s="1" t="s">
        <v>74</v>
      </c>
      <c r="AD251" s="1" t="s">
        <v>74</v>
      </c>
      <c r="AE251" s="1" t="s">
        <v>74</v>
      </c>
      <c r="AF251" s="1" t="s">
        <v>74</v>
      </c>
      <c r="AG251" s="1" t="s">
        <v>74</v>
      </c>
      <c r="AH251" s="1" t="s">
        <v>74</v>
      </c>
      <c r="AI251" s="1" t="s">
        <v>74</v>
      </c>
      <c r="AJ251" s="1" t="s">
        <v>74</v>
      </c>
      <c r="AK251" s="1" t="s">
        <v>74</v>
      </c>
      <c r="AL251" s="1" t="s">
        <v>74</v>
      </c>
      <c r="AM251" s="1" t="s">
        <v>74</v>
      </c>
      <c r="AN251" s="1" t="s">
        <v>74</v>
      </c>
      <c r="AO251" s="1" t="s">
        <v>2637</v>
      </c>
      <c r="AP251" s="1" t="s">
        <v>2638</v>
      </c>
      <c r="AQ251" s="1" t="s">
        <v>74</v>
      </c>
      <c r="AR251" s="1" t="s">
        <v>74</v>
      </c>
      <c r="AS251" s="1" t="s">
        <v>74</v>
      </c>
      <c r="AT251" s="1" t="s">
        <v>235</v>
      </c>
      <c r="AU251" s="1">
        <v>2010.0</v>
      </c>
      <c r="AV251" s="1">
        <v>50.0</v>
      </c>
      <c r="AW251" s="1">
        <v>2.0</v>
      </c>
      <c r="AX251" s="1" t="s">
        <v>74</v>
      </c>
      <c r="AY251" s="1" t="s">
        <v>74</v>
      </c>
      <c r="AZ251" s="1" t="s">
        <v>74</v>
      </c>
      <c r="BA251" s="1" t="s">
        <v>74</v>
      </c>
      <c r="BB251" s="1">
        <v>318.0</v>
      </c>
      <c r="BC251" s="1">
        <v>322.0</v>
      </c>
      <c r="BD251" s="1" t="s">
        <v>74</v>
      </c>
      <c r="BE251" s="1" t="s">
        <v>2639</v>
      </c>
      <c r="BF251" s="2" t="str">
        <f>HYPERLINK("http://dx.doi.org/10.1016/j.ultras.2009.09.022","http://dx.doi.org/10.1016/j.ultras.2009.09.022")</f>
        <v>http://dx.doi.org/10.1016/j.ultras.2009.09.022</v>
      </c>
      <c r="BG251" s="1" t="s">
        <v>74</v>
      </c>
      <c r="BH251" s="1" t="s">
        <v>74</v>
      </c>
      <c r="BI251" s="1" t="s">
        <v>74</v>
      </c>
      <c r="BJ251" s="1" t="s">
        <v>74</v>
      </c>
      <c r="BK251" s="1" t="s">
        <v>74</v>
      </c>
      <c r="BL251" s="1" t="s">
        <v>74</v>
      </c>
      <c r="BM251" s="1" t="s">
        <v>74</v>
      </c>
      <c r="BN251" s="1">
        <v>1.985327E7</v>
      </c>
      <c r="BO251" s="1" t="s">
        <v>74</v>
      </c>
      <c r="BP251" s="1" t="s">
        <v>74</v>
      </c>
      <c r="BQ251" s="1" t="s">
        <v>74</v>
      </c>
      <c r="BR251" s="1" t="s">
        <v>74</v>
      </c>
      <c r="BS251" s="1" t="s">
        <v>2640</v>
      </c>
      <c r="BT251" s="1" t="str">
        <f>HYPERLINK("https%3A%2F%2Fwww.webofscience.com%2Fwos%2Fwoscc%2Ffull-record%2FWOS:000271779500039","View Full Record in Web of Science")</f>
        <v>View Full Record in Web of Science</v>
      </c>
    </row>
    <row r="252" ht="12.75" customHeight="1">
      <c r="A252" s="1" t="s">
        <v>72</v>
      </c>
      <c r="B252" s="1" t="s">
        <v>2641</v>
      </c>
      <c r="C252" s="1" t="s">
        <v>74</v>
      </c>
      <c r="D252" s="1" t="s">
        <v>74</v>
      </c>
      <c r="E252" s="1" t="s">
        <v>74</v>
      </c>
      <c r="F252" s="1" t="s">
        <v>2642</v>
      </c>
      <c r="G252" s="1" t="s">
        <v>74</v>
      </c>
      <c r="H252" s="1" t="s">
        <v>74</v>
      </c>
      <c r="I252" s="1" t="s">
        <v>2643</v>
      </c>
      <c r="J252" s="1" t="s">
        <v>489</v>
      </c>
      <c r="K252" s="1" t="s">
        <v>74</v>
      </c>
      <c r="L252" s="1" t="s">
        <v>74</v>
      </c>
      <c r="M252" s="1" t="s">
        <v>74</v>
      </c>
      <c r="N252" s="1" t="s">
        <v>74</v>
      </c>
      <c r="O252" s="1" t="s">
        <v>74</v>
      </c>
      <c r="P252" s="1" t="s">
        <v>74</v>
      </c>
      <c r="Q252" s="1" t="s">
        <v>74</v>
      </c>
      <c r="R252" s="1" t="s">
        <v>74</v>
      </c>
      <c r="S252" s="1" t="s">
        <v>74</v>
      </c>
      <c r="T252" s="1" t="s">
        <v>74</v>
      </c>
      <c r="U252" s="1" t="s">
        <v>74</v>
      </c>
      <c r="V252" s="1" t="s">
        <v>2644</v>
      </c>
      <c r="W252" s="1" t="s">
        <v>74</v>
      </c>
      <c r="X252" s="1" t="s">
        <v>74</v>
      </c>
      <c r="Y252" s="1" t="s">
        <v>74</v>
      </c>
      <c r="Z252" s="1" t="s">
        <v>74</v>
      </c>
      <c r="AA252" s="1" t="s">
        <v>2645</v>
      </c>
      <c r="AB252" s="1" t="s">
        <v>2646</v>
      </c>
      <c r="AC252" s="1" t="s">
        <v>74</v>
      </c>
      <c r="AD252" s="1" t="s">
        <v>74</v>
      </c>
      <c r="AE252" s="1" t="s">
        <v>74</v>
      </c>
      <c r="AF252" s="1" t="s">
        <v>74</v>
      </c>
      <c r="AG252" s="1" t="s">
        <v>74</v>
      </c>
      <c r="AH252" s="1" t="s">
        <v>74</v>
      </c>
      <c r="AI252" s="1" t="s">
        <v>74</v>
      </c>
      <c r="AJ252" s="1" t="s">
        <v>74</v>
      </c>
      <c r="AK252" s="1" t="s">
        <v>74</v>
      </c>
      <c r="AL252" s="1" t="s">
        <v>74</v>
      </c>
      <c r="AM252" s="1" t="s">
        <v>74</v>
      </c>
      <c r="AN252" s="1" t="s">
        <v>74</v>
      </c>
      <c r="AO252" s="1" t="s">
        <v>2647</v>
      </c>
      <c r="AP252" s="1" t="s">
        <v>74</v>
      </c>
      <c r="AQ252" s="1" t="s">
        <v>74</v>
      </c>
      <c r="AR252" s="1" t="s">
        <v>74</v>
      </c>
      <c r="AS252" s="1" t="s">
        <v>74</v>
      </c>
      <c r="AT252" s="1" t="s">
        <v>652</v>
      </c>
      <c r="AU252" s="1">
        <v>2009.0</v>
      </c>
      <c r="AV252" s="1">
        <v>54.0</v>
      </c>
      <c r="AW252" s="1">
        <v>4.0</v>
      </c>
      <c r="AX252" s="1" t="s">
        <v>74</v>
      </c>
      <c r="AY252" s="1" t="s">
        <v>74</v>
      </c>
      <c r="AZ252" s="1" t="s">
        <v>74</v>
      </c>
      <c r="BA252" s="1" t="s">
        <v>74</v>
      </c>
      <c r="BB252" s="1">
        <v>405.0</v>
      </c>
      <c r="BC252" s="1">
        <v>407.0</v>
      </c>
      <c r="BD252" s="1" t="s">
        <v>74</v>
      </c>
      <c r="BE252" s="1" t="s">
        <v>74</v>
      </c>
      <c r="BF252" s="1" t="s">
        <v>74</v>
      </c>
      <c r="BG252" s="1" t="s">
        <v>74</v>
      </c>
      <c r="BH252" s="1" t="s">
        <v>74</v>
      </c>
      <c r="BI252" s="1" t="s">
        <v>74</v>
      </c>
      <c r="BJ252" s="1" t="s">
        <v>74</v>
      </c>
      <c r="BK252" s="1" t="s">
        <v>74</v>
      </c>
      <c r="BL252" s="1" t="s">
        <v>74</v>
      </c>
      <c r="BM252" s="1" t="s">
        <v>74</v>
      </c>
      <c r="BN252" s="1" t="s">
        <v>74</v>
      </c>
      <c r="BO252" s="1" t="s">
        <v>74</v>
      </c>
      <c r="BP252" s="1" t="s">
        <v>74</v>
      </c>
      <c r="BQ252" s="1" t="s">
        <v>74</v>
      </c>
      <c r="BR252" s="1" t="s">
        <v>74</v>
      </c>
      <c r="BS252" s="1" t="s">
        <v>2648</v>
      </c>
      <c r="BT252" s="1" t="str">
        <f>HYPERLINK("https%3A%2F%2Fwww.webofscience.com%2Fwos%2Fwoscc%2Ffull-record%2FWOS:000273751200018","View Full Record in Web of Science")</f>
        <v>View Full Record in Web of Science</v>
      </c>
    </row>
    <row r="253" ht="12.75" customHeight="1">
      <c r="A253" s="1" t="s">
        <v>72</v>
      </c>
      <c r="B253" s="1" t="s">
        <v>2649</v>
      </c>
      <c r="C253" s="1" t="s">
        <v>74</v>
      </c>
      <c r="D253" s="1" t="s">
        <v>74</v>
      </c>
      <c r="E253" s="1" t="s">
        <v>74</v>
      </c>
      <c r="F253" s="1" t="s">
        <v>2650</v>
      </c>
      <c r="G253" s="1" t="s">
        <v>74</v>
      </c>
      <c r="H253" s="1" t="s">
        <v>74</v>
      </c>
      <c r="I253" s="1" t="s">
        <v>2651</v>
      </c>
      <c r="J253" s="1" t="s">
        <v>2652</v>
      </c>
      <c r="K253" s="1" t="s">
        <v>74</v>
      </c>
      <c r="L253" s="1" t="s">
        <v>74</v>
      </c>
      <c r="M253" s="1" t="s">
        <v>74</v>
      </c>
      <c r="N253" s="1" t="s">
        <v>74</v>
      </c>
      <c r="O253" s="1" t="s">
        <v>74</v>
      </c>
      <c r="P253" s="1" t="s">
        <v>74</v>
      </c>
      <c r="Q253" s="1" t="s">
        <v>74</v>
      </c>
      <c r="R253" s="1" t="s">
        <v>74</v>
      </c>
      <c r="S253" s="1" t="s">
        <v>74</v>
      </c>
      <c r="T253" s="1" t="s">
        <v>74</v>
      </c>
      <c r="U253" s="1" t="s">
        <v>74</v>
      </c>
      <c r="V253" s="1" t="s">
        <v>2653</v>
      </c>
      <c r="W253" s="1" t="s">
        <v>74</v>
      </c>
      <c r="X253" s="1" t="s">
        <v>74</v>
      </c>
      <c r="Y253" s="1" t="s">
        <v>74</v>
      </c>
      <c r="Z253" s="1" t="s">
        <v>74</v>
      </c>
      <c r="AA253" s="1" t="s">
        <v>2654</v>
      </c>
      <c r="AB253" s="1" t="s">
        <v>74</v>
      </c>
      <c r="AC253" s="1" t="s">
        <v>74</v>
      </c>
      <c r="AD253" s="1" t="s">
        <v>74</v>
      </c>
      <c r="AE253" s="1" t="s">
        <v>74</v>
      </c>
      <c r="AF253" s="1" t="s">
        <v>74</v>
      </c>
      <c r="AG253" s="1" t="s">
        <v>74</v>
      </c>
      <c r="AH253" s="1" t="s">
        <v>74</v>
      </c>
      <c r="AI253" s="1" t="s">
        <v>74</v>
      </c>
      <c r="AJ253" s="1" t="s">
        <v>74</v>
      </c>
      <c r="AK253" s="1" t="s">
        <v>74</v>
      </c>
      <c r="AL253" s="1" t="s">
        <v>74</v>
      </c>
      <c r="AM253" s="1" t="s">
        <v>74</v>
      </c>
      <c r="AN253" s="1" t="s">
        <v>74</v>
      </c>
      <c r="AO253" s="1" t="s">
        <v>2655</v>
      </c>
      <c r="AP253" s="1" t="s">
        <v>2656</v>
      </c>
      <c r="AQ253" s="1" t="s">
        <v>74</v>
      </c>
      <c r="AR253" s="1" t="s">
        <v>74</v>
      </c>
      <c r="AS253" s="1" t="s">
        <v>74</v>
      </c>
      <c r="AT253" s="1" t="s">
        <v>235</v>
      </c>
      <c r="AU253" s="1">
        <v>2009.0</v>
      </c>
      <c r="AV253" s="1">
        <v>79.0</v>
      </c>
      <c r="AW253" s="1">
        <v>2.0</v>
      </c>
      <c r="AX253" s="1" t="s">
        <v>74</v>
      </c>
      <c r="AY253" s="1" t="s">
        <v>74</v>
      </c>
      <c r="AZ253" s="1" t="s">
        <v>74</v>
      </c>
      <c r="BA253" s="1" t="s">
        <v>74</v>
      </c>
      <c r="BB253" s="1">
        <v>150.0</v>
      </c>
      <c r="BC253" s="1">
        <v>154.0</v>
      </c>
      <c r="BD253" s="1" t="s">
        <v>74</v>
      </c>
      <c r="BE253" s="1" t="s">
        <v>2657</v>
      </c>
      <c r="BF253" s="2" t="str">
        <f>HYPERLINK("http://dx.doi.org/10.1016/j.contraception.2008.08.010","http://dx.doi.org/10.1016/j.contraception.2008.08.010")</f>
        <v>http://dx.doi.org/10.1016/j.contraception.2008.08.010</v>
      </c>
      <c r="BG253" s="1" t="s">
        <v>74</v>
      </c>
      <c r="BH253" s="1" t="s">
        <v>74</v>
      </c>
      <c r="BI253" s="1" t="s">
        <v>74</v>
      </c>
      <c r="BJ253" s="1" t="s">
        <v>74</v>
      </c>
      <c r="BK253" s="1" t="s">
        <v>74</v>
      </c>
      <c r="BL253" s="1" t="s">
        <v>74</v>
      </c>
      <c r="BM253" s="1" t="s">
        <v>74</v>
      </c>
      <c r="BN253" s="1">
        <v>1.9135574E7</v>
      </c>
      <c r="BO253" s="1" t="s">
        <v>74</v>
      </c>
      <c r="BP253" s="1" t="s">
        <v>74</v>
      </c>
      <c r="BQ253" s="1" t="s">
        <v>74</v>
      </c>
      <c r="BR253" s="1" t="s">
        <v>74</v>
      </c>
      <c r="BS253" s="1" t="s">
        <v>2658</v>
      </c>
      <c r="BT253" s="1" t="str">
        <f>HYPERLINK("https%3A%2F%2Fwww.webofscience.com%2Fwos%2Fwoscc%2Ffull-record%2FWOS:000262687700013","View Full Record in Web of Science")</f>
        <v>View Full Record in Web of Science</v>
      </c>
    </row>
    <row r="254" ht="12.75" customHeight="1">
      <c r="A254" s="1" t="s">
        <v>72</v>
      </c>
      <c r="B254" s="1" t="s">
        <v>2659</v>
      </c>
      <c r="C254" s="1" t="s">
        <v>74</v>
      </c>
      <c r="D254" s="1" t="s">
        <v>74</v>
      </c>
      <c r="E254" s="1" t="s">
        <v>74</v>
      </c>
      <c r="F254" s="1" t="s">
        <v>2660</v>
      </c>
      <c r="G254" s="1" t="s">
        <v>74</v>
      </c>
      <c r="H254" s="1" t="s">
        <v>74</v>
      </c>
      <c r="I254" s="1" t="s">
        <v>2661</v>
      </c>
      <c r="J254" s="1" t="s">
        <v>2662</v>
      </c>
      <c r="K254" s="1" t="s">
        <v>74</v>
      </c>
      <c r="L254" s="1" t="s">
        <v>74</v>
      </c>
      <c r="M254" s="1" t="s">
        <v>74</v>
      </c>
      <c r="N254" s="1" t="s">
        <v>74</v>
      </c>
      <c r="O254" s="1" t="s">
        <v>74</v>
      </c>
      <c r="P254" s="1" t="s">
        <v>74</v>
      </c>
      <c r="Q254" s="1" t="s">
        <v>74</v>
      </c>
      <c r="R254" s="1" t="s">
        <v>74</v>
      </c>
      <c r="S254" s="1" t="s">
        <v>74</v>
      </c>
      <c r="T254" s="1" t="s">
        <v>74</v>
      </c>
      <c r="U254" s="1" t="s">
        <v>74</v>
      </c>
      <c r="V254" s="1" t="s">
        <v>74</v>
      </c>
      <c r="W254" s="1" t="s">
        <v>74</v>
      </c>
      <c r="X254" s="1" t="s">
        <v>74</v>
      </c>
      <c r="Y254" s="1" t="s">
        <v>74</v>
      </c>
      <c r="Z254" s="1" t="s">
        <v>74</v>
      </c>
      <c r="AA254" s="1" t="s">
        <v>2028</v>
      </c>
      <c r="AB254" s="1" t="s">
        <v>2029</v>
      </c>
      <c r="AC254" s="1" t="s">
        <v>74</v>
      </c>
      <c r="AD254" s="1" t="s">
        <v>74</v>
      </c>
      <c r="AE254" s="1" t="s">
        <v>74</v>
      </c>
      <c r="AF254" s="1" t="s">
        <v>74</v>
      </c>
      <c r="AG254" s="1" t="s">
        <v>74</v>
      </c>
      <c r="AH254" s="1" t="s">
        <v>74</v>
      </c>
      <c r="AI254" s="1" t="s">
        <v>74</v>
      </c>
      <c r="AJ254" s="1" t="s">
        <v>74</v>
      </c>
      <c r="AK254" s="1" t="s">
        <v>74</v>
      </c>
      <c r="AL254" s="1" t="s">
        <v>74</v>
      </c>
      <c r="AM254" s="1" t="s">
        <v>74</v>
      </c>
      <c r="AN254" s="1" t="s">
        <v>74</v>
      </c>
      <c r="AO254" s="1" t="s">
        <v>2663</v>
      </c>
      <c r="AP254" s="1" t="s">
        <v>2664</v>
      </c>
      <c r="AQ254" s="1" t="s">
        <v>74</v>
      </c>
      <c r="AR254" s="1" t="s">
        <v>74</v>
      </c>
      <c r="AS254" s="1" t="s">
        <v>74</v>
      </c>
      <c r="AT254" s="1" t="s">
        <v>678</v>
      </c>
      <c r="AU254" s="1">
        <v>2008.0</v>
      </c>
      <c r="AV254" s="1">
        <v>9.0</v>
      </c>
      <c r="AW254" s="1">
        <v>7.0</v>
      </c>
      <c r="AX254" s="1" t="s">
        <v>74</v>
      </c>
      <c r="AY254" s="1" t="s">
        <v>74</v>
      </c>
      <c r="AZ254" s="1" t="s">
        <v>74</v>
      </c>
      <c r="BA254" s="1" t="s">
        <v>74</v>
      </c>
      <c r="BB254" s="1">
        <v>1371.0</v>
      </c>
      <c r="BC254" s="1">
        <v>1386.0</v>
      </c>
      <c r="BD254" s="1" t="s">
        <v>74</v>
      </c>
      <c r="BE254" s="1" t="s">
        <v>2665</v>
      </c>
      <c r="BF254" s="2" t="str">
        <f>HYPERLINK("http://dx.doi.org/10.1007/s00023-008-0386-4","http://dx.doi.org/10.1007/s00023-008-0386-4")</f>
        <v>http://dx.doi.org/10.1007/s00023-008-0386-4</v>
      </c>
      <c r="BG254" s="1" t="s">
        <v>74</v>
      </c>
      <c r="BH254" s="1" t="s">
        <v>74</v>
      </c>
      <c r="BI254" s="1" t="s">
        <v>74</v>
      </c>
      <c r="BJ254" s="1" t="s">
        <v>74</v>
      </c>
      <c r="BK254" s="1" t="s">
        <v>74</v>
      </c>
      <c r="BL254" s="1" t="s">
        <v>74</v>
      </c>
      <c r="BM254" s="1" t="s">
        <v>74</v>
      </c>
      <c r="BN254" s="1" t="s">
        <v>74</v>
      </c>
      <c r="BO254" s="1" t="s">
        <v>74</v>
      </c>
      <c r="BP254" s="1" t="s">
        <v>74</v>
      </c>
      <c r="BQ254" s="1" t="s">
        <v>74</v>
      </c>
      <c r="BR254" s="1" t="s">
        <v>74</v>
      </c>
      <c r="BS254" s="1" t="s">
        <v>2666</v>
      </c>
      <c r="BT254" s="1" t="str">
        <f>HYPERLINK("https%3A%2F%2Fwww.webofscience.com%2Fwos%2Fwoscc%2Ffull-record%2FWOS:000260612500004","View Full Record in Web of Science")</f>
        <v>View Full Record in Web of Science</v>
      </c>
    </row>
    <row r="255" ht="12.75" customHeight="1">
      <c r="A255" s="1" t="s">
        <v>182</v>
      </c>
      <c r="B255" s="1" t="s">
        <v>2667</v>
      </c>
      <c r="C255" s="1" t="s">
        <v>74</v>
      </c>
      <c r="D255" s="1" t="s">
        <v>2668</v>
      </c>
      <c r="E255" s="1" t="s">
        <v>74</v>
      </c>
      <c r="F255" s="1" t="s">
        <v>2669</v>
      </c>
      <c r="G255" s="1" t="s">
        <v>74</v>
      </c>
      <c r="H255" s="1" t="s">
        <v>74</v>
      </c>
      <c r="I255" s="1" t="s">
        <v>2670</v>
      </c>
      <c r="J255" s="1" t="s">
        <v>2671</v>
      </c>
      <c r="K255" s="1" t="s">
        <v>2672</v>
      </c>
      <c r="L255" s="1" t="s">
        <v>74</v>
      </c>
      <c r="M255" s="1" t="s">
        <v>74</v>
      </c>
      <c r="N255" s="1" t="s">
        <v>74</v>
      </c>
      <c r="O255" s="1" t="s">
        <v>2673</v>
      </c>
      <c r="P255" s="1" t="s">
        <v>2674</v>
      </c>
      <c r="Q255" s="1" t="s">
        <v>2675</v>
      </c>
      <c r="R255" s="1" t="s">
        <v>2676</v>
      </c>
      <c r="S255" s="1" t="s">
        <v>74</v>
      </c>
      <c r="T255" s="1" t="s">
        <v>74</v>
      </c>
      <c r="U255" s="1" t="s">
        <v>74</v>
      </c>
      <c r="V255" s="1" t="s">
        <v>2677</v>
      </c>
      <c r="W255" s="1" t="s">
        <v>74</v>
      </c>
      <c r="X255" s="1" t="s">
        <v>74</v>
      </c>
      <c r="Y255" s="1" t="s">
        <v>74</v>
      </c>
      <c r="Z255" s="1" t="s">
        <v>74</v>
      </c>
      <c r="AA255" s="1" t="s">
        <v>2678</v>
      </c>
      <c r="AB255" s="1" t="s">
        <v>2679</v>
      </c>
      <c r="AC255" s="1" t="s">
        <v>74</v>
      </c>
      <c r="AD255" s="1" t="s">
        <v>74</v>
      </c>
      <c r="AE255" s="1" t="s">
        <v>74</v>
      </c>
      <c r="AF255" s="1" t="s">
        <v>74</v>
      </c>
      <c r="AG255" s="1" t="s">
        <v>74</v>
      </c>
      <c r="AH255" s="1" t="s">
        <v>74</v>
      </c>
      <c r="AI255" s="1" t="s">
        <v>74</v>
      </c>
      <c r="AJ255" s="1" t="s">
        <v>74</v>
      </c>
      <c r="AK255" s="1" t="s">
        <v>74</v>
      </c>
      <c r="AL255" s="1" t="s">
        <v>74</v>
      </c>
      <c r="AM255" s="1" t="s">
        <v>74</v>
      </c>
      <c r="AN255" s="1" t="s">
        <v>74</v>
      </c>
      <c r="AO255" s="1" t="s">
        <v>2680</v>
      </c>
      <c r="AP255" s="1" t="s">
        <v>74</v>
      </c>
      <c r="AQ255" s="1" t="s">
        <v>2681</v>
      </c>
      <c r="AR255" s="1" t="s">
        <v>74</v>
      </c>
      <c r="AS255" s="1" t="s">
        <v>74</v>
      </c>
      <c r="AT255" s="1" t="s">
        <v>74</v>
      </c>
      <c r="AU255" s="1">
        <v>2008.0</v>
      </c>
      <c r="AV255" s="1" t="s">
        <v>74</v>
      </c>
      <c r="AW255" s="1" t="s">
        <v>74</v>
      </c>
      <c r="AX255" s="1" t="s">
        <v>74</v>
      </c>
      <c r="AY255" s="1" t="s">
        <v>74</v>
      </c>
      <c r="AZ255" s="1" t="s">
        <v>74</v>
      </c>
      <c r="BA255" s="1" t="s">
        <v>74</v>
      </c>
      <c r="BB255" s="1">
        <v>440.0</v>
      </c>
      <c r="BC255" s="1" t="s">
        <v>1713</v>
      </c>
      <c r="BD255" s="1" t="s">
        <v>74</v>
      </c>
      <c r="BE255" s="1" t="s">
        <v>2682</v>
      </c>
      <c r="BF255" s="2" t="str">
        <f>HYPERLINK("http://dx.doi.org/10.1109/PDP.2008.73","http://dx.doi.org/10.1109/PDP.2008.73")</f>
        <v>http://dx.doi.org/10.1109/PDP.2008.73</v>
      </c>
      <c r="BG255" s="1" t="s">
        <v>74</v>
      </c>
      <c r="BH255" s="1" t="s">
        <v>74</v>
      </c>
      <c r="BI255" s="1" t="s">
        <v>74</v>
      </c>
      <c r="BJ255" s="1" t="s">
        <v>74</v>
      </c>
      <c r="BK255" s="1" t="s">
        <v>74</v>
      </c>
      <c r="BL255" s="1" t="s">
        <v>74</v>
      </c>
      <c r="BM255" s="1" t="s">
        <v>74</v>
      </c>
      <c r="BN255" s="1" t="s">
        <v>74</v>
      </c>
      <c r="BO255" s="1" t="s">
        <v>74</v>
      </c>
      <c r="BP255" s="1" t="s">
        <v>74</v>
      </c>
      <c r="BQ255" s="1" t="s">
        <v>74</v>
      </c>
      <c r="BR255" s="1" t="s">
        <v>74</v>
      </c>
      <c r="BS255" s="1" t="s">
        <v>2683</v>
      </c>
      <c r="BT255" s="1" t="str">
        <f>HYPERLINK("https%3A%2F%2Fwww.webofscience.com%2Fwos%2Fwoscc%2Ffull-record%2FWOS:000254266500059","View Full Record in Web of Science")</f>
        <v>View Full Record in Web of Science</v>
      </c>
    </row>
    <row r="256" ht="12.75" customHeight="1">
      <c r="A256" s="1" t="s">
        <v>72</v>
      </c>
      <c r="B256" s="1" t="s">
        <v>2684</v>
      </c>
      <c r="C256" s="1" t="s">
        <v>74</v>
      </c>
      <c r="D256" s="1" t="s">
        <v>74</v>
      </c>
      <c r="E256" s="1" t="s">
        <v>74</v>
      </c>
      <c r="F256" s="1" t="s">
        <v>2685</v>
      </c>
      <c r="G256" s="1" t="s">
        <v>74</v>
      </c>
      <c r="H256" s="1" t="s">
        <v>74</v>
      </c>
      <c r="I256" s="1" t="s">
        <v>2686</v>
      </c>
      <c r="J256" s="1" t="s">
        <v>2687</v>
      </c>
      <c r="K256" s="1" t="s">
        <v>74</v>
      </c>
      <c r="L256" s="1" t="s">
        <v>74</v>
      </c>
      <c r="M256" s="1" t="s">
        <v>74</v>
      </c>
      <c r="N256" s="1" t="s">
        <v>74</v>
      </c>
      <c r="O256" s="1" t="s">
        <v>74</v>
      </c>
      <c r="P256" s="1" t="s">
        <v>74</v>
      </c>
      <c r="Q256" s="1" t="s">
        <v>74</v>
      </c>
      <c r="R256" s="1" t="s">
        <v>74</v>
      </c>
      <c r="S256" s="1" t="s">
        <v>74</v>
      </c>
      <c r="T256" s="1" t="s">
        <v>74</v>
      </c>
      <c r="U256" s="1" t="s">
        <v>74</v>
      </c>
      <c r="V256" s="1" t="s">
        <v>2688</v>
      </c>
      <c r="W256" s="1" t="s">
        <v>74</v>
      </c>
      <c r="X256" s="1" t="s">
        <v>74</v>
      </c>
      <c r="Y256" s="1" t="s">
        <v>74</v>
      </c>
      <c r="Z256" s="1" t="s">
        <v>74</v>
      </c>
      <c r="AA256" s="1" t="s">
        <v>2689</v>
      </c>
      <c r="AB256" s="1" t="s">
        <v>74</v>
      </c>
      <c r="AC256" s="1" t="s">
        <v>74</v>
      </c>
      <c r="AD256" s="1" t="s">
        <v>74</v>
      </c>
      <c r="AE256" s="1" t="s">
        <v>74</v>
      </c>
      <c r="AF256" s="1" t="s">
        <v>74</v>
      </c>
      <c r="AG256" s="1" t="s">
        <v>74</v>
      </c>
      <c r="AH256" s="1" t="s">
        <v>74</v>
      </c>
      <c r="AI256" s="1" t="s">
        <v>74</v>
      </c>
      <c r="AJ256" s="1" t="s">
        <v>74</v>
      </c>
      <c r="AK256" s="1" t="s">
        <v>74</v>
      </c>
      <c r="AL256" s="1" t="s">
        <v>74</v>
      </c>
      <c r="AM256" s="1" t="s">
        <v>74</v>
      </c>
      <c r="AN256" s="1" t="s">
        <v>74</v>
      </c>
      <c r="AO256" s="1" t="s">
        <v>2690</v>
      </c>
      <c r="AP256" s="1" t="s">
        <v>2691</v>
      </c>
      <c r="AQ256" s="1" t="s">
        <v>74</v>
      </c>
      <c r="AR256" s="1" t="s">
        <v>74</v>
      </c>
      <c r="AS256" s="1" t="s">
        <v>74</v>
      </c>
      <c r="AT256" s="1" t="s">
        <v>294</v>
      </c>
      <c r="AU256" s="1">
        <v>2006.0</v>
      </c>
      <c r="AV256" s="1">
        <v>69.0</v>
      </c>
      <c r="AW256" s="1">
        <v>6.0</v>
      </c>
      <c r="AX256" s="1" t="s">
        <v>74</v>
      </c>
      <c r="AY256" s="1" t="s">
        <v>74</v>
      </c>
      <c r="AZ256" s="1" t="s">
        <v>74</v>
      </c>
      <c r="BA256" s="1" t="s">
        <v>74</v>
      </c>
      <c r="BB256" s="1">
        <v>386.0</v>
      </c>
      <c r="BC256" s="1">
        <v>395.0</v>
      </c>
      <c r="BD256" s="1" t="s">
        <v>74</v>
      </c>
      <c r="BE256" s="1" t="s">
        <v>2692</v>
      </c>
      <c r="BF256" s="2" t="str">
        <f>HYPERLINK("http://dx.doi.org/10.1002/jemt.20298","http://dx.doi.org/10.1002/jemt.20298")</f>
        <v>http://dx.doi.org/10.1002/jemt.20298</v>
      </c>
      <c r="BG256" s="1" t="s">
        <v>74</v>
      </c>
      <c r="BH256" s="1" t="s">
        <v>74</v>
      </c>
      <c r="BI256" s="1" t="s">
        <v>74</v>
      </c>
      <c r="BJ256" s="1" t="s">
        <v>74</v>
      </c>
      <c r="BK256" s="1" t="s">
        <v>74</v>
      </c>
      <c r="BL256" s="1" t="s">
        <v>74</v>
      </c>
      <c r="BM256" s="1" t="s">
        <v>74</v>
      </c>
      <c r="BN256" s="1">
        <v>1.6718662E7</v>
      </c>
      <c r="BO256" s="1" t="s">
        <v>74</v>
      </c>
      <c r="BP256" s="1" t="s">
        <v>74</v>
      </c>
      <c r="BQ256" s="1" t="s">
        <v>74</v>
      </c>
      <c r="BR256" s="1" t="s">
        <v>74</v>
      </c>
      <c r="BS256" s="1" t="s">
        <v>2693</v>
      </c>
      <c r="BT256" s="1" t="str">
        <f>HYPERLINK("https%3A%2F%2Fwww.webofscience.com%2Fwos%2Fwoscc%2Ffull-record%2FWOS:000238342900003","View Full Record in Web of Science")</f>
        <v>View Full Record in Web of Science</v>
      </c>
    </row>
    <row r="257" ht="12.75" customHeight="1">
      <c r="A257" s="1" t="s">
        <v>72</v>
      </c>
      <c r="B257" s="1" t="s">
        <v>2694</v>
      </c>
      <c r="C257" s="1" t="s">
        <v>74</v>
      </c>
      <c r="D257" s="1" t="s">
        <v>74</v>
      </c>
      <c r="E257" s="1" t="s">
        <v>74</v>
      </c>
      <c r="F257" s="1" t="s">
        <v>2694</v>
      </c>
      <c r="G257" s="1" t="s">
        <v>74</v>
      </c>
      <c r="H257" s="1" t="s">
        <v>74</v>
      </c>
      <c r="I257" s="1" t="s">
        <v>2695</v>
      </c>
      <c r="J257" s="1" t="s">
        <v>929</v>
      </c>
      <c r="K257" s="1" t="s">
        <v>74</v>
      </c>
      <c r="L257" s="1" t="s">
        <v>74</v>
      </c>
      <c r="M257" s="1" t="s">
        <v>74</v>
      </c>
      <c r="N257" s="1" t="s">
        <v>74</v>
      </c>
      <c r="O257" s="1" t="s">
        <v>74</v>
      </c>
      <c r="P257" s="1" t="s">
        <v>74</v>
      </c>
      <c r="Q257" s="1" t="s">
        <v>74</v>
      </c>
      <c r="R257" s="1" t="s">
        <v>74</v>
      </c>
      <c r="S257" s="1" t="s">
        <v>74</v>
      </c>
      <c r="T257" s="1" t="s">
        <v>74</v>
      </c>
      <c r="U257" s="1" t="s">
        <v>74</v>
      </c>
      <c r="V257" s="1" t="s">
        <v>2696</v>
      </c>
      <c r="W257" s="1" t="s">
        <v>74</v>
      </c>
      <c r="X257" s="1" t="s">
        <v>74</v>
      </c>
      <c r="Y257" s="1" t="s">
        <v>74</v>
      </c>
      <c r="Z257" s="1" t="s">
        <v>74</v>
      </c>
      <c r="AA257" s="1" t="s">
        <v>74</v>
      </c>
      <c r="AB257" s="1" t="s">
        <v>74</v>
      </c>
      <c r="AC257" s="1" t="s">
        <v>74</v>
      </c>
      <c r="AD257" s="1" t="s">
        <v>74</v>
      </c>
      <c r="AE257" s="1" t="s">
        <v>74</v>
      </c>
      <c r="AF257" s="1" t="s">
        <v>74</v>
      </c>
      <c r="AG257" s="1" t="s">
        <v>74</v>
      </c>
      <c r="AH257" s="1" t="s">
        <v>74</v>
      </c>
      <c r="AI257" s="1" t="s">
        <v>74</v>
      </c>
      <c r="AJ257" s="1" t="s">
        <v>74</v>
      </c>
      <c r="AK257" s="1" t="s">
        <v>74</v>
      </c>
      <c r="AL257" s="1" t="s">
        <v>74</v>
      </c>
      <c r="AM257" s="1" t="s">
        <v>74</v>
      </c>
      <c r="AN257" s="1" t="s">
        <v>74</v>
      </c>
      <c r="AO257" s="1" t="s">
        <v>931</v>
      </c>
      <c r="AP257" s="1" t="s">
        <v>74</v>
      </c>
      <c r="AQ257" s="1" t="s">
        <v>74</v>
      </c>
      <c r="AR257" s="1" t="s">
        <v>74</v>
      </c>
      <c r="AS257" s="1" t="s">
        <v>74</v>
      </c>
      <c r="AT257" s="1" t="s">
        <v>180</v>
      </c>
      <c r="AU257" s="1">
        <v>2006.0</v>
      </c>
      <c r="AV257" s="1">
        <v>94.0</v>
      </c>
      <c r="AW257" s="1">
        <v>1.0</v>
      </c>
      <c r="AX257" s="1" t="s">
        <v>74</v>
      </c>
      <c r="AY257" s="1" t="s">
        <v>74</v>
      </c>
      <c r="AZ257" s="1" t="s">
        <v>74</v>
      </c>
      <c r="BA257" s="1" t="s">
        <v>74</v>
      </c>
      <c r="BB257" s="1">
        <v>47.0</v>
      </c>
      <c r="BC257" s="1">
        <v>56.0</v>
      </c>
      <c r="BD257" s="1" t="s">
        <v>74</v>
      </c>
      <c r="BE257" s="1" t="s">
        <v>2697</v>
      </c>
      <c r="BF257" s="2" t="str">
        <f>HYPERLINK("http://dx.doi.org/10.1016/j.biosystemseng.2006.01.011","http://dx.doi.org/10.1016/j.biosystemseng.2006.01.011")</f>
        <v>http://dx.doi.org/10.1016/j.biosystemseng.2006.01.011</v>
      </c>
      <c r="BG257" s="1" t="s">
        <v>74</v>
      </c>
      <c r="BH257" s="1" t="s">
        <v>74</v>
      </c>
      <c r="BI257" s="1" t="s">
        <v>74</v>
      </c>
      <c r="BJ257" s="1" t="s">
        <v>74</v>
      </c>
      <c r="BK257" s="1" t="s">
        <v>74</v>
      </c>
      <c r="BL257" s="1" t="s">
        <v>74</v>
      </c>
      <c r="BM257" s="1" t="s">
        <v>74</v>
      </c>
      <c r="BN257" s="1" t="s">
        <v>74</v>
      </c>
      <c r="BO257" s="1" t="s">
        <v>74</v>
      </c>
      <c r="BP257" s="1" t="s">
        <v>74</v>
      </c>
      <c r="BQ257" s="1" t="s">
        <v>74</v>
      </c>
      <c r="BR257" s="1" t="s">
        <v>74</v>
      </c>
      <c r="BS257" s="1" t="s">
        <v>2698</v>
      </c>
      <c r="BT257" s="1" t="str">
        <f>HYPERLINK("https%3A%2F%2Fwww.webofscience.com%2Fwos%2Fwoscc%2Ffull-record%2FWOS:000237975400004","View Full Record in Web of Science")</f>
        <v>View Full Record in Web of Science</v>
      </c>
    </row>
    <row r="258" ht="12.75" customHeight="1">
      <c r="A258" s="1" t="s">
        <v>72</v>
      </c>
      <c r="B258" s="1" t="s">
        <v>2699</v>
      </c>
      <c r="C258" s="1" t="s">
        <v>74</v>
      </c>
      <c r="D258" s="1" t="s">
        <v>74</v>
      </c>
      <c r="E258" s="1" t="s">
        <v>74</v>
      </c>
      <c r="F258" s="1" t="s">
        <v>2699</v>
      </c>
      <c r="G258" s="1" t="s">
        <v>74</v>
      </c>
      <c r="H258" s="1" t="s">
        <v>74</v>
      </c>
      <c r="I258" s="1" t="s">
        <v>2700</v>
      </c>
      <c r="J258" s="1" t="s">
        <v>948</v>
      </c>
      <c r="K258" s="1" t="s">
        <v>74</v>
      </c>
      <c r="L258" s="1" t="s">
        <v>74</v>
      </c>
      <c r="M258" s="1" t="s">
        <v>74</v>
      </c>
      <c r="N258" s="1" t="s">
        <v>74</v>
      </c>
      <c r="O258" s="1" t="s">
        <v>74</v>
      </c>
      <c r="P258" s="1" t="s">
        <v>74</v>
      </c>
      <c r="Q258" s="1" t="s">
        <v>74</v>
      </c>
      <c r="R258" s="1" t="s">
        <v>74</v>
      </c>
      <c r="S258" s="1" t="s">
        <v>74</v>
      </c>
      <c r="T258" s="1" t="s">
        <v>74</v>
      </c>
      <c r="U258" s="1" t="s">
        <v>74</v>
      </c>
      <c r="V258" s="1" t="s">
        <v>2701</v>
      </c>
      <c r="W258" s="1" t="s">
        <v>74</v>
      </c>
      <c r="X258" s="1" t="s">
        <v>74</v>
      </c>
      <c r="Y258" s="1" t="s">
        <v>74</v>
      </c>
      <c r="Z258" s="1" t="s">
        <v>74</v>
      </c>
      <c r="AA258" s="1" t="s">
        <v>2702</v>
      </c>
      <c r="AB258" s="1" t="s">
        <v>2703</v>
      </c>
      <c r="AC258" s="1" t="s">
        <v>74</v>
      </c>
      <c r="AD258" s="1" t="s">
        <v>74</v>
      </c>
      <c r="AE258" s="1" t="s">
        <v>74</v>
      </c>
      <c r="AF258" s="1" t="s">
        <v>74</v>
      </c>
      <c r="AG258" s="1" t="s">
        <v>74</v>
      </c>
      <c r="AH258" s="1" t="s">
        <v>74</v>
      </c>
      <c r="AI258" s="1" t="s">
        <v>74</v>
      </c>
      <c r="AJ258" s="1" t="s">
        <v>74</v>
      </c>
      <c r="AK258" s="1" t="s">
        <v>74</v>
      </c>
      <c r="AL258" s="1" t="s">
        <v>74</v>
      </c>
      <c r="AM258" s="1" t="s">
        <v>74</v>
      </c>
      <c r="AN258" s="1" t="s">
        <v>74</v>
      </c>
      <c r="AO258" s="1" t="s">
        <v>951</v>
      </c>
      <c r="AP258" s="1" t="s">
        <v>952</v>
      </c>
      <c r="AQ258" s="1" t="s">
        <v>74</v>
      </c>
      <c r="AR258" s="1" t="s">
        <v>74</v>
      </c>
      <c r="AS258" s="1" t="s">
        <v>74</v>
      </c>
      <c r="AT258" s="1" t="s">
        <v>2704</v>
      </c>
      <c r="AU258" s="1">
        <v>2005.0</v>
      </c>
      <c r="AV258" s="1">
        <v>109.0</v>
      </c>
      <c r="AW258" s="1">
        <v>34.0</v>
      </c>
      <c r="AX258" s="1" t="s">
        <v>74</v>
      </c>
      <c r="AY258" s="1" t="s">
        <v>74</v>
      </c>
      <c r="AZ258" s="1" t="s">
        <v>74</v>
      </c>
      <c r="BA258" s="1" t="s">
        <v>74</v>
      </c>
      <c r="BB258" s="1">
        <v>7822.0</v>
      </c>
      <c r="BC258" s="1">
        <v>7831.0</v>
      </c>
      <c r="BD258" s="1" t="s">
        <v>74</v>
      </c>
      <c r="BE258" s="1" t="s">
        <v>2705</v>
      </c>
      <c r="BF258" s="2" t="str">
        <f>HYPERLINK("http://dx.doi.org/10.1021/jp052291+","http://dx.doi.org/10.1021/jp052291+")</f>
        <v>http://dx.doi.org/10.1021/jp052291+</v>
      </c>
      <c r="BG258" s="1" t="s">
        <v>74</v>
      </c>
      <c r="BH258" s="1" t="s">
        <v>74</v>
      </c>
      <c r="BI258" s="1" t="s">
        <v>74</v>
      </c>
      <c r="BJ258" s="1" t="s">
        <v>74</v>
      </c>
      <c r="BK258" s="1" t="s">
        <v>74</v>
      </c>
      <c r="BL258" s="1" t="s">
        <v>74</v>
      </c>
      <c r="BM258" s="1" t="s">
        <v>74</v>
      </c>
      <c r="BN258" s="1">
        <v>1.683416E7</v>
      </c>
      <c r="BO258" s="1" t="s">
        <v>74</v>
      </c>
      <c r="BP258" s="1" t="s">
        <v>74</v>
      </c>
      <c r="BQ258" s="1" t="s">
        <v>74</v>
      </c>
      <c r="BR258" s="1" t="s">
        <v>74</v>
      </c>
      <c r="BS258" s="1" t="s">
        <v>2706</v>
      </c>
      <c r="BT258" s="1" t="str">
        <f>HYPERLINK("https%3A%2F%2Fwww.webofscience.com%2Fwos%2Fwoscc%2Ffull-record%2FWOS:000231497400023","View Full Record in Web of Science")</f>
        <v>View Full Record in Web of Science</v>
      </c>
    </row>
    <row r="259" ht="12.75" customHeight="1">
      <c r="A259" s="1" t="s">
        <v>72</v>
      </c>
      <c r="B259" s="1" t="s">
        <v>2707</v>
      </c>
      <c r="C259" s="1" t="s">
        <v>74</v>
      </c>
      <c r="D259" s="1" t="s">
        <v>74</v>
      </c>
      <c r="E259" s="1" t="s">
        <v>74</v>
      </c>
      <c r="F259" s="1" t="s">
        <v>2707</v>
      </c>
      <c r="G259" s="1" t="s">
        <v>74</v>
      </c>
      <c r="H259" s="1" t="s">
        <v>74</v>
      </c>
      <c r="I259" s="1" t="s">
        <v>2708</v>
      </c>
      <c r="J259" s="1" t="s">
        <v>2709</v>
      </c>
      <c r="K259" s="1" t="s">
        <v>74</v>
      </c>
      <c r="L259" s="1" t="s">
        <v>74</v>
      </c>
      <c r="M259" s="1" t="s">
        <v>74</v>
      </c>
      <c r="N259" s="1" t="s">
        <v>74</v>
      </c>
      <c r="O259" s="1" t="s">
        <v>74</v>
      </c>
      <c r="P259" s="1" t="s">
        <v>74</v>
      </c>
      <c r="Q259" s="1" t="s">
        <v>74</v>
      </c>
      <c r="R259" s="1" t="s">
        <v>74</v>
      </c>
      <c r="S259" s="1" t="s">
        <v>74</v>
      </c>
      <c r="T259" s="1" t="s">
        <v>74</v>
      </c>
      <c r="U259" s="1" t="s">
        <v>74</v>
      </c>
      <c r="V259" s="1" t="s">
        <v>2710</v>
      </c>
      <c r="W259" s="1" t="s">
        <v>74</v>
      </c>
      <c r="X259" s="1" t="s">
        <v>74</v>
      </c>
      <c r="Y259" s="1" t="s">
        <v>74</v>
      </c>
      <c r="Z259" s="1" t="s">
        <v>74</v>
      </c>
      <c r="AA259" s="1" t="s">
        <v>2711</v>
      </c>
      <c r="AB259" s="1" t="s">
        <v>2712</v>
      </c>
      <c r="AC259" s="1" t="s">
        <v>74</v>
      </c>
      <c r="AD259" s="1" t="s">
        <v>74</v>
      </c>
      <c r="AE259" s="1" t="s">
        <v>74</v>
      </c>
      <c r="AF259" s="1" t="s">
        <v>74</v>
      </c>
      <c r="AG259" s="1" t="s">
        <v>74</v>
      </c>
      <c r="AH259" s="1" t="s">
        <v>74</v>
      </c>
      <c r="AI259" s="1" t="s">
        <v>74</v>
      </c>
      <c r="AJ259" s="1" t="s">
        <v>74</v>
      </c>
      <c r="AK259" s="1" t="s">
        <v>74</v>
      </c>
      <c r="AL259" s="1" t="s">
        <v>74</v>
      </c>
      <c r="AM259" s="1" t="s">
        <v>74</v>
      </c>
      <c r="AN259" s="1" t="s">
        <v>74</v>
      </c>
      <c r="AO259" s="1" t="s">
        <v>2713</v>
      </c>
      <c r="AP259" s="1" t="s">
        <v>2714</v>
      </c>
      <c r="AQ259" s="1" t="s">
        <v>74</v>
      </c>
      <c r="AR259" s="1" t="s">
        <v>74</v>
      </c>
      <c r="AS259" s="1" t="s">
        <v>74</v>
      </c>
      <c r="AT259" s="1" t="s">
        <v>2715</v>
      </c>
      <c r="AU259" s="1">
        <v>2005.0</v>
      </c>
      <c r="AV259" s="1">
        <v>7.0</v>
      </c>
      <c r="AW259" s="1">
        <v>17.0</v>
      </c>
      <c r="AX259" s="1" t="s">
        <v>74</v>
      </c>
      <c r="AY259" s="1" t="s">
        <v>74</v>
      </c>
      <c r="AZ259" s="1" t="s">
        <v>74</v>
      </c>
      <c r="BA259" s="1" t="s">
        <v>74</v>
      </c>
      <c r="BB259" s="1">
        <v>3665.0</v>
      </c>
      <c r="BC259" s="1">
        <v>3668.0</v>
      </c>
      <c r="BD259" s="1" t="s">
        <v>74</v>
      </c>
      <c r="BE259" s="1" t="s">
        <v>2716</v>
      </c>
      <c r="BF259" s="2" t="str">
        <f>HYPERLINK("http://dx.doi.org/10.1021/ol050839p","http://dx.doi.org/10.1021/ol050839p")</f>
        <v>http://dx.doi.org/10.1021/ol050839p</v>
      </c>
      <c r="BG259" s="1" t="s">
        <v>74</v>
      </c>
      <c r="BH259" s="1" t="s">
        <v>74</v>
      </c>
      <c r="BI259" s="1" t="s">
        <v>74</v>
      </c>
      <c r="BJ259" s="1" t="s">
        <v>74</v>
      </c>
      <c r="BK259" s="1" t="s">
        <v>74</v>
      </c>
      <c r="BL259" s="1" t="s">
        <v>74</v>
      </c>
      <c r="BM259" s="1" t="s">
        <v>74</v>
      </c>
      <c r="BN259" s="1">
        <v>1.6092845E7</v>
      </c>
      <c r="BO259" s="1" t="s">
        <v>74</v>
      </c>
      <c r="BP259" s="1" t="s">
        <v>74</v>
      </c>
      <c r="BQ259" s="1" t="s">
        <v>74</v>
      </c>
      <c r="BR259" s="1" t="s">
        <v>74</v>
      </c>
      <c r="BS259" s="1" t="s">
        <v>2717</v>
      </c>
      <c r="BT259" s="1" t="str">
        <f>HYPERLINK("https%3A%2F%2Fwww.webofscience.com%2Fwos%2Fwoscc%2Ffull-record%2FWOS:000231294400017","View Full Record in Web of Science")</f>
        <v>View Full Record in Web of Science</v>
      </c>
    </row>
    <row r="260" ht="12.75" customHeight="1">
      <c r="A260" s="1" t="s">
        <v>72</v>
      </c>
      <c r="B260" s="1" t="s">
        <v>2718</v>
      </c>
      <c r="C260" s="1" t="s">
        <v>74</v>
      </c>
      <c r="D260" s="1" t="s">
        <v>74</v>
      </c>
      <c r="E260" s="1" t="s">
        <v>74</v>
      </c>
      <c r="F260" s="1" t="s">
        <v>2718</v>
      </c>
      <c r="G260" s="1" t="s">
        <v>74</v>
      </c>
      <c r="H260" s="1" t="s">
        <v>74</v>
      </c>
      <c r="I260" s="1" t="s">
        <v>2719</v>
      </c>
      <c r="J260" s="1" t="s">
        <v>929</v>
      </c>
      <c r="K260" s="1" t="s">
        <v>74</v>
      </c>
      <c r="L260" s="1" t="s">
        <v>74</v>
      </c>
      <c r="M260" s="1" t="s">
        <v>74</v>
      </c>
      <c r="N260" s="1" t="s">
        <v>74</v>
      </c>
      <c r="O260" s="1" t="s">
        <v>74</v>
      </c>
      <c r="P260" s="1" t="s">
        <v>74</v>
      </c>
      <c r="Q260" s="1" t="s">
        <v>74</v>
      </c>
      <c r="R260" s="1" t="s">
        <v>74</v>
      </c>
      <c r="S260" s="1" t="s">
        <v>74</v>
      </c>
      <c r="T260" s="1" t="s">
        <v>74</v>
      </c>
      <c r="U260" s="1" t="s">
        <v>74</v>
      </c>
      <c r="V260" s="1" t="s">
        <v>2720</v>
      </c>
      <c r="W260" s="1" t="s">
        <v>74</v>
      </c>
      <c r="X260" s="1" t="s">
        <v>74</v>
      </c>
      <c r="Y260" s="1" t="s">
        <v>74</v>
      </c>
      <c r="Z260" s="1" t="s">
        <v>74</v>
      </c>
      <c r="AA260" s="1" t="s">
        <v>74</v>
      </c>
      <c r="AB260" s="1" t="s">
        <v>74</v>
      </c>
      <c r="AC260" s="1" t="s">
        <v>74</v>
      </c>
      <c r="AD260" s="1" t="s">
        <v>74</v>
      </c>
      <c r="AE260" s="1" t="s">
        <v>74</v>
      </c>
      <c r="AF260" s="1" t="s">
        <v>74</v>
      </c>
      <c r="AG260" s="1" t="s">
        <v>74</v>
      </c>
      <c r="AH260" s="1" t="s">
        <v>74</v>
      </c>
      <c r="AI260" s="1" t="s">
        <v>74</v>
      </c>
      <c r="AJ260" s="1" t="s">
        <v>74</v>
      </c>
      <c r="AK260" s="1" t="s">
        <v>74</v>
      </c>
      <c r="AL260" s="1" t="s">
        <v>74</v>
      </c>
      <c r="AM260" s="1" t="s">
        <v>74</v>
      </c>
      <c r="AN260" s="1" t="s">
        <v>74</v>
      </c>
      <c r="AO260" s="1" t="s">
        <v>931</v>
      </c>
      <c r="AP260" s="1" t="s">
        <v>932</v>
      </c>
      <c r="AQ260" s="1" t="s">
        <v>74</v>
      </c>
      <c r="AR260" s="1" t="s">
        <v>74</v>
      </c>
      <c r="AS260" s="1" t="s">
        <v>74</v>
      </c>
      <c r="AT260" s="1" t="s">
        <v>180</v>
      </c>
      <c r="AU260" s="1">
        <v>2004.0</v>
      </c>
      <c r="AV260" s="1">
        <v>88.0</v>
      </c>
      <c r="AW260" s="1">
        <v>1.0</v>
      </c>
      <c r="AX260" s="1" t="s">
        <v>74</v>
      </c>
      <c r="AY260" s="1" t="s">
        <v>74</v>
      </c>
      <c r="AZ260" s="1" t="s">
        <v>74</v>
      </c>
      <c r="BA260" s="1" t="s">
        <v>74</v>
      </c>
      <c r="BB260" s="1">
        <v>105.0</v>
      </c>
      <c r="BC260" s="1">
        <v>115.0</v>
      </c>
      <c r="BD260" s="1" t="s">
        <v>74</v>
      </c>
      <c r="BE260" s="1" t="s">
        <v>2721</v>
      </c>
      <c r="BF260" s="2" t="str">
        <f>HYPERLINK("http://dx.doi.org/10.1016/j.biosystemseng.2004.02.005","http://dx.doi.org/10.1016/j.biosystemseng.2004.02.005")</f>
        <v>http://dx.doi.org/10.1016/j.biosystemseng.2004.02.005</v>
      </c>
      <c r="BG260" s="1" t="s">
        <v>74</v>
      </c>
      <c r="BH260" s="1" t="s">
        <v>74</v>
      </c>
      <c r="BI260" s="1" t="s">
        <v>74</v>
      </c>
      <c r="BJ260" s="1" t="s">
        <v>74</v>
      </c>
      <c r="BK260" s="1" t="s">
        <v>74</v>
      </c>
      <c r="BL260" s="1" t="s">
        <v>74</v>
      </c>
      <c r="BM260" s="1" t="s">
        <v>74</v>
      </c>
      <c r="BN260" s="1" t="s">
        <v>74</v>
      </c>
      <c r="BO260" s="1" t="s">
        <v>74</v>
      </c>
      <c r="BP260" s="1" t="s">
        <v>74</v>
      </c>
      <c r="BQ260" s="1" t="s">
        <v>74</v>
      </c>
      <c r="BR260" s="1" t="s">
        <v>74</v>
      </c>
      <c r="BS260" s="1" t="s">
        <v>2722</v>
      </c>
      <c r="BT260" s="1" t="str">
        <f>HYPERLINK("https%3A%2F%2Fwww.webofscience.com%2Fwos%2Fwoscc%2Ffull-record%2FWOS:000221409300010","View Full Record in Web of Science")</f>
        <v>View Full Record in Web of Science</v>
      </c>
    </row>
    <row r="261" ht="12.75" customHeight="1">
      <c r="A261" s="1" t="s">
        <v>72</v>
      </c>
      <c r="B261" s="1" t="s">
        <v>2723</v>
      </c>
      <c r="C261" s="1" t="s">
        <v>74</v>
      </c>
      <c r="D261" s="1" t="s">
        <v>74</v>
      </c>
      <c r="E261" s="1" t="s">
        <v>74</v>
      </c>
      <c r="F261" s="1" t="s">
        <v>2723</v>
      </c>
      <c r="G261" s="1" t="s">
        <v>74</v>
      </c>
      <c r="H261" s="1" t="s">
        <v>74</v>
      </c>
      <c r="I261" s="1" t="s">
        <v>2724</v>
      </c>
      <c r="J261" s="1" t="s">
        <v>2725</v>
      </c>
      <c r="K261" s="1" t="s">
        <v>74</v>
      </c>
      <c r="L261" s="1" t="s">
        <v>74</v>
      </c>
      <c r="M261" s="1" t="s">
        <v>74</v>
      </c>
      <c r="N261" s="1" t="s">
        <v>74</v>
      </c>
      <c r="O261" s="1" t="s">
        <v>74</v>
      </c>
      <c r="P261" s="1" t="s">
        <v>74</v>
      </c>
      <c r="Q261" s="1" t="s">
        <v>74</v>
      </c>
      <c r="R261" s="1" t="s">
        <v>74</v>
      </c>
      <c r="S261" s="1" t="s">
        <v>74</v>
      </c>
      <c r="T261" s="1" t="s">
        <v>74</v>
      </c>
      <c r="U261" s="1" t="s">
        <v>74</v>
      </c>
      <c r="V261" s="1" t="s">
        <v>2726</v>
      </c>
      <c r="W261" s="1" t="s">
        <v>74</v>
      </c>
      <c r="X261" s="1" t="s">
        <v>74</v>
      </c>
      <c r="Y261" s="1" t="s">
        <v>74</v>
      </c>
      <c r="Z261" s="1" t="s">
        <v>74</v>
      </c>
      <c r="AA261" s="1" t="s">
        <v>2727</v>
      </c>
      <c r="AB261" s="1" t="s">
        <v>2728</v>
      </c>
      <c r="AC261" s="1" t="s">
        <v>74</v>
      </c>
      <c r="AD261" s="1" t="s">
        <v>74</v>
      </c>
      <c r="AE261" s="1" t="s">
        <v>74</v>
      </c>
      <c r="AF261" s="1" t="s">
        <v>74</v>
      </c>
      <c r="AG261" s="1" t="s">
        <v>74</v>
      </c>
      <c r="AH261" s="1" t="s">
        <v>74</v>
      </c>
      <c r="AI261" s="1" t="s">
        <v>74</v>
      </c>
      <c r="AJ261" s="1" t="s">
        <v>74</v>
      </c>
      <c r="AK261" s="1" t="s">
        <v>74</v>
      </c>
      <c r="AL261" s="1" t="s">
        <v>74</v>
      </c>
      <c r="AM261" s="1" t="s">
        <v>74</v>
      </c>
      <c r="AN261" s="1" t="s">
        <v>74</v>
      </c>
      <c r="AO261" s="1" t="s">
        <v>2729</v>
      </c>
      <c r="AP261" s="1" t="s">
        <v>2730</v>
      </c>
      <c r="AQ261" s="1" t="s">
        <v>74</v>
      </c>
      <c r="AR261" s="1" t="s">
        <v>74</v>
      </c>
      <c r="AS261" s="1" t="s">
        <v>74</v>
      </c>
      <c r="AT261" s="1" t="s">
        <v>339</v>
      </c>
      <c r="AU261" s="1">
        <v>2003.0</v>
      </c>
      <c r="AV261" s="1">
        <v>113.0</v>
      </c>
      <c r="AW261" s="1">
        <v>9.0</v>
      </c>
      <c r="AX261" s="1" t="s">
        <v>74</v>
      </c>
      <c r="AY261" s="1" t="s">
        <v>74</v>
      </c>
      <c r="AZ261" s="1" t="s">
        <v>74</v>
      </c>
      <c r="BA261" s="1" t="s">
        <v>74</v>
      </c>
      <c r="BB261" s="1">
        <v>1305.0</v>
      </c>
      <c r="BC261" s="1">
        <v>1313.0</v>
      </c>
      <c r="BD261" s="1" t="s">
        <v>74</v>
      </c>
      <c r="BE261" s="1" t="s">
        <v>2731</v>
      </c>
      <c r="BF261" s="2" t="str">
        <f>HYPERLINK("http://dx.doi.org/10.1080/00207450390212483","http://dx.doi.org/10.1080/00207450390212483")</f>
        <v>http://dx.doi.org/10.1080/00207450390212483</v>
      </c>
      <c r="BG261" s="1" t="s">
        <v>74</v>
      </c>
      <c r="BH261" s="1" t="s">
        <v>74</v>
      </c>
      <c r="BI261" s="1" t="s">
        <v>74</v>
      </c>
      <c r="BJ261" s="1" t="s">
        <v>74</v>
      </c>
      <c r="BK261" s="1" t="s">
        <v>74</v>
      </c>
      <c r="BL261" s="1" t="s">
        <v>74</v>
      </c>
      <c r="BM261" s="1" t="s">
        <v>74</v>
      </c>
      <c r="BN261" s="1">
        <v>1.2959746E7</v>
      </c>
      <c r="BO261" s="1" t="s">
        <v>74</v>
      </c>
      <c r="BP261" s="1" t="s">
        <v>74</v>
      </c>
      <c r="BQ261" s="1" t="s">
        <v>74</v>
      </c>
      <c r="BR261" s="1" t="s">
        <v>74</v>
      </c>
      <c r="BS261" s="1" t="s">
        <v>2732</v>
      </c>
      <c r="BT261" s="1" t="str">
        <f>HYPERLINK("https%3A%2F%2Fwww.webofscience.com%2Fwos%2Fwoscc%2Ffull-record%2FWOS:000185728700010","View Full Record in Web of Science")</f>
        <v>View Full Record in Web of Science</v>
      </c>
    </row>
    <row r="262" ht="12.75" customHeight="1">
      <c r="A262" s="1" t="s">
        <v>72</v>
      </c>
      <c r="B262" s="1" t="s">
        <v>2733</v>
      </c>
      <c r="C262" s="1" t="s">
        <v>74</v>
      </c>
      <c r="D262" s="1" t="s">
        <v>74</v>
      </c>
      <c r="E262" s="1" t="s">
        <v>74</v>
      </c>
      <c r="F262" s="1" t="s">
        <v>2733</v>
      </c>
      <c r="G262" s="1" t="s">
        <v>74</v>
      </c>
      <c r="H262" s="1" t="s">
        <v>74</v>
      </c>
      <c r="I262" s="1" t="s">
        <v>2734</v>
      </c>
      <c r="J262" s="1" t="s">
        <v>708</v>
      </c>
      <c r="K262" s="1" t="s">
        <v>74</v>
      </c>
      <c r="L262" s="1" t="s">
        <v>74</v>
      </c>
      <c r="M262" s="1" t="s">
        <v>74</v>
      </c>
      <c r="N262" s="1" t="s">
        <v>74</v>
      </c>
      <c r="O262" s="1" t="s">
        <v>74</v>
      </c>
      <c r="P262" s="1" t="s">
        <v>74</v>
      </c>
      <c r="Q262" s="1" t="s">
        <v>74</v>
      </c>
      <c r="R262" s="1" t="s">
        <v>74</v>
      </c>
      <c r="S262" s="1" t="s">
        <v>74</v>
      </c>
      <c r="T262" s="1" t="s">
        <v>74</v>
      </c>
      <c r="U262" s="1" t="s">
        <v>74</v>
      </c>
      <c r="V262" s="1" t="s">
        <v>2735</v>
      </c>
      <c r="W262" s="1" t="s">
        <v>74</v>
      </c>
      <c r="X262" s="1" t="s">
        <v>74</v>
      </c>
      <c r="Y262" s="1" t="s">
        <v>74</v>
      </c>
      <c r="Z262" s="1" t="s">
        <v>74</v>
      </c>
      <c r="AA262" s="1" t="s">
        <v>2736</v>
      </c>
      <c r="AB262" s="1" t="s">
        <v>2737</v>
      </c>
      <c r="AC262" s="1" t="s">
        <v>74</v>
      </c>
      <c r="AD262" s="1" t="s">
        <v>74</v>
      </c>
      <c r="AE262" s="1" t="s">
        <v>74</v>
      </c>
      <c r="AF262" s="1" t="s">
        <v>74</v>
      </c>
      <c r="AG262" s="1" t="s">
        <v>74</v>
      </c>
      <c r="AH262" s="1" t="s">
        <v>74</v>
      </c>
      <c r="AI262" s="1" t="s">
        <v>74</v>
      </c>
      <c r="AJ262" s="1" t="s">
        <v>74</v>
      </c>
      <c r="AK262" s="1" t="s">
        <v>74</v>
      </c>
      <c r="AL262" s="1" t="s">
        <v>74</v>
      </c>
      <c r="AM262" s="1" t="s">
        <v>74</v>
      </c>
      <c r="AN262" s="1" t="s">
        <v>74</v>
      </c>
      <c r="AO262" s="1" t="s">
        <v>711</v>
      </c>
      <c r="AP262" s="1" t="s">
        <v>74</v>
      </c>
      <c r="AQ262" s="1" t="s">
        <v>74</v>
      </c>
      <c r="AR262" s="1" t="s">
        <v>74</v>
      </c>
      <c r="AS262" s="1" t="s">
        <v>74</v>
      </c>
      <c r="AT262" s="1" t="s">
        <v>180</v>
      </c>
      <c r="AU262" s="1">
        <v>2003.0</v>
      </c>
      <c r="AV262" s="1">
        <v>22.0</v>
      </c>
      <c r="AW262" s="1">
        <v>4.0</v>
      </c>
      <c r="AX262" s="1" t="s">
        <v>74</v>
      </c>
      <c r="AY262" s="1" t="s">
        <v>74</v>
      </c>
      <c r="AZ262" s="1" t="s">
        <v>74</v>
      </c>
      <c r="BA262" s="1" t="s">
        <v>74</v>
      </c>
      <c r="BB262" s="1">
        <v>311.0</v>
      </c>
      <c r="BC262" s="1">
        <v>315.0</v>
      </c>
      <c r="BD262" s="1" t="s">
        <v>74</v>
      </c>
      <c r="BE262" s="1" t="s">
        <v>2738</v>
      </c>
      <c r="BF262" s="2" t="str">
        <f>HYPERLINK("http://dx.doi.org/10.1023/A:1025306105105","http://dx.doi.org/10.1023/A:1025306105105")</f>
        <v>http://dx.doi.org/10.1023/A:1025306105105</v>
      </c>
      <c r="BG262" s="1" t="s">
        <v>74</v>
      </c>
      <c r="BH262" s="1" t="s">
        <v>74</v>
      </c>
      <c r="BI262" s="1" t="s">
        <v>74</v>
      </c>
      <c r="BJ262" s="1" t="s">
        <v>74</v>
      </c>
      <c r="BK262" s="1" t="s">
        <v>74</v>
      </c>
      <c r="BL262" s="1" t="s">
        <v>74</v>
      </c>
      <c r="BM262" s="1" t="s">
        <v>74</v>
      </c>
      <c r="BN262" s="1">
        <v>1.3678294E7</v>
      </c>
      <c r="BO262" s="1" t="s">
        <v>74</v>
      </c>
      <c r="BP262" s="1" t="s">
        <v>74</v>
      </c>
      <c r="BQ262" s="1" t="s">
        <v>74</v>
      </c>
      <c r="BR262" s="1" t="s">
        <v>74</v>
      </c>
      <c r="BS262" s="1" t="s">
        <v>2739</v>
      </c>
      <c r="BT262" s="1" t="str">
        <f>HYPERLINK("https%3A%2F%2Fwww.webofscience.com%2Fwos%2Fwoscc%2Ffull-record%2FWOS:000184875600001","View Full Record in Web of Science")</f>
        <v>View Full Record in Web of Science</v>
      </c>
    </row>
    <row r="263" ht="12.75" customHeight="1">
      <c r="A263" s="1" t="s">
        <v>72</v>
      </c>
      <c r="B263" s="1" t="s">
        <v>2740</v>
      </c>
      <c r="C263" s="1" t="s">
        <v>74</v>
      </c>
      <c r="D263" s="1" t="s">
        <v>74</v>
      </c>
      <c r="E263" s="1" t="s">
        <v>74</v>
      </c>
      <c r="F263" s="1" t="s">
        <v>2741</v>
      </c>
      <c r="G263" s="1" t="s">
        <v>74</v>
      </c>
      <c r="H263" s="1" t="s">
        <v>74</v>
      </c>
      <c r="I263" s="1" t="s">
        <v>2742</v>
      </c>
      <c r="J263" s="1" t="s">
        <v>2743</v>
      </c>
      <c r="K263" s="1" t="s">
        <v>74</v>
      </c>
      <c r="L263" s="1" t="s">
        <v>74</v>
      </c>
      <c r="M263" s="1" t="s">
        <v>74</v>
      </c>
      <c r="N263" s="1" t="s">
        <v>74</v>
      </c>
      <c r="O263" s="1" t="s">
        <v>74</v>
      </c>
      <c r="P263" s="1" t="s">
        <v>74</v>
      </c>
      <c r="Q263" s="1" t="s">
        <v>74</v>
      </c>
      <c r="R263" s="1" t="s">
        <v>74</v>
      </c>
      <c r="S263" s="1" t="s">
        <v>74</v>
      </c>
      <c r="T263" s="1" t="s">
        <v>74</v>
      </c>
      <c r="U263" s="1" t="s">
        <v>74</v>
      </c>
      <c r="V263" s="1" t="s">
        <v>74</v>
      </c>
      <c r="W263" s="1" t="s">
        <v>74</v>
      </c>
      <c r="X263" s="1" t="s">
        <v>74</v>
      </c>
      <c r="Y263" s="1" t="s">
        <v>74</v>
      </c>
      <c r="Z263" s="1" t="s">
        <v>74</v>
      </c>
      <c r="AA263" s="1" t="s">
        <v>74</v>
      </c>
      <c r="AB263" s="1" t="s">
        <v>74</v>
      </c>
      <c r="AC263" s="1" t="s">
        <v>74</v>
      </c>
      <c r="AD263" s="1" t="s">
        <v>74</v>
      </c>
      <c r="AE263" s="1" t="s">
        <v>74</v>
      </c>
      <c r="AF263" s="1" t="s">
        <v>74</v>
      </c>
      <c r="AG263" s="1" t="s">
        <v>74</v>
      </c>
      <c r="AH263" s="1" t="s">
        <v>74</v>
      </c>
      <c r="AI263" s="1" t="s">
        <v>74</v>
      </c>
      <c r="AJ263" s="1" t="s">
        <v>74</v>
      </c>
      <c r="AK263" s="1" t="s">
        <v>74</v>
      </c>
      <c r="AL263" s="1" t="s">
        <v>74</v>
      </c>
      <c r="AM263" s="1" t="s">
        <v>74</v>
      </c>
      <c r="AN263" s="1" t="s">
        <v>74</v>
      </c>
      <c r="AO263" s="1" t="s">
        <v>2744</v>
      </c>
      <c r="AP263" s="1" t="s">
        <v>74</v>
      </c>
      <c r="AQ263" s="1" t="s">
        <v>74</v>
      </c>
      <c r="AR263" s="1" t="s">
        <v>74</v>
      </c>
      <c r="AS263" s="1" t="s">
        <v>74</v>
      </c>
      <c r="AT263" s="1" t="s">
        <v>74</v>
      </c>
      <c r="AU263" s="1">
        <v>2002.0</v>
      </c>
      <c r="AV263" s="1">
        <v>58.0</v>
      </c>
      <c r="AW263" s="1" t="s">
        <v>74</v>
      </c>
      <c r="AX263" s="1" t="s">
        <v>74</v>
      </c>
      <c r="AY263" s="1" t="s">
        <v>506</v>
      </c>
      <c r="AZ263" s="1" t="s">
        <v>74</v>
      </c>
      <c r="BA263" s="1" t="s">
        <v>74</v>
      </c>
      <c r="BB263" s="1" t="s">
        <v>2745</v>
      </c>
      <c r="BC263" s="1" t="s">
        <v>2745</v>
      </c>
      <c r="BD263" s="1" t="s">
        <v>74</v>
      </c>
      <c r="BE263" s="1" t="s">
        <v>2746</v>
      </c>
      <c r="BF263" s="2" t="str">
        <f>HYPERLINK("http://dx.doi.org/10.1107/S0108767302090232","http://dx.doi.org/10.1107/S0108767302090232")</f>
        <v>http://dx.doi.org/10.1107/S0108767302090232</v>
      </c>
      <c r="BG263" s="1" t="s">
        <v>74</v>
      </c>
      <c r="BH263" s="1" t="s">
        <v>74</v>
      </c>
      <c r="BI263" s="1" t="s">
        <v>74</v>
      </c>
      <c r="BJ263" s="1" t="s">
        <v>74</v>
      </c>
      <c r="BK263" s="1" t="s">
        <v>74</v>
      </c>
      <c r="BL263" s="1" t="s">
        <v>74</v>
      </c>
      <c r="BM263" s="1" t="s">
        <v>74</v>
      </c>
      <c r="BN263" s="1" t="s">
        <v>74</v>
      </c>
      <c r="BO263" s="1" t="s">
        <v>74</v>
      </c>
      <c r="BP263" s="1" t="s">
        <v>74</v>
      </c>
      <c r="BQ263" s="1" t="s">
        <v>74</v>
      </c>
      <c r="BR263" s="1" t="s">
        <v>74</v>
      </c>
      <c r="BS263" s="1" t="s">
        <v>2747</v>
      </c>
      <c r="BT263" s="1" t="str">
        <f>HYPERLINK("https%3A%2F%2Fwww.webofscience.com%2Fwos%2Fwoscc%2Ffull-record%2FWOS:000475976700511","View Full Record in Web of Science")</f>
        <v>View Full Record in Web of Science</v>
      </c>
    </row>
    <row r="264" ht="12.75" customHeight="1">
      <c r="A264" s="1" t="s">
        <v>72</v>
      </c>
      <c r="B264" s="1" t="s">
        <v>2748</v>
      </c>
      <c r="C264" s="1" t="s">
        <v>74</v>
      </c>
      <c r="D264" s="1" t="s">
        <v>74</v>
      </c>
      <c r="E264" s="1" t="s">
        <v>74</v>
      </c>
      <c r="F264" s="1" t="s">
        <v>2748</v>
      </c>
      <c r="G264" s="1" t="s">
        <v>74</v>
      </c>
      <c r="H264" s="1" t="s">
        <v>74</v>
      </c>
      <c r="I264" s="1" t="s">
        <v>2749</v>
      </c>
      <c r="J264" s="1" t="s">
        <v>2750</v>
      </c>
      <c r="K264" s="1" t="s">
        <v>74</v>
      </c>
      <c r="L264" s="1" t="s">
        <v>74</v>
      </c>
      <c r="M264" s="1" t="s">
        <v>74</v>
      </c>
      <c r="N264" s="1" t="s">
        <v>74</v>
      </c>
      <c r="O264" s="1" t="s">
        <v>74</v>
      </c>
      <c r="P264" s="1" t="s">
        <v>74</v>
      </c>
      <c r="Q264" s="1" t="s">
        <v>74</v>
      </c>
      <c r="R264" s="1" t="s">
        <v>74</v>
      </c>
      <c r="S264" s="1" t="s">
        <v>74</v>
      </c>
      <c r="T264" s="1" t="s">
        <v>74</v>
      </c>
      <c r="U264" s="1" t="s">
        <v>74</v>
      </c>
      <c r="V264" s="1" t="s">
        <v>2751</v>
      </c>
      <c r="W264" s="1" t="s">
        <v>74</v>
      </c>
      <c r="X264" s="1" t="s">
        <v>74</v>
      </c>
      <c r="Y264" s="1" t="s">
        <v>74</v>
      </c>
      <c r="Z264" s="1" t="s">
        <v>74</v>
      </c>
      <c r="AA264" s="1" t="s">
        <v>2752</v>
      </c>
      <c r="AB264" s="1" t="s">
        <v>2753</v>
      </c>
      <c r="AC264" s="1" t="s">
        <v>74</v>
      </c>
      <c r="AD264" s="1" t="s">
        <v>74</v>
      </c>
      <c r="AE264" s="1" t="s">
        <v>74</v>
      </c>
      <c r="AF264" s="1" t="s">
        <v>74</v>
      </c>
      <c r="AG264" s="1" t="s">
        <v>74</v>
      </c>
      <c r="AH264" s="1" t="s">
        <v>74</v>
      </c>
      <c r="AI264" s="1" t="s">
        <v>74</v>
      </c>
      <c r="AJ264" s="1" t="s">
        <v>74</v>
      </c>
      <c r="AK264" s="1" t="s">
        <v>74</v>
      </c>
      <c r="AL264" s="1" t="s">
        <v>74</v>
      </c>
      <c r="AM264" s="1" t="s">
        <v>74</v>
      </c>
      <c r="AN264" s="1" t="s">
        <v>74</v>
      </c>
      <c r="AO264" s="1" t="s">
        <v>2754</v>
      </c>
      <c r="AP264" s="1" t="s">
        <v>74</v>
      </c>
      <c r="AQ264" s="1" t="s">
        <v>74</v>
      </c>
      <c r="AR264" s="1" t="s">
        <v>74</v>
      </c>
      <c r="AS264" s="1" t="s">
        <v>74</v>
      </c>
      <c r="AT264" s="1" t="s">
        <v>294</v>
      </c>
      <c r="AU264" s="1">
        <v>2000.0</v>
      </c>
      <c r="AV264" s="1">
        <v>91.0</v>
      </c>
      <c r="AW264" s="1">
        <v>6.0</v>
      </c>
      <c r="AX264" s="1" t="s">
        <v>74</v>
      </c>
      <c r="AY264" s="1" t="s">
        <v>74</v>
      </c>
      <c r="AZ264" s="1" t="s">
        <v>74</v>
      </c>
      <c r="BA264" s="1" t="s">
        <v>74</v>
      </c>
      <c r="BB264" s="1">
        <v>523.0</v>
      </c>
      <c r="BC264" s="1">
        <v>527.0</v>
      </c>
      <c r="BD264" s="1" t="s">
        <v>74</v>
      </c>
      <c r="BE264" s="1" t="s">
        <v>74</v>
      </c>
      <c r="BF264" s="1" t="s">
        <v>74</v>
      </c>
      <c r="BG264" s="1" t="s">
        <v>74</v>
      </c>
      <c r="BH264" s="1" t="s">
        <v>74</v>
      </c>
      <c r="BI264" s="1" t="s">
        <v>74</v>
      </c>
      <c r="BJ264" s="1" t="s">
        <v>74</v>
      </c>
      <c r="BK264" s="1" t="s">
        <v>74</v>
      </c>
      <c r="BL264" s="1" t="s">
        <v>74</v>
      </c>
      <c r="BM264" s="1" t="s">
        <v>74</v>
      </c>
      <c r="BN264" s="1" t="s">
        <v>74</v>
      </c>
      <c r="BO264" s="1" t="s">
        <v>74</v>
      </c>
      <c r="BP264" s="1" t="s">
        <v>74</v>
      </c>
      <c r="BQ264" s="1" t="s">
        <v>74</v>
      </c>
      <c r="BR264" s="1" t="s">
        <v>74</v>
      </c>
      <c r="BS264" s="1" t="s">
        <v>2755</v>
      </c>
      <c r="BT264" s="1" t="str">
        <f>HYPERLINK("https%3A%2F%2Fwww.webofscience.com%2Fwos%2Fwoscc%2Ffull-record%2FWOS:000088301000015","View Full Record in Web of Science")</f>
        <v>View Full Record in Web of Science</v>
      </c>
    </row>
    <row r="265" ht="12.75" customHeight="1">
      <c r="A265" s="1" t="s">
        <v>72</v>
      </c>
      <c r="B265" s="1" t="s">
        <v>2756</v>
      </c>
      <c r="C265" s="1" t="s">
        <v>74</v>
      </c>
      <c r="D265" s="1" t="s">
        <v>74</v>
      </c>
      <c r="E265" s="1" t="s">
        <v>74</v>
      </c>
      <c r="F265" s="1" t="s">
        <v>2756</v>
      </c>
      <c r="G265" s="1" t="s">
        <v>74</v>
      </c>
      <c r="H265" s="1" t="s">
        <v>74</v>
      </c>
      <c r="I265" s="1" t="s">
        <v>2757</v>
      </c>
      <c r="J265" s="1" t="s">
        <v>477</v>
      </c>
      <c r="K265" s="1" t="s">
        <v>74</v>
      </c>
      <c r="L265" s="1" t="s">
        <v>74</v>
      </c>
      <c r="M265" s="1" t="s">
        <v>74</v>
      </c>
      <c r="N265" s="1" t="s">
        <v>74</v>
      </c>
      <c r="O265" s="1" t="s">
        <v>74</v>
      </c>
      <c r="P265" s="1" t="s">
        <v>74</v>
      </c>
      <c r="Q265" s="1" t="s">
        <v>74</v>
      </c>
      <c r="R265" s="1" t="s">
        <v>74</v>
      </c>
      <c r="S265" s="1" t="s">
        <v>74</v>
      </c>
      <c r="T265" s="1" t="s">
        <v>74</v>
      </c>
      <c r="U265" s="1" t="s">
        <v>74</v>
      </c>
      <c r="V265" s="1" t="s">
        <v>2758</v>
      </c>
      <c r="W265" s="1" t="s">
        <v>74</v>
      </c>
      <c r="X265" s="1" t="s">
        <v>74</v>
      </c>
      <c r="Y265" s="1" t="s">
        <v>74</v>
      </c>
      <c r="Z265" s="1" t="s">
        <v>74</v>
      </c>
      <c r="AA265" s="1" t="s">
        <v>2759</v>
      </c>
      <c r="AB265" s="1" t="s">
        <v>2760</v>
      </c>
      <c r="AC265" s="1" t="s">
        <v>74</v>
      </c>
      <c r="AD265" s="1" t="s">
        <v>74</v>
      </c>
      <c r="AE265" s="1" t="s">
        <v>74</v>
      </c>
      <c r="AF265" s="1" t="s">
        <v>74</v>
      </c>
      <c r="AG265" s="1" t="s">
        <v>74</v>
      </c>
      <c r="AH265" s="1" t="s">
        <v>74</v>
      </c>
      <c r="AI265" s="1" t="s">
        <v>74</v>
      </c>
      <c r="AJ265" s="1" t="s">
        <v>74</v>
      </c>
      <c r="AK265" s="1" t="s">
        <v>74</v>
      </c>
      <c r="AL265" s="1" t="s">
        <v>74</v>
      </c>
      <c r="AM265" s="1" t="s">
        <v>74</v>
      </c>
      <c r="AN265" s="1" t="s">
        <v>74</v>
      </c>
      <c r="AO265" s="1" t="s">
        <v>481</v>
      </c>
      <c r="AP265" s="1" t="s">
        <v>482</v>
      </c>
      <c r="AQ265" s="1" t="s">
        <v>74</v>
      </c>
      <c r="AR265" s="1" t="s">
        <v>74</v>
      </c>
      <c r="AS265" s="1" t="s">
        <v>74</v>
      </c>
      <c r="AT265" s="1" t="s">
        <v>678</v>
      </c>
      <c r="AU265" s="1">
        <v>1999.0</v>
      </c>
      <c r="AV265" s="1">
        <v>60.0</v>
      </c>
      <c r="AW265" s="1">
        <v>5.0</v>
      </c>
      <c r="AX265" s="1" t="s">
        <v>274</v>
      </c>
      <c r="AY265" s="1" t="s">
        <v>74</v>
      </c>
      <c r="AZ265" s="1" t="s">
        <v>74</v>
      </c>
      <c r="BA265" s="1" t="s">
        <v>74</v>
      </c>
      <c r="BB265" s="1">
        <v>6091.0</v>
      </c>
      <c r="BC265" s="1">
        <v>6103.0</v>
      </c>
      <c r="BD265" s="1" t="s">
        <v>74</v>
      </c>
      <c r="BE265" s="1" t="s">
        <v>2761</v>
      </c>
      <c r="BF265" s="2" t="str">
        <f>HYPERLINK("http://dx.doi.org/10.1103/PhysRevE.60.6091","http://dx.doi.org/10.1103/PhysRevE.60.6091")</f>
        <v>http://dx.doi.org/10.1103/PhysRevE.60.6091</v>
      </c>
      <c r="BG265" s="1" t="s">
        <v>74</v>
      </c>
      <c r="BH265" s="1" t="s">
        <v>74</v>
      </c>
      <c r="BI265" s="1" t="s">
        <v>74</v>
      </c>
      <c r="BJ265" s="1" t="s">
        <v>74</v>
      </c>
      <c r="BK265" s="1" t="s">
        <v>74</v>
      </c>
      <c r="BL265" s="1" t="s">
        <v>74</v>
      </c>
      <c r="BM265" s="1" t="s">
        <v>74</v>
      </c>
      <c r="BN265" s="1">
        <v>1.1970514E7</v>
      </c>
      <c r="BO265" s="1" t="s">
        <v>74</v>
      </c>
      <c r="BP265" s="1" t="s">
        <v>74</v>
      </c>
      <c r="BQ265" s="1" t="s">
        <v>74</v>
      </c>
      <c r="BR265" s="1" t="s">
        <v>74</v>
      </c>
      <c r="BS265" s="1" t="s">
        <v>2762</v>
      </c>
      <c r="BT265" s="1" t="str">
        <f>HYPERLINK("https%3A%2F%2Fwww.webofscience.com%2Fwos%2Fwoscc%2Ffull-record%2FWOS:000083870900057","View Full Record in Web of Science")</f>
        <v>View Full Record in Web of Science</v>
      </c>
    </row>
    <row r="266" ht="12.75" customHeight="1">
      <c r="A266" s="1" t="s">
        <v>72</v>
      </c>
      <c r="B266" s="1" t="s">
        <v>2763</v>
      </c>
      <c r="C266" s="1" t="s">
        <v>74</v>
      </c>
      <c r="D266" s="1" t="s">
        <v>74</v>
      </c>
      <c r="E266" s="1" t="s">
        <v>74</v>
      </c>
      <c r="F266" s="1" t="s">
        <v>2763</v>
      </c>
      <c r="G266" s="1" t="s">
        <v>74</v>
      </c>
      <c r="H266" s="1" t="s">
        <v>74</v>
      </c>
      <c r="I266" s="1" t="s">
        <v>2764</v>
      </c>
      <c r="J266" s="1" t="s">
        <v>2765</v>
      </c>
      <c r="K266" s="1" t="s">
        <v>74</v>
      </c>
      <c r="L266" s="1" t="s">
        <v>74</v>
      </c>
      <c r="M266" s="1" t="s">
        <v>74</v>
      </c>
      <c r="N266" s="1" t="s">
        <v>74</v>
      </c>
      <c r="O266" s="1" t="s">
        <v>74</v>
      </c>
      <c r="P266" s="1" t="s">
        <v>74</v>
      </c>
      <c r="Q266" s="1" t="s">
        <v>74</v>
      </c>
      <c r="R266" s="1" t="s">
        <v>74</v>
      </c>
      <c r="S266" s="1" t="s">
        <v>74</v>
      </c>
      <c r="T266" s="1" t="s">
        <v>74</v>
      </c>
      <c r="U266" s="1" t="s">
        <v>74</v>
      </c>
      <c r="V266" s="1" t="s">
        <v>2766</v>
      </c>
      <c r="W266" s="1" t="s">
        <v>74</v>
      </c>
      <c r="X266" s="1" t="s">
        <v>74</v>
      </c>
      <c r="Y266" s="1" t="s">
        <v>74</v>
      </c>
      <c r="Z266" s="1" t="s">
        <v>74</v>
      </c>
      <c r="AA266" s="1" t="s">
        <v>74</v>
      </c>
      <c r="AB266" s="1" t="s">
        <v>1974</v>
      </c>
      <c r="AC266" s="1" t="s">
        <v>74</v>
      </c>
      <c r="AD266" s="1" t="s">
        <v>74</v>
      </c>
      <c r="AE266" s="1" t="s">
        <v>74</v>
      </c>
      <c r="AF266" s="1" t="s">
        <v>74</v>
      </c>
      <c r="AG266" s="1" t="s">
        <v>74</v>
      </c>
      <c r="AH266" s="1" t="s">
        <v>74</v>
      </c>
      <c r="AI266" s="1" t="s">
        <v>74</v>
      </c>
      <c r="AJ266" s="1" t="s">
        <v>74</v>
      </c>
      <c r="AK266" s="1" t="s">
        <v>74</v>
      </c>
      <c r="AL266" s="1" t="s">
        <v>74</v>
      </c>
      <c r="AM266" s="1" t="s">
        <v>74</v>
      </c>
      <c r="AN266" s="1" t="s">
        <v>74</v>
      </c>
      <c r="AO266" s="1" t="s">
        <v>2767</v>
      </c>
      <c r="AP266" s="1" t="s">
        <v>2768</v>
      </c>
      <c r="AQ266" s="1" t="s">
        <v>74</v>
      </c>
      <c r="AR266" s="1" t="s">
        <v>74</v>
      </c>
      <c r="AS266" s="1" t="s">
        <v>74</v>
      </c>
      <c r="AT266" s="1" t="s">
        <v>294</v>
      </c>
      <c r="AU266" s="1">
        <v>1999.0</v>
      </c>
      <c r="AV266" s="1">
        <v>27.0</v>
      </c>
      <c r="AW266" s="1">
        <v>6.0</v>
      </c>
      <c r="AX266" s="1" t="s">
        <v>74</v>
      </c>
      <c r="AY266" s="1" t="s">
        <v>74</v>
      </c>
      <c r="AZ266" s="1" t="s">
        <v>74</v>
      </c>
      <c r="BA266" s="1" t="s">
        <v>74</v>
      </c>
      <c r="BB266" s="1">
        <v>376.0</v>
      </c>
      <c r="BC266" s="1">
        <v>382.0</v>
      </c>
      <c r="BD266" s="1" t="s">
        <v>74</v>
      </c>
      <c r="BE266" s="1" t="s">
        <v>74</v>
      </c>
      <c r="BF266" s="1" t="s">
        <v>74</v>
      </c>
      <c r="BG266" s="1" t="s">
        <v>74</v>
      </c>
      <c r="BH266" s="1" t="s">
        <v>74</v>
      </c>
      <c r="BI266" s="1" t="s">
        <v>74</v>
      </c>
      <c r="BJ266" s="1" t="s">
        <v>74</v>
      </c>
      <c r="BK266" s="1" t="s">
        <v>74</v>
      </c>
      <c r="BL266" s="1" t="s">
        <v>74</v>
      </c>
      <c r="BM266" s="1" t="s">
        <v>74</v>
      </c>
      <c r="BN266" s="1">
        <v>1.0380088E7</v>
      </c>
      <c r="BO266" s="1" t="s">
        <v>74</v>
      </c>
      <c r="BP266" s="1" t="s">
        <v>74</v>
      </c>
      <c r="BQ266" s="1" t="s">
        <v>74</v>
      </c>
      <c r="BR266" s="1" t="s">
        <v>74</v>
      </c>
      <c r="BS266" s="1" t="s">
        <v>2769</v>
      </c>
      <c r="BT266" s="1" t="str">
        <f>HYPERLINK("https%3A%2F%2Fwww.webofscience.com%2Fwos%2Fwoscc%2Ffull-record%2FWOS:000080705900003","View Full Record in Web of Science")</f>
        <v>View Full Record in Web of Science</v>
      </c>
    </row>
    <row r="267" ht="12.75" customHeight="1">
      <c r="A267" s="1" t="s">
        <v>72</v>
      </c>
      <c r="B267" s="1" t="s">
        <v>2770</v>
      </c>
      <c r="C267" s="1" t="s">
        <v>74</v>
      </c>
      <c r="D267" s="1" t="s">
        <v>74</v>
      </c>
      <c r="E267" s="1" t="s">
        <v>74</v>
      </c>
      <c r="F267" s="1" t="s">
        <v>2770</v>
      </c>
      <c r="G267" s="1" t="s">
        <v>74</v>
      </c>
      <c r="H267" s="1" t="s">
        <v>74</v>
      </c>
      <c r="I267" s="1" t="s">
        <v>2771</v>
      </c>
      <c r="J267" s="1" t="s">
        <v>2772</v>
      </c>
      <c r="K267" s="1" t="s">
        <v>74</v>
      </c>
      <c r="L267" s="1" t="s">
        <v>74</v>
      </c>
      <c r="M267" s="1" t="s">
        <v>74</v>
      </c>
      <c r="N267" s="1" t="s">
        <v>74</v>
      </c>
      <c r="O267" s="1" t="s">
        <v>74</v>
      </c>
      <c r="P267" s="1" t="s">
        <v>74</v>
      </c>
      <c r="Q267" s="1" t="s">
        <v>74</v>
      </c>
      <c r="R267" s="1" t="s">
        <v>74</v>
      </c>
      <c r="S267" s="1" t="s">
        <v>74</v>
      </c>
      <c r="T267" s="1" t="s">
        <v>74</v>
      </c>
      <c r="U267" s="1" t="s">
        <v>74</v>
      </c>
      <c r="V267" s="1" t="s">
        <v>2773</v>
      </c>
      <c r="W267" s="1" t="s">
        <v>74</v>
      </c>
      <c r="X267" s="1" t="s">
        <v>74</v>
      </c>
      <c r="Y267" s="1" t="s">
        <v>74</v>
      </c>
      <c r="Z267" s="1" t="s">
        <v>74</v>
      </c>
      <c r="AA267" s="1" t="s">
        <v>74</v>
      </c>
      <c r="AB267" s="1" t="s">
        <v>2774</v>
      </c>
      <c r="AC267" s="1" t="s">
        <v>74</v>
      </c>
      <c r="AD267" s="1" t="s">
        <v>74</v>
      </c>
      <c r="AE267" s="1" t="s">
        <v>74</v>
      </c>
      <c r="AF267" s="1" t="s">
        <v>74</v>
      </c>
      <c r="AG267" s="1" t="s">
        <v>74</v>
      </c>
      <c r="AH267" s="1" t="s">
        <v>74</v>
      </c>
      <c r="AI267" s="1" t="s">
        <v>74</v>
      </c>
      <c r="AJ267" s="1" t="s">
        <v>74</v>
      </c>
      <c r="AK267" s="1" t="s">
        <v>74</v>
      </c>
      <c r="AL267" s="1" t="s">
        <v>74</v>
      </c>
      <c r="AM267" s="1" t="s">
        <v>74</v>
      </c>
      <c r="AN267" s="1" t="s">
        <v>74</v>
      </c>
      <c r="AO267" s="1" t="s">
        <v>2775</v>
      </c>
      <c r="AP267" s="1" t="s">
        <v>74</v>
      </c>
      <c r="AQ267" s="1" t="s">
        <v>74</v>
      </c>
      <c r="AR267" s="1" t="s">
        <v>74</v>
      </c>
      <c r="AS267" s="1" t="s">
        <v>74</v>
      </c>
      <c r="AT267" s="1" t="s">
        <v>180</v>
      </c>
      <c r="AU267" s="1">
        <v>1999.0</v>
      </c>
      <c r="AV267" s="1">
        <v>66.0</v>
      </c>
      <c r="AW267" s="1">
        <v>3.0</v>
      </c>
      <c r="AX267" s="1" t="s">
        <v>74</v>
      </c>
      <c r="AY267" s="1" t="s">
        <v>74</v>
      </c>
      <c r="AZ267" s="1" t="s">
        <v>74</v>
      </c>
      <c r="BA267" s="1" t="s">
        <v>74</v>
      </c>
      <c r="BB267" s="1">
        <v>493.0</v>
      </c>
      <c r="BC267" s="1">
        <v>496.0</v>
      </c>
      <c r="BD267" s="1" t="s">
        <v>74</v>
      </c>
      <c r="BE267" s="1" t="s">
        <v>2776</v>
      </c>
      <c r="BF267" s="2" t="str">
        <f>HYPERLINK("http://dx.doi.org/10.1016/S0031-9384(98)00315-1","http://dx.doi.org/10.1016/S0031-9384(98)00315-1")</f>
        <v>http://dx.doi.org/10.1016/S0031-9384(98)00315-1</v>
      </c>
      <c r="BG267" s="1" t="s">
        <v>74</v>
      </c>
      <c r="BH267" s="1" t="s">
        <v>74</v>
      </c>
      <c r="BI267" s="1" t="s">
        <v>74</v>
      </c>
      <c r="BJ267" s="1" t="s">
        <v>74</v>
      </c>
      <c r="BK267" s="1" t="s">
        <v>74</v>
      </c>
      <c r="BL267" s="1" t="s">
        <v>74</v>
      </c>
      <c r="BM267" s="1" t="s">
        <v>74</v>
      </c>
      <c r="BN267" s="1">
        <v>1.0357439E7</v>
      </c>
      <c r="BO267" s="1" t="s">
        <v>74</v>
      </c>
      <c r="BP267" s="1" t="s">
        <v>74</v>
      </c>
      <c r="BQ267" s="1" t="s">
        <v>74</v>
      </c>
      <c r="BR267" s="1" t="s">
        <v>74</v>
      </c>
      <c r="BS267" s="1" t="s">
        <v>2777</v>
      </c>
      <c r="BT267" s="1" t="str">
        <f>HYPERLINK("https%3A%2F%2Fwww.webofscience.com%2Fwos%2Fwoscc%2Ffull-record%2FWOS:000080363800014","View Full Record in Web of Science")</f>
        <v>View Full Record in Web of Science</v>
      </c>
    </row>
    <row r="268" ht="12.75" customHeight="1">
      <c r="A268" s="1" t="s">
        <v>72</v>
      </c>
      <c r="B268" s="1" t="s">
        <v>2778</v>
      </c>
      <c r="C268" s="1" t="s">
        <v>74</v>
      </c>
      <c r="D268" s="1" t="s">
        <v>74</v>
      </c>
      <c r="E268" s="1" t="s">
        <v>74</v>
      </c>
      <c r="F268" s="1" t="s">
        <v>2778</v>
      </c>
      <c r="G268" s="1" t="s">
        <v>74</v>
      </c>
      <c r="H268" s="1" t="s">
        <v>74</v>
      </c>
      <c r="I268" s="1" t="s">
        <v>2779</v>
      </c>
      <c r="J268" s="1" t="s">
        <v>2780</v>
      </c>
      <c r="K268" s="1" t="s">
        <v>74</v>
      </c>
      <c r="L268" s="1" t="s">
        <v>74</v>
      </c>
      <c r="M268" s="1" t="s">
        <v>74</v>
      </c>
      <c r="N268" s="1" t="s">
        <v>74</v>
      </c>
      <c r="O268" s="1" t="s">
        <v>74</v>
      </c>
      <c r="P268" s="1" t="s">
        <v>74</v>
      </c>
      <c r="Q268" s="1" t="s">
        <v>74</v>
      </c>
      <c r="R268" s="1" t="s">
        <v>74</v>
      </c>
      <c r="S268" s="1" t="s">
        <v>74</v>
      </c>
      <c r="T268" s="1" t="s">
        <v>74</v>
      </c>
      <c r="U268" s="1" t="s">
        <v>74</v>
      </c>
      <c r="V268" s="1" t="s">
        <v>2781</v>
      </c>
      <c r="W268" s="1" t="s">
        <v>74</v>
      </c>
      <c r="X268" s="1" t="s">
        <v>74</v>
      </c>
      <c r="Y268" s="1" t="s">
        <v>74</v>
      </c>
      <c r="Z268" s="1" t="s">
        <v>74</v>
      </c>
      <c r="AA268" s="1" t="s">
        <v>74</v>
      </c>
      <c r="AB268" s="1" t="s">
        <v>2782</v>
      </c>
      <c r="AC268" s="1" t="s">
        <v>74</v>
      </c>
      <c r="AD268" s="1" t="s">
        <v>74</v>
      </c>
      <c r="AE268" s="1" t="s">
        <v>74</v>
      </c>
      <c r="AF268" s="1" t="s">
        <v>74</v>
      </c>
      <c r="AG268" s="1" t="s">
        <v>74</v>
      </c>
      <c r="AH268" s="1" t="s">
        <v>74</v>
      </c>
      <c r="AI268" s="1" t="s">
        <v>74</v>
      </c>
      <c r="AJ268" s="1" t="s">
        <v>74</v>
      </c>
      <c r="AK268" s="1" t="s">
        <v>74</v>
      </c>
      <c r="AL268" s="1" t="s">
        <v>74</v>
      </c>
      <c r="AM268" s="1" t="s">
        <v>74</v>
      </c>
      <c r="AN268" s="1" t="s">
        <v>74</v>
      </c>
      <c r="AO268" s="1" t="s">
        <v>2783</v>
      </c>
      <c r="AP268" s="1" t="s">
        <v>74</v>
      </c>
      <c r="AQ268" s="1" t="s">
        <v>74</v>
      </c>
      <c r="AR268" s="1" t="s">
        <v>74</v>
      </c>
      <c r="AS268" s="1" t="s">
        <v>74</v>
      </c>
      <c r="AT268" s="1" t="s">
        <v>180</v>
      </c>
      <c r="AU268" s="1">
        <v>1996.0</v>
      </c>
      <c r="AV268" s="1">
        <v>31.0</v>
      </c>
      <c r="AW268" s="1">
        <v>2.0</v>
      </c>
      <c r="AX268" s="1" t="s">
        <v>74</v>
      </c>
      <c r="AY268" s="1" t="s">
        <v>74</v>
      </c>
      <c r="AZ268" s="1" t="s">
        <v>74</v>
      </c>
      <c r="BA268" s="1" t="s">
        <v>74</v>
      </c>
      <c r="BB268" s="1">
        <v>365.0</v>
      </c>
      <c r="BC268" s="1">
        <v>372.0</v>
      </c>
      <c r="BD268" s="1" t="s">
        <v>74</v>
      </c>
      <c r="BE268" s="1" t="s">
        <v>2784</v>
      </c>
      <c r="BF268" s="2" t="str">
        <f>HYPERLINK("http://dx.doi.org/10.1007/BF00021796","http://dx.doi.org/10.1007/BF00021796")</f>
        <v>http://dx.doi.org/10.1007/BF00021796</v>
      </c>
      <c r="BG268" s="1" t="s">
        <v>74</v>
      </c>
      <c r="BH268" s="1" t="s">
        <v>74</v>
      </c>
      <c r="BI268" s="1" t="s">
        <v>74</v>
      </c>
      <c r="BJ268" s="1" t="s">
        <v>74</v>
      </c>
      <c r="BK268" s="1" t="s">
        <v>74</v>
      </c>
      <c r="BL268" s="1" t="s">
        <v>74</v>
      </c>
      <c r="BM268" s="1" t="s">
        <v>74</v>
      </c>
      <c r="BN268" s="1">
        <v>8756599.0</v>
      </c>
      <c r="BO268" s="1" t="s">
        <v>74</v>
      </c>
      <c r="BP268" s="1" t="s">
        <v>74</v>
      </c>
      <c r="BQ268" s="1" t="s">
        <v>74</v>
      </c>
      <c r="BR268" s="1" t="s">
        <v>74</v>
      </c>
      <c r="BS268" s="1" t="s">
        <v>2785</v>
      </c>
      <c r="BT268" s="1" t="str">
        <f>HYPERLINK("https%3A%2F%2Fwww.webofscience.com%2Fwos%2Fwoscc%2Ffull-record%2FWOS:A1996VC92700013","View Full Record in Web of Science")</f>
        <v>View Full Record in Web of Science</v>
      </c>
    </row>
    <row r="269" ht="12.75" customHeight="1">
      <c r="A269" s="1" t="s">
        <v>72</v>
      </c>
      <c r="B269" s="1" t="s">
        <v>2786</v>
      </c>
      <c r="C269" s="1" t="s">
        <v>74</v>
      </c>
      <c r="D269" s="1" t="s">
        <v>74</v>
      </c>
      <c r="E269" s="1" t="s">
        <v>74</v>
      </c>
      <c r="F269" s="1" t="s">
        <v>2786</v>
      </c>
      <c r="G269" s="1" t="s">
        <v>74</v>
      </c>
      <c r="H269" s="1" t="s">
        <v>74</v>
      </c>
      <c r="I269" s="1" t="s">
        <v>2787</v>
      </c>
      <c r="J269" s="1" t="s">
        <v>2788</v>
      </c>
      <c r="K269" s="1" t="s">
        <v>74</v>
      </c>
      <c r="L269" s="1" t="s">
        <v>74</v>
      </c>
      <c r="M269" s="1" t="s">
        <v>74</v>
      </c>
      <c r="N269" s="1" t="s">
        <v>74</v>
      </c>
      <c r="O269" s="1" t="s">
        <v>74</v>
      </c>
      <c r="P269" s="1" t="s">
        <v>74</v>
      </c>
      <c r="Q269" s="1" t="s">
        <v>74</v>
      </c>
      <c r="R269" s="1" t="s">
        <v>74</v>
      </c>
      <c r="S269" s="1" t="s">
        <v>74</v>
      </c>
      <c r="T269" s="1" t="s">
        <v>74</v>
      </c>
      <c r="U269" s="1" t="s">
        <v>74</v>
      </c>
      <c r="V269" s="1" t="s">
        <v>2789</v>
      </c>
      <c r="W269" s="1" t="s">
        <v>74</v>
      </c>
      <c r="X269" s="1" t="s">
        <v>74</v>
      </c>
      <c r="Y269" s="1" t="s">
        <v>74</v>
      </c>
      <c r="Z269" s="1" t="s">
        <v>74</v>
      </c>
      <c r="AA269" s="1" t="s">
        <v>2790</v>
      </c>
      <c r="AB269" s="1" t="s">
        <v>2791</v>
      </c>
      <c r="AC269" s="1" t="s">
        <v>74</v>
      </c>
      <c r="AD269" s="1" t="s">
        <v>74</v>
      </c>
      <c r="AE269" s="1" t="s">
        <v>74</v>
      </c>
      <c r="AF269" s="1" t="s">
        <v>74</v>
      </c>
      <c r="AG269" s="1" t="s">
        <v>74</v>
      </c>
      <c r="AH269" s="1" t="s">
        <v>74</v>
      </c>
      <c r="AI269" s="1" t="s">
        <v>74</v>
      </c>
      <c r="AJ269" s="1" t="s">
        <v>74</v>
      </c>
      <c r="AK269" s="1" t="s">
        <v>74</v>
      </c>
      <c r="AL269" s="1" t="s">
        <v>74</v>
      </c>
      <c r="AM269" s="1" t="s">
        <v>74</v>
      </c>
      <c r="AN269" s="1" t="s">
        <v>74</v>
      </c>
      <c r="AO269" s="1" t="s">
        <v>2792</v>
      </c>
      <c r="AP269" s="1" t="s">
        <v>74</v>
      </c>
      <c r="AQ269" s="1" t="s">
        <v>74</v>
      </c>
      <c r="AR269" s="1" t="s">
        <v>74</v>
      </c>
      <c r="AS269" s="1" t="s">
        <v>74</v>
      </c>
      <c r="AT269" s="1" t="s">
        <v>696</v>
      </c>
      <c r="AU269" s="1">
        <v>1995.0</v>
      </c>
      <c r="AV269" s="1">
        <v>38.0</v>
      </c>
      <c r="AW269" s="1">
        <v>2.0</v>
      </c>
      <c r="AX269" s="1" t="s">
        <v>74</v>
      </c>
      <c r="AY269" s="1" t="s">
        <v>74</v>
      </c>
      <c r="AZ269" s="1" t="s">
        <v>74</v>
      </c>
      <c r="BA269" s="1" t="s">
        <v>74</v>
      </c>
      <c r="BB269" s="1">
        <v>555.0</v>
      </c>
      <c r="BC269" s="1">
        <v>556.0</v>
      </c>
      <c r="BD269" s="1" t="s">
        <v>74</v>
      </c>
      <c r="BE269" s="1" t="s">
        <v>2793</v>
      </c>
      <c r="BF269" s="2" t="str">
        <f>HYPERLINK("http://dx.doi.org/10.1016/0031-9422(94)00590-P","http://dx.doi.org/10.1016/0031-9422(94)00590-P")</f>
        <v>http://dx.doi.org/10.1016/0031-9422(94)00590-P</v>
      </c>
      <c r="BG269" s="1" t="s">
        <v>74</v>
      </c>
      <c r="BH269" s="1" t="s">
        <v>74</v>
      </c>
      <c r="BI269" s="1" t="s">
        <v>74</v>
      </c>
      <c r="BJ269" s="1" t="s">
        <v>74</v>
      </c>
      <c r="BK269" s="1" t="s">
        <v>74</v>
      </c>
      <c r="BL269" s="1" t="s">
        <v>74</v>
      </c>
      <c r="BM269" s="1" t="s">
        <v>74</v>
      </c>
      <c r="BN269" s="1" t="s">
        <v>74</v>
      </c>
      <c r="BO269" s="1" t="s">
        <v>74</v>
      </c>
      <c r="BP269" s="1" t="s">
        <v>74</v>
      </c>
      <c r="BQ269" s="1" t="s">
        <v>74</v>
      </c>
      <c r="BR269" s="1" t="s">
        <v>74</v>
      </c>
      <c r="BS269" s="1" t="s">
        <v>2794</v>
      </c>
      <c r="BT269" s="1" t="str">
        <f>HYPERLINK("https%3A%2F%2Fwww.webofscience.com%2Fwos%2Fwoscc%2Ffull-record%2FWOS:A1995QM41900052","View Full Record in Web of Science")</f>
        <v>View Full Record in Web of Science</v>
      </c>
    </row>
    <row r="270" ht="12.75" customHeight="1">
      <c r="A270" s="1" t="s">
        <v>72</v>
      </c>
      <c r="B270" s="1" t="s">
        <v>2795</v>
      </c>
      <c r="C270" s="1" t="s">
        <v>74</v>
      </c>
      <c r="D270" s="1" t="s">
        <v>74</v>
      </c>
      <c r="E270" s="1" t="s">
        <v>74</v>
      </c>
      <c r="F270" s="1" t="s">
        <v>2796</v>
      </c>
      <c r="G270" s="1" t="s">
        <v>74</v>
      </c>
      <c r="H270" s="1" t="s">
        <v>74</v>
      </c>
      <c r="I270" s="1" t="s">
        <v>2797</v>
      </c>
      <c r="J270" s="1" t="s">
        <v>2798</v>
      </c>
      <c r="K270" s="1" t="s">
        <v>74</v>
      </c>
      <c r="L270" s="1" t="s">
        <v>74</v>
      </c>
      <c r="M270" s="1" t="s">
        <v>74</v>
      </c>
      <c r="N270" s="1" t="s">
        <v>74</v>
      </c>
      <c r="O270" s="1" t="s">
        <v>74</v>
      </c>
      <c r="P270" s="1" t="s">
        <v>74</v>
      </c>
      <c r="Q270" s="1" t="s">
        <v>74</v>
      </c>
      <c r="R270" s="1" t="s">
        <v>74</v>
      </c>
      <c r="S270" s="1" t="s">
        <v>74</v>
      </c>
      <c r="T270" s="1" t="s">
        <v>74</v>
      </c>
      <c r="U270" s="1" t="s">
        <v>74</v>
      </c>
      <c r="V270" s="1" t="s">
        <v>2799</v>
      </c>
      <c r="W270" s="1" t="s">
        <v>74</v>
      </c>
      <c r="X270" s="1" t="s">
        <v>74</v>
      </c>
      <c r="Y270" s="1" t="s">
        <v>74</v>
      </c>
      <c r="Z270" s="1" t="s">
        <v>74</v>
      </c>
      <c r="AA270" s="1" t="s">
        <v>2800</v>
      </c>
      <c r="AB270" s="1" t="s">
        <v>2801</v>
      </c>
      <c r="AC270" s="1" t="s">
        <v>74</v>
      </c>
      <c r="AD270" s="1" t="s">
        <v>74</v>
      </c>
      <c r="AE270" s="1" t="s">
        <v>74</v>
      </c>
      <c r="AF270" s="1" t="s">
        <v>74</v>
      </c>
      <c r="AG270" s="1" t="s">
        <v>74</v>
      </c>
      <c r="AH270" s="1" t="s">
        <v>74</v>
      </c>
      <c r="AI270" s="1" t="s">
        <v>74</v>
      </c>
      <c r="AJ270" s="1" t="s">
        <v>74</v>
      </c>
      <c r="AK270" s="1" t="s">
        <v>74</v>
      </c>
      <c r="AL270" s="1" t="s">
        <v>74</v>
      </c>
      <c r="AM270" s="1" t="s">
        <v>74</v>
      </c>
      <c r="AN270" s="1" t="s">
        <v>74</v>
      </c>
      <c r="AO270" s="1" t="s">
        <v>74</v>
      </c>
      <c r="AP270" s="1" t="s">
        <v>2802</v>
      </c>
      <c r="AQ270" s="1" t="s">
        <v>74</v>
      </c>
      <c r="AR270" s="1" t="s">
        <v>74</v>
      </c>
      <c r="AS270" s="1" t="s">
        <v>74</v>
      </c>
      <c r="AT270" s="1" t="s">
        <v>2319</v>
      </c>
      <c r="AU270" s="1">
        <v>2025.0</v>
      </c>
      <c r="AV270" s="1">
        <v>20.0</v>
      </c>
      <c r="AW270" s="1">
        <v>1.0</v>
      </c>
      <c r="AX270" s="1" t="s">
        <v>74</v>
      </c>
      <c r="AY270" s="1" t="s">
        <v>74</v>
      </c>
      <c r="AZ270" s="1" t="s">
        <v>74</v>
      </c>
      <c r="BA270" s="1" t="s">
        <v>74</v>
      </c>
      <c r="BB270" s="1" t="s">
        <v>74</v>
      </c>
      <c r="BC270" s="1" t="s">
        <v>74</v>
      </c>
      <c r="BD270" s="1">
        <v>29.0</v>
      </c>
      <c r="BE270" s="1" t="s">
        <v>2803</v>
      </c>
      <c r="BF270" s="2" t="str">
        <f>HYPERLINK("http://dx.doi.org/10.1186/s40793-024-00661-7","http://dx.doi.org/10.1186/s40793-024-00661-7")</f>
        <v>http://dx.doi.org/10.1186/s40793-024-00661-7</v>
      </c>
      <c r="BG270" s="1" t="s">
        <v>74</v>
      </c>
      <c r="BH270" s="1" t="s">
        <v>74</v>
      </c>
      <c r="BI270" s="1" t="s">
        <v>74</v>
      </c>
      <c r="BJ270" s="1" t="s">
        <v>74</v>
      </c>
      <c r="BK270" s="1" t="s">
        <v>74</v>
      </c>
      <c r="BL270" s="1" t="s">
        <v>74</v>
      </c>
      <c r="BM270" s="1" t="s">
        <v>74</v>
      </c>
      <c r="BN270" s="1">
        <v>4.0069904E7</v>
      </c>
      <c r="BO270" s="1" t="s">
        <v>74</v>
      </c>
      <c r="BP270" s="1" t="s">
        <v>74</v>
      </c>
      <c r="BQ270" s="1" t="s">
        <v>74</v>
      </c>
      <c r="BR270" s="1" t="s">
        <v>74</v>
      </c>
      <c r="BS270" s="1" t="s">
        <v>2804</v>
      </c>
      <c r="BT270" s="1" t="str">
        <f>HYPERLINK("https%3A%2F%2Fwww.webofscience.com%2Fwos%2Fwoscc%2Ffull-record%2FWOS:001441786100001","View Full Record in Web of Science")</f>
        <v>View Full Record in Web of Science</v>
      </c>
    </row>
    <row r="271" ht="12.75" customHeight="1">
      <c r="A271" s="1" t="s">
        <v>72</v>
      </c>
      <c r="B271" s="1" t="s">
        <v>2805</v>
      </c>
      <c r="C271" s="1" t="s">
        <v>74</v>
      </c>
      <c r="D271" s="1" t="s">
        <v>74</v>
      </c>
      <c r="E271" s="1" t="s">
        <v>74</v>
      </c>
      <c r="F271" s="1" t="s">
        <v>2806</v>
      </c>
      <c r="G271" s="1" t="s">
        <v>74</v>
      </c>
      <c r="H271" s="1" t="s">
        <v>74</v>
      </c>
      <c r="I271" s="1" t="s">
        <v>2807</v>
      </c>
      <c r="J271" s="1" t="s">
        <v>2808</v>
      </c>
      <c r="K271" s="1" t="s">
        <v>74</v>
      </c>
      <c r="L271" s="1" t="s">
        <v>74</v>
      </c>
      <c r="M271" s="1" t="s">
        <v>74</v>
      </c>
      <c r="N271" s="1" t="s">
        <v>74</v>
      </c>
      <c r="O271" s="1" t="s">
        <v>74</v>
      </c>
      <c r="P271" s="1" t="s">
        <v>74</v>
      </c>
      <c r="Q271" s="1" t="s">
        <v>74</v>
      </c>
      <c r="R271" s="1" t="s">
        <v>74</v>
      </c>
      <c r="S271" s="1" t="s">
        <v>74</v>
      </c>
      <c r="T271" s="1" t="s">
        <v>74</v>
      </c>
      <c r="U271" s="1" t="s">
        <v>74</v>
      </c>
      <c r="V271" s="1" t="s">
        <v>2809</v>
      </c>
      <c r="W271" s="1" t="s">
        <v>74</v>
      </c>
      <c r="X271" s="1" t="s">
        <v>74</v>
      </c>
      <c r="Y271" s="1" t="s">
        <v>74</v>
      </c>
      <c r="Z271" s="1" t="s">
        <v>74</v>
      </c>
      <c r="AA271" s="1" t="s">
        <v>2810</v>
      </c>
      <c r="AB271" s="1" t="s">
        <v>2811</v>
      </c>
      <c r="AC271" s="1" t="s">
        <v>74</v>
      </c>
      <c r="AD271" s="1" t="s">
        <v>74</v>
      </c>
      <c r="AE271" s="1" t="s">
        <v>74</v>
      </c>
      <c r="AF271" s="1" t="s">
        <v>74</v>
      </c>
      <c r="AG271" s="1" t="s">
        <v>74</v>
      </c>
      <c r="AH271" s="1" t="s">
        <v>74</v>
      </c>
      <c r="AI271" s="1" t="s">
        <v>74</v>
      </c>
      <c r="AJ271" s="1" t="s">
        <v>74</v>
      </c>
      <c r="AK271" s="1" t="s">
        <v>74</v>
      </c>
      <c r="AL271" s="1" t="s">
        <v>74</v>
      </c>
      <c r="AM271" s="1" t="s">
        <v>74</v>
      </c>
      <c r="AN271" s="1" t="s">
        <v>74</v>
      </c>
      <c r="AO271" s="1" t="s">
        <v>2812</v>
      </c>
      <c r="AP271" s="1" t="s">
        <v>74</v>
      </c>
      <c r="AQ271" s="1" t="s">
        <v>74</v>
      </c>
      <c r="AR271" s="1" t="s">
        <v>74</v>
      </c>
      <c r="AS271" s="1" t="s">
        <v>74</v>
      </c>
      <c r="AT271" s="1" t="s">
        <v>2813</v>
      </c>
      <c r="AU271" s="1">
        <v>2024.0</v>
      </c>
      <c r="AV271" s="1">
        <v>11.0</v>
      </c>
      <c r="AW271" s="1">
        <v>1.0</v>
      </c>
      <c r="AX271" s="1" t="s">
        <v>74</v>
      </c>
      <c r="AY271" s="1" t="s">
        <v>74</v>
      </c>
      <c r="AZ271" s="1" t="s">
        <v>74</v>
      </c>
      <c r="BA271" s="1" t="s">
        <v>74</v>
      </c>
      <c r="BB271" s="1" t="s">
        <v>74</v>
      </c>
      <c r="BC271" s="1" t="s">
        <v>74</v>
      </c>
      <c r="BD271" s="1">
        <v>2397217.0</v>
      </c>
      <c r="BE271" s="1" t="s">
        <v>2814</v>
      </c>
      <c r="BF271" s="2" t="str">
        <f>HYPERLINK("http://dx.doi.org/10.1080/2331186X.2024.2397217","http://dx.doi.org/10.1080/2331186X.2024.2397217")</f>
        <v>http://dx.doi.org/10.1080/2331186X.2024.2397217</v>
      </c>
      <c r="BG271" s="1" t="s">
        <v>74</v>
      </c>
      <c r="BH271" s="1" t="s">
        <v>74</v>
      </c>
      <c r="BI271" s="1" t="s">
        <v>74</v>
      </c>
      <c r="BJ271" s="1" t="s">
        <v>74</v>
      </c>
      <c r="BK271" s="1" t="s">
        <v>74</v>
      </c>
      <c r="BL271" s="1" t="s">
        <v>74</v>
      </c>
      <c r="BM271" s="1" t="s">
        <v>74</v>
      </c>
      <c r="BN271" s="1" t="s">
        <v>74</v>
      </c>
      <c r="BO271" s="1" t="s">
        <v>74</v>
      </c>
      <c r="BP271" s="1" t="s">
        <v>74</v>
      </c>
      <c r="BQ271" s="1" t="s">
        <v>74</v>
      </c>
      <c r="BR271" s="1" t="s">
        <v>74</v>
      </c>
      <c r="BS271" s="1" t="s">
        <v>2815</v>
      </c>
      <c r="BT271" s="1" t="str">
        <f>HYPERLINK("https%3A%2F%2Fwww.webofscience.com%2Fwos%2Fwoscc%2Ffull-record%2FWOS:001306326800001","View Full Record in Web of Science")</f>
        <v>View Full Record in Web of Science</v>
      </c>
    </row>
    <row r="272" ht="12.75" customHeight="1">
      <c r="A272" s="1" t="s">
        <v>72</v>
      </c>
      <c r="B272" s="1" t="s">
        <v>2816</v>
      </c>
      <c r="C272" s="1" t="s">
        <v>74</v>
      </c>
      <c r="D272" s="1" t="s">
        <v>74</v>
      </c>
      <c r="E272" s="1" t="s">
        <v>74</v>
      </c>
      <c r="F272" s="1" t="s">
        <v>2817</v>
      </c>
      <c r="G272" s="1" t="s">
        <v>74</v>
      </c>
      <c r="H272" s="1" t="s">
        <v>74</v>
      </c>
      <c r="I272" s="1" t="s">
        <v>2818</v>
      </c>
      <c r="J272" s="1" t="s">
        <v>2819</v>
      </c>
      <c r="K272" s="1" t="s">
        <v>74</v>
      </c>
      <c r="L272" s="1" t="s">
        <v>74</v>
      </c>
      <c r="M272" s="1" t="s">
        <v>74</v>
      </c>
      <c r="N272" s="1" t="s">
        <v>74</v>
      </c>
      <c r="O272" s="1" t="s">
        <v>74</v>
      </c>
      <c r="P272" s="1" t="s">
        <v>74</v>
      </c>
      <c r="Q272" s="1" t="s">
        <v>74</v>
      </c>
      <c r="R272" s="1" t="s">
        <v>74</v>
      </c>
      <c r="S272" s="1" t="s">
        <v>74</v>
      </c>
      <c r="T272" s="1" t="s">
        <v>74</v>
      </c>
      <c r="U272" s="1" t="s">
        <v>74</v>
      </c>
      <c r="V272" s="1" t="s">
        <v>2820</v>
      </c>
      <c r="W272" s="1" t="s">
        <v>74</v>
      </c>
      <c r="X272" s="1" t="s">
        <v>74</v>
      </c>
      <c r="Y272" s="1" t="s">
        <v>74</v>
      </c>
      <c r="Z272" s="1" t="s">
        <v>74</v>
      </c>
      <c r="AA272" s="1" t="s">
        <v>2821</v>
      </c>
      <c r="AB272" s="1" t="s">
        <v>2822</v>
      </c>
      <c r="AC272" s="1" t="s">
        <v>74</v>
      </c>
      <c r="AD272" s="1" t="s">
        <v>74</v>
      </c>
      <c r="AE272" s="1" t="s">
        <v>74</v>
      </c>
      <c r="AF272" s="1" t="s">
        <v>74</v>
      </c>
      <c r="AG272" s="1" t="s">
        <v>74</v>
      </c>
      <c r="AH272" s="1" t="s">
        <v>74</v>
      </c>
      <c r="AI272" s="1" t="s">
        <v>74</v>
      </c>
      <c r="AJ272" s="1" t="s">
        <v>74</v>
      </c>
      <c r="AK272" s="1" t="s">
        <v>74</v>
      </c>
      <c r="AL272" s="1" t="s">
        <v>74</v>
      </c>
      <c r="AM272" s="1" t="s">
        <v>74</v>
      </c>
      <c r="AN272" s="1" t="s">
        <v>74</v>
      </c>
      <c r="AO272" s="1" t="s">
        <v>2823</v>
      </c>
      <c r="AP272" s="1" t="s">
        <v>74</v>
      </c>
      <c r="AQ272" s="1" t="s">
        <v>74</v>
      </c>
      <c r="AR272" s="1" t="s">
        <v>74</v>
      </c>
      <c r="AS272" s="1" t="s">
        <v>74</v>
      </c>
      <c r="AT272" s="1" t="s">
        <v>350</v>
      </c>
      <c r="AU272" s="1">
        <v>2024.0</v>
      </c>
      <c r="AV272" s="1">
        <v>22.0</v>
      </c>
      <c r="AW272" s="1">
        <v>3.0</v>
      </c>
      <c r="AX272" s="1" t="s">
        <v>74</v>
      </c>
      <c r="AY272" s="1" t="s">
        <v>74</v>
      </c>
      <c r="AZ272" s="1" t="s">
        <v>74</v>
      </c>
      <c r="BA272" s="1" t="s">
        <v>74</v>
      </c>
      <c r="BB272" s="1">
        <v>303.0</v>
      </c>
      <c r="BC272" s="1">
        <v>315.0</v>
      </c>
      <c r="BD272" s="1" t="s">
        <v>74</v>
      </c>
      <c r="BE272" s="1" t="s">
        <v>2824</v>
      </c>
      <c r="BF272" s="2" t="str">
        <f>HYPERLINK("http://dx.doi.org/10.1097/XEB.0000000000000431","http://dx.doi.org/10.1097/XEB.0000000000000431")</f>
        <v>http://dx.doi.org/10.1097/XEB.0000000000000431</v>
      </c>
      <c r="BG272" s="1" t="s">
        <v>74</v>
      </c>
      <c r="BH272" s="1" t="s">
        <v>74</v>
      </c>
      <c r="BI272" s="1" t="s">
        <v>74</v>
      </c>
      <c r="BJ272" s="1" t="s">
        <v>74</v>
      </c>
      <c r="BK272" s="1" t="s">
        <v>74</v>
      </c>
      <c r="BL272" s="1" t="s">
        <v>74</v>
      </c>
      <c r="BM272" s="1" t="s">
        <v>74</v>
      </c>
      <c r="BN272" s="1">
        <v>3.8742444E7</v>
      </c>
      <c r="BO272" s="1" t="s">
        <v>74</v>
      </c>
      <c r="BP272" s="1" t="s">
        <v>74</v>
      </c>
      <c r="BQ272" s="1" t="s">
        <v>74</v>
      </c>
      <c r="BR272" s="1" t="s">
        <v>74</v>
      </c>
      <c r="BS272" s="1" t="s">
        <v>2825</v>
      </c>
      <c r="BT272" s="1" t="str">
        <f>HYPERLINK("https%3A%2F%2Fwww.webofscience.com%2Fwos%2Fwoscc%2Ffull-record%2FWOS:001287557500010","View Full Record in Web of Science")</f>
        <v>View Full Record in Web of Science</v>
      </c>
    </row>
    <row r="273" ht="12.75" customHeight="1">
      <c r="A273" s="1" t="s">
        <v>72</v>
      </c>
      <c r="B273" s="1" t="s">
        <v>2826</v>
      </c>
      <c r="C273" s="1" t="s">
        <v>74</v>
      </c>
      <c r="D273" s="1" t="s">
        <v>74</v>
      </c>
      <c r="E273" s="1" t="s">
        <v>74</v>
      </c>
      <c r="F273" s="1" t="s">
        <v>2827</v>
      </c>
      <c r="G273" s="1" t="s">
        <v>74</v>
      </c>
      <c r="H273" s="1" t="s">
        <v>74</v>
      </c>
      <c r="I273" s="1" t="s">
        <v>2828</v>
      </c>
      <c r="J273" s="1" t="s">
        <v>2829</v>
      </c>
      <c r="K273" s="1" t="s">
        <v>74</v>
      </c>
      <c r="L273" s="1" t="s">
        <v>74</v>
      </c>
      <c r="M273" s="1" t="s">
        <v>74</v>
      </c>
      <c r="N273" s="1" t="s">
        <v>74</v>
      </c>
      <c r="O273" s="1" t="s">
        <v>74</v>
      </c>
      <c r="P273" s="1" t="s">
        <v>74</v>
      </c>
      <c r="Q273" s="1" t="s">
        <v>74</v>
      </c>
      <c r="R273" s="1" t="s">
        <v>74</v>
      </c>
      <c r="S273" s="1" t="s">
        <v>74</v>
      </c>
      <c r="T273" s="1" t="s">
        <v>74</v>
      </c>
      <c r="U273" s="1" t="s">
        <v>74</v>
      </c>
      <c r="V273" s="1" t="s">
        <v>2830</v>
      </c>
      <c r="W273" s="1" t="s">
        <v>74</v>
      </c>
      <c r="X273" s="1" t="s">
        <v>74</v>
      </c>
      <c r="Y273" s="1" t="s">
        <v>74</v>
      </c>
      <c r="Z273" s="1" t="s">
        <v>74</v>
      </c>
      <c r="AA273" s="1" t="s">
        <v>2831</v>
      </c>
      <c r="AB273" s="1" t="s">
        <v>2832</v>
      </c>
      <c r="AC273" s="1" t="s">
        <v>74</v>
      </c>
      <c r="AD273" s="1" t="s">
        <v>74</v>
      </c>
      <c r="AE273" s="1" t="s">
        <v>74</v>
      </c>
      <c r="AF273" s="1" t="s">
        <v>74</v>
      </c>
      <c r="AG273" s="1" t="s">
        <v>74</v>
      </c>
      <c r="AH273" s="1" t="s">
        <v>74</v>
      </c>
      <c r="AI273" s="1" t="s">
        <v>74</v>
      </c>
      <c r="AJ273" s="1" t="s">
        <v>74</v>
      </c>
      <c r="AK273" s="1" t="s">
        <v>74</v>
      </c>
      <c r="AL273" s="1" t="s">
        <v>74</v>
      </c>
      <c r="AM273" s="1" t="s">
        <v>74</v>
      </c>
      <c r="AN273" s="1" t="s">
        <v>74</v>
      </c>
      <c r="AO273" s="1" t="s">
        <v>2833</v>
      </c>
      <c r="AP273" s="1" t="s">
        <v>2834</v>
      </c>
      <c r="AQ273" s="1" t="s">
        <v>74</v>
      </c>
      <c r="AR273" s="1" t="s">
        <v>74</v>
      </c>
      <c r="AS273" s="1" t="s">
        <v>74</v>
      </c>
      <c r="AT273" s="1" t="s">
        <v>350</v>
      </c>
      <c r="AU273" s="1">
        <v>2024.0</v>
      </c>
      <c r="AV273" s="1">
        <v>81.0</v>
      </c>
      <c r="AW273" s="1" t="s">
        <v>74</v>
      </c>
      <c r="AX273" s="1" t="s">
        <v>74</v>
      </c>
      <c r="AY273" s="1" t="s">
        <v>74</v>
      </c>
      <c r="AZ273" s="1" t="s">
        <v>74</v>
      </c>
      <c r="BA273" s="1" t="s">
        <v>74</v>
      </c>
      <c r="BB273" s="1" t="s">
        <v>74</v>
      </c>
      <c r="BC273" s="1" t="s">
        <v>74</v>
      </c>
      <c r="BD273" s="1">
        <v>101499.0</v>
      </c>
      <c r="BE273" s="1" t="s">
        <v>2835</v>
      </c>
      <c r="BF273" s="2" t="str">
        <f>HYPERLINK("http://dx.doi.org/10.1016/j.esd.2024.101499","http://dx.doi.org/10.1016/j.esd.2024.101499")</f>
        <v>http://dx.doi.org/10.1016/j.esd.2024.101499</v>
      </c>
      <c r="BG273" s="1" t="s">
        <v>74</v>
      </c>
      <c r="BH273" s="1" t="s">
        <v>2836</v>
      </c>
      <c r="BI273" s="1" t="s">
        <v>74</v>
      </c>
      <c r="BJ273" s="1" t="s">
        <v>74</v>
      </c>
      <c r="BK273" s="1" t="s">
        <v>74</v>
      </c>
      <c r="BL273" s="1" t="s">
        <v>74</v>
      </c>
      <c r="BM273" s="1" t="s">
        <v>74</v>
      </c>
      <c r="BN273" s="1" t="s">
        <v>74</v>
      </c>
      <c r="BO273" s="1" t="s">
        <v>74</v>
      </c>
      <c r="BP273" s="1" t="s">
        <v>74</v>
      </c>
      <c r="BQ273" s="1" t="s">
        <v>74</v>
      </c>
      <c r="BR273" s="1" t="s">
        <v>74</v>
      </c>
      <c r="BS273" s="1" t="s">
        <v>2837</v>
      </c>
      <c r="BT273" s="1" t="str">
        <f>HYPERLINK("https%3A%2F%2Fwww.webofscience.com%2Fwos%2Fwoscc%2Ffull-record%2FWOS:001325534300001","View Full Record in Web of Science")</f>
        <v>View Full Record in Web of Science</v>
      </c>
    </row>
    <row r="274" ht="12.75" customHeight="1">
      <c r="A274" s="1" t="s">
        <v>72</v>
      </c>
      <c r="B274" s="1" t="s">
        <v>2838</v>
      </c>
      <c r="C274" s="1" t="s">
        <v>74</v>
      </c>
      <c r="D274" s="1" t="s">
        <v>74</v>
      </c>
      <c r="E274" s="1" t="s">
        <v>74</v>
      </c>
      <c r="F274" s="1" t="s">
        <v>2839</v>
      </c>
      <c r="G274" s="1" t="s">
        <v>74</v>
      </c>
      <c r="H274" s="1" t="s">
        <v>74</v>
      </c>
      <c r="I274" s="1" t="s">
        <v>2840</v>
      </c>
      <c r="J274" s="1" t="s">
        <v>2841</v>
      </c>
      <c r="K274" s="1" t="s">
        <v>74</v>
      </c>
      <c r="L274" s="1" t="s">
        <v>74</v>
      </c>
      <c r="M274" s="1" t="s">
        <v>74</v>
      </c>
      <c r="N274" s="1" t="s">
        <v>74</v>
      </c>
      <c r="O274" s="1" t="s">
        <v>74</v>
      </c>
      <c r="P274" s="1" t="s">
        <v>74</v>
      </c>
      <c r="Q274" s="1" t="s">
        <v>74</v>
      </c>
      <c r="R274" s="1" t="s">
        <v>74</v>
      </c>
      <c r="S274" s="1" t="s">
        <v>74</v>
      </c>
      <c r="T274" s="1" t="s">
        <v>74</v>
      </c>
      <c r="U274" s="1" t="s">
        <v>74</v>
      </c>
      <c r="V274" s="1" t="s">
        <v>2842</v>
      </c>
      <c r="W274" s="1" t="s">
        <v>74</v>
      </c>
      <c r="X274" s="1" t="s">
        <v>74</v>
      </c>
      <c r="Y274" s="1" t="s">
        <v>74</v>
      </c>
      <c r="Z274" s="1" t="s">
        <v>74</v>
      </c>
      <c r="AA274" s="1" t="s">
        <v>74</v>
      </c>
      <c r="AB274" s="1" t="s">
        <v>74</v>
      </c>
      <c r="AC274" s="1" t="s">
        <v>74</v>
      </c>
      <c r="AD274" s="1" t="s">
        <v>74</v>
      </c>
      <c r="AE274" s="1" t="s">
        <v>74</v>
      </c>
      <c r="AF274" s="1" t="s">
        <v>74</v>
      </c>
      <c r="AG274" s="1" t="s">
        <v>74</v>
      </c>
      <c r="AH274" s="1" t="s">
        <v>74</v>
      </c>
      <c r="AI274" s="1" t="s">
        <v>74</v>
      </c>
      <c r="AJ274" s="1" t="s">
        <v>74</v>
      </c>
      <c r="AK274" s="1" t="s">
        <v>74</v>
      </c>
      <c r="AL274" s="1" t="s">
        <v>74</v>
      </c>
      <c r="AM274" s="1" t="s">
        <v>74</v>
      </c>
      <c r="AN274" s="1" t="s">
        <v>74</v>
      </c>
      <c r="AO274" s="1" t="s">
        <v>2843</v>
      </c>
      <c r="AP274" s="1" t="s">
        <v>2844</v>
      </c>
      <c r="AQ274" s="1" t="s">
        <v>74</v>
      </c>
      <c r="AR274" s="1" t="s">
        <v>74</v>
      </c>
      <c r="AS274" s="1" t="s">
        <v>74</v>
      </c>
      <c r="AT274" s="1" t="s">
        <v>133</v>
      </c>
      <c r="AU274" s="1">
        <v>2024.0</v>
      </c>
      <c r="AV274" s="1">
        <v>26.0</v>
      </c>
      <c r="AW274" s="1">
        <v>1.0</v>
      </c>
      <c r="AX274" s="1" t="s">
        <v>74</v>
      </c>
      <c r="AY274" s="1" t="s">
        <v>74</v>
      </c>
      <c r="AZ274" s="1" t="s">
        <v>74</v>
      </c>
      <c r="BA274" s="1" t="s">
        <v>74</v>
      </c>
      <c r="BB274" s="1" t="s">
        <v>74</v>
      </c>
      <c r="BC274" s="1" t="s">
        <v>74</v>
      </c>
      <c r="BD274" s="1" t="s">
        <v>2845</v>
      </c>
      <c r="BE274" s="1" t="s">
        <v>2846</v>
      </c>
      <c r="BF274" s="2" t="str">
        <f>HYPERLINK("http://dx.doi.org/10.1590/1517-106X/2024e62118","http://dx.doi.org/10.1590/1517-106X/2024e62118")</f>
        <v>http://dx.doi.org/10.1590/1517-106X/2024e62118</v>
      </c>
      <c r="BG274" s="1" t="s">
        <v>74</v>
      </c>
      <c r="BH274" s="1" t="s">
        <v>74</v>
      </c>
      <c r="BI274" s="1" t="s">
        <v>74</v>
      </c>
      <c r="BJ274" s="1" t="s">
        <v>74</v>
      </c>
      <c r="BK274" s="1" t="s">
        <v>74</v>
      </c>
      <c r="BL274" s="1" t="s">
        <v>74</v>
      </c>
      <c r="BM274" s="1" t="s">
        <v>74</v>
      </c>
      <c r="BN274" s="1" t="s">
        <v>74</v>
      </c>
      <c r="BO274" s="1" t="s">
        <v>74</v>
      </c>
      <c r="BP274" s="1" t="s">
        <v>74</v>
      </c>
      <c r="BQ274" s="1" t="s">
        <v>74</v>
      </c>
      <c r="BR274" s="1" t="s">
        <v>74</v>
      </c>
      <c r="BS274" s="1" t="s">
        <v>2847</v>
      </c>
      <c r="BT274" s="1" t="str">
        <f>HYPERLINK("https%3A%2F%2Fwww.webofscience.com%2Fwos%2Fwoscc%2Ffull-record%2FWOS:001225522800005","View Full Record in Web of Science")</f>
        <v>View Full Record in Web of Science</v>
      </c>
    </row>
    <row r="275" ht="12.75" customHeight="1">
      <c r="A275" s="1" t="s">
        <v>72</v>
      </c>
      <c r="B275" s="1" t="s">
        <v>2848</v>
      </c>
      <c r="C275" s="1" t="s">
        <v>74</v>
      </c>
      <c r="D275" s="1" t="s">
        <v>74</v>
      </c>
      <c r="E275" s="1" t="s">
        <v>74</v>
      </c>
      <c r="F275" s="1" t="s">
        <v>2849</v>
      </c>
      <c r="G275" s="1" t="s">
        <v>74</v>
      </c>
      <c r="H275" s="1" t="s">
        <v>74</v>
      </c>
      <c r="I275" s="1" t="s">
        <v>2850</v>
      </c>
      <c r="J275" s="1" t="s">
        <v>2851</v>
      </c>
      <c r="K275" s="1" t="s">
        <v>74</v>
      </c>
      <c r="L275" s="1" t="s">
        <v>74</v>
      </c>
      <c r="M275" s="1" t="s">
        <v>74</v>
      </c>
      <c r="N275" s="1" t="s">
        <v>74</v>
      </c>
      <c r="O275" s="1" t="s">
        <v>74</v>
      </c>
      <c r="P275" s="1" t="s">
        <v>74</v>
      </c>
      <c r="Q275" s="1" t="s">
        <v>74</v>
      </c>
      <c r="R275" s="1" t="s">
        <v>74</v>
      </c>
      <c r="S275" s="1" t="s">
        <v>74</v>
      </c>
      <c r="T275" s="1" t="s">
        <v>74</v>
      </c>
      <c r="U275" s="1" t="s">
        <v>74</v>
      </c>
      <c r="V275" s="1" t="s">
        <v>2852</v>
      </c>
      <c r="W275" s="1" t="s">
        <v>74</v>
      </c>
      <c r="X275" s="1" t="s">
        <v>74</v>
      </c>
      <c r="Y275" s="1" t="s">
        <v>74</v>
      </c>
      <c r="Z275" s="1" t="s">
        <v>74</v>
      </c>
      <c r="AA275" s="1" t="s">
        <v>2853</v>
      </c>
      <c r="AB275" s="1" t="s">
        <v>74</v>
      </c>
      <c r="AC275" s="1" t="s">
        <v>74</v>
      </c>
      <c r="AD275" s="1" t="s">
        <v>74</v>
      </c>
      <c r="AE275" s="1" t="s">
        <v>74</v>
      </c>
      <c r="AF275" s="1" t="s">
        <v>74</v>
      </c>
      <c r="AG275" s="1" t="s">
        <v>74</v>
      </c>
      <c r="AH275" s="1" t="s">
        <v>74</v>
      </c>
      <c r="AI275" s="1" t="s">
        <v>74</v>
      </c>
      <c r="AJ275" s="1" t="s">
        <v>74</v>
      </c>
      <c r="AK275" s="1" t="s">
        <v>74</v>
      </c>
      <c r="AL275" s="1" t="s">
        <v>74</v>
      </c>
      <c r="AM275" s="1" t="s">
        <v>74</v>
      </c>
      <c r="AN275" s="1" t="s">
        <v>74</v>
      </c>
      <c r="AO275" s="1" t="s">
        <v>2854</v>
      </c>
      <c r="AP275" s="1" t="s">
        <v>74</v>
      </c>
      <c r="AQ275" s="1" t="s">
        <v>74</v>
      </c>
      <c r="AR275" s="1" t="s">
        <v>74</v>
      </c>
      <c r="AS275" s="1" t="s">
        <v>74</v>
      </c>
      <c r="AT275" s="1" t="s">
        <v>74</v>
      </c>
      <c r="AU275" s="1">
        <v>2024.0</v>
      </c>
      <c r="AV275" s="1">
        <v>13.0</v>
      </c>
      <c r="AW275" s="1" t="s">
        <v>74</v>
      </c>
      <c r="AX275" s="1" t="s">
        <v>74</v>
      </c>
      <c r="AY275" s="1">
        <v>3.0</v>
      </c>
      <c r="AZ275" s="1" t="s">
        <v>74</v>
      </c>
      <c r="BA275" s="1" t="s">
        <v>74</v>
      </c>
      <c r="BB275" s="1" t="s">
        <v>74</v>
      </c>
      <c r="BC275" s="1" t="s">
        <v>74</v>
      </c>
      <c r="BD275" s="1">
        <v>9.0</v>
      </c>
      <c r="BE275" s="1" t="s">
        <v>74</v>
      </c>
      <c r="BF275" s="1" t="s">
        <v>74</v>
      </c>
      <c r="BG275" s="1" t="s">
        <v>74</v>
      </c>
      <c r="BH275" s="1" t="s">
        <v>74</v>
      </c>
      <c r="BI275" s="1" t="s">
        <v>74</v>
      </c>
      <c r="BJ275" s="1" t="s">
        <v>74</v>
      </c>
      <c r="BK275" s="1" t="s">
        <v>74</v>
      </c>
      <c r="BL275" s="1" t="s">
        <v>74</v>
      </c>
      <c r="BM275" s="1" t="s">
        <v>74</v>
      </c>
      <c r="BN275" s="1" t="s">
        <v>74</v>
      </c>
      <c r="BO275" s="1" t="s">
        <v>74</v>
      </c>
      <c r="BP275" s="1" t="s">
        <v>74</v>
      </c>
      <c r="BQ275" s="1" t="s">
        <v>74</v>
      </c>
      <c r="BR275" s="1" t="s">
        <v>74</v>
      </c>
      <c r="BS275" s="1" t="s">
        <v>2855</v>
      </c>
      <c r="BT275" s="1" t="str">
        <f>HYPERLINK("https%3A%2F%2Fwww.webofscience.com%2Fwos%2Fwoscc%2Ffull-record%2FWOS:001360797000005","View Full Record in Web of Science")</f>
        <v>View Full Record in Web of Science</v>
      </c>
    </row>
    <row r="276" ht="12.75" customHeight="1">
      <c r="A276" s="1" t="s">
        <v>72</v>
      </c>
      <c r="B276" s="1" t="s">
        <v>1309</v>
      </c>
      <c r="C276" s="1" t="s">
        <v>74</v>
      </c>
      <c r="D276" s="1" t="s">
        <v>74</v>
      </c>
      <c r="E276" s="1" t="s">
        <v>74</v>
      </c>
      <c r="F276" s="1" t="s">
        <v>1310</v>
      </c>
      <c r="G276" s="1" t="s">
        <v>74</v>
      </c>
      <c r="H276" s="1" t="s">
        <v>74</v>
      </c>
      <c r="I276" s="1" t="s">
        <v>2856</v>
      </c>
      <c r="J276" s="1" t="s">
        <v>1789</v>
      </c>
      <c r="K276" s="1" t="s">
        <v>74</v>
      </c>
      <c r="L276" s="1" t="s">
        <v>74</v>
      </c>
      <c r="M276" s="1" t="s">
        <v>74</v>
      </c>
      <c r="N276" s="1" t="s">
        <v>74</v>
      </c>
      <c r="O276" s="1" t="s">
        <v>74</v>
      </c>
      <c r="P276" s="1" t="s">
        <v>74</v>
      </c>
      <c r="Q276" s="1" t="s">
        <v>74</v>
      </c>
      <c r="R276" s="1" t="s">
        <v>74</v>
      </c>
      <c r="S276" s="1" t="s">
        <v>74</v>
      </c>
      <c r="T276" s="1" t="s">
        <v>74</v>
      </c>
      <c r="U276" s="1" t="s">
        <v>74</v>
      </c>
      <c r="V276" s="1" t="s">
        <v>2857</v>
      </c>
      <c r="W276" s="1" t="s">
        <v>74</v>
      </c>
      <c r="X276" s="1" t="s">
        <v>74</v>
      </c>
      <c r="Y276" s="1" t="s">
        <v>74</v>
      </c>
      <c r="Z276" s="1" t="s">
        <v>74</v>
      </c>
      <c r="AA276" s="1" t="s">
        <v>2858</v>
      </c>
      <c r="AB276" s="1" t="s">
        <v>2859</v>
      </c>
      <c r="AC276" s="1" t="s">
        <v>74</v>
      </c>
      <c r="AD276" s="1" t="s">
        <v>74</v>
      </c>
      <c r="AE276" s="1" t="s">
        <v>74</v>
      </c>
      <c r="AF276" s="1" t="s">
        <v>74</v>
      </c>
      <c r="AG276" s="1" t="s">
        <v>74</v>
      </c>
      <c r="AH276" s="1" t="s">
        <v>74</v>
      </c>
      <c r="AI276" s="1" t="s">
        <v>74</v>
      </c>
      <c r="AJ276" s="1" t="s">
        <v>74</v>
      </c>
      <c r="AK276" s="1" t="s">
        <v>74</v>
      </c>
      <c r="AL276" s="1" t="s">
        <v>74</v>
      </c>
      <c r="AM276" s="1" t="s">
        <v>74</v>
      </c>
      <c r="AN276" s="1" t="s">
        <v>74</v>
      </c>
      <c r="AO276" s="1" t="s">
        <v>1793</v>
      </c>
      <c r="AP276" s="1" t="s">
        <v>1794</v>
      </c>
      <c r="AQ276" s="1" t="s">
        <v>74</v>
      </c>
      <c r="AR276" s="1" t="s">
        <v>74</v>
      </c>
      <c r="AS276" s="1" t="s">
        <v>74</v>
      </c>
      <c r="AT276" s="1" t="s">
        <v>739</v>
      </c>
      <c r="AU276" s="1">
        <v>2025.0</v>
      </c>
      <c r="AV276" s="1">
        <v>48.0</v>
      </c>
      <c r="AW276" s="1">
        <v>7.0</v>
      </c>
      <c r="AX276" s="1" t="s">
        <v>74</v>
      </c>
      <c r="AY276" s="1" t="s">
        <v>74</v>
      </c>
      <c r="AZ276" s="1" t="s">
        <v>74</v>
      </c>
      <c r="BA276" s="1" t="s">
        <v>74</v>
      </c>
      <c r="BB276" s="1">
        <v>7630.0</v>
      </c>
      <c r="BC276" s="1">
        <v>7640.0</v>
      </c>
      <c r="BD276" s="1" t="s">
        <v>74</v>
      </c>
      <c r="BE276" s="1" t="s">
        <v>2860</v>
      </c>
      <c r="BF276" s="2" t="str">
        <f>HYPERLINK("http://dx.doi.org/10.1002/mma.9228","http://dx.doi.org/10.1002/mma.9228")</f>
        <v>http://dx.doi.org/10.1002/mma.9228</v>
      </c>
      <c r="BG276" s="1" t="s">
        <v>74</v>
      </c>
      <c r="BH276" s="1" t="s">
        <v>2861</v>
      </c>
      <c r="BI276" s="1" t="s">
        <v>74</v>
      </c>
      <c r="BJ276" s="1" t="s">
        <v>74</v>
      </c>
      <c r="BK276" s="1" t="s">
        <v>74</v>
      </c>
      <c r="BL276" s="1" t="s">
        <v>74</v>
      </c>
      <c r="BM276" s="1" t="s">
        <v>74</v>
      </c>
      <c r="BN276" s="1" t="s">
        <v>74</v>
      </c>
      <c r="BO276" s="1" t="s">
        <v>74</v>
      </c>
      <c r="BP276" s="1" t="s">
        <v>74</v>
      </c>
      <c r="BQ276" s="1" t="s">
        <v>74</v>
      </c>
      <c r="BR276" s="1" t="s">
        <v>74</v>
      </c>
      <c r="BS276" s="1" t="s">
        <v>2862</v>
      </c>
      <c r="BT276" s="1" t="str">
        <f>HYPERLINK("https%3A%2F%2Fwww.webofscience.com%2Fwos%2Fwoscc%2Ffull-record%2FWOS:000956577300001","View Full Record in Web of Science")</f>
        <v>View Full Record in Web of Science</v>
      </c>
    </row>
    <row r="277" ht="12.75" customHeight="1">
      <c r="A277" s="1" t="s">
        <v>72</v>
      </c>
      <c r="B277" s="1" t="s">
        <v>2863</v>
      </c>
      <c r="C277" s="1" t="s">
        <v>74</v>
      </c>
      <c r="D277" s="1" t="s">
        <v>74</v>
      </c>
      <c r="E277" s="1" t="s">
        <v>74</v>
      </c>
      <c r="F277" s="1" t="s">
        <v>2864</v>
      </c>
      <c r="G277" s="1" t="s">
        <v>74</v>
      </c>
      <c r="H277" s="1" t="s">
        <v>74</v>
      </c>
      <c r="I277" s="1" t="s">
        <v>2865</v>
      </c>
      <c r="J277" s="1" t="s">
        <v>2866</v>
      </c>
      <c r="K277" s="1" t="s">
        <v>74</v>
      </c>
      <c r="L277" s="1" t="s">
        <v>74</v>
      </c>
      <c r="M277" s="1" t="s">
        <v>74</v>
      </c>
      <c r="N277" s="1" t="s">
        <v>74</v>
      </c>
      <c r="O277" s="1" t="s">
        <v>74</v>
      </c>
      <c r="P277" s="1" t="s">
        <v>74</v>
      </c>
      <c r="Q277" s="1" t="s">
        <v>74</v>
      </c>
      <c r="R277" s="1" t="s">
        <v>74</v>
      </c>
      <c r="S277" s="1" t="s">
        <v>74</v>
      </c>
      <c r="T277" s="1" t="s">
        <v>74</v>
      </c>
      <c r="U277" s="1" t="s">
        <v>74</v>
      </c>
      <c r="V277" s="1" t="s">
        <v>2867</v>
      </c>
      <c r="W277" s="1" t="s">
        <v>74</v>
      </c>
      <c r="X277" s="1" t="s">
        <v>74</v>
      </c>
      <c r="Y277" s="1" t="s">
        <v>74</v>
      </c>
      <c r="Z277" s="1" t="s">
        <v>74</v>
      </c>
      <c r="AA277" s="1" t="s">
        <v>2868</v>
      </c>
      <c r="AB277" s="1" t="s">
        <v>2869</v>
      </c>
      <c r="AC277" s="1" t="s">
        <v>74</v>
      </c>
      <c r="AD277" s="1" t="s">
        <v>74</v>
      </c>
      <c r="AE277" s="1" t="s">
        <v>74</v>
      </c>
      <c r="AF277" s="1" t="s">
        <v>74</v>
      </c>
      <c r="AG277" s="1" t="s">
        <v>74</v>
      </c>
      <c r="AH277" s="1" t="s">
        <v>74</v>
      </c>
      <c r="AI277" s="1" t="s">
        <v>74</v>
      </c>
      <c r="AJ277" s="1" t="s">
        <v>74</v>
      </c>
      <c r="AK277" s="1" t="s">
        <v>74</v>
      </c>
      <c r="AL277" s="1" t="s">
        <v>74</v>
      </c>
      <c r="AM277" s="1" t="s">
        <v>74</v>
      </c>
      <c r="AN277" s="1" t="s">
        <v>74</v>
      </c>
      <c r="AO277" s="1" t="s">
        <v>74</v>
      </c>
      <c r="AP277" s="1" t="s">
        <v>2870</v>
      </c>
      <c r="AQ277" s="1" t="s">
        <v>74</v>
      </c>
      <c r="AR277" s="1" t="s">
        <v>74</v>
      </c>
      <c r="AS277" s="1" t="s">
        <v>74</v>
      </c>
      <c r="AT277" s="1" t="s">
        <v>257</v>
      </c>
      <c r="AU277" s="1">
        <v>2023.0</v>
      </c>
      <c r="AV277" s="1">
        <v>13.0</v>
      </c>
      <c r="AW277" s="1">
        <v>3.0</v>
      </c>
      <c r="AX277" s="1" t="s">
        <v>74</v>
      </c>
      <c r="AY277" s="1" t="s">
        <v>74</v>
      </c>
      <c r="AZ277" s="1" t="s">
        <v>74</v>
      </c>
      <c r="BA277" s="1" t="s">
        <v>74</v>
      </c>
      <c r="BB277" s="1" t="s">
        <v>74</v>
      </c>
      <c r="BC277" s="1" t="s">
        <v>74</v>
      </c>
      <c r="BD277" s="1">
        <v>266.0</v>
      </c>
      <c r="BE277" s="1" t="s">
        <v>2871</v>
      </c>
      <c r="BF277" s="2" t="str">
        <f>HYPERLINK("http://dx.doi.org/10.3390/educsci13030266","http://dx.doi.org/10.3390/educsci13030266")</f>
        <v>http://dx.doi.org/10.3390/educsci13030266</v>
      </c>
      <c r="BG277" s="1" t="s">
        <v>74</v>
      </c>
      <c r="BH277" s="1" t="s">
        <v>74</v>
      </c>
      <c r="BI277" s="1" t="s">
        <v>74</v>
      </c>
      <c r="BJ277" s="1" t="s">
        <v>74</v>
      </c>
      <c r="BK277" s="1" t="s">
        <v>74</v>
      </c>
      <c r="BL277" s="1" t="s">
        <v>74</v>
      </c>
      <c r="BM277" s="1" t="s">
        <v>74</v>
      </c>
      <c r="BN277" s="1" t="s">
        <v>74</v>
      </c>
      <c r="BO277" s="1" t="s">
        <v>74</v>
      </c>
      <c r="BP277" s="1" t="s">
        <v>74</v>
      </c>
      <c r="BQ277" s="1" t="s">
        <v>74</v>
      </c>
      <c r="BR277" s="1" t="s">
        <v>74</v>
      </c>
      <c r="BS277" s="1" t="s">
        <v>2872</v>
      </c>
      <c r="BT277" s="1" t="str">
        <f>HYPERLINK("https%3A%2F%2Fwww.webofscience.com%2Fwos%2Fwoscc%2Ffull-record%2FWOS:000960166700001","View Full Record in Web of Science")</f>
        <v>View Full Record in Web of Science</v>
      </c>
    </row>
    <row r="278" ht="12.75" customHeight="1">
      <c r="A278" s="1" t="s">
        <v>72</v>
      </c>
      <c r="B278" s="1" t="s">
        <v>2873</v>
      </c>
      <c r="C278" s="1" t="s">
        <v>74</v>
      </c>
      <c r="D278" s="1" t="s">
        <v>74</v>
      </c>
      <c r="E278" s="1" t="s">
        <v>74</v>
      </c>
      <c r="F278" s="1" t="s">
        <v>2874</v>
      </c>
      <c r="G278" s="1" t="s">
        <v>74</v>
      </c>
      <c r="H278" s="1" t="s">
        <v>74</v>
      </c>
      <c r="I278" s="1" t="s">
        <v>2875</v>
      </c>
      <c r="J278" s="1" t="s">
        <v>2876</v>
      </c>
      <c r="K278" s="1" t="s">
        <v>74</v>
      </c>
      <c r="L278" s="1" t="s">
        <v>74</v>
      </c>
      <c r="M278" s="1" t="s">
        <v>74</v>
      </c>
      <c r="N278" s="1" t="s">
        <v>74</v>
      </c>
      <c r="O278" s="1" t="s">
        <v>74</v>
      </c>
      <c r="P278" s="1" t="s">
        <v>74</v>
      </c>
      <c r="Q278" s="1" t="s">
        <v>74</v>
      </c>
      <c r="R278" s="1" t="s">
        <v>74</v>
      </c>
      <c r="S278" s="1" t="s">
        <v>74</v>
      </c>
      <c r="T278" s="1" t="s">
        <v>74</v>
      </c>
      <c r="U278" s="1" t="s">
        <v>74</v>
      </c>
      <c r="V278" s="1" t="s">
        <v>2877</v>
      </c>
      <c r="W278" s="1" t="s">
        <v>74</v>
      </c>
      <c r="X278" s="1" t="s">
        <v>74</v>
      </c>
      <c r="Y278" s="1" t="s">
        <v>74</v>
      </c>
      <c r="Z278" s="1" t="s">
        <v>74</v>
      </c>
      <c r="AA278" s="1" t="s">
        <v>74</v>
      </c>
      <c r="AB278" s="1" t="s">
        <v>74</v>
      </c>
      <c r="AC278" s="1" t="s">
        <v>74</v>
      </c>
      <c r="AD278" s="1" t="s">
        <v>74</v>
      </c>
      <c r="AE278" s="1" t="s">
        <v>74</v>
      </c>
      <c r="AF278" s="1" t="s">
        <v>74</v>
      </c>
      <c r="AG278" s="1" t="s">
        <v>74</v>
      </c>
      <c r="AH278" s="1" t="s">
        <v>74</v>
      </c>
      <c r="AI278" s="1" t="s">
        <v>74</v>
      </c>
      <c r="AJ278" s="1" t="s">
        <v>74</v>
      </c>
      <c r="AK278" s="1" t="s">
        <v>74</v>
      </c>
      <c r="AL278" s="1" t="s">
        <v>74</v>
      </c>
      <c r="AM278" s="1" t="s">
        <v>74</v>
      </c>
      <c r="AN278" s="1" t="s">
        <v>74</v>
      </c>
      <c r="AO278" s="1" t="s">
        <v>2878</v>
      </c>
      <c r="AP278" s="1" t="s">
        <v>2879</v>
      </c>
      <c r="AQ278" s="1" t="s">
        <v>74</v>
      </c>
      <c r="AR278" s="1" t="s">
        <v>74</v>
      </c>
      <c r="AS278" s="1" t="s">
        <v>74</v>
      </c>
      <c r="AT278" s="1" t="s">
        <v>74</v>
      </c>
      <c r="AU278" s="1">
        <v>2023.0</v>
      </c>
      <c r="AV278" s="1">
        <v>24.0</v>
      </c>
      <c r="AW278" s="1">
        <v>1.0</v>
      </c>
      <c r="AX278" s="1" t="s">
        <v>74</v>
      </c>
      <c r="AY278" s="1" t="s">
        <v>74</v>
      </c>
      <c r="AZ278" s="1" t="s">
        <v>74</v>
      </c>
      <c r="BA278" s="1" t="s">
        <v>74</v>
      </c>
      <c r="BB278" s="1" t="s">
        <v>74</v>
      </c>
      <c r="BC278" s="1" t="s">
        <v>74</v>
      </c>
      <c r="BD278" s="1" t="s">
        <v>2880</v>
      </c>
      <c r="BE278" s="1" t="s">
        <v>2881</v>
      </c>
      <c r="BF278" s="2" t="str">
        <f>HYPERLINK("http://dx.doi.org/10.21930/rcta.vol24_num1_art:2615","http://dx.doi.org/10.21930/rcta.vol24_num1_art:2615")</f>
        <v>http://dx.doi.org/10.21930/rcta.vol24_num1_art:2615</v>
      </c>
      <c r="BG278" s="1" t="s">
        <v>74</v>
      </c>
      <c r="BH278" s="1" t="s">
        <v>74</v>
      </c>
      <c r="BI278" s="1" t="s">
        <v>74</v>
      </c>
      <c r="BJ278" s="1" t="s">
        <v>74</v>
      </c>
      <c r="BK278" s="1" t="s">
        <v>74</v>
      </c>
      <c r="BL278" s="1" t="s">
        <v>74</v>
      </c>
      <c r="BM278" s="1" t="s">
        <v>74</v>
      </c>
      <c r="BN278" s="1" t="s">
        <v>74</v>
      </c>
      <c r="BO278" s="1" t="s">
        <v>74</v>
      </c>
      <c r="BP278" s="1" t="s">
        <v>74</v>
      </c>
      <c r="BQ278" s="1" t="s">
        <v>74</v>
      </c>
      <c r="BR278" s="1" t="s">
        <v>74</v>
      </c>
      <c r="BS278" s="1" t="s">
        <v>2882</v>
      </c>
      <c r="BT278" s="1" t="str">
        <f>HYPERLINK("https%3A%2F%2Fwww.webofscience.com%2Fwos%2Fwoscc%2Ffull-record%2FWOS:001046307400002","View Full Record in Web of Science")</f>
        <v>View Full Record in Web of Science</v>
      </c>
    </row>
    <row r="279" ht="12.75" customHeight="1">
      <c r="A279" s="1" t="s">
        <v>72</v>
      </c>
      <c r="B279" s="1" t="s">
        <v>2883</v>
      </c>
      <c r="C279" s="1" t="s">
        <v>74</v>
      </c>
      <c r="D279" s="1" t="s">
        <v>74</v>
      </c>
      <c r="E279" s="1" t="s">
        <v>74</v>
      </c>
      <c r="F279" s="1" t="s">
        <v>2884</v>
      </c>
      <c r="G279" s="1" t="s">
        <v>74</v>
      </c>
      <c r="H279" s="1" t="s">
        <v>74</v>
      </c>
      <c r="I279" s="1" t="s">
        <v>2885</v>
      </c>
      <c r="J279" s="1" t="s">
        <v>2886</v>
      </c>
      <c r="K279" s="1" t="s">
        <v>74</v>
      </c>
      <c r="L279" s="1" t="s">
        <v>74</v>
      </c>
      <c r="M279" s="1" t="s">
        <v>74</v>
      </c>
      <c r="N279" s="1" t="s">
        <v>74</v>
      </c>
      <c r="O279" s="1" t="s">
        <v>74</v>
      </c>
      <c r="P279" s="1" t="s">
        <v>74</v>
      </c>
      <c r="Q279" s="1" t="s">
        <v>74</v>
      </c>
      <c r="R279" s="1" t="s">
        <v>74</v>
      </c>
      <c r="S279" s="1" t="s">
        <v>74</v>
      </c>
      <c r="T279" s="1" t="s">
        <v>74</v>
      </c>
      <c r="U279" s="1" t="s">
        <v>74</v>
      </c>
      <c r="V279" s="1" t="s">
        <v>2887</v>
      </c>
      <c r="W279" s="1" t="s">
        <v>74</v>
      </c>
      <c r="X279" s="1" t="s">
        <v>74</v>
      </c>
      <c r="Y279" s="1" t="s">
        <v>74</v>
      </c>
      <c r="Z279" s="1" t="s">
        <v>74</v>
      </c>
      <c r="AA279" s="1" t="s">
        <v>2888</v>
      </c>
      <c r="AB279" s="1" t="s">
        <v>2889</v>
      </c>
      <c r="AC279" s="1" t="s">
        <v>74</v>
      </c>
      <c r="AD279" s="1" t="s">
        <v>74</v>
      </c>
      <c r="AE279" s="1" t="s">
        <v>74</v>
      </c>
      <c r="AF279" s="1" t="s">
        <v>74</v>
      </c>
      <c r="AG279" s="1" t="s">
        <v>74</v>
      </c>
      <c r="AH279" s="1" t="s">
        <v>74</v>
      </c>
      <c r="AI279" s="1" t="s">
        <v>74</v>
      </c>
      <c r="AJ279" s="1" t="s">
        <v>74</v>
      </c>
      <c r="AK279" s="1" t="s">
        <v>74</v>
      </c>
      <c r="AL279" s="1" t="s">
        <v>74</v>
      </c>
      <c r="AM279" s="1" t="s">
        <v>74</v>
      </c>
      <c r="AN279" s="1" t="s">
        <v>74</v>
      </c>
      <c r="AO279" s="1" t="s">
        <v>2890</v>
      </c>
      <c r="AP279" s="1" t="s">
        <v>2891</v>
      </c>
      <c r="AQ279" s="1" t="s">
        <v>74</v>
      </c>
      <c r="AR279" s="1" t="s">
        <v>74</v>
      </c>
      <c r="AS279" s="1" t="s">
        <v>74</v>
      </c>
      <c r="AT279" s="1" t="s">
        <v>606</v>
      </c>
      <c r="AU279" s="1">
        <v>2022.0</v>
      </c>
      <c r="AV279" s="1">
        <v>102.0</v>
      </c>
      <c r="AW279" s="1">
        <v>13.0</v>
      </c>
      <c r="AX279" s="1" t="s">
        <v>74</v>
      </c>
      <c r="AY279" s="1" t="s">
        <v>74</v>
      </c>
      <c r="AZ279" s="1" t="s">
        <v>74</v>
      </c>
      <c r="BA279" s="1" t="s">
        <v>74</v>
      </c>
      <c r="BB279" s="1">
        <v>6088.0</v>
      </c>
      <c r="BC279" s="1">
        <v>6099.0</v>
      </c>
      <c r="BD279" s="1" t="s">
        <v>74</v>
      </c>
      <c r="BE279" s="1" t="s">
        <v>2892</v>
      </c>
      <c r="BF279" s="2" t="str">
        <f>HYPERLINK("http://dx.doi.org/10.1002/jsfa.11961","http://dx.doi.org/10.1002/jsfa.11961")</f>
        <v>http://dx.doi.org/10.1002/jsfa.11961</v>
      </c>
      <c r="BG279" s="1" t="s">
        <v>74</v>
      </c>
      <c r="BH279" s="1" t="s">
        <v>2229</v>
      </c>
      <c r="BI279" s="1" t="s">
        <v>74</v>
      </c>
      <c r="BJ279" s="1" t="s">
        <v>74</v>
      </c>
      <c r="BK279" s="1" t="s">
        <v>74</v>
      </c>
      <c r="BL279" s="1" t="s">
        <v>74</v>
      </c>
      <c r="BM279" s="1" t="s">
        <v>74</v>
      </c>
      <c r="BN279" s="1">
        <v>3.5470869E7</v>
      </c>
      <c r="BO279" s="1" t="s">
        <v>74</v>
      </c>
      <c r="BP279" s="1" t="s">
        <v>74</v>
      </c>
      <c r="BQ279" s="1" t="s">
        <v>74</v>
      </c>
      <c r="BR279" s="1" t="s">
        <v>74</v>
      </c>
      <c r="BS279" s="1" t="s">
        <v>2893</v>
      </c>
      <c r="BT279" s="1" t="str">
        <f>HYPERLINK("https%3A%2F%2Fwww.webofscience.com%2Fwos%2Fwoscc%2Ffull-record%2FWOS:000792710300001","View Full Record in Web of Science")</f>
        <v>View Full Record in Web of Science</v>
      </c>
    </row>
    <row r="280" ht="12.75" customHeight="1">
      <c r="A280" s="1" t="s">
        <v>72</v>
      </c>
      <c r="B280" s="1" t="s">
        <v>1870</v>
      </c>
      <c r="C280" s="1" t="s">
        <v>74</v>
      </c>
      <c r="D280" s="1" t="s">
        <v>74</v>
      </c>
      <c r="E280" s="1" t="s">
        <v>74</v>
      </c>
      <c r="F280" s="1" t="s">
        <v>1871</v>
      </c>
      <c r="G280" s="1" t="s">
        <v>74</v>
      </c>
      <c r="H280" s="1" t="s">
        <v>74</v>
      </c>
      <c r="I280" s="1" t="s">
        <v>2894</v>
      </c>
      <c r="J280" s="1" t="s">
        <v>2895</v>
      </c>
      <c r="K280" s="1" t="s">
        <v>74</v>
      </c>
      <c r="L280" s="1" t="s">
        <v>74</v>
      </c>
      <c r="M280" s="1" t="s">
        <v>74</v>
      </c>
      <c r="N280" s="1" t="s">
        <v>74</v>
      </c>
      <c r="O280" s="1" t="s">
        <v>74</v>
      </c>
      <c r="P280" s="1" t="s">
        <v>74</v>
      </c>
      <c r="Q280" s="1" t="s">
        <v>74</v>
      </c>
      <c r="R280" s="1" t="s">
        <v>74</v>
      </c>
      <c r="S280" s="1" t="s">
        <v>74</v>
      </c>
      <c r="T280" s="1" t="s">
        <v>74</v>
      </c>
      <c r="U280" s="1" t="s">
        <v>74</v>
      </c>
      <c r="V280" s="1" t="s">
        <v>2896</v>
      </c>
      <c r="W280" s="1" t="s">
        <v>74</v>
      </c>
      <c r="X280" s="1" t="s">
        <v>74</v>
      </c>
      <c r="Y280" s="1" t="s">
        <v>74</v>
      </c>
      <c r="Z280" s="1" t="s">
        <v>74</v>
      </c>
      <c r="AA280" s="1" t="s">
        <v>1875</v>
      </c>
      <c r="AB280" s="1" t="s">
        <v>1876</v>
      </c>
      <c r="AC280" s="1" t="s">
        <v>74</v>
      </c>
      <c r="AD280" s="1" t="s">
        <v>74</v>
      </c>
      <c r="AE280" s="1" t="s">
        <v>74</v>
      </c>
      <c r="AF280" s="1" t="s">
        <v>74</v>
      </c>
      <c r="AG280" s="1" t="s">
        <v>74</v>
      </c>
      <c r="AH280" s="1" t="s">
        <v>74</v>
      </c>
      <c r="AI280" s="1" t="s">
        <v>74</v>
      </c>
      <c r="AJ280" s="1" t="s">
        <v>74</v>
      </c>
      <c r="AK280" s="1" t="s">
        <v>74</v>
      </c>
      <c r="AL280" s="1" t="s">
        <v>74</v>
      </c>
      <c r="AM280" s="1" t="s">
        <v>74</v>
      </c>
      <c r="AN280" s="1" t="s">
        <v>74</v>
      </c>
      <c r="AO280" s="1" t="s">
        <v>2897</v>
      </c>
      <c r="AP280" s="1" t="s">
        <v>2898</v>
      </c>
      <c r="AQ280" s="1" t="s">
        <v>74</v>
      </c>
      <c r="AR280" s="1" t="s">
        <v>74</v>
      </c>
      <c r="AS280" s="1" t="s">
        <v>74</v>
      </c>
      <c r="AT280" s="1" t="s">
        <v>652</v>
      </c>
      <c r="AU280" s="1">
        <v>2021.0</v>
      </c>
      <c r="AV280" s="1">
        <v>133.0</v>
      </c>
      <c r="AW280" s="1" t="s">
        <v>74</v>
      </c>
      <c r="AX280" s="1" t="s">
        <v>74</v>
      </c>
      <c r="AY280" s="1" t="s">
        <v>74</v>
      </c>
      <c r="AZ280" s="1" t="s">
        <v>74</v>
      </c>
      <c r="BA280" s="1" t="s">
        <v>74</v>
      </c>
      <c r="BB280" s="1" t="s">
        <v>74</v>
      </c>
      <c r="BC280" s="1" t="s">
        <v>74</v>
      </c>
      <c r="BD280" s="1">
        <v>108364.0</v>
      </c>
      <c r="BE280" s="1" t="s">
        <v>2899</v>
      </c>
      <c r="BF280" s="2" t="str">
        <f>HYPERLINK("http://dx.doi.org/10.1016/j.ecolind.2021.108364","http://dx.doi.org/10.1016/j.ecolind.2021.108364")</f>
        <v>http://dx.doi.org/10.1016/j.ecolind.2021.108364</v>
      </c>
      <c r="BG280" s="1" t="s">
        <v>74</v>
      </c>
      <c r="BH280" s="1" t="s">
        <v>1857</v>
      </c>
      <c r="BI280" s="1" t="s">
        <v>74</v>
      </c>
      <c r="BJ280" s="1" t="s">
        <v>74</v>
      </c>
      <c r="BK280" s="1" t="s">
        <v>74</v>
      </c>
      <c r="BL280" s="1" t="s">
        <v>74</v>
      </c>
      <c r="BM280" s="1" t="s">
        <v>74</v>
      </c>
      <c r="BN280" s="1" t="s">
        <v>74</v>
      </c>
      <c r="BO280" s="1" t="s">
        <v>74</v>
      </c>
      <c r="BP280" s="1" t="s">
        <v>74</v>
      </c>
      <c r="BQ280" s="1" t="s">
        <v>74</v>
      </c>
      <c r="BR280" s="1" t="s">
        <v>74</v>
      </c>
      <c r="BS280" s="1" t="s">
        <v>2900</v>
      </c>
      <c r="BT280" s="1" t="str">
        <f>HYPERLINK("https%3A%2F%2Fwww.webofscience.com%2Fwos%2Fwoscc%2Ffull-record%2FWOS:000719661300001","View Full Record in Web of Science")</f>
        <v>View Full Record in Web of Science</v>
      </c>
    </row>
    <row r="281" ht="12.75" customHeight="1">
      <c r="A281" s="1" t="s">
        <v>72</v>
      </c>
      <c r="B281" s="1" t="s">
        <v>2901</v>
      </c>
      <c r="C281" s="1" t="s">
        <v>74</v>
      </c>
      <c r="D281" s="1" t="s">
        <v>74</v>
      </c>
      <c r="E281" s="1" t="s">
        <v>74</v>
      </c>
      <c r="F281" s="1" t="s">
        <v>2902</v>
      </c>
      <c r="G281" s="1" t="s">
        <v>74</v>
      </c>
      <c r="H281" s="1" t="s">
        <v>74</v>
      </c>
      <c r="I281" s="1" t="s">
        <v>2903</v>
      </c>
      <c r="J281" s="1" t="s">
        <v>2904</v>
      </c>
      <c r="K281" s="1" t="s">
        <v>74</v>
      </c>
      <c r="L281" s="1" t="s">
        <v>74</v>
      </c>
      <c r="M281" s="1" t="s">
        <v>74</v>
      </c>
      <c r="N281" s="1" t="s">
        <v>74</v>
      </c>
      <c r="O281" s="1" t="s">
        <v>74</v>
      </c>
      <c r="P281" s="1" t="s">
        <v>74</v>
      </c>
      <c r="Q281" s="1" t="s">
        <v>74</v>
      </c>
      <c r="R281" s="1" t="s">
        <v>74</v>
      </c>
      <c r="S281" s="1" t="s">
        <v>74</v>
      </c>
      <c r="T281" s="1" t="s">
        <v>74</v>
      </c>
      <c r="U281" s="1" t="s">
        <v>74</v>
      </c>
      <c r="V281" s="1" t="s">
        <v>2905</v>
      </c>
      <c r="W281" s="1" t="s">
        <v>74</v>
      </c>
      <c r="X281" s="1" t="s">
        <v>74</v>
      </c>
      <c r="Y281" s="1" t="s">
        <v>74</v>
      </c>
      <c r="Z281" s="1" t="s">
        <v>74</v>
      </c>
      <c r="AA281" s="1" t="s">
        <v>2906</v>
      </c>
      <c r="AB281" s="1" t="s">
        <v>2907</v>
      </c>
      <c r="AC281" s="1" t="s">
        <v>74</v>
      </c>
      <c r="AD281" s="1" t="s">
        <v>74</v>
      </c>
      <c r="AE281" s="1" t="s">
        <v>74</v>
      </c>
      <c r="AF281" s="1" t="s">
        <v>74</v>
      </c>
      <c r="AG281" s="1" t="s">
        <v>74</v>
      </c>
      <c r="AH281" s="1" t="s">
        <v>74</v>
      </c>
      <c r="AI281" s="1" t="s">
        <v>74</v>
      </c>
      <c r="AJ281" s="1" t="s">
        <v>74</v>
      </c>
      <c r="AK281" s="1" t="s">
        <v>74</v>
      </c>
      <c r="AL281" s="1" t="s">
        <v>74</v>
      </c>
      <c r="AM281" s="1" t="s">
        <v>74</v>
      </c>
      <c r="AN281" s="1" t="s">
        <v>74</v>
      </c>
      <c r="AO281" s="1" t="s">
        <v>2908</v>
      </c>
      <c r="AP281" s="1" t="s">
        <v>74</v>
      </c>
      <c r="AQ281" s="1" t="s">
        <v>74</v>
      </c>
      <c r="AR281" s="1" t="s">
        <v>74</v>
      </c>
      <c r="AS281" s="1" t="s">
        <v>74</v>
      </c>
      <c r="AT281" s="1" t="s">
        <v>146</v>
      </c>
      <c r="AU281" s="1">
        <v>2021.0</v>
      </c>
      <c r="AV281" s="1">
        <v>6.0</v>
      </c>
      <c r="AW281" s="1">
        <v>3.0</v>
      </c>
      <c r="AX281" s="1" t="s">
        <v>74</v>
      </c>
      <c r="AY281" s="1" t="s">
        <v>74</v>
      </c>
      <c r="AZ281" s="1" t="s">
        <v>74</v>
      </c>
      <c r="BA281" s="1" t="s">
        <v>74</v>
      </c>
      <c r="BB281" s="1" t="s">
        <v>74</v>
      </c>
      <c r="BC281" s="1" t="s">
        <v>74</v>
      </c>
      <c r="BD281" s="1">
        <v>34604.0</v>
      </c>
      <c r="BE281" s="1" t="s">
        <v>2909</v>
      </c>
      <c r="BF281" s="2" t="str">
        <f>HYPERLINK("http://dx.doi.org/10.1103/PhysRevFluids.6.034604","http://dx.doi.org/10.1103/PhysRevFluids.6.034604")</f>
        <v>http://dx.doi.org/10.1103/PhysRevFluids.6.034604</v>
      </c>
      <c r="BG281" s="1" t="s">
        <v>74</v>
      </c>
      <c r="BH281" s="1" t="s">
        <v>74</v>
      </c>
      <c r="BI281" s="1" t="s">
        <v>74</v>
      </c>
      <c r="BJ281" s="1" t="s">
        <v>74</v>
      </c>
      <c r="BK281" s="1" t="s">
        <v>74</v>
      </c>
      <c r="BL281" s="1" t="s">
        <v>74</v>
      </c>
      <c r="BM281" s="1" t="s">
        <v>74</v>
      </c>
      <c r="BN281" s="1" t="s">
        <v>74</v>
      </c>
      <c r="BO281" s="1" t="s">
        <v>74</v>
      </c>
      <c r="BP281" s="1" t="s">
        <v>74</v>
      </c>
      <c r="BQ281" s="1" t="s">
        <v>74</v>
      </c>
      <c r="BR281" s="1" t="s">
        <v>74</v>
      </c>
      <c r="BS281" s="1" t="s">
        <v>2910</v>
      </c>
      <c r="BT281" s="1" t="str">
        <f>HYPERLINK("https%3A%2F%2Fwww.webofscience.com%2Fwos%2Fwoscc%2Ffull-record%2FWOS:000627644800004","View Full Record in Web of Science")</f>
        <v>View Full Record in Web of Science</v>
      </c>
    </row>
    <row r="282" ht="12.75" customHeight="1">
      <c r="A282" s="1" t="s">
        <v>72</v>
      </c>
      <c r="B282" s="1" t="s">
        <v>2911</v>
      </c>
      <c r="C282" s="1" t="s">
        <v>74</v>
      </c>
      <c r="D282" s="1" t="s">
        <v>74</v>
      </c>
      <c r="E282" s="1" t="s">
        <v>74</v>
      </c>
      <c r="F282" s="1" t="s">
        <v>2912</v>
      </c>
      <c r="G282" s="1" t="s">
        <v>74</v>
      </c>
      <c r="H282" s="1" t="s">
        <v>74</v>
      </c>
      <c r="I282" s="1" t="s">
        <v>2913</v>
      </c>
      <c r="J282" s="1" t="s">
        <v>2914</v>
      </c>
      <c r="K282" s="1" t="s">
        <v>74</v>
      </c>
      <c r="L282" s="1" t="s">
        <v>74</v>
      </c>
      <c r="M282" s="1" t="s">
        <v>74</v>
      </c>
      <c r="N282" s="1" t="s">
        <v>74</v>
      </c>
      <c r="O282" s="1" t="s">
        <v>74</v>
      </c>
      <c r="P282" s="1" t="s">
        <v>74</v>
      </c>
      <c r="Q282" s="1" t="s">
        <v>74</v>
      </c>
      <c r="R282" s="1" t="s">
        <v>74</v>
      </c>
      <c r="S282" s="1" t="s">
        <v>74</v>
      </c>
      <c r="T282" s="1" t="s">
        <v>74</v>
      </c>
      <c r="U282" s="1" t="s">
        <v>74</v>
      </c>
      <c r="V282" s="1" t="s">
        <v>2915</v>
      </c>
      <c r="W282" s="1" t="s">
        <v>74</v>
      </c>
      <c r="X282" s="1" t="s">
        <v>74</v>
      </c>
      <c r="Y282" s="1" t="s">
        <v>74</v>
      </c>
      <c r="Z282" s="1" t="s">
        <v>74</v>
      </c>
      <c r="AA282" s="1" t="s">
        <v>2916</v>
      </c>
      <c r="AB282" s="1" t="s">
        <v>2917</v>
      </c>
      <c r="AC282" s="1" t="s">
        <v>74</v>
      </c>
      <c r="AD282" s="1" t="s">
        <v>74</v>
      </c>
      <c r="AE282" s="1" t="s">
        <v>74</v>
      </c>
      <c r="AF282" s="1" t="s">
        <v>74</v>
      </c>
      <c r="AG282" s="1" t="s">
        <v>74</v>
      </c>
      <c r="AH282" s="1" t="s">
        <v>74</v>
      </c>
      <c r="AI282" s="1" t="s">
        <v>74</v>
      </c>
      <c r="AJ282" s="1" t="s">
        <v>74</v>
      </c>
      <c r="AK282" s="1" t="s">
        <v>74</v>
      </c>
      <c r="AL282" s="1" t="s">
        <v>74</v>
      </c>
      <c r="AM282" s="1" t="s">
        <v>74</v>
      </c>
      <c r="AN282" s="1" t="s">
        <v>74</v>
      </c>
      <c r="AO282" s="1" t="s">
        <v>2918</v>
      </c>
      <c r="AP282" s="1" t="s">
        <v>2919</v>
      </c>
      <c r="AQ282" s="1" t="s">
        <v>74</v>
      </c>
      <c r="AR282" s="1" t="s">
        <v>74</v>
      </c>
      <c r="AS282" s="1" t="s">
        <v>74</v>
      </c>
      <c r="AT282" s="1" t="s">
        <v>257</v>
      </c>
      <c r="AU282" s="1">
        <v>2021.0</v>
      </c>
      <c r="AV282" s="1">
        <v>101.0</v>
      </c>
      <c r="AW282" s="1" t="s">
        <v>74</v>
      </c>
      <c r="AX282" s="1" t="s">
        <v>74</v>
      </c>
      <c r="AY282" s="1" t="s">
        <v>74</v>
      </c>
      <c r="AZ282" s="1" t="s">
        <v>74</v>
      </c>
      <c r="BA282" s="1" t="s">
        <v>74</v>
      </c>
      <c r="BB282" s="1">
        <v>304.0</v>
      </c>
      <c r="BC282" s="1">
        <v>312.0</v>
      </c>
      <c r="BD282" s="1" t="s">
        <v>74</v>
      </c>
      <c r="BE282" s="1" t="s">
        <v>2920</v>
      </c>
      <c r="BF282" s="2" t="str">
        <f>HYPERLINK("http://dx.doi.org/10.1016/j.jes.2020.08.033","http://dx.doi.org/10.1016/j.jes.2020.08.033")</f>
        <v>http://dx.doi.org/10.1016/j.jes.2020.08.033</v>
      </c>
      <c r="BG282" s="1" t="s">
        <v>74</v>
      </c>
      <c r="BH282" s="1" t="s">
        <v>74</v>
      </c>
      <c r="BI282" s="1" t="s">
        <v>74</v>
      </c>
      <c r="BJ282" s="1" t="s">
        <v>74</v>
      </c>
      <c r="BK282" s="1" t="s">
        <v>74</v>
      </c>
      <c r="BL282" s="1" t="s">
        <v>74</v>
      </c>
      <c r="BM282" s="1" t="s">
        <v>74</v>
      </c>
      <c r="BN282" s="1">
        <v>3.3334525E7</v>
      </c>
      <c r="BO282" s="1" t="s">
        <v>74</v>
      </c>
      <c r="BP282" s="1" t="s">
        <v>74</v>
      </c>
      <c r="BQ282" s="1" t="s">
        <v>74</v>
      </c>
      <c r="BR282" s="1" t="s">
        <v>74</v>
      </c>
      <c r="BS282" s="1" t="s">
        <v>2921</v>
      </c>
      <c r="BT282" s="1" t="str">
        <f>HYPERLINK("https%3A%2F%2Fwww.webofscience.com%2Fwos%2Fwoscc%2Ffull-record%2FWOS:000598914600025","View Full Record in Web of Science")</f>
        <v>View Full Record in Web of Science</v>
      </c>
    </row>
    <row r="283" ht="12.75" customHeight="1">
      <c r="A283" s="1" t="s">
        <v>72</v>
      </c>
      <c r="B283" s="1" t="s">
        <v>1786</v>
      </c>
      <c r="C283" s="1" t="s">
        <v>74</v>
      </c>
      <c r="D283" s="1" t="s">
        <v>74</v>
      </c>
      <c r="E283" s="1" t="s">
        <v>74</v>
      </c>
      <c r="F283" s="1" t="s">
        <v>1787</v>
      </c>
      <c r="G283" s="1" t="s">
        <v>74</v>
      </c>
      <c r="H283" s="1" t="s">
        <v>74</v>
      </c>
      <c r="I283" s="1" t="s">
        <v>2922</v>
      </c>
      <c r="J283" s="1" t="s">
        <v>861</v>
      </c>
      <c r="K283" s="1" t="s">
        <v>74</v>
      </c>
      <c r="L283" s="1" t="s">
        <v>74</v>
      </c>
      <c r="M283" s="1" t="s">
        <v>74</v>
      </c>
      <c r="N283" s="1" t="s">
        <v>74</v>
      </c>
      <c r="O283" s="1" t="s">
        <v>74</v>
      </c>
      <c r="P283" s="1" t="s">
        <v>74</v>
      </c>
      <c r="Q283" s="1" t="s">
        <v>74</v>
      </c>
      <c r="R283" s="1" t="s">
        <v>74</v>
      </c>
      <c r="S283" s="1" t="s">
        <v>74</v>
      </c>
      <c r="T283" s="1" t="s">
        <v>74</v>
      </c>
      <c r="U283" s="1" t="s">
        <v>74</v>
      </c>
      <c r="V283" s="1" t="s">
        <v>2923</v>
      </c>
      <c r="W283" s="1" t="s">
        <v>74</v>
      </c>
      <c r="X283" s="1" t="s">
        <v>74</v>
      </c>
      <c r="Y283" s="1" t="s">
        <v>74</v>
      </c>
      <c r="Z283" s="1" t="s">
        <v>74</v>
      </c>
      <c r="AA283" s="1" t="s">
        <v>1791</v>
      </c>
      <c r="AB283" s="1" t="s">
        <v>74</v>
      </c>
      <c r="AC283" s="1" t="s">
        <v>74</v>
      </c>
      <c r="AD283" s="1" t="s">
        <v>74</v>
      </c>
      <c r="AE283" s="1" t="s">
        <v>74</v>
      </c>
      <c r="AF283" s="1" t="s">
        <v>74</v>
      </c>
      <c r="AG283" s="1" t="s">
        <v>74</v>
      </c>
      <c r="AH283" s="1" t="s">
        <v>74</v>
      </c>
      <c r="AI283" s="1" t="s">
        <v>74</v>
      </c>
      <c r="AJ283" s="1" t="s">
        <v>74</v>
      </c>
      <c r="AK283" s="1" t="s">
        <v>74</v>
      </c>
      <c r="AL283" s="1" t="s">
        <v>74</v>
      </c>
      <c r="AM283" s="1" t="s">
        <v>74</v>
      </c>
      <c r="AN283" s="1" t="s">
        <v>74</v>
      </c>
      <c r="AO283" s="1" t="s">
        <v>865</v>
      </c>
      <c r="AP283" s="1" t="s">
        <v>866</v>
      </c>
      <c r="AQ283" s="1" t="s">
        <v>74</v>
      </c>
      <c r="AR283" s="1" t="s">
        <v>74</v>
      </c>
      <c r="AS283" s="1" t="s">
        <v>74</v>
      </c>
      <c r="AT283" s="1" t="s">
        <v>350</v>
      </c>
      <c r="AU283" s="1">
        <v>2020.0</v>
      </c>
      <c r="AV283" s="1">
        <v>40.0</v>
      </c>
      <c r="AW283" s="1">
        <v>8.0</v>
      </c>
      <c r="AX283" s="1" t="s">
        <v>74</v>
      </c>
      <c r="AY283" s="1" t="s">
        <v>74</v>
      </c>
      <c r="AZ283" s="1" t="s">
        <v>74</v>
      </c>
      <c r="BA283" s="1" t="s">
        <v>74</v>
      </c>
      <c r="BB283" s="1">
        <v>4961.0</v>
      </c>
      <c r="BC283" s="1">
        <v>4983.0</v>
      </c>
      <c r="BD283" s="1" t="s">
        <v>74</v>
      </c>
      <c r="BE283" s="1" t="s">
        <v>2924</v>
      </c>
      <c r="BF283" s="2" t="str">
        <f>HYPERLINK("http://dx.doi.org/10.3934/dcds.2020207","http://dx.doi.org/10.3934/dcds.2020207")</f>
        <v>http://dx.doi.org/10.3934/dcds.2020207</v>
      </c>
      <c r="BG283" s="1" t="s">
        <v>74</v>
      </c>
      <c r="BH283" s="1" t="s">
        <v>74</v>
      </c>
      <c r="BI283" s="1" t="s">
        <v>74</v>
      </c>
      <c r="BJ283" s="1" t="s">
        <v>74</v>
      </c>
      <c r="BK283" s="1" t="s">
        <v>74</v>
      </c>
      <c r="BL283" s="1" t="s">
        <v>74</v>
      </c>
      <c r="BM283" s="1" t="s">
        <v>74</v>
      </c>
      <c r="BN283" s="1" t="s">
        <v>74</v>
      </c>
      <c r="BO283" s="1" t="s">
        <v>74</v>
      </c>
      <c r="BP283" s="1" t="s">
        <v>74</v>
      </c>
      <c r="BQ283" s="1" t="s">
        <v>74</v>
      </c>
      <c r="BR283" s="1" t="s">
        <v>74</v>
      </c>
      <c r="BS283" s="1" t="s">
        <v>2925</v>
      </c>
      <c r="BT283" s="1" t="str">
        <f>HYPERLINK("https%3A%2F%2Fwww.webofscience.com%2Fwos%2Fwoscc%2Ffull-record%2FWOS:000532059500015","View Full Record in Web of Science")</f>
        <v>View Full Record in Web of Science</v>
      </c>
    </row>
    <row r="284" ht="12.75" customHeight="1">
      <c r="A284" s="1" t="s">
        <v>72</v>
      </c>
      <c r="B284" s="1" t="s">
        <v>2926</v>
      </c>
      <c r="C284" s="1" t="s">
        <v>74</v>
      </c>
      <c r="D284" s="1" t="s">
        <v>74</v>
      </c>
      <c r="E284" s="1" t="s">
        <v>74</v>
      </c>
      <c r="F284" s="1" t="s">
        <v>2927</v>
      </c>
      <c r="G284" s="1" t="s">
        <v>74</v>
      </c>
      <c r="H284" s="1" t="s">
        <v>74</v>
      </c>
      <c r="I284" s="1" t="s">
        <v>2928</v>
      </c>
      <c r="J284" s="1" t="s">
        <v>2929</v>
      </c>
      <c r="K284" s="1" t="s">
        <v>74</v>
      </c>
      <c r="L284" s="1" t="s">
        <v>74</v>
      </c>
      <c r="M284" s="1" t="s">
        <v>74</v>
      </c>
      <c r="N284" s="1" t="s">
        <v>74</v>
      </c>
      <c r="O284" s="1" t="s">
        <v>74</v>
      </c>
      <c r="P284" s="1" t="s">
        <v>74</v>
      </c>
      <c r="Q284" s="1" t="s">
        <v>74</v>
      </c>
      <c r="R284" s="1" t="s">
        <v>74</v>
      </c>
      <c r="S284" s="1" t="s">
        <v>74</v>
      </c>
      <c r="T284" s="1" t="s">
        <v>74</v>
      </c>
      <c r="U284" s="1" t="s">
        <v>74</v>
      </c>
      <c r="V284" s="1" t="s">
        <v>2930</v>
      </c>
      <c r="W284" s="1" t="s">
        <v>74</v>
      </c>
      <c r="X284" s="1" t="s">
        <v>74</v>
      </c>
      <c r="Y284" s="1" t="s">
        <v>74</v>
      </c>
      <c r="Z284" s="1" t="s">
        <v>74</v>
      </c>
      <c r="AA284" s="1" t="s">
        <v>2931</v>
      </c>
      <c r="AB284" s="1" t="s">
        <v>2932</v>
      </c>
      <c r="AC284" s="1" t="s">
        <v>74</v>
      </c>
      <c r="AD284" s="1" t="s">
        <v>74</v>
      </c>
      <c r="AE284" s="1" t="s">
        <v>74</v>
      </c>
      <c r="AF284" s="1" t="s">
        <v>74</v>
      </c>
      <c r="AG284" s="1" t="s">
        <v>74</v>
      </c>
      <c r="AH284" s="1" t="s">
        <v>74</v>
      </c>
      <c r="AI284" s="1" t="s">
        <v>74</v>
      </c>
      <c r="AJ284" s="1" t="s">
        <v>74</v>
      </c>
      <c r="AK284" s="1" t="s">
        <v>74</v>
      </c>
      <c r="AL284" s="1" t="s">
        <v>74</v>
      </c>
      <c r="AM284" s="1" t="s">
        <v>74</v>
      </c>
      <c r="AN284" s="1" t="s">
        <v>74</v>
      </c>
      <c r="AO284" s="1" t="s">
        <v>74</v>
      </c>
      <c r="AP284" s="1" t="s">
        <v>2933</v>
      </c>
      <c r="AQ284" s="1" t="s">
        <v>74</v>
      </c>
      <c r="AR284" s="1" t="s">
        <v>74</v>
      </c>
      <c r="AS284" s="1" t="s">
        <v>74</v>
      </c>
      <c r="AT284" s="1" t="s">
        <v>180</v>
      </c>
      <c r="AU284" s="1">
        <v>2020.0</v>
      </c>
      <c r="AV284" s="1">
        <v>8.0</v>
      </c>
      <c r="AW284" s="1">
        <v>5.0</v>
      </c>
      <c r="AX284" s="1" t="s">
        <v>74</v>
      </c>
      <c r="AY284" s="1" t="s">
        <v>74</v>
      </c>
      <c r="AZ284" s="1" t="s">
        <v>74</v>
      </c>
      <c r="BA284" s="1" t="s">
        <v>74</v>
      </c>
      <c r="BB284" s="1" t="s">
        <v>74</v>
      </c>
      <c r="BC284" s="1" t="s">
        <v>74</v>
      </c>
      <c r="BD284" s="1">
        <v>755.0</v>
      </c>
      <c r="BE284" s="1" t="s">
        <v>2934</v>
      </c>
      <c r="BF284" s="2" t="str">
        <f>HYPERLINK("http://dx.doi.org/10.3390/microorganisms8050755","http://dx.doi.org/10.3390/microorganisms8050755")</f>
        <v>http://dx.doi.org/10.3390/microorganisms8050755</v>
      </c>
      <c r="BG284" s="1" t="s">
        <v>74</v>
      </c>
      <c r="BH284" s="1" t="s">
        <v>74</v>
      </c>
      <c r="BI284" s="1" t="s">
        <v>74</v>
      </c>
      <c r="BJ284" s="1" t="s">
        <v>74</v>
      </c>
      <c r="BK284" s="1" t="s">
        <v>74</v>
      </c>
      <c r="BL284" s="1" t="s">
        <v>74</v>
      </c>
      <c r="BM284" s="1" t="s">
        <v>74</v>
      </c>
      <c r="BN284" s="1">
        <v>3.244342E7</v>
      </c>
      <c r="BO284" s="1" t="s">
        <v>74</v>
      </c>
      <c r="BP284" s="1" t="s">
        <v>74</v>
      </c>
      <c r="BQ284" s="1" t="s">
        <v>74</v>
      </c>
      <c r="BR284" s="1" t="s">
        <v>74</v>
      </c>
      <c r="BS284" s="1" t="s">
        <v>2935</v>
      </c>
      <c r="BT284" s="1" t="str">
        <f>HYPERLINK("https%3A%2F%2Fwww.webofscience.com%2Fwos%2Fwoscc%2Ffull-record%2FWOS:000540222300136","View Full Record in Web of Science")</f>
        <v>View Full Record in Web of Science</v>
      </c>
    </row>
    <row r="285" ht="12.75" customHeight="1">
      <c r="A285" s="1" t="s">
        <v>72</v>
      </c>
      <c r="B285" s="1" t="s">
        <v>2936</v>
      </c>
      <c r="C285" s="1" t="s">
        <v>74</v>
      </c>
      <c r="D285" s="1" t="s">
        <v>74</v>
      </c>
      <c r="E285" s="1" t="s">
        <v>74</v>
      </c>
      <c r="F285" s="1" t="s">
        <v>2937</v>
      </c>
      <c r="G285" s="1" t="s">
        <v>74</v>
      </c>
      <c r="H285" s="1" t="s">
        <v>74</v>
      </c>
      <c r="I285" s="1" t="s">
        <v>2938</v>
      </c>
      <c r="J285" s="1" t="s">
        <v>2939</v>
      </c>
      <c r="K285" s="1" t="s">
        <v>74</v>
      </c>
      <c r="L285" s="1" t="s">
        <v>74</v>
      </c>
      <c r="M285" s="1" t="s">
        <v>74</v>
      </c>
      <c r="N285" s="1" t="s">
        <v>74</v>
      </c>
      <c r="O285" s="1" t="s">
        <v>74</v>
      </c>
      <c r="P285" s="1" t="s">
        <v>74</v>
      </c>
      <c r="Q285" s="1" t="s">
        <v>74</v>
      </c>
      <c r="R285" s="1" t="s">
        <v>74</v>
      </c>
      <c r="S285" s="1" t="s">
        <v>74</v>
      </c>
      <c r="T285" s="1" t="s">
        <v>74</v>
      </c>
      <c r="U285" s="1" t="s">
        <v>74</v>
      </c>
      <c r="V285" s="1" t="s">
        <v>2940</v>
      </c>
      <c r="W285" s="1" t="s">
        <v>74</v>
      </c>
      <c r="X285" s="1" t="s">
        <v>74</v>
      </c>
      <c r="Y285" s="1" t="s">
        <v>74</v>
      </c>
      <c r="Z285" s="1" t="s">
        <v>74</v>
      </c>
      <c r="AA285" s="1" t="s">
        <v>2941</v>
      </c>
      <c r="AB285" s="1" t="s">
        <v>2942</v>
      </c>
      <c r="AC285" s="1" t="s">
        <v>74</v>
      </c>
      <c r="AD285" s="1" t="s">
        <v>74</v>
      </c>
      <c r="AE285" s="1" t="s">
        <v>74</v>
      </c>
      <c r="AF285" s="1" t="s">
        <v>74</v>
      </c>
      <c r="AG285" s="1" t="s">
        <v>74</v>
      </c>
      <c r="AH285" s="1" t="s">
        <v>74</v>
      </c>
      <c r="AI285" s="1" t="s">
        <v>74</v>
      </c>
      <c r="AJ285" s="1" t="s">
        <v>74</v>
      </c>
      <c r="AK285" s="1" t="s">
        <v>74</v>
      </c>
      <c r="AL285" s="1" t="s">
        <v>74</v>
      </c>
      <c r="AM285" s="1" t="s">
        <v>74</v>
      </c>
      <c r="AN285" s="1" t="s">
        <v>74</v>
      </c>
      <c r="AO285" s="1" t="s">
        <v>2943</v>
      </c>
      <c r="AP285" s="1" t="s">
        <v>2944</v>
      </c>
      <c r="AQ285" s="1" t="s">
        <v>74</v>
      </c>
      <c r="AR285" s="1" t="s">
        <v>74</v>
      </c>
      <c r="AS285" s="1" t="s">
        <v>74</v>
      </c>
      <c r="AT285" s="1" t="s">
        <v>235</v>
      </c>
      <c r="AU285" s="1">
        <v>2020.0</v>
      </c>
      <c r="AV285" s="1">
        <v>20.0</v>
      </c>
      <c r="AW285" s="1">
        <v>2.0</v>
      </c>
      <c r="AX285" s="1" t="s">
        <v>74</v>
      </c>
      <c r="AY285" s="1" t="s">
        <v>74</v>
      </c>
      <c r="AZ285" s="1" t="s">
        <v>74</v>
      </c>
      <c r="BA285" s="1" t="s">
        <v>74</v>
      </c>
      <c r="BB285" s="1">
        <v>358.0</v>
      </c>
      <c r="BC285" s="1">
        <v>368.0</v>
      </c>
      <c r="BD285" s="1" t="s">
        <v>74</v>
      </c>
      <c r="BE285" s="1" t="s">
        <v>2945</v>
      </c>
      <c r="BF285" s="2" t="str">
        <f>HYPERLINK("http://dx.doi.org/10.4209/aaqr.2019.04.0179","http://dx.doi.org/10.4209/aaqr.2019.04.0179")</f>
        <v>http://dx.doi.org/10.4209/aaqr.2019.04.0179</v>
      </c>
      <c r="BG285" s="1" t="s">
        <v>74</v>
      </c>
      <c r="BH285" s="1" t="s">
        <v>74</v>
      </c>
      <c r="BI285" s="1" t="s">
        <v>74</v>
      </c>
      <c r="BJ285" s="1" t="s">
        <v>74</v>
      </c>
      <c r="BK285" s="1" t="s">
        <v>74</v>
      </c>
      <c r="BL285" s="1" t="s">
        <v>74</v>
      </c>
      <c r="BM285" s="1" t="s">
        <v>74</v>
      </c>
      <c r="BN285" s="1" t="s">
        <v>74</v>
      </c>
      <c r="BO285" s="1" t="s">
        <v>74</v>
      </c>
      <c r="BP285" s="1" t="s">
        <v>74</v>
      </c>
      <c r="BQ285" s="1" t="s">
        <v>74</v>
      </c>
      <c r="BR285" s="1" t="s">
        <v>74</v>
      </c>
      <c r="BS285" s="1" t="s">
        <v>2946</v>
      </c>
      <c r="BT285" s="1" t="str">
        <f>HYPERLINK("https%3A%2F%2Fwww.webofscience.com%2Fwos%2Fwoscc%2Ffull-record%2FWOS:000518390700012","View Full Record in Web of Science")</f>
        <v>View Full Record in Web of Science</v>
      </c>
    </row>
    <row r="286" ht="12.75" customHeight="1">
      <c r="A286" s="1" t="s">
        <v>72</v>
      </c>
      <c r="B286" s="1" t="s">
        <v>2947</v>
      </c>
      <c r="C286" s="1" t="s">
        <v>74</v>
      </c>
      <c r="D286" s="1" t="s">
        <v>74</v>
      </c>
      <c r="E286" s="1" t="s">
        <v>74</v>
      </c>
      <c r="F286" s="1" t="s">
        <v>2948</v>
      </c>
      <c r="G286" s="1" t="s">
        <v>74</v>
      </c>
      <c r="H286" s="1" t="s">
        <v>74</v>
      </c>
      <c r="I286" s="1" t="s">
        <v>2949</v>
      </c>
      <c r="J286" s="1" t="s">
        <v>2950</v>
      </c>
      <c r="K286" s="1" t="s">
        <v>74</v>
      </c>
      <c r="L286" s="1" t="s">
        <v>74</v>
      </c>
      <c r="M286" s="1" t="s">
        <v>74</v>
      </c>
      <c r="N286" s="1" t="s">
        <v>74</v>
      </c>
      <c r="O286" s="1" t="s">
        <v>74</v>
      </c>
      <c r="P286" s="1" t="s">
        <v>74</v>
      </c>
      <c r="Q286" s="1" t="s">
        <v>74</v>
      </c>
      <c r="R286" s="1" t="s">
        <v>74</v>
      </c>
      <c r="S286" s="1" t="s">
        <v>74</v>
      </c>
      <c r="T286" s="1" t="s">
        <v>74</v>
      </c>
      <c r="U286" s="1" t="s">
        <v>74</v>
      </c>
      <c r="V286" s="1" t="s">
        <v>2951</v>
      </c>
      <c r="W286" s="1" t="s">
        <v>74</v>
      </c>
      <c r="X286" s="1" t="s">
        <v>74</v>
      </c>
      <c r="Y286" s="1" t="s">
        <v>74</v>
      </c>
      <c r="Z286" s="1" t="s">
        <v>74</v>
      </c>
      <c r="AA286" s="1" t="s">
        <v>74</v>
      </c>
      <c r="AB286" s="1" t="s">
        <v>2952</v>
      </c>
      <c r="AC286" s="1" t="s">
        <v>74</v>
      </c>
      <c r="AD286" s="1" t="s">
        <v>74</v>
      </c>
      <c r="AE286" s="1" t="s">
        <v>74</v>
      </c>
      <c r="AF286" s="1" t="s">
        <v>74</v>
      </c>
      <c r="AG286" s="1" t="s">
        <v>74</v>
      </c>
      <c r="AH286" s="1" t="s">
        <v>74</v>
      </c>
      <c r="AI286" s="1" t="s">
        <v>74</v>
      </c>
      <c r="AJ286" s="1" t="s">
        <v>74</v>
      </c>
      <c r="AK286" s="1" t="s">
        <v>74</v>
      </c>
      <c r="AL286" s="1" t="s">
        <v>74</v>
      </c>
      <c r="AM286" s="1" t="s">
        <v>74</v>
      </c>
      <c r="AN286" s="1" t="s">
        <v>74</v>
      </c>
      <c r="AO286" s="1" t="s">
        <v>2953</v>
      </c>
      <c r="AP286" s="1" t="s">
        <v>2954</v>
      </c>
      <c r="AQ286" s="1" t="s">
        <v>74</v>
      </c>
      <c r="AR286" s="1" t="s">
        <v>74</v>
      </c>
      <c r="AS286" s="1" t="s">
        <v>74</v>
      </c>
      <c r="AT286" s="1" t="s">
        <v>696</v>
      </c>
      <c r="AU286" s="1">
        <v>2020.0</v>
      </c>
      <c r="AV286" s="1">
        <v>122.0</v>
      </c>
      <c r="AW286" s="1">
        <v>1.0</v>
      </c>
      <c r="AX286" s="1" t="s">
        <v>74</v>
      </c>
      <c r="AY286" s="1" t="s">
        <v>74</v>
      </c>
      <c r="AZ286" s="1" t="s">
        <v>74</v>
      </c>
      <c r="BA286" s="1" t="s">
        <v>74</v>
      </c>
      <c r="BB286" s="1">
        <v>340.0</v>
      </c>
      <c r="BC286" s="1">
        <v>368.0</v>
      </c>
      <c r="BD286" s="1" t="s">
        <v>74</v>
      </c>
      <c r="BE286" s="1" t="s">
        <v>2955</v>
      </c>
      <c r="BF286" s="2" t="str">
        <f>HYPERLINK("http://dx.doi.org/10.1111/sjoe.12331","http://dx.doi.org/10.1111/sjoe.12331")</f>
        <v>http://dx.doi.org/10.1111/sjoe.12331</v>
      </c>
      <c r="BG286" s="1" t="s">
        <v>74</v>
      </c>
      <c r="BH286" s="1" t="s">
        <v>74</v>
      </c>
      <c r="BI286" s="1" t="s">
        <v>74</v>
      </c>
      <c r="BJ286" s="1" t="s">
        <v>74</v>
      </c>
      <c r="BK286" s="1" t="s">
        <v>74</v>
      </c>
      <c r="BL286" s="1" t="s">
        <v>74</v>
      </c>
      <c r="BM286" s="1" t="s">
        <v>74</v>
      </c>
      <c r="BN286" s="1" t="s">
        <v>74</v>
      </c>
      <c r="BO286" s="1" t="s">
        <v>74</v>
      </c>
      <c r="BP286" s="1" t="s">
        <v>74</v>
      </c>
      <c r="BQ286" s="1" t="s">
        <v>74</v>
      </c>
      <c r="BR286" s="1" t="s">
        <v>74</v>
      </c>
      <c r="BS286" s="1" t="s">
        <v>2956</v>
      </c>
      <c r="BT286" s="1" t="str">
        <f>HYPERLINK("https%3A%2F%2Fwww.webofscience.com%2Fwos%2Fwoscc%2Ffull-record%2FWOS:000611939200012","View Full Record in Web of Science")</f>
        <v>View Full Record in Web of Science</v>
      </c>
    </row>
    <row r="287" ht="12.75" customHeight="1">
      <c r="A287" s="1" t="s">
        <v>72</v>
      </c>
      <c r="B287" s="1" t="s">
        <v>2957</v>
      </c>
      <c r="C287" s="1" t="s">
        <v>74</v>
      </c>
      <c r="D287" s="1" t="s">
        <v>74</v>
      </c>
      <c r="E287" s="1" t="s">
        <v>74</v>
      </c>
      <c r="F287" s="1" t="s">
        <v>2958</v>
      </c>
      <c r="G287" s="1" t="s">
        <v>74</v>
      </c>
      <c r="H287" s="1" t="s">
        <v>74</v>
      </c>
      <c r="I287" s="1" t="s">
        <v>2959</v>
      </c>
      <c r="J287" s="1" t="s">
        <v>2960</v>
      </c>
      <c r="K287" s="1" t="s">
        <v>74</v>
      </c>
      <c r="L287" s="1" t="s">
        <v>74</v>
      </c>
      <c r="M287" s="1" t="s">
        <v>74</v>
      </c>
      <c r="N287" s="1" t="s">
        <v>74</v>
      </c>
      <c r="O287" s="1" t="s">
        <v>74</v>
      </c>
      <c r="P287" s="1" t="s">
        <v>74</v>
      </c>
      <c r="Q287" s="1" t="s">
        <v>74</v>
      </c>
      <c r="R287" s="1" t="s">
        <v>74</v>
      </c>
      <c r="S287" s="1" t="s">
        <v>74</v>
      </c>
      <c r="T287" s="1" t="s">
        <v>74</v>
      </c>
      <c r="U287" s="1" t="s">
        <v>74</v>
      </c>
      <c r="V287" s="1" t="s">
        <v>2961</v>
      </c>
      <c r="W287" s="1" t="s">
        <v>74</v>
      </c>
      <c r="X287" s="1" t="s">
        <v>74</v>
      </c>
      <c r="Y287" s="1" t="s">
        <v>74</v>
      </c>
      <c r="Z287" s="1" t="s">
        <v>74</v>
      </c>
      <c r="AA287" s="1" t="s">
        <v>2962</v>
      </c>
      <c r="AB287" s="1" t="s">
        <v>2963</v>
      </c>
      <c r="AC287" s="1" t="s">
        <v>74</v>
      </c>
      <c r="AD287" s="1" t="s">
        <v>74</v>
      </c>
      <c r="AE287" s="1" t="s">
        <v>74</v>
      </c>
      <c r="AF287" s="1" t="s">
        <v>74</v>
      </c>
      <c r="AG287" s="1" t="s">
        <v>74</v>
      </c>
      <c r="AH287" s="1" t="s">
        <v>74</v>
      </c>
      <c r="AI287" s="1" t="s">
        <v>74</v>
      </c>
      <c r="AJ287" s="1" t="s">
        <v>74</v>
      </c>
      <c r="AK287" s="1" t="s">
        <v>74</v>
      </c>
      <c r="AL287" s="1" t="s">
        <v>74</v>
      </c>
      <c r="AM287" s="1" t="s">
        <v>74</v>
      </c>
      <c r="AN287" s="1" t="s">
        <v>74</v>
      </c>
      <c r="AO287" s="1" t="s">
        <v>2964</v>
      </c>
      <c r="AP287" s="1" t="s">
        <v>2965</v>
      </c>
      <c r="AQ287" s="1" t="s">
        <v>74</v>
      </c>
      <c r="AR287" s="1" t="s">
        <v>74</v>
      </c>
      <c r="AS287" s="1" t="s">
        <v>74</v>
      </c>
      <c r="AT287" s="1" t="s">
        <v>74</v>
      </c>
      <c r="AU287" s="1">
        <v>2020.0</v>
      </c>
      <c r="AV287" s="1">
        <v>28.0</v>
      </c>
      <c r="AW287" s="1">
        <v>4.0</v>
      </c>
      <c r="AX287" s="1" t="s">
        <v>74</v>
      </c>
      <c r="AY287" s="1" t="s">
        <v>74</v>
      </c>
      <c r="AZ287" s="1" t="s">
        <v>74</v>
      </c>
      <c r="BA287" s="1" t="s">
        <v>74</v>
      </c>
      <c r="BB287" s="1">
        <v>383.0</v>
      </c>
      <c r="BC287" s="1">
        <v>390.0</v>
      </c>
      <c r="BD287" s="1" t="s">
        <v>74</v>
      </c>
      <c r="BE287" s="1" t="s">
        <v>2966</v>
      </c>
      <c r="BF287" s="2" t="str">
        <f>HYPERLINK("http://dx.doi.org/10.3233/IES-192229","http://dx.doi.org/10.3233/IES-192229")</f>
        <v>http://dx.doi.org/10.3233/IES-192229</v>
      </c>
      <c r="BG287" s="1" t="s">
        <v>74</v>
      </c>
      <c r="BH287" s="1" t="s">
        <v>74</v>
      </c>
      <c r="BI287" s="1" t="s">
        <v>74</v>
      </c>
      <c r="BJ287" s="1" t="s">
        <v>74</v>
      </c>
      <c r="BK287" s="1" t="s">
        <v>74</v>
      </c>
      <c r="BL287" s="1" t="s">
        <v>74</v>
      </c>
      <c r="BM287" s="1" t="s">
        <v>74</v>
      </c>
      <c r="BN287" s="1" t="s">
        <v>74</v>
      </c>
      <c r="BO287" s="1" t="s">
        <v>74</v>
      </c>
      <c r="BP287" s="1" t="s">
        <v>74</v>
      </c>
      <c r="BQ287" s="1" t="s">
        <v>74</v>
      </c>
      <c r="BR287" s="1" t="s">
        <v>74</v>
      </c>
      <c r="BS287" s="1" t="s">
        <v>2967</v>
      </c>
      <c r="BT287" s="1" t="str">
        <f>HYPERLINK("https%3A%2F%2Fwww.webofscience.com%2Fwos%2Fwoscc%2Ffull-record%2FWOS:000582717600007","View Full Record in Web of Science")</f>
        <v>View Full Record in Web of Science</v>
      </c>
    </row>
    <row r="288" ht="12.75" customHeight="1">
      <c r="A288" s="1" t="s">
        <v>72</v>
      </c>
      <c r="B288" s="1" t="s">
        <v>2968</v>
      </c>
      <c r="C288" s="1" t="s">
        <v>74</v>
      </c>
      <c r="D288" s="1" t="s">
        <v>74</v>
      </c>
      <c r="E288" s="1" t="s">
        <v>74</v>
      </c>
      <c r="F288" s="1" t="s">
        <v>2969</v>
      </c>
      <c r="G288" s="1" t="s">
        <v>74</v>
      </c>
      <c r="H288" s="1" t="s">
        <v>74</v>
      </c>
      <c r="I288" s="1" t="s">
        <v>2970</v>
      </c>
      <c r="J288" s="1" t="s">
        <v>2971</v>
      </c>
      <c r="K288" s="1" t="s">
        <v>74</v>
      </c>
      <c r="L288" s="1" t="s">
        <v>74</v>
      </c>
      <c r="M288" s="1" t="s">
        <v>74</v>
      </c>
      <c r="N288" s="1" t="s">
        <v>74</v>
      </c>
      <c r="O288" s="1" t="s">
        <v>74</v>
      </c>
      <c r="P288" s="1" t="s">
        <v>74</v>
      </c>
      <c r="Q288" s="1" t="s">
        <v>74</v>
      </c>
      <c r="R288" s="1" t="s">
        <v>74</v>
      </c>
      <c r="S288" s="1" t="s">
        <v>74</v>
      </c>
      <c r="T288" s="1" t="s">
        <v>74</v>
      </c>
      <c r="U288" s="1" t="s">
        <v>74</v>
      </c>
      <c r="V288" s="1" t="s">
        <v>2972</v>
      </c>
      <c r="W288" s="1" t="s">
        <v>74</v>
      </c>
      <c r="X288" s="1" t="s">
        <v>74</v>
      </c>
      <c r="Y288" s="1" t="s">
        <v>74</v>
      </c>
      <c r="Z288" s="1" t="s">
        <v>74</v>
      </c>
      <c r="AA288" s="1" t="s">
        <v>2973</v>
      </c>
      <c r="AB288" s="1" t="s">
        <v>2974</v>
      </c>
      <c r="AC288" s="1" t="s">
        <v>74</v>
      </c>
      <c r="AD288" s="1" t="s">
        <v>74</v>
      </c>
      <c r="AE288" s="1" t="s">
        <v>74</v>
      </c>
      <c r="AF288" s="1" t="s">
        <v>74</v>
      </c>
      <c r="AG288" s="1" t="s">
        <v>74</v>
      </c>
      <c r="AH288" s="1" t="s">
        <v>74</v>
      </c>
      <c r="AI288" s="1" t="s">
        <v>74</v>
      </c>
      <c r="AJ288" s="1" t="s">
        <v>74</v>
      </c>
      <c r="AK288" s="1" t="s">
        <v>74</v>
      </c>
      <c r="AL288" s="1" t="s">
        <v>74</v>
      </c>
      <c r="AM288" s="1" t="s">
        <v>74</v>
      </c>
      <c r="AN288" s="1" t="s">
        <v>74</v>
      </c>
      <c r="AO288" s="1" t="s">
        <v>2975</v>
      </c>
      <c r="AP288" s="1" t="s">
        <v>74</v>
      </c>
      <c r="AQ288" s="1" t="s">
        <v>74</v>
      </c>
      <c r="AR288" s="1" t="s">
        <v>74</v>
      </c>
      <c r="AS288" s="1" t="s">
        <v>74</v>
      </c>
      <c r="AT288" s="1" t="s">
        <v>2976</v>
      </c>
      <c r="AU288" s="1">
        <v>2019.0</v>
      </c>
      <c r="AV288" s="1">
        <v>10.0</v>
      </c>
      <c r="AW288" s="1">
        <v>24.0</v>
      </c>
      <c r="AX288" s="1" t="s">
        <v>74</v>
      </c>
      <c r="AY288" s="1" t="s">
        <v>74</v>
      </c>
      <c r="AZ288" s="1" t="s">
        <v>74</v>
      </c>
      <c r="BA288" s="1" t="s">
        <v>74</v>
      </c>
      <c r="BB288" s="1">
        <v>7740.0</v>
      </c>
      <c r="BC288" s="1">
        <v>7744.0</v>
      </c>
      <c r="BD288" s="1" t="s">
        <v>74</v>
      </c>
      <c r="BE288" s="1" t="s">
        <v>2977</v>
      </c>
      <c r="BF288" s="2" t="str">
        <f>HYPERLINK("http://dx.doi.org/10.1021/acs.jpclett.9b02868","http://dx.doi.org/10.1021/acs.jpclett.9b02868")</f>
        <v>http://dx.doi.org/10.1021/acs.jpclett.9b02868</v>
      </c>
      <c r="BG288" s="1" t="s">
        <v>74</v>
      </c>
      <c r="BH288" s="1" t="s">
        <v>74</v>
      </c>
      <c r="BI288" s="1" t="s">
        <v>74</v>
      </c>
      <c r="BJ288" s="1" t="s">
        <v>74</v>
      </c>
      <c r="BK288" s="1" t="s">
        <v>74</v>
      </c>
      <c r="BL288" s="1" t="s">
        <v>74</v>
      </c>
      <c r="BM288" s="1" t="s">
        <v>74</v>
      </c>
      <c r="BN288" s="1">
        <v>3.1747286E7</v>
      </c>
      <c r="BO288" s="1" t="s">
        <v>74</v>
      </c>
      <c r="BP288" s="1" t="s">
        <v>74</v>
      </c>
      <c r="BQ288" s="1" t="s">
        <v>74</v>
      </c>
      <c r="BR288" s="1" t="s">
        <v>74</v>
      </c>
      <c r="BS288" s="1" t="s">
        <v>2978</v>
      </c>
      <c r="BT288" s="1" t="str">
        <f>HYPERLINK("https%3A%2F%2Fwww.webofscience.com%2Fwos%2Fwoscc%2Ffull-record%2FWOS:000503919300029","View Full Record in Web of Science")</f>
        <v>View Full Record in Web of Science</v>
      </c>
    </row>
    <row r="289" ht="12.75" customHeight="1">
      <c r="A289" s="1" t="s">
        <v>72</v>
      </c>
      <c r="B289" s="1" t="s">
        <v>2979</v>
      </c>
      <c r="C289" s="1" t="s">
        <v>74</v>
      </c>
      <c r="D289" s="1" t="s">
        <v>74</v>
      </c>
      <c r="E289" s="1" t="s">
        <v>74</v>
      </c>
      <c r="F289" s="1" t="s">
        <v>2980</v>
      </c>
      <c r="G289" s="1" t="s">
        <v>74</v>
      </c>
      <c r="H289" s="1" t="s">
        <v>74</v>
      </c>
      <c r="I289" s="1" t="s">
        <v>2981</v>
      </c>
      <c r="J289" s="1" t="s">
        <v>2982</v>
      </c>
      <c r="K289" s="1" t="s">
        <v>74</v>
      </c>
      <c r="L289" s="1" t="s">
        <v>74</v>
      </c>
      <c r="M289" s="1" t="s">
        <v>74</v>
      </c>
      <c r="N289" s="1" t="s">
        <v>74</v>
      </c>
      <c r="O289" s="1" t="s">
        <v>74</v>
      </c>
      <c r="P289" s="1" t="s">
        <v>74</v>
      </c>
      <c r="Q289" s="1" t="s">
        <v>74</v>
      </c>
      <c r="R289" s="1" t="s">
        <v>74</v>
      </c>
      <c r="S289" s="1" t="s">
        <v>74</v>
      </c>
      <c r="T289" s="1" t="s">
        <v>74</v>
      </c>
      <c r="U289" s="1" t="s">
        <v>74</v>
      </c>
      <c r="V289" s="1" t="s">
        <v>2983</v>
      </c>
      <c r="W289" s="1" t="s">
        <v>74</v>
      </c>
      <c r="X289" s="1" t="s">
        <v>74</v>
      </c>
      <c r="Y289" s="1" t="s">
        <v>74</v>
      </c>
      <c r="Z289" s="1" t="s">
        <v>74</v>
      </c>
      <c r="AA289" s="1" t="s">
        <v>2984</v>
      </c>
      <c r="AB289" s="1" t="s">
        <v>2985</v>
      </c>
      <c r="AC289" s="1" t="s">
        <v>74</v>
      </c>
      <c r="AD289" s="1" t="s">
        <v>74</v>
      </c>
      <c r="AE289" s="1" t="s">
        <v>74</v>
      </c>
      <c r="AF289" s="1" t="s">
        <v>74</v>
      </c>
      <c r="AG289" s="1" t="s">
        <v>74</v>
      </c>
      <c r="AH289" s="1" t="s">
        <v>74</v>
      </c>
      <c r="AI289" s="1" t="s">
        <v>74</v>
      </c>
      <c r="AJ289" s="1" t="s">
        <v>74</v>
      </c>
      <c r="AK289" s="1" t="s">
        <v>74</v>
      </c>
      <c r="AL289" s="1" t="s">
        <v>74</v>
      </c>
      <c r="AM289" s="1" t="s">
        <v>74</v>
      </c>
      <c r="AN289" s="1" t="s">
        <v>74</v>
      </c>
      <c r="AO289" s="1" t="s">
        <v>74</v>
      </c>
      <c r="AP289" s="1" t="s">
        <v>2986</v>
      </c>
      <c r="AQ289" s="1" t="s">
        <v>74</v>
      </c>
      <c r="AR289" s="1" t="s">
        <v>74</v>
      </c>
      <c r="AS289" s="1" t="s">
        <v>74</v>
      </c>
      <c r="AT289" s="1" t="s">
        <v>652</v>
      </c>
      <c r="AU289" s="1">
        <v>2019.0</v>
      </c>
      <c r="AV289" s="1">
        <v>9.0</v>
      </c>
      <c r="AW289" s="1">
        <v>12.0</v>
      </c>
      <c r="AX289" s="1" t="s">
        <v>74</v>
      </c>
      <c r="AY289" s="1" t="s">
        <v>74</v>
      </c>
      <c r="AZ289" s="1" t="s">
        <v>74</v>
      </c>
      <c r="BA289" s="1" t="s">
        <v>74</v>
      </c>
      <c r="BB289" s="1" t="s">
        <v>74</v>
      </c>
      <c r="BC289" s="1" t="s">
        <v>74</v>
      </c>
      <c r="BD289" s="1">
        <v>795.0</v>
      </c>
      <c r="BE289" s="1" t="s">
        <v>2987</v>
      </c>
      <c r="BF289" s="2" t="str">
        <f>HYPERLINK("http://dx.doi.org/10.3390/coatings9120795","http://dx.doi.org/10.3390/coatings9120795")</f>
        <v>http://dx.doi.org/10.3390/coatings9120795</v>
      </c>
      <c r="BG289" s="1" t="s">
        <v>74</v>
      </c>
      <c r="BH289" s="1" t="s">
        <v>74</v>
      </c>
      <c r="BI289" s="1" t="s">
        <v>74</v>
      </c>
      <c r="BJ289" s="1" t="s">
        <v>74</v>
      </c>
      <c r="BK289" s="1" t="s">
        <v>74</v>
      </c>
      <c r="BL289" s="1" t="s">
        <v>74</v>
      </c>
      <c r="BM289" s="1" t="s">
        <v>74</v>
      </c>
      <c r="BN289" s="1" t="s">
        <v>74</v>
      </c>
      <c r="BO289" s="1" t="s">
        <v>74</v>
      </c>
      <c r="BP289" s="1" t="s">
        <v>74</v>
      </c>
      <c r="BQ289" s="1" t="s">
        <v>74</v>
      </c>
      <c r="BR289" s="1" t="s">
        <v>74</v>
      </c>
      <c r="BS289" s="1" t="s">
        <v>2988</v>
      </c>
      <c r="BT289" s="1" t="str">
        <f>HYPERLINK("https%3A%2F%2Fwww.webofscience.com%2Fwos%2Fwoscc%2Ffull-record%2FWOS:000506682800024","View Full Record in Web of Science")</f>
        <v>View Full Record in Web of Science</v>
      </c>
    </row>
    <row r="290" ht="12.75" customHeight="1">
      <c r="A290" s="1" t="s">
        <v>72</v>
      </c>
      <c r="B290" s="1" t="s">
        <v>2989</v>
      </c>
      <c r="C290" s="1" t="s">
        <v>74</v>
      </c>
      <c r="D290" s="1" t="s">
        <v>74</v>
      </c>
      <c r="E290" s="1" t="s">
        <v>74</v>
      </c>
      <c r="F290" s="1" t="s">
        <v>2990</v>
      </c>
      <c r="G290" s="1" t="s">
        <v>74</v>
      </c>
      <c r="H290" s="1" t="s">
        <v>74</v>
      </c>
      <c r="I290" s="1" t="s">
        <v>2991</v>
      </c>
      <c r="J290" s="1" t="s">
        <v>2992</v>
      </c>
      <c r="K290" s="1" t="s">
        <v>74</v>
      </c>
      <c r="L290" s="1" t="s">
        <v>74</v>
      </c>
      <c r="M290" s="1" t="s">
        <v>74</v>
      </c>
      <c r="N290" s="1" t="s">
        <v>74</v>
      </c>
      <c r="O290" s="1" t="s">
        <v>74</v>
      </c>
      <c r="P290" s="1" t="s">
        <v>74</v>
      </c>
      <c r="Q290" s="1" t="s">
        <v>74</v>
      </c>
      <c r="R290" s="1" t="s">
        <v>74</v>
      </c>
      <c r="S290" s="1" t="s">
        <v>74</v>
      </c>
      <c r="T290" s="1" t="s">
        <v>74</v>
      </c>
      <c r="U290" s="1" t="s">
        <v>74</v>
      </c>
      <c r="V290" s="1" t="s">
        <v>2993</v>
      </c>
      <c r="W290" s="1" t="s">
        <v>74</v>
      </c>
      <c r="X290" s="1" t="s">
        <v>74</v>
      </c>
      <c r="Y290" s="1" t="s">
        <v>74</v>
      </c>
      <c r="Z290" s="1" t="s">
        <v>74</v>
      </c>
      <c r="AA290" s="1" t="s">
        <v>2994</v>
      </c>
      <c r="AB290" s="1" t="s">
        <v>2995</v>
      </c>
      <c r="AC290" s="1" t="s">
        <v>74</v>
      </c>
      <c r="AD290" s="1" t="s">
        <v>74</v>
      </c>
      <c r="AE290" s="1" t="s">
        <v>74</v>
      </c>
      <c r="AF290" s="1" t="s">
        <v>74</v>
      </c>
      <c r="AG290" s="1" t="s">
        <v>74</v>
      </c>
      <c r="AH290" s="1" t="s">
        <v>74</v>
      </c>
      <c r="AI290" s="1" t="s">
        <v>74</v>
      </c>
      <c r="AJ290" s="1" t="s">
        <v>74</v>
      </c>
      <c r="AK290" s="1" t="s">
        <v>74</v>
      </c>
      <c r="AL290" s="1" t="s">
        <v>74</v>
      </c>
      <c r="AM290" s="1" t="s">
        <v>74</v>
      </c>
      <c r="AN290" s="1" t="s">
        <v>74</v>
      </c>
      <c r="AO290" s="1" t="s">
        <v>2996</v>
      </c>
      <c r="AP290" s="1" t="s">
        <v>2997</v>
      </c>
      <c r="AQ290" s="1" t="s">
        <v>74</v>
      </c>
      <c r="AR290" s="1" t="s">
        <v>74</v>
      </c>
      <c r="AS290" s="1" t="s">
        <v>74</v>
      </c>
      <c r="AT290" s="1" t="s">
        <v>2998</v>
      </c>
      <c r="AU290" s="1">
        <v>2020.0</v>
      </c>
      <c r="AV290" s="1">
        <v>121.0</v>
      </c>
      <c r="AW290" s="1">
        <v>4.0</v>
      </c>
      <c r="AX290" s="1" t="s">
        <v>74</v>
      </c>
      <c r="AY290" s="1" t="s">
        <v>74</v>
      </c>
      <c r="AZ290" s="1" t="s">
        <v>74</v>
      </c>
      <c r="BA290" s="1" t="s">
        <v>74</v>
      </c>
      <c r="BB290" s="1">
        <v>588.0</v>
      </c>
      <c r="BC290" s="1">
        <v>601.0</v>
      </c>
      <c r="BD290" s="1" t="s">
        <v>74</v>
      </c>
      <c r="BE290" s="1" t="s">
        <v>2999</v>
      </c>
      <c r="BF290" s="2" t="str">
        <f>HYPERLINK("http://dx.doi.org/10.1002/nme.6235","http://dx.doi.org/10.1002/nme.6235")</f>
        <v>http://dx.doi.org/10.1002/nme.6235</v>
      </c>
      <c r="BG290" s="1" t="s">
        <v>74</v>
      </c>
      <c r="BH290" s="1" t="s">
        <v>3000</v>
      </c>
      <c r="BI290" s="1" t="s">
        <v>74</v>
      </c>
      <c r="BJ290" s="1" t="s">
        <v>74</v>
      </c>
      <c r="BK290" s="1" t="s">
        <v>74</v>
      </c>
      <c r="BL290" s="1" t="s">
        <v>74</v>
      </c>
      <c r="BM290" s="1" t="s">
        <v>74</v>
      </c>
      <c r="BN290" s="1" t="s">
        <v>74</v>
      </c>
      <c r="BO290" s="1" t="s">
        <v>74</v>
      </c>
      <c r="BP290" s="1" t="s">
        <v>74</v>
      </c>
      <c r="BQ290" s="1" t="s">
        <v>74</v>
      </c>
      <c r="BR290" s="1" t="s">
        <v>74</v>
      </c>
      <c r="BS290" s="1" t="s">
        <v>3001</v>
      </c>
      <c r="BT290" s="1" t="str">
        <f>HYPERLINK("https%3A%2F%2Fwww.webofscience.com%2Fwos%2Fwoscc%2Ffull-record%2FWOS:000491939200001","View Full Record in Web of Science")</f>
        <v>View Full Record in Web of Science</v>
      </c>
    </row>
    <row r="291" ht="12.75" customHeight="1">
      <c r="A291" s="1" t="s">
        <v>72</v>
      </c>
      <c r="B291" s="1" t="s">
        <v>3002</v>
      </c>
      <c r="C291" s="1" t="s">
        <v>74</v>
      </c>
      <c r="D291" s="1" t="s">
        <v>74</v>
      </c>
      <c r="E291" s="1" t="s">
        <v>74</v>
      </c>
      <c r="F291" s="1" t="s">
        <v>3003</v>
      </c>
      <c r="G291" s="1" t="s">
        <v>74</v>
      </c>
      <c r="H291" s="1" t="s">
        <v>74</v>
      </c>
      <c r="I291" s="1" t="s">
        <v>3004</v>
      </c>
      <c r="J291" s="1" t="s">
        <v>3005</v>
      </c>
      <c r="K291" s="1" t="s">
        <v>74</v>
      </c>
      <c r="L291" s="1" t="s">
        <v>74</v>
      </c>
      <c r="M291" s="1" t="s">
        <v>74</v>
      </c>
      <c r="N291" s="1" t="s">
        <v>74</v>
      </c>
      <c r="O291" s="1" t="s">
        <v>74</v>
      </c>
      <c r="P291" s="1" t="s">
        <v>74</v>
      </c>
      <c r="Q291" s="1" t="s">
        <v>74</v>
      </c>
      <c r="R291" s="1" t="s">
        <v>74</v>
      </c>
      <c r="S291" s="1" t="s">
        <v>74</v>
      </c>
      <c r="T291" s="1" t="s">
        <v>74</v>
      </c>
      <c r="U291" s="1" t="s">
        <v>74</v>
      </c>
      <c r="V291" s="1" t="s">
        <v>3006</v>
      </c>
      <c r="W291" s="1" t="s">
        <v>74</v>
      </c>
      <c r="X291" s="1" t="s">
        <v>74</v>
      </c>
      <c r="Y291" s="1" t="s">
        <v>74</v>
      </c>
      <c r="Z291" s="1" t="s">
        <v>74</v>
      </c>
      <c r="AA291" s="1" t="s">
        <v>3007</v>
      </c>
      <c r="AB291" s="1" t="s">
        <v>3008</v>
      </c>
      <c r="AC291" s="1" t="s">
        <v>74</v>
      </c>
      <c r="AD291" s="1" t="s">
        <v>74</v>
      </c>
      <c r="AE291" s="1" t="s">
        <v>74</v>
      </c>
      <c r="AF291" s="1" t="s">
        <v>74</v>
      </c>
      <c r="AG291" s="1" t="s">
        <v>74</v>
      </c>
      <c r="AH291" s="1" t="s">
        <v>74</v>
      </c>
      <c r="AI291" s="1" t="s">
        <v>74</v>
      </c>
      <c r="AJ291" s="1" t="s">
        <v>74</v>
      </c>
      <c r="AK291" s="1" t="s">
        <v>74</v>
      </c>
      <c r="AL291" s="1" t="s">
        <v>74</v>
      </c>
      <c r="AM291" s="1" t="s">
        <v>74</v>
      </c>
      <c r="AN291" s="1" t="s">
        <v>74</v>
      </c>
      <c r="AO291" s="1" t="s">
        <v>3009</v>
      </c>
      <c r="AP291" s="1" t="s">
        <v>3010</v>
      </c>
      <c r="AQ291" s="1" t="s">
        <v>74</v>
      </c>
      <c r="AR291" s="1" t="s">
        <v>74</v>
      </c>
      <c r="AS291" s="1" t="s">
        <v>74</v>
      </c>
      <c r="AT291" s="1" t="s">
        <v>606</v>
      </c>
      <c r="AU291" s="1">
        <v>2019.0</v>
      </c>
      <c r="AV291" s="1">
        <v>23.0</v>
      </c>
      <c r="AW291" s="1">
        <v>5.0</v>
      </c>
      <c r="AX291" s="1" t="s">
        <v>74</v>
      </c>
      <c r="AY291" s="1" t="s">
        <v>74</v>
      </c>
      <c r="AZ291" s="1" t="s">
        <v>74</v>
      </c>
      <c r="BA291" s="1" t="s">
        <v>74</v>
      </c>
      <c r="BB291" s="1">
        <v>776.0</v>
      </c>
      <c r="BC291" s="1">
        <v>787.0</v>
      </c>
      <c r="BD291" s="1" t="s">
        <v>74</v>
      </c>
      <c r="BE291" s="1" t="s">
        <v>3011</v>
      </c>
      <c r="BF291" s="2" t="str">
        <f>HYPERLINK("http://dx.doi.org/10.1109/TEVC.2018.2883888","http://dx.doi.org/10.1109/TEVC.2018.2883888")</f>
        <v>http://dx.doi.org/10.1109/TEVC.2018.2883888</v>
      </c>
      <c r="BG291" s="1" t="s">
        <v>74</v>
      </c>
      <c r="BH291" s="1" t="s">
        <v>74</v>
      </c>
      <c r="BI291" s="1" t="s">
        <v>74</v>
      </c>
      <c r="BJ291" s="1" t="s">
        <v>74</v>
      </c>
      <c r="BK291" s="1" t="s">
        <v>74</v>
      </c>
      <c r="BL291" s="1" t="s">
        <v>74</v>
      </c>
      <c r="BM291" s="1" t="s">
        <v>74</v>
      </c>
      <c r="BN291" s="1" t="s">
        <v>74</v>
      </c>
      <c r="BO291" s="1" t="s">
        <v>74</v>
      </c>
      <c r="BP291" s="1" t="s">
        <v>74</v>
      </c>
      <c r="BQ291" s="1" t="s">
        <v>74</v>
      </c>
      <c r="BR291" s="1" t="s">
        <v>74</v>
      </c>
      <c r="BS291" s="1" t="s">
        <v>3012</v>
      </c>
      <c r="BT291" s="1" t="str">
        <f>HYPERLINK("https%3A%2F%2Fwww.webofscience.com%2Fwos%2Fwoscc%2Ffull-record%2FWOS:000489784100004","View Full Record in Web of Science")</f>
        <v>View Full Record in Web of Science</v>
      </c>
    </row>
    <row r="292" ht="12.75" customHeight="1">
      <c r="A292" s="1" t="s">
        <v>72</v>
      </c>
      <c r="B292" s="1" t="s">
        <v>3013</v>
      </c>
      <c r="C292" s="1" t="s">
        <v>74</v>
      </c>
      <c r="D292" s="1" t="s">
        <v>74</v>
      </c>
      <c r="E292" s="1" t="s">
        <v>74</v>
      </c>
      <c r="F292" s="1" t="s">
        <v>3014</v>
      </c>
      <c r="G292" s="1" t="s">
        <v>74</v>
      </c>
      <c r="H292" s="1" t="s">
        <v>74</v>
      </c>
      <c r="I292" s="1" t="s">
        <v>3015</v>
      </c>
      <c r="J292" s="1" t="s">
        <v>3016</v>
      </c>
      <c r="K292" s="1" t="s">
        <v>74</v>
      </c>
      <c r="L292" s="1" t="s">
        <v>74</v>
      </c>
      <c r="M292" s="1" t="s">
        <v>74</v>
      </c>
      <c r="N292" s="1" t="s">
        <v>74</v>
      </c>
      <c r="O292" s="1" t="s">
        <v>74</v>
      </c>
      <c r="P292" s="1" t="s">
        <v>74</v>
      </c>
      <c r="Q292" s="1" t="s">
        <v>74</v>
      </c>
      <c r="R292" s="1" t="s">
        <v>74</v>
      </c>
      <c r="S292" s="1" t="s">
        <v>74</v>
      </c>
      <c r="T292" s="1" t="s">
        <v>74</v>
      </c>
      <c r="U292" s="1" t="s">
        <v>74</v>
      </c>
      <c r="V292" s="1" t="s">
        <v>74</v>
      </c>
      <c r="W292" s="1" t="s">
        <v>74</v>
      </c>
      <c r="X292" s="1" t="s">
        <v>74</v>
      </c>
      <c r="Y292" s="1" t="s">
        <v>74</v>
      </c>
      <c r="Z292" s="1" t="s">
        <v>74</v>
      </c>
      <c r="AA292" s="1" t="s">
        <v>3017</v>
      </c>
      <c r="AB292" s="1" t="s">
        <v>74</v>
      </c>
      <c r="AC292" s="1" t="s">
        <v>74</v>
      </c>
      <c r="AD292" s="1" t="s">
        <v>74</v>
      </c>
      <c r="AE292" s="1" t="s">
        <v>74</v>
      </c>
      <c r="AF292" s="1" t="s">
        <v>74</v>
      </c>
      <c r="AG292" s="1" t="s">
        <v>74</v>
      </c>
      <c r="AH292" s="1" t="s">
        <v>74</v>
      </c>
      <c r="AI292" s="1" t="s">
        <v>74</v>
      </c>
      <c r="AJ292" s="1" t="s">
        <v>74</v>
      </c>
      <c r="AK292" s="1" t="s">
        <v>74</v>
      </c>
      <c r="AL292" s="1" t="s">
        <v>74</v>
      </c>
      <c r="AM292" s="1" t="s">
        <v>74</v>
      </c>
      <c r="AN292" s="1" t="s">
        <v>74</v>
      </c>
      <c r="AO292" s="1" t="s">
        <v>3018</v>
      </c>
      <c r="AP292" s="1" t="s">
        <v>74</v>
      </c>
      <c r="AQ292" s="1" t="s">
        <v>74</v>
      </c>
      <c r="AR292" s="1" t="s">
        <v>74</v>
      </c>
      <c r="AS292" s="1" t="s">
        <v>74</v>
      </c>
      <c r="AT292" s="1" t="s">
        <v>158</v>
      </c>
      <c r="AU292" s="1">
        <v>2019.0</v>
      </c>
      <c r="AV292" s="1">
        <v>9.0</v>
      </c>
      <c r="AW292" s="1" t="s">
        <v>74</v>
      </c>
      <c r="AX292" s="1" t="s">
        <v>74</v>
      </c>
      <c r="AY292" s="1">
        <v>1.0</v>
      </c>
      <c r="AZ292" s="1" t="s">
        <v>74</v>
      </c>
      <c r="BA292" s="1" t="s">
        <v>3019</v>
      </c>
      <c r="BB292" s="1">
        <v>194.0</v>
      </c>
      <c r="BC292" s="1">
        <v>194.0</v>
      </c>
      <c r="BD292" s="1" t="s">
        <v>74</v>
      </c>
      <c r="BE292" s="1" t="s">
        <v>74</v>
      </c>
      <c r="BF292" s="1" t="s">
        <v>74</v>
      </c>
      <c r="BG292" s="1" t="s">
        <v>74</v>
      </c>
      <c r="BH292" s="1" t="s">
        <v>74</v>
      </c>
      <c r="BI292" s="1" t="s">
        <v>74</v>
      </c>
      <c r="BJ292" s="1" t="s">
        <v>74</v>
      </c>
      <c r="BK292" s="1" t="s">
        <v>74</v>
      </c>
      <c r="BL292" s="1" t="s">
        <v>74</v>
      </c>
      <c r="BM292" s="1" t="s">
        <v>74</v>
      </c>
      <c r="BN292" s="1" t="s">
        <v>74</v>
      </c>
      <c r="BO292" s="1" t="s">
        <v>74</v>
      </c>
      <c r="BP292" s="1" t="s">
        <v>74</v>
      </c>
      <c r="BQ292" s="1" t="s">
        <v>74</v>
      </c>
      <c r="BR292" s="1" t="s">
        <v>74</v>
      </c>
      <c r="BS292" s="1" t="s">
        <v>3020</v>
      </c>
      <c r="BT292" s="1" t="str">
        <f>HYPERLINK("https%3A%2F%2Fwww.webofscience.com%2Fwos%2Fwoscc%2Ffull-record%2FWOS:000486972402207","View Full Record in Web of Science")</f>
        <v>View Full Record in Web of Science</v>
      </c>
    </row>
    <row r="293" ht="12.75" customHeight="1">
      <c r="A293" s="1" t="s">
        <v>72</v>
      </c>
      <c r="B293" s="1" t="s">
        <v>3021</v>
      </c>
      <c r="C293" s="1" t="s">
        <v>74</v>
      </c>
      <c r="D293" s="1" t="s">
        <v>74</v>
      </c>
      <c r="E293" s="1" t="s">
        <v>74</v>
      </c>
      <c r="F293" s="1" t="s">
        <v>3022</v>
      </c>
      <c r="G293" s="1" t="s">
        <v>74</v>
      </c>
      <c r="H293" s="1" t="s">
        <v>74</v>
      </c>
      <c r="I293" s="1" t="s">
        <v>3023</v>
      </c>
      <c r="J293" s="1" t="s">
        <v>3024</v>
      </c>
      <c r="K293" s="1" t="s">
        <v>74</v>
      </c>
      <c r="L293" s="1" t="s">
        <v>74</v>
      </c>
      <c r="M293" s="1" t="s">
        <v>74</v>
      </c>
      <c r="N293" s="1" t="s">
        <v>74</v>
      </c>
      <c r="O293" s="1" t="s">
        <v>74</v>
      </c>
      <c r="P293" s="1" t="s">
        <v>74</v>
      </c>
      <c r="Q293" s="1" t="s">
        <v>74</v>
      </c>
      <c r="R293" s="1" t="s">
        <v>74</v>
      </c>
      <c r="S293" s="1" t="s">
        <v>74</v>
      </c>
      <c r="T293" s="1" t="s">
        <v>74</v>
      </c>
      <c r="U293" s="1" t="s">
        <v>74</v>
      </c>
      <c r="V293" s="1" t="s">
        <v>3025</v>
      </c>
      <c r="W293" s="1" t="s">
        <v>74</v>
      </c>
      <c r="X293" s="1" t="s">
        <v>74</v>
      </c>
      <c r="Y293" s="1" t="s">
        <v>74</v>
      </c>
      <c r="Z293" s="1" t="s">
        <v>74</v>
      </c>
      <c r="AA293" s="1" t="s">
        <v>3026</v>
      </c>
      <c r="AB293" s="1" t="s">
        <v>3027</v>
      </c>
      <c r="AC293" s="1" t="s">
        <v>74</v>
      </c>
      <c r="AD293" s="1" t="s">
        <v>74</v>
      </c>
      <c r="AE293" s="1" t="s">
        <v>74</v>
      </c>
      <c r="AF293" s="1" t="s">
        <v>74</v>
      </c>
      <c r="AG293" s="1" t="s">
        <v>74</v>
      </c>
      <c r="AH293" s="1" t="s">
        <v>74</v>
      </c>
      <c r="AI293" s="1" t="s">
        <v>74</v>
      </c>
      <c r="AJ293" s="1" t="s">
        <v>74</v>
      </c>
      <c r="AK293" s="1" t="s">
        <v>74</v>
      </c>
      <c r="AL293" s="1" t="s">
        <v>74</v>
      </c>
      <c r="AM293" s="1" t="s">
        <v>74</v>
      </c>
      <c r="AN293" s="1" t="s">
        <v>74</v>
      </c>
      <c r="AO293" s="1" t="s">
        <v>3028</v>
      </c>
      <c r="AP293" s="1" t="s">
        <v>3029</v>
      </c>
      <c r="AQ293" s="1" t="s">
        <v>74</v>
      </c>
      <c r="AR293" s="1" t="s">
        <v>74</v>
      </c>
      <c r="AS293" s="1" t="s">
        <v>74</v>
      </c>
      <c r="AT293" s="1" t="s">
        <v>3030</v>
      </c>
      <c r="AU293" s="1">
        <v>2019.0</v>
      </c>
      <c r="AV293" s="1">
        <v>349.0</v>
      </c>
      <c r="AW293" s="1" t="s">
        <v>74</v>
      </c>
      <c r="AX293" s="1" t="s">
        <v>74</v>
      </c>
      <c r="AY293" s="1" t="s">
        <v>74</v>
      </c>
      <c r="AZ293" s="1" t="s">
        <v>74</v>
      </c>
      <c r="BA293" s="1" t="s">
        <v>74</v>
      </c>
      <c r="BB293" s="1">
        <v>701.0</v>
      </c>
      <c r="BC293" s="1">
        <v>721.0</v>
      </c>
      <c r="BD293" s="1" t="s">
        <v>74</v>
      </c>
      <c r="BE293" s="1" t="s">
        <v>3031</v>
      </c>
      <c r="BF293" s="2" t="str">
        <f>HYPERLINK("http://dx.doi.org/10.1016/j.cma.2019.02.041","http://dx.doi.org/10.1016/j.cma.2019.02.041")</f>
        <v>http://dx.doi.org/10.1016/j.cma.2019.02.041</v>
      </c>
      <c r="BG293" s="1" t="s">
        <v>74</v>
      </c>
      <c r="BH293" s="1" t="s">
        <v>74</v>
      </c>
      <c r="BI293" s="1" t="s">
        <v>74</v>
      </c>
      <c r="BJ293" s="1" t="s">
        <v>74</v>
      </c>
      <c r="BK293" s="1" t="s">
        <v>74</v>
      </c>
      <c r="BL293" s="1" t="s">
        <v>74</v>
      </c>
      <c r="BM293" s="1" t="s">
        <v>74</v>
      </c>
      <c r="BN293" s="1" t="s">
        <v>74</v>
      </c>
      <c r="BO293" s="1" t="s">
        <v>74</v>
      </c>
      <c r="BP293" s="1" t="s">
        <v>74</v>
      </c>
      <c r="BQ293" s="1" t="s">
        <v>74</v>
      </c>
      <c r="BR293" s="1" t="s">
        <v>74</v>
      </c>
      <c r="BS293" s="1" t="s">
        <v>3032</v>
      </c>
      <c r="BT293" s="1" t="str">
        <f>HYPERLINK("https%3A%2F%2Fwww.webofscience.com%2Fwos%2Fwoscc%2Ffull-record%2FWOS:000464951400028","View Full Record in Web of Science")</f>
        <v>View Full Record in Web of Science</v>
      </c>
    </row>
    <row r="294" ht="12.75" customHeight="1">
      <c r="A294" s="1" t="s">
        <v>72</v>
      </c>
      <c r="B294" s="1" t="s">
        <v>3033</v>
      </c>
      <c r="C294" s="1" t="s">
        <v>74</v>
      </c>
      <c r="D294" s="1" t="s">
        <v>74</v>
      </c>
      <c r="E294" s="1" t="s">
        <v>74</v>
      </c>
      <c r="F294" s="1" t="s">
        <v>3034</v>
      </c>
      <c r="G294" s="1" t="s">
        <v>74</v>
      </c>
      <c r="H294" s="1" t="s">
        <v>74</v>
      </c>
      <c r="I294" s="1" t="s">
        <v>3035</v>
      </c>
      <c r="J294" s="1" t="s">
        <v>3036</v>
      </c>
      <c r="K294" s="1" t="s">
        <v>74</v>
      </c>
      <c r="L294" s="1" t="s">
        <v>74</v>
      </c>
      <c r="M294" s="1" t="s">
        <v>74</v>
      </c>
      <c r="N294" s="1" t="s">
        <v>74</v>
      </c>
      <c r="O294" s="1" t="s">
        <v>74</v>
      </c>
      <c r="P294" s="1" t="s">
        <v>74</v>
      </c>
      <c r="Q294" s="1" t="s">
        <v>74</v>
      </c>
      <c r="R294" s="1" t="s">
        <v>74</v>
      </c>
      <c r="S294" s="1" t="s">
        <v>74</v>
      </c>
      <c r="T294" s="1" t="s">
        <v>74</v>
      </c>
      <c r="U294" s="1" t="s">
        <v>74</v>
      </c>
      <c r="V294" s="1" t="s">
        <v>3037</v>
      </c>
      <c r="W294" s="1" t="s">
        <v>74</v>
      </c>
      <c r="X294" s="1" t="s">
        <v>74</v>
      </c>
      <c r="Y294" s="1" t="s">
        <v>74</v>
      </c>
      <c r="Z294" s="1" t="s">
        <v>74</v>
      </c>
      <c r="AA294" s="1" t="s">
        <v>3038</v>
      </c>
      <c r="AB294" s="1" t="s">
        <v>3039</v>
      </c>
      <c r="AC294" s="1" t="s">
        <v>74</v>
      </c>
      <c r="AD294" s="1" t="s">
        <v>74</v>
      </c>
      <c r="AE294" s="1" t="s">
        <v>74</v>
      </c>
      <c r="AF294" s="1" t="s">
        <v>74</v>
      </c>
      <c r="AG294" s="1" t="s">
        <v>74</v>
      </c>
      <c r="AH294" s="1" t="s">
        <v>74</v>
      </c>
      <c r="AI294" s="1" t="s">
        <v>74</v>
      </c>
      <c r="AJ294" s="1" t="s">
        <v>74</v>
      </c>
      <c r="AK294" s="1" t="s">
        <v>74</v>
      </c>
      <c r="AL294" s="1" t="s">
        <v>74</v>
      </c>
      <c r="AM294" s="1" t="s">
        <v>74</v>
      </c>
      <c r="AN294" s="1" t="s">
        <v>74</v>
      </c>
      <c r="AO294" s="1" t="s">
        <v>3040</v>
      </c>
      <c r="AP294" s="1" t="s">
        <v>3041</v>
      </c>
      <c r="AQ294" s="1" t="s">
        <v>74</v>
      </c>
      <c r="AR294" s="1" t="s">
        <v>74</v>
      </c>
      <c r="AS294" s="1" t="s">
        <v>74</v>
      </c>
      <c r="AT294" s="1" t="s">
        <v>180</v>
      </c>
      <c r="AU294" s="1">
        <v>2019.0</v>
      </c>
      <c r="AV294" s="1">
        <v>94.0</v>
      </c>
      <c r="AW294" s="1">
        <v>5.0</v>
      </c>
      <c r="AX294" s="1" t="s">
        <v>74</v>
      </c>
      <c r="AY294" s="1" t="s">
        <v>74</v>
      </c>
      <c r="AZ294" s="1" t="s">
        <v>74</v>
      </c>
      <c r="BA294" s="1" t="s">
        <v>74</v>
      </c>
      <c r="BB294" s="1">
        <v>1509.0</v>
      </c>
      <c r="BC294" s="1">
        <v>1519.0</v>
      </c>
      <c r="BD294" s="1" t="s">
        <v>74</v>
      </c>
      <c r="BE294" s="1" t="s">
        <v>3042</v>
      </c>
      <c r="BF294" s="2" t="str">
        <f>HYPERLINK("http://dx.doi.org/10.1002/jctb.5910","http://dx.doi.org/10.1002/jctb.5910")</f>
        <v>http://dx.doi.org/10.1002/jctb.5910</v>
      </c>
      <c r="BG294" s="1" t="s">
        <v>74</v>
      </c>
      <c r="BH294" s="1" t="s">
        <v>74</v>
      </c>
      <c r="BI294" s="1" t="s">
        <v>74</v>
      </c>
      <c r="BJ294" s="1" t="s">
        <v>74</v>
      </c>
      <c r="BK294" s="1" t="s">
        <v>74</v>
      </c>
      <c r="BL294" s="1" t="s">
        <v>74</v>
      </c>
      <c r="BM294" s="1" t="s">
        <v>74</v>
      </c>
      <c r="BN294" s="1" t="s">
        <v>74</v>
      </c>
      <c r="BO294" s="1" t="s">
        <v>74</v>
      </c>
      <c r="BP294" s="1" t="s">
        <v>74</v>
      </c>
      <c r="BQ294" s="1" t="s">
        <v>74</v>
      </c>
      <c r="BR294" s="1" t="s">
        <v>74</v>
      </c>
      <c r="BS294" s="1" t="s">
        <v>3043</v>
      </c>
      <c r="BT294" s="1" t="str">
        <f>HYPERLINK("https%3A%2F%2Fwww.webofscience.com%2Fwos%2Fwoscc%2Ffull-record%2FWOS:000467986900018","View Full Record in Web of Science")</f>
        <v>View Full Record in Web of Science</v>
      </c>
    </row>
    <row r="295" ht="12.75" customHeight="1">
      <c r="A295" s="1" t="s">
        <v>72</v>
      </c>
      <c r="B295" s="1" t="s">
        <v>3044</v>
      </c>
      <c r="C295" s="1" t="s">
        <v>74</v>
      </c>
      <c r="D295" s="1" t="s">
        <v>74</v>
      </c>
      <c r="E295" s="1" t="s">
        <v>74</v>
      </c>
      <c r="F295" s="1" t="s">
        <v>3045</v>
      </c>
      <c r="G295" s="1" t="s">
        <v>74</v>
      </c>
      <c r="H295" s="1" t="s">
        <v>74</v>
      </c>
      <c r="I295" s="1" t="s">
        <v>3046</v>
      </c>
      <c r="J295" s="1" t="s">
        <v>970</v>
      </c>
      <c r="K295" s="1" t="s">
        <v>74</v>
      </c>
      <c r="L295" s="1" t="s">
        <v>74</v>
      </c>
      <c r="M295" s="1" t="s">
        <v>74</v>
      </c>
      <c r="N295" s="1" t="s">
        <v>74</v>
      </c>
      <c r="O295" s="1" t="s">
        <v>74</v>
      </c>
      <c r="P295" s="1" t="s">
        <v>74</v>
      </c>
      <c r="Q295" s="1" t="s">
        <v>74</v>
      </c>
      <c r="R295" s="1" t="s">
        <v>74</v>
      </c>
      <c r="S295" s="1" t="s">
        <v>74</v>
      </c>
      <c r="T295" s="1" t="s">
        <v>74</v>
      </c>
      <c r="U295" s="1" t="s">
        <v>74</v>
      </c>
      <c r="V295" s="1" t="s">
        <v>3047</v>
      </c>
      <c r="W295" s="1" t="s">
        <v>74</v>
      </c>
      <c r="X295" s="1" t="s">
        <v>74</v>
      </c>
      <c r="Y295" s="1" t="s">
        <v>74</v>
      </c>
      <c r="Z295" s="1" t="s">
        <v>74</v>
      </c>
      <c r="AA295" s="1" t="s">
        <v>3048</v>
      </c>
      <c r="AB295" s="1" t="s">
        <v>3049</v>
      </c>
      <c r="AC295" s="1" t="s">
        <v>74</v>
      </c>
      <c r="AD295" s="1" t="s">
        <v>74</v>
      </c>
      <c r="AE295" s="1" t="s">
        <v>74</v>
      </c>
      <c r="AF295" s="1" t="s">
        <v>74</v>
      </c>
      <c r="AG295" s="1" t="s">
        <v>74</v>
      </c>
      <c r="AH295" s="1" t="s">
        <v>74</v>
      </c>
      <c r="AI295" s="1" t="s">
        <v>74</v>
      </c>
      <c r="AJ295" s="1" t="s">
        <v>74</v>
      </c>
      <c r="AK295" s="1" t="s">
        <v>74</v>
      </c>
      <c r="AL295" s="1" t="s">
        <v>74</v>
      </c>
      <c r="AM295" s="1" t="s">
        <v>74</v>
      </c>
      <c r="AN295" s="1" t="s">
        <v>74</v>
      </c>
      <c r="AO295" s="1" t="s">
        <v>974</v>
      </c>
      <c r="AP295" s="1" t="s">
        <v>975</v>
      </c>
      <c r="AQ295" s="1" t="s">
        <v>74</v>
      </c>
      <c r="AR295" s="1" t="s">
        <v>74</v>
      </c>
      <c r="AS295" s="1" t="s">
        <v>74</v>
      </c>
      <c r="AT295" s="1" t="s">
        <v>3050</v>
      </c>
      <c r="AU295" s="1">
        <v>2018.0</v>
      </c>
      <c r="AV295" s="1">
        <v>47.0</v>
      </c>
      <c r="AW295" s="1">
        <v>4.0</v>
      </c>
      <c r="AX295" s="1" t="s">
        <v>74</v>
      </c>
      <c r="AY295" s="1" t="s">
        <v>74</v>
      </c>
      <c r="AZ295" s="1" t="s">
        <v>74</v>
      </c>
      <c r="BA295" s="1" t="s">
        <v>74</v>
      </c>
      <c r="BB295" s="1">
        <v>1233.0</v>
      </c>
      <c r="BC295" s="1">
        <v>1242.0</v>
      </c>
      <c r="BD295" s="1" t="s">
        <v>74</v>
      </c>
      <c r="BE295" s="1" t="s">
        <v>3051</v>
      </c>
      <c r="BF295" s="2" t="str">
        <f>HYPERLINK("http://dx.doi.org/10.1039/c7dt04344a","http://dx.doi.org/10.1039/c7dt04344a")</f>
        <v>http://dx.doi.org/10.1039/c7dt04344a</v>
      </c>
      <c r="BG295" s="1" t="s">
        <v>74</v>
      </c>
      <c r="BH295" s="1" t="s">
        <v>74</v>
      </c>
      <c r="BI295" s="1" t="s">
        <v>74</v>
      </c>
      <c r="BJ295" s="1" t="s">
        <v>74</v>
      </c>
      <c r="BK295" s="1" t="s">
        <v>74</v>
      </c>
      <c r="BL295" s="1" t="s">
        <v>74</v>
      </c>
      <c r="BM295" s="1" t="s">
        <v>74</v>
      </c>
      <c r="BN295" s="1">
        <v>2.9299575E7</v>
      </c>
      <c r="BO295" s="1" t="s">
        <v>74</v>
      </c>
      <c r="BP295" s="1" t="s">
        <v>74</v>
      </c>
      <c r="BQ295" s="1" t="s">
        <v>74</v>
      </c>
      <c r="BR295" s="1" t="s">
        <v>74</v>
      </c>
      <c r="BS295" s="1" t="s">
        <v>3052</v>
      </c>
      <c r="BT295" s="1" t="str">
        <f>HYPERLINK("https%3A%2F%2Fwww.webofscience.com%2Fwos%2Fwoscc%2Ffull-record%2FWOS:000423465200028","View Full Record in Web of Science")</f>
        <v>View Full Record in Web of Science</v>
      </c>
    </row>
    <row r="296" ht="12.75" customHeight="1">
      <c r="A296" s="1" t="s">
        <v>182</v>
      </c>
      <c r="B296" s="1" t="s">
        <v>3053</v>
      </c>
      <c r="C296" s="1" t="s">
        <v>74</v>
      </c>
      <c r="D296" s="1" t="s">
        <v>3054</v>
      </c>
      <c r="E296" s="1" t="s">
        <v>74</v>
      </c>
      <c r="F296" s="1" t="s">
        <v>3055</v>
      </c>
      <c r="G296" s="1" t="s">
        <v>74</v>
      </c>
      <c r="H296" s="1" t="s">
        <v>74</v>
      </c>
      <c r="I296" s="1" t="s">
        <v>3056</v>
      </c>
      <c r="J296" s="1" t="s">
        <v>3057</v>
      </c>
      <c r="K296" s="1" t="s">
        <v>3058</v>
      </c>
      <c r="L296" s="1" t="s">
        <v>74</v>
      </c>
      <c r="M296" s="1" t="s">
        <v>74</v>
      </c>
      <c r="N296" s="1" t="s">
        <v>74</v>
      </c>
      <c r="O296" s="1" t="s">
        <v>3059</v>
      </c>
      <c r="P296" s="1" t="s">
        <v>3060</v>
      </c>
      <c r="Q296" s="1" t="s">
        <v>3061</v>
      </c>
      <c r="R296" s="1" t="s">
        <v>74</v>
      </c>
      <c r="S296" s="1" t="s">
        <v>74</v>
      </c>
      <c r="T296" s="1" t="s">
        <v>74</v>
      </c>
      <c r="U296" s="1" t="s">
        <v>74</v>
      </c>
      <c r="V296" s="1" t="s">
        <v>3062</v>
      </c>
      <c r="W296" s="1" t="s">
        <v>74</v>
      </c>
      <c r="X296" s="1" t="s">
        <v>74</v>
      </c>
      <c r="Y296" s="1" t="s">
        <v>74</v>
      </c>
      <c r="Z296" s="1" t="s">
        <v>74</v>
      </c>
      <c r="AA296" s="1" t="s">
        <v>3063</v>
      </c>
      <c r="AB296" s="1" t="s">
        <v>3064</v>
      </c>
      <c r="AC296" s="1" t="s">
        <v>74</v>
      </c>
      <c r="AD296" s="1" t="s">
        <v>74</v>
      </c>
      <c r="AE296" s="1" t="s">
        <v>74</v>
      </c>
      <c r="AF296" s="1" t="s">
        <v>74</v>
      </c>
      <c r="AG296" s="1" t="s">
        <v>74</v>
      </c>
      <c r="AH296" s="1" t="s">
        <v>74</v>
      </c>
      <c r="AI296" s="1" t="s">
        <v>74</v>
      </c>
      <c r="AJ296" s="1" t="s">
        <v>74</v>
      </c>
      <c r="AK296" s="1" t="s">
        <v>74</v>
      </c>
      <c r="AL296" s="1" t="s">
        <v>74</v>
      </c>
      <c r="AM296" s="1" t="s">
        <v>74</v>
      </c>
      <c r="AN296" s="1" t="s">
        <v>74</v>
      </c>
      <c r="AO296" s="1" t="s">
        <v>3065</v>
      </c>
      <c r="AP296" s="1" t="s">
        <v>74</v>
      </c>
      <c r="AQ296" s="1" t="s">
        <v>74</v>
      </c>
      <c r="AR296" s="1" t="s">
        <v>74</v>
      </c>
      <c r="AS296" s="1" t="s">
        <v>74</v>
      </c>
      <c r="AT296" s="1" t="s">
        <v>74</v>
      </c>
      <c r="AU296" s="1">
        <v>2018.0</v>
      </c>
      <c r="AV296" s="1">
        <v>210.0</v>
      </c>
      <c r="AW296" s="1" t="s">
        <v>74</v>
      </c>
      <c r="AX296" s="1" t="s">
        <v>74</v>
      </c>
      <c r="AY296" s="1" t="s">
        <v>74</v>
      </c>
      <c r="AZ296" s="1" t="s">
        <v>74</v>
      </c>
      <c r="BA296" s="1" t="s">
        <v>74</v>
      </c>
      <c r="BB296" s="1" t="s">
        <v>74</v>
      </c>
      <c r="BC296" s="1" t="s">
        <v>74</v>
      </c>
      <c r="BD296" s="1">
        <v>2013.0</v>
      </c>
      <c r="BE296" s="1" t="s">
        <v>3066</v>
      </c>
      <c r="BF296" s="2" t="str">
        <f>HYPERLINK("http://dx.doi.org/10.1051/matecconf/201821002013","http://dx.doi.org/10.1051/matecconf/201821002013")</f>
        <v>http://dx.doi.org/10.1051/matecconf/201821002013</v>
      </c>
      <c r="BG296" s="1" t="s">
        <v>74</v>
      </c>
      <c r="BH296" s="1" t="s">
        <v>74</v>
      </c>
      <c r="BI296" s="1" t="s">
        <v>74</v>
      </c>
      <c r="BJ296" s="1" t="s">
        <v>74</v>
      </c>
      <c r="BK296" s="1" t="s">
        <v>74</v>
      </c>
      <c r="BL296" s="1" t="s">
        <v>74</v>
      </c>
      <c r="BM296" s="1" t="s">
        <v>74</v>
      </c>
      <c r="BN296" s="1" t="s">
        <v>74</v>
      </c>
      <c r="BO296" s="1" t="s">
        <v>74</v>
      </c>
      <c r="BP296" s="1" t="s">
        <v>74</v>
      </c>
      <c r="BQ296" s="1" t="s">
        <v>74</v>
      </c>
      <c r="BR296" s="1" t="s">
        <v>74</v>
      </c>
      <c r="BS296" s="1" t="s">
        <v>3067</v>
      </c>
      <c r="BT296" s="1" t="str">
        <f>HYPERLINK("https%3A%2F%2Fwww.webofscience.com%2Fwos%2Fwoscc%2Ffull-record%2FWOS:000567668400019","View Full Record in Web of Science")</f>
        <v>View Full Record in Web of Science</v>
      </c>
    </row>
    <row r="297" ht="12.75" customHeight="1">
      <c r="A297" s="1" t="s">
        <v>72</v>
      </c>
      <c r="B297" s="1" t="s">
        <v>3068</v>
      </c>
      <c r="C297" s="1" t="s">
        <v>74</v>
      </c>
      <c r="D297" s="1" t="s">
        <v>74</v>
      </c>
      <c r="E297" s="1" t="s">
        <v>74</v>
      </c>
      <c r="F297" s="1" t="s">
        <v>3069</v>
      </c>
      <c r="G297" s="1" t="s">
        <v>74</v>
      </c>
      <c r="H297" s="1" t="s">
        <v>74</v>
      </c>
      <c r="I297" s="1" t="s">
        <v>3070</v>
      </c>
      <c r="J297" s="1" t="s">
        <v>3071</v>
      </c>
      <c r="K297" s="1" t="s">
        <v>74</v>
      </c>
      <c r="L297" s="1" t="s">
        <v>74</v>
      </c>
      <c r="M297" s="1" t="s">
        <v>74</v>
      </c>
      <c r="N297" s="1" t="s">
        <v>74</v>
      </c>
      <c r="O297" s="1" t="s">
        <v>74</v>
      </c>
      <c r="P297" s="1" t="s">
        <v>74</v>
      </c>
      <c r="Q297" s="1" t="s">
        <v>74</v>
      </c>
      <c r="R297" s="1" t="s">
        <v>74</v>
      </c>
      <c r="S297" s="1" t="s">
        <v>74</v>
      </c>
      <c r="T297" s="1" t="s">
        <v>74</v>
      </c>
      <c r="U297" s="1" t="s">
        <v>74</v>
      </c>
      <c r="V297" s="1" t="s">
        <v>3072</v>
      </c>
      <c r="W297" s="1" t="s">
        <v>74</v>
      </c>
      <c r="X297" s="1" t="s">
        <v>74</v>
      </c>
      <c r="Y297" s="1" t="s">
        <v>74</v>
      </c>
      <c r="Z297" s="1" t="s">
        <v>74</v>
      </c>
      <c r="AA297" s="1" t="s">
        <v>3073</v>
      </c>
      <c r="AB297" s="1" t="s">
        <v>3074</v>
      </c>
      <c r="AC297" s="1" t="s">
        <v>74</v>
      </c>
      <c r="AD297" s="1" t="s">
        <v>74</v>
      </c>
      <c r="AE297" s="1" t="s">
        <v>74</v>
      </c>
      <c r="AF297" s="1" t="s">
        <v>74</v>
      </c>
      <c r="AG297" s="1" t="s">
        <v>74</v>
      </c>
      <c r="AH297" s="1" t="s">
        <v>74</v>
      </c>
      <c r="AI297" s="1" t="s">
        <v>74</v>
      </c>
      <c r="AJ297" s="1" t="s">
        <v>74</v>
      </c>
      <c r="AK297" s="1" t="s">
        <v>74</v>
      </c>
      <c r="AL297" s="1" t="s">
        <v>74</v>
      </c>
      <c r="AM297" s="1" t="s">
        <v>74</v>
      </c>
      <c r="AN297" s="1" t="s">
        <v>74</v>
      </c>
      <c r="AO297" s="1" t="s">
        <v>3075</v>
      </c>
      <c r="AP297" s="1" t="s">
        <v>3076</v>
      </c>
      <c r="AQ297" s="1" t="s">
        <v>74</v>
      </c>
      <c r="AR297" s="1" t="s">
        <v>74</v>
      </c>
      <c r="AS297" s="1" t="s">
        <v>74</v>
      </c>
      <c r="AT297" s="1" t="s">
        <v>3077</v>
      </c>
      <c r="AU297" s="1">
        <v>2017.0</v>
      </c>
      <c r="AV297" s="1">
        <v>827.0</v>
      </c>
      <c r="AW297" s="1" t="s">
        <v>74</v>
      </c>
      <c r="AX297" s="1" t="s">
        <v>74</v>
      </c>
      <c r="AY297" s="1" t="s">
        <v>74</v>
      </c>
      <c r="AZ297" s="1" t="s">
        <v>74</v>
      </c>
      <c r="BA297" s="1" t="s">
        <v>74</v>
      </c>
      <c r="BB297" s="1">
        <v>32.0</v>
      </c>
      <c r="BC297" s="1">
        <v>40.0</v>
      </c>
      <c r="BD297" s="1" t="s">
        <v>74</v>
      </c>
      <c r="BE297" s="1" t="s">
        <v>3078</v>
      </c>
      <c r="BF297" s="2" t="str">
        <f>HYPERLINK("http://dx.doi.org/10.1016/j.jorganchem.2016.11.002","http://dx.doi.org/10.1016/j.jorganchem.2016.11.002")</f>
        <v>http://dx.doi.org/10.1016/j.jorganchem.2016.11.002</v>
      </c>
      <c r="BG297" s="1" t="s">
        <v>74</v>
      </c>
      <c r="BH297" s="1" t="s">
        <v>74</v>
      </c>
      <c r="BI297" s="1" t="s">
        <v>74</v>
      </c>
      <c r="BJ297" s="1" t="s">
        <v>74</v>
      </c>
      <c r="BK297" s="1" t="s">
        <v>74</v>
      </c>
      <c r="BL297" s="1" t="s">
        <v>74</v>
      </c>
      <c r="BM297" s="1" t="s">
        <v>74</v>
      </c>
      <c r="BN297" s="1" t="s">
        <v>74</v>
      </c>
      <c r="BO297" s="1" t="s">
        <v>74</v>
      </c>
      <c r="BP297" s="1" t="s">
        <v>74</v>
      </c>
      <c r="BQ297" s="1" t="s">
        <v>74</v>
      </c>
      <c r="BR297" s="1" t="s">
        <v>74</v>
      </c>
      <c r="BS297" s="1" t="s">
        <v>3079</v>
      </c>
      <c r="BT297" s="1" t="str">
        <f>HYPERLINK("https%3A%2F%2Fwww.webofscience.com%2Fwos%2Fwoscc%2Ffull-record%2FWOS:000389610700004","View Full Record in Web of Science")</f>
        <v>View Full Record in Web of Science</v>
      </c>
    </row>
    <row r="298" ht="12.75" customHeight="1">
      <c r="A298" s="1" t="s">
        <v>72</v>
      </c>
      <c r="B298" s="1" t="s">
        <v>3080</v>
      </c>
      <c r="C298" s="1" t="s">
        <v>74</v>
      </c>
      <c r="D298" s="1" t="s">
        <v>74</v>
      </c>
      <c r="E298" s="1" t="s">
        <v>74</v>
      </c>
      <c r="F298" s="1" t="s">
        <v>3081</v>
      </c>
      <c r="G298" s="1" t="s">
        <v>74</v>
      </c>
      <c r="H298" s="1" t="s">
        <v>74</v>
      </c>
      <c r="I298" s="1" t="s">
        <v>3082</v>
      </c>
      <c r="J298" s="1" t="s">
        <v>3083</v>
      </c>
      <c r="K298" s="1" t="s">
        <v>74</v>
      </c>
      <c r="L298" s="1" t="s">
        <v>74</v>
      </c>
      <c r="M298" s="1" t="s">
        <v>74</v>
      </c>
      <c r="N298" s="1" t="s">
        <v>74</v>
      </c>
      <c r="O298" s="1" t="s">
        <v>74</v>
      </c>
      <c r="P298" s="1" t="s">
        <v>74</v>
      </c>
      <c r="Q298" s="1" t="s">
        <v>74</v>
      </c>
      <c r="R298" s="1" t="s">
        <v>74</v>
      </c>
      <c r="S298" s="1" t="s">
        <v>74</v>
      </c>
      <c r="T298" s="1" t="s">
        <v>74</v>
      </c>
      <c r="U298" s="1" t="s">
        <v>74</v>
      </c>
      <c r="V298" s="1" t="s">
        <v>3084</v>
      </c>
      <c r="W298" s="1" t="s">
        <v>74</v>
      </c>
      <c r="X298" s="1" t="s">
        <v>74</v>
      </c>
      <c r="Y298" s="1" t="s">
        <v>74</v>
      </c>
      <c r="Z298" s="1" t="s">
        <v>74</v>
      </c>
      <c r="AA298" s="1" t="s">
        <v>3085</v>
      </c>
      <c r="AB298" s="1" t="s">
        <v>3086</v>
      </c>
      <c r="AC298" s="1" t="s">
        <v>74</v>
      </c>
      <c r="AD298" s="1" t="s">
        <v>74</v>
      </c>
      <c r="AE298" s="1" t="s">
        <v>74</v>
      </c>
      <c r="AF298" s="1" t="s">
        <v>74</v>
      </c>
      <c r="AG298" s="1" t="s">
        <v>74</v>
      </c>
      <c r="AH298" s="1" t="s">
        <v>74</v>
      </c>
      <c r="AI298" s="1" t="s">
        <v>74</v>
      </c>
      <c r="AJ298" s="1" t="s">
        <v>74</v>
      </c>
      <c r="AK298" s="1" t="s">
        <v>74</v>
      </c>
      <c r="AL298" s="1" t="s">
        <v>74</v>
      </c>
      <c r="AM298" s="1" t="s">
        <v>74</v>
      </c>
      <c r="AN298" s="1" t="s">
        <v>74</v>
      </c>
      <c r="AO298" s="1" t="s">
        <v>3087</v>
      </c>
      <c r="AP298" s="1" t="s">
        <v>3088</v>
      </c>
      <c r="AQ298" s="1" t="s">
        <v>74</v>
      </c>
      <c r="AR298" s="1" t="s">
        <v>74</v>
      </c>
      <c r="AS298" s="1" t="s">
        <v>74</v>
      </c>
      <c r="AT298" s="1" t="s">
        <v>74</v>
      </c>
      <c r="AU298" s="1">
        <v>2017.0</v>
      </c>
      <c r="AV298" s="1">
        <v>64.0</v>
      </c>
      <c r="AW298" s="1">
        <v>3.0</v>
      </c>
      <c r="AX298" s="1" t="s">
        <v>74</v>
      </c>
      <c r="AY298" s="1" t="s">
        <v>74</v>
      </c>
      <c r="AZ298" s="1" t="s">
        <v>74</v>
      </c>
      <c r="BA298" s="1" t="s">
        <v>74</v>
      </c>
      <c r="BB298" s="1">
        <v>340.0</v>
      </c>
      <c r="BC298" s="1">
        <v>346.0</v>
      </c>
      <c r="BD298" s="1" t="s">
        <v>74</v>
      </c>
      <c r="BE298" s="1" t="s">
        <v>3089</v>
      </c>
      <c r="BF298" s="2" t="str">
        <f>HYPERLINK("http://dx.doi.org/10.1108/ACMM-09-2015-1577","http://dx.doi.org/10.1108/ACMM-09-2015-1577")</f>
        <v>http://dx.doi.org/10.1108/ACMM-09-2015-1577</v>
      </c>
      <c r="BG298" s="1" t="s">
        <v>74</v>
      </c>
      <c r="BH298" s="1" t="s">
        <v>74</v>
      </c>
      <c r="BI298" s="1" t="s">
        <v>74</v>
      </c>
      <c r="BJ298" s="1" t="s">
        <v>74</v>
      </c>
      <c r="BK298" s="1" t="s">
        <v>74</v>
      </c>
      <c r="BL298" s="1" t="s">
        <v>74</v>
      </c>
      <c r="BM298" s="1" t="s">
        <v>74</v>
      </c>
      <c r="BN298" s="1" t="s">
        <v>74</v>
      </c>
      <c r="BO298" s="1" t="s">
        <v>74</v>
      </c>
      <c r="BP298" s="1" t="s">
        <v>74</v>
      </c>
      <c r="BQ298" s="1" t="s">
        <v>74</v>
      </c>
      <c r="BR298" s="1" t="s">
        <v>74</v>
      </c>
      <c r="BS298" s="1" t="s">
        <v>3090</v>
      </c>
      <c r="BT298" s="1" t="str">
        <f>HYPERLINK("https%3A%2F%2Fwww.webofscience.com%2Fwos%2Fwoscc%2Ffull-record%2FWOS:000402872800010","View Full Record in Web of Science")</f>
        <v>View Full Record in Web of Science</v>
      </c>
    </row>
    <row r="299" ht="12.75" customHeight="1">
      <c r="A299" s="1" t="s">
        <v>274</v>
      </c>
      <c r="B299" s="1" t="s">
        <v>3091</v>
      </c>
      <c r="C299" s="1" t="s">
        <v>74</v>
      </c>
      <c r="D299" s="1" t="s">
        <v>3092</v>
      </c>
      <c r="E299" s="1" t="s">
        <v>74</v>
      </c>
      <c r="F299" s="1" t="s">
        <v>3093</v>
      </c>
      <c r="G299" s="1" t="s">
        <v>74</v>
      </c>
      <c r="H299" s="1" t="s">
        <v>74</v>
      </c>
      <c r="I299" s="1" t="s">
        <v>3094</v>
      </c>
      <c r="J299" s="1" t="s">
        <v>3095</v>
      </c>
      <c r="K299" s="1" t="s">
        <v>3096</v>
      </c>
      <c r="L299" s="1" t="s">
        <v>74</v>
      </c>
      <c r="M299" s="1" t="s">
        <v>74</v>
      </c>
      <c r="N299" s="1" t="s">
        <v>74</v>
      </c>
      <c r="O299" s="1" t="s">
        <v>74</v>
      </c>
      <c r="P299" s="1" t="s">
        <v>74</v>
      </c>
      <c r="Q299" s="1" t="s">
        <v>74</v>
      </c>
      <c r="R299" s="1" t="s">
        <v>74</v>
      </c>
      <c r="S299" s="1" t="s">
        <v>74</v>
      </c>
      <c r="T299" s="1" t="s">
        <v>74</v>
      </c>
      <c r="U299" s="1" t="s">
        <v>74</v>
      </c>
      <c r="V299" s="1" t="s">
        <v>3097</v>
      </c>
      <c r="W299" s="1" t="s">
        <v>74</v>
      </c>
      <c r="X299" s="1" t="s">
        <v>74</v>
      </c>
      <c r="Y299" s="1" t="s">
        <v>74</v>
      </c>
      <c r="Z299" s="1" t="s">
        <v>74</v>
      </c>
      <c r="AA299" s="1" t="s">
        <v>3098</v>
      </c>
      <c r="AB299" s="1" t="s">
        <v>3099</v>
      </c>
      <c r="AC299" s="1" t="s">
        <v>74</v>
      </c>
      <c r="AD299" s="1" t="s">
        <v>74</v>
      </c>
      <c r="AE299" s="1" t="s">
        <v>74</v>
      </c>
      <c r="AF299" s="1" t="s">
        <v>74</v>
      </c>
      <c r="AG299" s="1" t="s">
        <v>74</v>
      </c>
      <c r="AH299" s="1" t="s">
        <v>74</v>
      </c>
      <c r="AI299" s="1" t="s">
        <v>74</v>
      </c>
      <c r="AJ299" s="1" t="s">
        <v>74</v>
      </c>
      <c r="AK299" s="1" t="s">
        <v>74</v>
      </c>
      <c r="AL299" s="1" t="s">
        <v>74</v>
      </c>
      <c r="AM299" s="1" t="s">
        <v>74</v>
      </c>
      <c r="AN299" s="1" t="s">
        <v>74</v>
      </c>
      <c r="AO299" s="1" t="s">
        <v>74</v>
      </c>
      <c r="AP299" s="1" t="s">
        <v>74</v>
      </c>
      <c r="AQ299" s="1" t="s">
        <v>3100</v>
      </c>
      <c r="AR299" s="1" t="s">
        <v>74</v>
      </c>
      <c r="AS299" s="1" t="s">
        <v>74</v>
      </c>
      <c r="AT299" s="1" t="s">
        <v>74</v>
      </c>
      <c r="AU299" s="1">
        <v>2017.0</v>
      </c>
      <c r="AV299" s="1" t="s">
        <v>74</v>
      </c>
      <c r="AW299" s="1" t="s">
        <v>74</v>
      </c>
      <c r="AX299" s="1" t="s">
        <v>74</v>
      </c>
      <c r="AY299" s="1" t="s">
        <v>74</v>
      </c>
      <c r="AZ299" s="1" t="s">
        <v>74</v>
      </c>
      <c r="BA299" s="1" t="s">
        <v>74</v>
      </c>
      <c r="BB299" s="1">
        <v>153.0</v>
      </c>
      <c r="BC299" s="1">
        <v>180.0</v>
      </c>
      <c r="BD299" s="1" t="s">
        <v>74</v>
      </c>
      <c r="BE299" s="1" t="s">
        <v>3101</v>
      </c>
      <c r="BF299" s="2" t="str">
        <f>HYPERLINK("http://dx.doi.org/10.1007/978-3-319-52025-4_7","http://dx.doi.org/10.1007/978-3-319-52025-4_7")</f>
        <v>http://dx.doi.org/10.1007/978-3-319-52025-4_7</v>
      </c>
      <c r="BG299" s="1" t="s">
        <v>3102</v>
      </c>
      <c r="BH299" s="1" t="s">
        <v>74</v>
      </c>
      <c r="BI299" s="1" t="s">
        <v>74</v>
      </c>
      <c r="BJ299" s="1" t="s">
        <v>74</v>
      </c>
      <c r="BK299" s="1" t="s">
        <v>74</v>
      </c>
      <c r="BL299" s="1" t="s">
        <v>74</v>
      </c>
      <c r="BM299" s="1" t="s">
        <v>74</v>
      </c>
      <c r="BN299" s="1" t="s">
        <v>74</v>
      </c>
      <c r="BO299" s="1" t="s">
        <v>74</v>
      </c>
      <c r="BP299" s="1" t="s">
        <v>74</v>
      </c>
      <c r="BQ299" s="1" t="s">
        <v>74</v>
      </c>
      <c r="BR299" s="1" t="s">
        <v>74</v>
      </c>
      <c r="BS299" s="1" t="s">
        <v>3103</v>
      </c>
      <c r="BT299" s="1" t="str">
        <f>HYPERLINK("https%3A%2F%2Fwww.webofscience.com%2Fwos%2Fwoscc%2Ffull-record%2FWOS:000429053300009","View Full Record in Web of Science")</f>
        <v>View Full Record in Web of Science</v>
      </c>
    </row>
    <row r="300" ht="12.75" customHeight="1">
      <c r="A300" s="1" t="s">
        <v>72</v>
      </c>
      <c r="B300" s="1" t="s">
        <v>3104</v>
      </c>
      <c r="C300" s="1" t="s">
        <v>74</v>
      </c>
      <c r="D300" s="1" t="s">
        <v>74</v>
      </c>
      <c r="E300" s="1" t="s">
        <v>74</v>
      </c>
      <c r="F300" s="1" t="s">
        <v>3105</v>
      </c>
      <c r="G300" s="1" t="s">
        <v>74</v>
      </c>
      <c r="H300" s="1" t="s">
        <v>74</v>
      </c>
      <c r="I300" s="1" t="s">
        <v>3106</v>
      </c>
      <c r="J300" s="1" t="s">
        <v>3107</v>
      </c>
      <c r="K300" s="1" t="s">
        <v>74</v>
      </c>
      <c r="L300" s="1" t="s">
        <v>74</v>
      </c>
      <c r="M300" s="1" t="s">
        <v>74</v>
      </c>
      <c r="N300" s="1" t="s">
        <v>74</v>
      </c>
      <c r="O300" s="1" t="s">
        <v>3108</v>
      </c>
      <c r="P300" s="1" t="s">
        <v>3109</v>
      </c>
      <c r="Q300" s="1" t="s">
        <v>3110</v>
      </c>
      <c r="R300" s="1" t="s">
        <v>3111</v>
      </c>
      <c r="S300" s="1" t="s">
        <v>74</v>
      </c>
      <c r="T300" s="1" t="s">
        <v>74</v>
      </c>
      <c r="U300" s="1" t="s">
        <v>74</v>
      </c>
      <c r="V300" s="1" t="s">
        <v>74</v>
      </c>
      <c r="W300" s="1" t="s">
        <v>74</v>
      </c>
      <c r="X300" s="1" t="s">
        <v>74</v>
      </c>
      <c r="Y300" s="1" t="s">
        <v>74</v>
      </c>
      <c r="Z300" s="1" t="s">
        <v>74</v>
      </c>
      <c r="AA300" s="1" t="s">
        <v>3112</v>
      </c>
      <c r="AB300" s="1" t="s">
        <v>74</v>
      </c>
      <c r="AC300" s="1" t="s">
        <v>74</v>
      </c>
      <c r="AD300" s="1" t="s">
        <v>74</v>
      </c>
      <c r="AE300" s="1" t="s">
        <v>74</v>
      </c>
      <c r="AF300" s="1" t="s">
        <v>74</v>
      </c>
      <c r="AG300" s="1" t="s">
        <v>74</v>
      </c>
      <c r="AH300" s="1" t="s">
        <v>74</v>
      </c>
      <c r="AI300" s="1" t="s">
        <v>74</v>
      </c>
      <c r="AJ300" s="1" t="s">
        <v>74</v>
      </c>
      <c r="AK300" s="1" t="s">
        <v>74</v>
      </c>
      <c r="AL300" s="1" t="s">
        <v>74</v>
      </c>
      <c r="AM300" s="1" t="s">
        <v>74</v>
      </c>
      <c r="AN300" s="1" t="s">
        <v>74</v>
      </c>
      <c r="AO300" s="1" t="s">
        <v>3113</v>
      </c>
      <c r="AP300" s="1" t="s">
        <v>3114</v>
      </c>
      <c r="AQ300" s="1" t="s">
        <v>74</v>
      </c>
      <c r="AR300" s="1" t="s">
        <v>74</v>
      </c>
      <c r="AS300" s="1" t="s">
        <v>74</v>
      </c>
      <c r="AT300" s="1" t="s">
        <v>74</v>
      </c>
      <c r="AU300" s="1">
        <v>2017.0</v>
      </c>
      <c r="AV300" s="1">
        <v>28.0</v>
      </c>
      <c r="AW300" s="1" t="s">
        <v>74</v>
      </c>
      <c r="AX300" s="1" t="s">
        <v>74</v>
      </c>
      <c r="AY300" s="1" t="s">
        <v>74</v>
      </c>
      <c r="AZ300" s="1" t="s">
        <v>74</v>
      </c>
      <c r="BA300" s="1" t="s">
        <v>3115</v>
      </c>
      <c r="BB300" s="1" t="s">
        <v>74</v>
      </c>
      <c r="BC300" s="1" t="s">
        <v>74</v>
      </c>
      <c r="BD300" s="1" t="s">
        <v>74</v>
      </c>
      <c r="BE300" s="1" t="s">
        <v>74</v>
      </c>
      <c r="BF300" s="1" t="s">
        <v>74</v>
      </c>
      <c r="BG300" s="1" t="s">
        <v>74</v>
      </c>
      <c r="BH300" s="1" t="s">
        <v>74</v>
      </c>
      <c r="BI300" s="1" t="s">
        <v>74</v>
      </c>
      <c r="BJ300" s="1" t="s">
        <v>74</v>
      </c>
      <c r="BK300" s="1" t="s">
        <v>74</v>
      </c>
      <c r="BL300" s="1" t="s">
        <v>74</v>
      </c>
      <c r="BM300" s="1" t="s">
        <v>74</v>
      </c>
      <c r="BN300" s="1" t="s">
        <v>74</v>
      </c>
      <c r="BO300" s="1" t="s">
        <v>74</v>
      </c>
      <c r="BP300" s="1" t="s">
        <v>74</v>
      </c>
      <c r="BQ300" s="1" t="s">
        <v>74</v>
      </c>
      <c r="BR300" s="1" t="s">
        <v>74</v>
      </c>
      <c r="BS300" s="1" t="s">
        <v>3116</v>
      </c>
      <c r="BT300" s="1" t="str">
        <f>HYPERLINK("https%3A%2F%2Fwww.webofscience.com%2Fwos%2Fwoscc%2Ffull-record%2FWOS:000426664303358","View Full Record in Web of Science")</f>
        <v>View Full Record in Web of Science</v>
      </c>
    </row>
    <row r="301" ht="12.75" customHeight="1">
      <c r="A301" s="1" t="s">
        <v>72</v>
      </c>
      <c r="B301" s="1" t="s">
        <v>3117</v>
      </c>
      <c r="C301" s="1" t="s">
        <v>74</v>
      </c>
      <c r="D301" s="1" t="s">
        <v>74</v>
      </c>
      <c r="E301" s="1" t="s">
        <v>74</v>
      </c>
      <c r="F301" s="1" t="s">
        <v>3118</v>
      </c>
      <c r="G301" s="1" t="s">
        <v>74</v>
      </c>
      <c r="H301" s="1" t="s">
        <v>74</v>
      </c>
      <c r="I301" s="1" t="s">
        <v>3119</v>
      </c>
      <c r="J301" s="1" t="s">
        <v>3120</v>
      </c>
      <c r="K301" s="1" t="s">
        <v>74</v>
      </c>
      <c r="L301" s="1" t="s">
        <v>74</v>
      </c>
      <c r="M301" s="1" t="s">
        <v>74</v>
      </c>
      <c r="N301" s="1" t="s">
        <v>74</v>
      </c>
      <c r="O301" s="1" t="s">
        <v>74</v>
      </c>
      <c r="P301" s="1" t="s">
        <v>74</v>
      </c>
      <c r="Q301" s="1" t="s">
        <v>74</v>
      </c>
      <c r="R301" s="1" t="s">
        <v>74</v>
      </c>
      <c r="S301" s="1" t="s">
        <v>74</v>
      </c>
      <c r="T301" s="1" t="s">
        <v>74</v>
      </c>
      <c r="U301" s="1" t="s">
        <v>74</v>
      </c>
      <c r="V301" s="1" t="s">
        <v>3121</v>
      </c>
      <c r="W301" s="1" t="s">
        <v>74</v>
      </c>
      <c r="X301" s="1" t="s">
        <v>74</v>
      </c>
      <c r="Y301" s="1" t="s">
        <v>74</v>
      </c>
      <c r="Z301" s="1" t="s">
        <v>74</v>
      </c>
      <c r="AA301" s="1" t="s">
        <v>3122</v>
      </c>
      <c r="AB301" s="1" t="s">
        <v>3123</v>
      </c>
      <c r="AC301" s="1" t="s">
        <v>74</v>
      </c>
      <c r="AD301" s="1" t="s">
        <v>74</v>
      </c>
      <c r="AE301" s="1" t="s">
        <v>74</v>
      </c>
      <c r="AF301" s="1" t="s">
        <v>74</v>
      </c>
      <c r="AG301" s="1" t="s">
        <v>74</v>
      </c>
      <c r="AH301" s="1" t="s">
        <v>74</v>
      </c>
      <c r="AI301" s="1" t="s">
        <v>74</v>
      </c>
      <c r="AJ301" s="1" t="s">
        <v>74</v>
      </c>
      <c r="AK301" s="1" t="s">
        <v>74</v>
      </c>
      <c r="AL301" s="1" t="s">
        <v>74</v>
      </c>
      <c r="AM301" s="1" t="s">
        <v>74</v>
      </c>
      <c r="AN301" s="1" t="s">
        <v>74</v>
      </c>
      <c r="AO301" s="1" t="s">
        <v>3124</v>
      </c>
      <c r="AP301" s="1" t="s">
        <v>3125</v>
      </c>
      <c r="AQ301" s="1" t="s">
        <v>74</v>
      </c>
      <c r="AR301" s="1" t="s">
        <v>74</v>
      </c>
      <c r="AS301" s="1" t="s">
        <v>74</v>
      </c>
      <c r="AT301" s="1" t="s">
        <v>3030</v>
      </c>
      <c r="AU301" s="1">
        <v>2016.0</v>
      </c>
      <c r="AV301" s="1">
        <v>94.0</v>
      </c>
      <c r="AW301" s="1" t="s">
        <v>74</v>
      </c>
      <c r="AX301" s="1" t="s">
        <v>74</v>
      </c>
      <c r="AY301" s="1" t="s">
        <v>74</v>
      </c>
      <c r="AZ301" s="1" t="s">
        <v>74</v>
      </c>
      <c r="BA301" s="1" t="s">
        <v>74</v>
      </c>
      <c r="BB301" s="1">
        <v>109.0</v>
      </c>
      <c r="BC301" s="1">
        <v>121.0</v>
      </c>
      <c r="BD301" s="1" t="s">
        <v>74</v>
      </c>
      <c r="BE301" s="1" t="s">
        <v>3126</v>
      </c>
      <c r="BF301" s="2" t="str">
        <f>HYPERLINK("http://dx.doi.org/10.1016/j.compositesb.2016.03.040","http://dx.doi.org/10.1016/j.compositesb.2016.03.040")</f>
        <v>http://dx.doi.org/10.1016/j.compositesb.2016.03.040</v>
      </c>
      <c r="BG301" s="1" t="s">
        <v>74</v>
      </c>
      <c r="BH301" s="1" t="s">
        <v>74</v>
      </c>
      <c r="BI301" s="1" t="s">
        <v>74</v>
      </c>
      <c r="BJ301" s="1" t="s">
        <v>74</v>
      </c>
      <c r="BK301" s="1" t="s">
        <v>74</v>
      </c>
      <c r="BL301" s="1" t="s">
        <v>74</v>
      </c>
      <c r="BM301" s="1" t="s">
        <v>74</v>
      </c>
      <c r="BN301" s="1" t="s">
        <v>74</v>
      </c>
      <c r="BO301" s="1" t="s">
        <v>74</v>
      </c>
      <c r="BP301" s="1" t="s">
        <v>74</v>
      </c>
      <c r="BQ301" s="1" t="s">
        <v>74</v>
      </c>
      <c r="BR301" s="1" t="s">
        <v>74</v>
      </c>
      <c r="BS301" s="1" t="s">
        <v>3127</v>
      </c>
      <c r="BT301" s="1" t="str">
        <f>HYPERLINK("https%3A%2F%2Fwww.webofscience.com%2Fwos%2Fwoscc%2Ffull-record%2FWOS:000376052600012","View Full Record in Web of Science")</f>
        <v>View Full Record in Web of Science</v>
      </c>
    </row>
    <row r="302" ht="12.75" customHeight="1">
      <c r="A302" s="1" t="s">
        <v>72</v>
      </c>
      <c r="B302" s="1" t="s">
        <v>3128</v>
      </c>
      <c r="C302" s="1" t="s">
        <v>74</v>
      </c>
      <c r="D302" s="1" t="s">
        <v>74</v>
      </c>
      <c r="E302" s="1" t="s">
        <v>74</v>
      </c>
      <c r="F302" s="1" t="s">
        <v>3129</v>
      </c>
      <c r="G302" s="1" t="s">
        <v>74</v>
      </c>
      <c r="H302" s="1" t="s">
        <v>74</v>
      </c>
      <c r="I302" s="1" t="s">
        <v>3130</v>
      </c>
      <c r="J302" s="1" t="s">
        <v>3131</v>
      </c>
      <c r="K302" s="1" t="s">
        <v>74</v>
      </c>
      <c r="L302" s="1" t="s">
        <v>74</v>
      </c>
      <c r="M302" s="1" t="s">
        <v>74</v>
      </c>
      <c r="N302" s="1" t="s">
        <v>74</v>
      </c>
      <c r="O302" s="1" t="s">
        <v>74</v>
      </c>
      <c r="P302" s="1" t="s">
        <v>74</v>
      </c>
      <c r="Q302" s="1" t="s">
        <v>74</v>
      </c>
      <c r="R302" s="1" t="s">
        <v>74</v>
      </c>
      <c r="S302" s="1" t="s">
        <v>74</v>
      </c>
      <c r="T302" s="1" t="s">
        <v>74</v>
      </c>
      <c r="U302" s="1" t="s">
        <v>74</v>
      </c>
      <c r="V302" s="1" t="s">
        <v>3132</v>
      </c>
      <c r="W302" s="1" t="s">
        <v>74</v>
      </c>
      <c r="X302" s="1" t="s">
        <v>74</v>
      </c>
      <c r="Y302" s="1" t="s">
        <v>74</v>
      </c>
      <c r="Z302" s="1" t="s">
        <v>74</v>
      </c>
      <c r="AA302" s="1" t="s">
        <v>3133</v>
      </c>
      <c r="AB302" s="1" t="s">
        <v>3134</v>
      </c>
      <c r="AC302" s="1" t="s">
        <v>74</v>
      </c>
      <c r="AD302" s="1" t="s">
        <v>74</v>
      </c>
      <c r="AE302" s="1" t="s">
        <v>74</v>
      </c>
      <c r="AF302" s="1" t="s">
        <v>74</v>
      </c>
      <c r="AG302" s="1" t="s">
        <v>74</v>
      </c>
      <c r="AH302" s="1" t="s">
        <v>74</v>
      </c>
      <c r="AI302" s="1" t="s">
        <v>74</v>
      </c>
      <c r="AJ302" s="1" t="s">
        <v>74</v>
      </c>
      <c r="AK302" s="1" t="s">
        <v>74</v>
      </c>
      <c r="AL302" s="1" t="s">
        <v>74</v>
      </c>
      <c r="AM302" s="1" t="s">
        <v>74</v>
      </c>
      <c r="AN302" s="1" t="s">
        <v>74</v>
      </c>
      <c r="AO302" s="1" t="s">
        <v>3135</v>
      </c>
      <c r="AP302" s="1" t="s">
        <v>3136</v>
      </c>
      <c r="AQ302" s="1" t="s">
        <v>74</v>
      </c>
      <c r="AR302" s="1" t="s">
        <v>74</v>
      </c>
      <c r="AS302" s="1" t="s">
        <v>74</v>
      </c>
      <c r="AT302" s="1" t="s">
        <v>180</v>
      </c>
      <c r="AU302" s="1">
        <v>2016.0</v>
      </c>
      <c r="AV302" s="1">
        <v>16.0</v>
      </c>
      <c r="AW302" s="1">
        <v>3.0</v>
      </c>
      <c r="AX302" s="1" t="s">
        <v>74</v>
      </c>
      <c r="AY302" s="1" t="s">
        <v>74</v>
      </c>
      <c r="AZ302" s="1" t="s">
        <v>74</v>
      </c>
      <c r="BA302" s="1" t="s">
        <v>74</v>
      </c>
      <c r="BB302" s="1" t="s">
        <v>74</v>
      </c>
      <c r="BC302" s="1" t="s">
        <v>74</v>
      </c>
      <c r="BD302" s="1" t="s">
        <v>3137</v>
      </c>
      <c r="BE302" s="1" t="s">
        <v>3138</v>
      </c>
      <c r="BF302" s="2" t="str">
        <f>HYPERLINK("http://dx.doi.org/10.1093/femsyr/fow021","http://dx.doi.org/10.1093/femsyr/fow021")</f>
        <v>http://dx.doi.org/10.1093/femsyr/fow021</v>
      </c>
      <c r="BG302" s="1" t="s">
        <v>74</v>
      </c>
      <c r="BH302" s="1" t="s">
        <v>74</v>
      </c>
      <c r="BI302" s="1" t="s">
        <v>74</v>
      </c>
      <c r="BJ302" s="1" t="s">
        <v>74</v>
      </c>
      <c r="BK302" s="1" t="s">
        <v>74</v>
      </c>
      <c r="BL302" s="1" t="s">
        <v>74</v>
      </c>
      <c r="BM302" s="1" t="s">
        <v>74</v>
      </c>
      <c r="BN302" s="1">
        <v>2.6945894E7</v>
      </c>
      <c r="BO302" s="1" t="s">
        <v>74</v>
      </c>
      <c r="BP302" s="1" t="s">
        <v>74</v>
      </c>
      <c r="BQ302" s="1" t="s">
        <v>74</v>
      </c>
      <c r="BR302" s="1" t="s">
        <v>74</v>
      </c>
      <c r="BS302" s="1" t="s">
        <v>3139</v>
      </c>
      <c r="BT302" s="1" t="str">
        <f>HYPERLINK("https%3A%2F%2Fwww.webofscience.com%2Fwos%2Fwoscc%2Ffull-record%2FWOS:000377481000010","View Full Record in Web of Science")</f>
        <v>View Full Record in Web of Science</v>
      </c>
    </row>
    <row r="303" ht="12.75" customHeight="1">
      <c r="A303" s="1" t="s">
        <v>72</v>
      </c>
      <c r="B303" s="1" t="s">
        <v>3140</v>
      </c>
      <c r="C303" s="1" t="s">
        <v>74</v>
      </c>
      <c r="D303" s="1" t="s">
        <v>74</v>
      </c>
      <c r="E303" s="1" t="s">
        <v>74</v>
      </c>
      <c r="F303" s="1" t="s">
        <v>3141</v>
      </c>
      <c r="G303" s="1" t="s">
        <v>74</v>
      </c>
      <c r="H303" s="1" t="s">
        <v>74</v>
      </c>
      <c r="I303" s="1" t="s">
        <v>3142</v>
      </c>
      <c r="J303" s="1" t="s">
        <v>3143</v>
      </c>
      <c r="K303" s="1" t="s">
        <v>74</v>
      </c>
      <c r="L303" s="1" t="s">
        <v>74</v>
      </c>
      <c r="M303" s="1" t="s">
        <v>74</v>
      </c>
      <c r="N303" s="1" t="s">
        <v>74</v>
      </c>
      <c r="O303" s="1" t="s">
        <v>74</v>
      </c>
      <c r="P303" s="1" t="s">
        <v>74</v>
      </c>
      <c r="Q303" s="1" t="s">
        <v>74</v>
      </c>
      <c r="R303" s="1" t="s">
        <v>74</v>
      </c>
      <c r="S303" s="1" t="s">
        <v>74</v>
      </c>
      <c r="T303" s="1" t="s">
        <v>74</v>
      </c>
      <c r="U303" s="1" t="s">
        <v>74</v>
      </c>
      <c r="V303" s="1" t="s">
        <v>3144</v>
      </c>
      <c r="W303" s="1" t="s">
        <v>74</v>
      </c>
      <c r="X303" s="1" t="s">
        <v>74</v>
      </c>
      <c r="Y303" s="1" t="s">
        <v>74</v>
      </c>
      <c r="Z303" s="1" t="s">
        <v>74</v>
      </c>
      <c r="AA303" s="1" t="s">
        <v>3145</v>
      </c>
      <c r="AB303" s="1" t="s">
        <v>3146</v>
      </c>
      <c r="AC303" s="1" t="s">
        <v>74</v>
      </c>
      <c r="AD303" s="1" t="s">
        <v>74</v>
      </c>
      <c r="AE303" s="1" t="s">
        <v>74</v>
      </c>
      <c r="AF303" s="1" t="s">
        <v>74</v>
      </c>
      <c r="AG303" s="1" t="s">
        <v>74</v>
      </c>
      <c r="AH303" s="1" t="s">
        <v>74</v>
      </c>
      <c r="AI303" s="1" t="s">
        <v>74</v>
      </c>
      <c r="AJ303" s="1" t="s">
        <v>74</v>
      </c>
      <c r="AK303" s="1" t="s">
        <v>74</v>
      </c>
      <c r="AL303" s="1" t="s">
        <v>74</v>
      </c>
      <c r="AM303" s="1" t="s">
        <v>74</v>
      </c>
      <c r="AN303" s="1" t="s">
        <v>74</v>
      </c>
      <c r="AO303" s="1" t="s">
        <v>3147</v>
      </c>
      <c r="AP303" s="1" t="s">
        <v>3148</v>
      </c>
      <c r="AQ303" s="1" t="s">
        <v>74</v>
      </c>
      <c r="AR303" s="1" t="s">
        <v>74</v>
      </c>
      <c r="AS303" s="1" t="s">
        <v>74</v>
      </c>
      <c r="AT303" s="1" t="s">
        <v>235</v>
      </c>
      <c r="AU303" s="1">
        <v>2015.0</v>
      </c>
      <c r="AV303" s="1">
        <v>98.0</v>
      </c>
      <c r="AW303" s="1">
        <v>1.0</v>
      </c>
      <c r="AX303" s="1" t="s">
        <v>74</v>
      </c>
      <c r="AY303" s="1" t="s">
        <v>74</v>
      </c>
      <c r="AZ303" s="1" t="s">
        <v>74</v>
      </c>
      <c r="BA303" s="1" t="s">
        <v>74</v>
      </c>
      <c r="BB303" s="1">
        <v>39.0</v>
      </c>
      <c r="BC303" s="1">
        <v>53.0</v>
      </c>
      <c r="BD303" s="1" t="s">
        <v>74</v>
      </c>
      <c r="BE303" s="1" t="s">
        <v>3149</v>
      </c>
      <c r="BF303" s="2" t="str">
        <f>HYPERLINK("http://dx.doi.org/10.1017/S1446788714000433","http://dx.doi.org/10.1017/S1446788714000433")</f>
        <v>http://dx.doi.org/10.1017/S1446788714000433</v>
      </c>
      <c r="BG303" s="1" t="s">
        <v>74</v>
      </c>
      <c r="BH303" s="1" t="s">
        <v>74</v>
      </c>
      <c r="BI303" s="1" t="s">
        <v>74</v>
      </c>
      <c r="BJ303" s="1" t="s">
        <v>74</v>
      </c>
      <c r="BK303" s="1" t="s">
        <v>74</v>
      </c>
      <c r="BL303" s="1" t="s">
        <v>74</v>
      </c>
      <c r="BM303" s="1" t="s">
        <v>74</v>
      </c>
      <c r="BN303" s="1" t="s">
        <v>74</v>
      </c>
      <c r="BO303" s="1" t="s">
        <v>74</v>
      </c>
      <c r="BP303" s="1" t="s">
        <v>74</v>
      </c>
      <c r="BQ303" s="1" t="s">
        <v>74</v>
      </c>
      <c r="BR303" s="1" t="s">
        <v>74</v>
      </c>
      <c r="BS303" s="1" t="s">
        <v>3150</v>
      </c>
      <c r="BT303" s="1" t="str">
        <f>HYPERLINK("https%3A%2F%2Fwww.webofscience.com%2Fwos%2Fwoscc%2Ffull-record%2FWOS:000349696200002","View Full Record in Web of Science")</f>
        <v>View Full Record in Web of Science</v>
      </c>
    </row>
    <row r="304" ht="12.75" customHeight="1">
      <c r="A304" s="1" t="s">
        <v>182</v>
      </c>
      <c r="B304" s="1" t="s">
        <v>3151</v>
      </c>
      <c r="C304" s="1" t="s">
        <v>74</v>
      </c>
      <c r="D304" s="1" t="s">
        <v>3152</v>
      </c>
      <c r="E304" s="1" t="s">
        <v>74</v>
      </c>
      <c r="F304" s="1" t="s">
        <v>3153</v>
      </c>
      <c r="G304" s="1" t="s">
        <v>74</v>
      </c>
      <c r="H304" s="1" t="s">
        <v>74</v>
      </c>
      <c r="I304" s="1" t="s">
        <v>3154</v>
      </c>
      <c r="J304" s="1" t="s">
        <v>3155</v>
      </c>
      <c r="K304" s="1" t="s">
        <v>3156</v>
      </c>
      <c r="L304" s="1" t="s">
        <v>74</v>
      </c>
      <c r="M304" s="1" t="s">
        <v>74</v>
      </c>
      <c r="N304" s="1" t="s">
        <v>74</v>
      </c>
      <c r="O304" s="1" t="s">
        <v>3157</v>
      </c>
      <c r="P304" s="1" t="s">
        <v>3158</v>
      </c>
      <c r="Q304" s="1" t="s">
        <v>3159</v>
      </c>
      <c r="R304" s="1" t="s">
        <v>74</v>
      </c>
      <c r="S304" s="1" t="s">
        <v>74</v>
      </c>
      <c r="T304" s="1" t="s">
        <v>74</v>
      </c>
      <c r="U304" s="1" t="s">
        <v>74</v>
      </c>
      <c r="V304" s="1" t="s">
        <v>3160</v>
      </c>
      <c r="W304" s="1" t="s">
        <v>74</v>
      </c>
      <c r="X304" s="1" t="s">
        <v>74</v>
      </c>
      <c r="Y304" s="1" t="s">
        <v>74</v>
      </c>
      <c r="Z304" s="1" t="s">
        <v>74</v>
      </c>
      <c r="AA304" s="1" t="s">
        <v>3161</v>
      </c>
      <c r="AB304" s="1" t="s">
        <v>3162</v>
      </c>
      <c r="AC304" s="1" t="s">
        <v>74</v>
      </c>
      <c r="AD304" s="1" t="s">
        <v>74</v>
      </c>
      <c r="AE304" s="1" t="s">
        <v>74</v>
      </c>
      <c r="AF304" s="1" t="s">
        <v>74</v>
      </c>
      <c r="AG304" s="1" t="s">
        <v>74</v>
      </c>
      <c r="AH304" s="1" t="s">
        <v>74</v>
      </c>
      <c r="AI304" s="1" t="s">
        <v>74</v>
      </c>
      <c r="AJ304" s="1" t="s">
        <v>74</v>
      </c>
      <c r="AK304" s="1" t="s">
        <v>74</v>
      </c>
      <c r="AL304" s="1" t="s">
        <v>74</v>
      </c>
      <c r="AM304" s="1" t="s">
        <v>74</v>
      </c>
      <c r="AN304" s="1" t="s">
        <v>74</v>
      </c>
      <c r="AO304" s="1" t="s">
        <v>3163</v>
      </c>
      <c r="AP304" s="1" t="s">
        <v>74</v>
      </c>
      <c r="AQ304" s="1" t="s">
        <v>3164</v>
      </c>
      <c r="AR304" s="1" t="s">
        <v>74</v>
      </c>
      <c r="AS304" s="1" t="s">
        <v>74</v>
      </c>
      <c r="AT304" s="1" t="s">
        <v>74</v>
      </c>
      <c r="AU304" s="1">
        <v>2015.0</v>
      </c>
      <c r="AV304" s="1" t="s">
        <v>74</v>
      </c>
      <c r="AW304" s="1" t="s">
        <v>74</v>
      </c>
      <c r="AX304" s="1" t="s">
        <v>74</v>
      </c>
      <c r="AY304" s="1" t="s">
        <v>74</v>
      </c>
      <c r="AZ304" s="1" t="s">
        <v>74</v>
      </c>
      <c r="BA304" s="1" t="s">
        <v>74</v>
      </c>
      <c r="BB304" s="1">
        <v>1008.0</v>
      </c>
      <c r="BC304" s="1">
        <v>1012.0</v>
      </c>
      <c r="BD304" s="1" t="s">
        <v>74</v>
      </c>
      <c r="BE304" s="1" t="s">
        <v>74</v>
      </c>
      <c r="BF304" s="1" t="s">
        <v>74</v>
      </c>
      <c r="BG304" s="1" t="s">
        <v>74</v>
      </c>
      <c r="BH304" s="1" t="s">
        <v>74</v>
      </c>
      <c r="BI304" s="1" t="s">
        <v>74</v>
      </c>
      <c r="BJ304" s="1" t="s">
        <v>74</v>
      </c>
      <c r="BK304" s="1" t="s">
        <v>74</v>
      </c>
      <c r="BL304" s="1" t="s">
        <v>74</v>
      </c>
      <c r="BM304" s="1" t="s">
        <v>74</v>
      </c>
      <c r="BN304" s="1" t="s">
        <v>74</v>
      </c>
      <c r="BO304" s="1" t="s">
        <v>74</v>
      </c>
      <c r="BP304" s="1" t="s">
        <v>74</v>
      </c>
      <c r="BQ304" s="1" t="s">
        <v>74</v>
      </c>
      <c r="BR304" s="1" t="s">
        <v>74</v>
      </c>
      <c r="BS304" s="1" t="s">
        <v>3165</v>
      </c>
      <c r="BT304" s="1" t="str">
        <f>HYPERLINK("https%3A%2F%2Fwww.webofscience.com%2Fwos%2Fwoscc%2Ffull-record%2FWOS:000376685701013","View Full Record in Web of Science")</f>
        <v>View Full Record in Web of Science</v>
      </c>
    </row>
    <row r="305" ht="12.75" customHeight="1">
      <c r="A305" s="1" t="s">
        <v>72</v>
      </c>
      <c r="B305" s="1" t="s">
        <v>3166</v>
      </c>
      <c r="C305" s="1" t="s">
        <v>74</v>
      </c>
      <c r="D305" s="1" t="s">
        <v>74</v>
      </c>
      <c r="E305" s="1" t="s">
        <v>74</v>
      </c>
      <c r="F305" s="1" t="s">
        <v>3167</v>
      </c>
      <c r="G305" s="1" t="s">
        <v>74</v>
      </c>
      <c r="H305" s="1" t="s">
        <v>74</v>
      </c>
      <c r="I305" s="1" t="s">
        <v>3168</v>
      </c>
      <c r="J305" s="1" t="s">
        <v>3169</v>
      </c>
      <c r="K305" s="1" t="s">
        <v>74</v>
      </c>
      <c r="L305" s="1" t="s">
        <v>74</v>
      </c>
      <c r="M305" s="1" t="s">
        <v>74</v>
      </c>
      <c r="N305" s="1" t="s">
        <v>74</v>
      </c>
      <c r="O305" s="1" t="s">
        <v>74</v>
      </c>
      <c r="P305" s="1" t="s">
        <v>74</v>
      </c>
      <c r="Q305" s="1" t="s">
        <v>74</v>
      </c>
      <c r="R305" s="1" t="s">
        <v>74</v>
      </c>
      <c r="S305" s="1" t="s">
        <v>74</v>
      </c>
      <c r="T305" s="1" t="s">
        <v>74</v>
      </c>
      <c r="U305" s="1" t="s">
        <v>74</v>
      </c>
      <c r="V305" s="1" t="s">
        <v>3170</v>
      </c>
      <c r="W305" s="1" t="s">
        <v>74</v>
      </c>
      <c r="X305" s="1" t="s">
        <v>74</v>
      </c>
      <c r="Y305" s="1" t="s">
        <v>74</v>
      </c>
      <c r="Z305" s="1" t="s">
        <v>74</v>
      </c>
      <c r="AA305" s="1" t="s">
        <v>3171</v>
      </c>
      <c r="AB305" s="1" t="s">
        <v>3172</v>
      </c>
      <c r="AC305" s="1" t="s">
        <v>74</v>
      </c>
      <c r="AD305" s="1" t="s">
        <v>74</v>
      </c>
      <c r="AE305" s="1" t="s">
        <v>74</v>
      </c>
      <c r="AF305" s="1" t="s">
        <v>74</v>
      </c>
      <c r="AG305" s="1" t="s">
        <v>74</v>
      </c>
      <c r="AH305" s="1" t="s">
        <v>74</v>
      </c>
      <c r="AI305" s="1" t="s">
        <v>74</v>
      </c>
      <c r="AJ305" s="1" t="s">
        <v>74</v>
      </c>
      <c r="AK305" s="1" t="s">
        <v>74</v>
      </c>
      <c r="AL305" s="1" t="s">
        <v>74</v>
      </c>
      <c r="AM305" s="1" t="s">
        <v>74</v>
      </c>
      <c r="AN305" s="1" t="s">
        <v>74</v>
      </c>
      <c r="AO305" s="1" t="s">
        <v>3173</v>
      </c>
      <c r="AP305" s="1" t="s">
        <v>74</v>
      </c>
      <c r="AQ305" s="1" t="s">
        <v>74</v>
      </c>
      <c r="AR305" s="1" t="s">
        <v>74</v>
      </c>
      <c r="AS305" s="1" t="s">
        <v>74</v>
      </c>
      <c r="AT305" s="1" t="s">
        <v>133</v>
      </c>
      <c r="AU305" s="1">
        <v>2014.0</v>
      </c>
      <c r="AV305" s="1">
        <v>41.0</v>
      </c>
      <c r="AW305" s="1">
        <v>1.0</v>
      </c>
      <c r="AX305" s="1" t="s">
        <v>74</v>
      </c>
      <c r="AY305" s="1" t="s">
        <v>74</v>
      </c>
      <c r="AZ305" s="1" t="s">
        <v>74</v>
      </c>
      <c r="BA305" s="1" t="s">
        <v>74</v>
      </c>
      <c r="BB305" s="1">
        <v>107.0</v>
      </c>
      <c r="BC305" s="1">
        <v>114.0</v>
      </c>
      <c r="BD305" s="1" t="s">
        <v>74</v>
      </c>
      <c r="BE305" s="1" t="s">
        <v>74</v>
      </c>
      <c r="BF305" s="1" t="s">
        <v>74</v>
      </c>
      <c r="BG305" s="1" t="s">
        <v>74</v>
      </c>
      <c r="BH305" s="1" t="s">
        <v>74</v>
      </c>
      <c r="BI305" s="1" t="s">
        <v>74</v>
      </c>
      <c r="BJ305" s="1" t="s">
        <v>74</v>
      </c>
      <c r="BK305" s="1" t="s">
        <v>74</v>
      </c>
      <c r="BL305" s="1" t="s">
        <v>74</v>
      </c>
      <c r="BM305" s="1" t="s">
        <v>74</v>
      </c>
      <c r="BN305" s="1" t="s">
        <v>74</v>
      </c>
      <c r="BO305" s="1" t="s">
        <v>74</v>
      </c>
      <c r="BP305" s="1" t="s">
        <v>74</v>
      </c>
      <c r="BQ305" s="1" t="s">
        <v>74</v>
      </c>
      <c r="BR305" s="1" t="s">
        <v>74</v>
      </c>
      <c r="BS305" s="1" t="s">
        <v>3174</v>
      </c>
      <c r="BT305" s="1" t="str">
        <f>HYPERLINK("https%3A%2F%2Fwww.webofscience.com%2Fwos%2Fwoscc%2Ffull-record%2FWOS:000336641900010","View Full Record in Web of Science")</f>
        <v>View Full Record in Web of Science</v>
      </c>
    </row>
    <row r="306" ht="12.75" customHeight="1">
      <c r="A306" s="1" t="s">
        <v>274</v>
      </c>
      <c r="B306" s="1" t="s">
        <v>3175</v>
      </c>
      <c r="C306" s="1" t="s">
        <v>74</v>
      </c>
      <c r="D306" s="1" t="s">
        <v>3176</v>
      </c>
      <c r="E306" s="1" t="s">
        <v>74</v>
      </c>
      <c r="F306" s="1" t="s">
        <v>3177</v>
      </c>
      <c r="G306" s="1" t="s">
        <v>74</v>
      </c>
      <c r="H306" s="1" t="s">
        <v>74</v>
      </c>
      <c r="I306" s="1" t="s">
        <v>3178</v>
      </c>
      <c r="J306" s="1" t="s">
        <v>3179</v>
      </c>
      <c r="K306" s="1" t="s">
        <v>74</v>
      </c>
      <c r="L306" s="1" t="s">
        <v>74</v>
      </c>
      <c r="M306" s="1" t="s">
        <v>74</v>
      </c>
      <c r="N306" s="1" t="s">
        <v>74</v>
      </c>
      <c r="O306" s="1" t="s">
        <v>74</v>
      </c>
      <c r="P306" s="1" t="s">
        <v>74</v>
      </c>
      <c r="Q306" s="1" t="s">
        <v>74</v>
      </c>
      <c r="R306" s="1" t="s">
        <v>74</v>
      </c>
      <c r="S306" s="1" t="s">
        <v>74</v>
      </c>
      <c r="T306" s="1" t="s">
        <v>74</v>
      </c>
      <c r="U306" s="1" t="s">
        <v>74</v>
      </c>
      <c r="V306" s="1" t="s">
        <v>74</v>
      </c>
      <c r="W306" s="1" t="s">
        <v>74</v>
      </c>
      <c r="X306" s="1" t="s">
        <v>74</v>
      </c>
      <c r="Y306" s="1" t="s">
        <v>74</v>
      </c>
      <c r="Z306" s="1" t="s">
        <v>74</v>
      </c>
      <c r="AA306" s="1" t="s">
        <v>3180</v>
      </c>
      <c r="AB306" s="1" t="s">
        <v>3181</v>
      </c>
      <c r="AC306" s="1" t="s">
        <v>74</v>
      </c>
      <c r="AD306" s="1" t="s">
        <v>74</v>
      </c>
      <c r="AE306" s="1" t="s">
        <v>74</v>
      </c>
      <c r="AF306" s="1" t="s">
        <v>74</v>
      </c>
      <c r="AG306" s="1" t="s">
        <v>74</v>
      </c>
      <c r="AH306" s="1" t="s">
        <v>74</v>
      </c>
      <c r="AI306" s="1" t="s">
        <v>74</v>
      </c>
      <c r="AJ306" s="1" t="s">
        <v>74</v>
      </c>
      <c r="AK306" s="1" t="s">
        <v>74</v>
      </c>
      <c r="AL306" s="1" t="s">
        <v>74</v>
      </c>
      <c r="AM306" s="1" t="s">
        <v>74</v>
      </c>
      <c r="AN306" s="1" t="s">
        <v>74</v>
      </c>
      <c r="AO306" s="1" t="s">
        <v>74</v>
      </c>
      <c r="AP306" s="1" t="s">
        <v>74</v>
      </c>
      <c r="AQ306" s="1" t="s">
        <v>3182</v>
      </c>
      <c r="AR306" s="1" t="s">
        <v>74</v>
      </c>
      <c r="AS306" s="1" t="s">
        <v>74</v>
      </c>
      <c r="AT306" s="1" t="s">
        <v>74</v>
      </c>
      <c r="AU306" s="1">
        <v>2014.0</v>
      </c>
      <c r="AV306" s="1" t="s">
        <v>74</v>
      </c>
      <c r="AW306" s="1" t="s">
        <v>74</v>
      </c>
      <c r="AX306" s="1" t="s">
        <v>74</v>
      </c>
      <c r="AY306" s="1" t="s">
        <v>74</v>
      </c>
      <c r="AZ306" s="1" t="s">
        <v>74</v>
      </c>
      <c r="BA306" s="1" t="s">
        <v>74</v>
      </c>
      <c r="BB306" s="1">
        <v>79.0</v>
      </c>
      <c r="BC306" s="1">
        <v>94.0</v>
      </c>
      <c r="BD306" s="1" t="s">
        <v>74</v>
      </c>
      <c r="BE306" s="1" t="s">
        <v>74</v>
      </c>
      <c r="BF306" s="1" t="s">
        <v>74</v>
      </c>
      <c r="BG306" s="1" t="s">
        <v>3183</v>
      </c>
      <c r="BH306" s="1" t="s">
        <v>74</v>
      </c>
      <c r="BI306" s="1" t="s">
        <v>74</v>
      </c>
      <c r="BJ306" s="1" t="s">
        <v>74</v>
      </c>
      <c r="BK306" s="1" t="s">
        <v>74</v>
      </c>
      <c r="BL306" s="1" t="s">
        <v>74</v>
      </c>
      <c r="BM306" s="1" t="s">
        <v>74</v>
      </c>
      <c r="BN306" s="1" t="s">
        <v>74</v>
      </c>
      <c r="BO306" s="1" t="s">
        <v>74</v>
      </c>
      <c r="BP306" s="1" t="s">
        <v>74</v>
      </c>
      <c r="BQ306" s="1" t="s">
        <v>74</v>
      </c>
      <c r="BR306" s="1" t="s">
        <v>74</v>
      </c>
      <c r="BS306" s="1" t="s">
        <v>3184</v>
      </c>
      <c r="BT306" s="1" t="str">
        <f>HYPERLINK("https%3A%2F%2Fwww.webofscience.com%2Fwos%2Fwoscc%2Ffull-record%2FWOS:000355187200007","View Full Record in Web of Science")</f>
        <v>View Full Record in Web of Science</v>
      </c>
    </row>
    <row r="307" ht="12.75" customHeight="1">
      <c r="A307" s="1" t="s">
        <v>72</v>
      </c>
      <c r="B307" s="1" t="s">
        <v>3185</v>
      </c>
      <c r="C307" s="1" t="s">
        <v>74</v>
      </c>
      <c r="D307" s="1" t="s">
        <v>74</v>
      </c>
      <c r="E307" s="1" t="s">
        <v>74</v>
      </c>
      <c r="F307" s="1" t="s">
        <v>3186</v>
      </c>
      <c r="G307" s="1" t="s">
        <v>74</v>
      </c>
      <c r="H307" s="1" t="s">
        <v>74</v>
      </c>
      <c r="I307" s="1" t="s">
        <v>3187</v>
      </c>
      <c r="J307" s="1" t="s">
        <v>3188</v>
      </c>
      <c r="K307" s="1" t="s">
        <v>74</v>
      </c>
      <c r="L307" s="1" t="s">
        <v>74</v>
      </c>
      <c r="M307" s="1" t="s">
        <v>74</v>
      </c>
      <c r="N307" s="1" t="s">
        <v>74</v>
      </c>
      <c r="O307" s="1" t="s">
        <v>74</v>
      </c>
      <c r="P307" s="1" t="s">
        <v>74</v>
      </c>
      <c r="Q307" s="1" t="s">
        <v>74</v>
      </c>
      <c r="R307" s="1" t="s">
        <v>74</v>
      </c>
      <c r="S307" s="1" t="s">
        <v>74</v>
      </c>
      <c r="T307" s="1" t="s">
        <v>74</v>
      </c>
      <c r="U307" s="1" t="s">
        <v>74</v>
      </c>
      <c r="V307" s="1" t="s">
        <v>3189</v>
      </c>
      <c r="W307" s="1" t="s">
        <v>74</v>
      </c>
      <c r="X307" s="1" t="s">
        <v>74</v>
      </c>
      <c r="Y307" s="1" t="s">
        <v>74</v>
      </c>
      <c r="Z307" s="1" t="s">
        <v>74</v>
      </c>
      <c r="AA307" s="1" t="s">
        <v>3190</v>
      </c>
      <c r="AB307" s="1" t="s">
        <v>74</v>
      </c>
      <c r="AC307" s="1" t="s">
        <v>74</v>
      </c>
      <c r="AD307" s="1" t="s">
        <v>74</v>
      </c>
      <c r="AE307" s="1" t="s">
        <v>74</v>
      </c>
      <c r="AF307" s="1" t="s">
        <v>74</v>
      </c>
      <c r="AG307" s="1" t="s">
        <v>74</v>
      </c>
      <c r="AH307" s="1" t="s">
        <v>74</v>
      </c>
      <c r="AI307" s="1" t="s">
        <v>74</v>
      </c>
      <c r="AJ307" s="1" t="s">
        <v>74</v>
      </c>
      <c r="AK307" s="1" t="s">
        <v>74</v>
      </c>
      <c r="AL307" s="1" t="s">
        <v>74</v>
      </c>
      <c r="AM307" s="1" t="s">
        <v>74</v>
      </c>
      <c r="AN307" s="1" t="s">
        <v>74</v>
      </c>
      <c r="AO307" s="1" t="s">
        <v>3191</v>
      </c>
      <c r="AP307" s="1" t="s">
        <v>74</v>
      </c>
      <c r="AQ307" s="1" t="s">
        <v>74</v>
      </c>
      <c r="AR307" s="1" t="s">
        <v>74</v>
      </c>
      <c r="AS307" s="1" t="s">
        <v>74</v>
      </c>
      <c r="AT307" s="1" t="s">
        <v>235</v>
      </c>
      <c r="AU307" s="1">
        <v>2012.0</v>
      </c>
      <c r="AV307" s="1">
        <v>48.0</v>
      </c>
      <c r="AW307" s="1">
        <v>2.0</v>
      </c>
      <c r="AX307" s="1" t="s">
        <v>74</v>
      </c>
      <c r="AY307" s="1" t="s">
        <v>74</v>
      </c>
      <c r="AZ307" s="1" t="s">
        <v>74</v>
      </c>
      <c r="BA307" s="1" t="s">
        <v>74</v>
      </c>
      <c r="BB307" s="1">
        <v>227.0</v>
      </c>
      <c r="BC307" s="1">
        <v>239.0</v>
      </c>
      <c r="BD307" s="1" t="s">
        <v>74</v>
      </c>
      <c r="BE307" s="1" t="s">
        <v>3192</v>
      </c>
      <c r="BF307" s="2" t="str">
        <f>HYPERLINK("http://dx.doi.org/10.1007/s00231-011-0876-7","http://dx.doi.org/10.1007/s00231-011-0876-7")</f>
        <v>http://dx.doi.org/10.1007/s00231-011-0876-7</v>
      </c>
      <c r="BG307" s="1" t="s">
        <v>74</v>
      </c>
      <c r="BH307" s="1" t="s">
        <v>74</v>
      </c>
      <c r="BI307" s="1" t="s">
        <v>74</v>
      </c>
      <c r="BJ307" s="1" t="s">
        <v>74</v>
      </c>
      <c r="BK307" s="1" t="s">
        <v>74</v>
      </c>
      <c r="BL307" s="1" t="s">
        <v>74</v>
      </c>
      <c r="BM307" s="1" t="s">
        <v>74</v>
      </c>
      <c r="BN307" s="1" t="s">
        <v>74</v>
      </c>
      <c r="BO307" s="1" t="s">
        <v>74</v>
      </c>
      <c r="BP307" s="1" t="s">
        <v>74</v>
      </c>
      <c r="BQ307" s="1" t="s">
        <v>74</v>
      </c>
      <c r="BR307" s="1" t="s">
        <v>74</v>
      </c>
      <c r="BS307" s="1" t="s">
        <v>3193</v>
      </c>
      <c r="BT307" s="1" t="str">
        <f>HYPERLINK("https%3A%2F%2Fwww.webofscience.com%2Fwos%2Fwoscc%2Ffull-record%2FWOS:000300083200003","View Full Record in Web of Science")</f>
        <v>View Full Record in Web of Science</v>
      </c>
    </row>
    <row r="308" ht="12.75" customHeight="1">
      <c r="A308" s="1" t="s">
        <v>72</v>
      </c>
      <c r="B308" s="1" t="s">
        <v>3194</v>
      </c>
      <c r="C308" s="1" t="s">
        <v>74</v>
      </c>
      <c r="D308" s="1" t="s">
        <v>74</v>
      </c>
      <c r="E308" s="1" t="s">
        <v>74</v>
      </c>
      <c r="F308" s="1" t="s">
        <v>3195</v>
      </c>
      <c r="G308" s="1" t="s">
        <v>74</v>
      </c>
      <c r="H308" s="1" t="s">
        <v>74</v>
      </c>
      <c r="I308" s="1" t="s">
        <v>3196</v>
      </c>
      <c r="J308" s="1" t="s">
        <v>3197</v>
      </c>
      <c r="K308" s="1" t="s">
        <v>74</v>
      </c>
      <c r="L308" s="1" t="s">
        <v>74</v>
      </c>
      <c r="M308" s="1" t="s">
        <v>74</v>
      </c>
      <c r="N308" s="1" t="s">
        <v>74</v>
      </c>
      <c r="O308" s="1" t="s">
        <v>74</v>
      </c>
      <c r="P308" s="1" t="s">
        <v>74</v>
      </c>
      <c r="Q308" s="1" t="s">
        <v>74</v>
      </c>
      <c r="R308" s="1" t="s">
        <v>74</v>
      </c>
      <c r="S308" s="1" t="s">
        <v>74</v>
      </c>
      <c r="T308" s="1" t="s">
        <v>74</v>
      </c>
      <c r="U308" s="1" t="s">
        <v>74</v>
      </c>
      <c r="V308" s="1" t="s">
        <v>3198</v>
      </c>
      <c r="W308" s="1" t="s">
        <v>74</v>
      </c>
      <c r="X308" s="1" t="s">
        <v>74</v>
      </c>
      <c r="Y308" s="1" t="s">
        <v>74</v>
      </c>
      <c r="Z308" s="1" t="s">
        <v>74</v>
      </c>
      <c r="AA308" s="1" t="s">
        <v>3199</v>
      </c>
      <c r="AB308" s="1" t="s">
        <v>3200</v>
      </c>
      <c r="AC308" s="1" t="s">
        <v>74</v>
      </c>
      <c r="AD308" s="1" t="s">
        <v>74</v>
      </c>
      <c r="AE308" s="1" t="s">
        <v>74</v>
      </c>
      <c r="AF308" s="1" t="s">
        <v>74</v>
      </c>
      <c r="AG308" s="1" t="s">
        <v>74</v>
      </c>
      <c r="AH308" s="1" t="s">
        <v>74</v>
      </c>
      <c r="AI308" s="1" t="s">
        <v>74</v>
      </c>
      <c r="AJ308" s="1" t="s">
        <v>74</v>
      </c>
      <c r="AK308" s="1" t="s">
        <v>74</v>
      </c>
      <c r="AL308" s="1" t="s">
        <v>74</v>
      </c>
      <c r="AM308" s="1" t="s">
        <v>74</v>
      </c>
      <c r="AN308" s="1" t="s">
        <v>74</v>
      </c>
      <c r="AO308" s="1" t="s">
        <v>3201</v>
      </c>
      <c r="AP308" s="1" t="s">
        <v>3202</v>
      </c>
      <c r="AQ308" s="1" t="s">
        <v>74</v>
      </c>
      <c r="AR308" s="1" t="s">
        <v>74</v>
      </c>
      <c r="AS308" s="1" t="s">
        <v>74</v>
      </c>
      <c r="AT308" s="1" t="s">
        <v>74</v>
      </c>
      <c r="AU308" s="1">
        <v>2012.0</v>
      </c>
      <c r="AV308" s="1">
        <v>33.0</v>
      </c>
      <c r="AW308" s="1">
        <v>6.0</v>
      </c>
      <c r="AX308" s="1" t="s">
        <v>74</v>
      </c>
      <c r="AY308" s="1" t="s">
        <v>74</v>
      </c>
      <c r="AZ308" s="1" t="s">
        <v>74</v>
      </c>
      <c r="BA308" s="1" t="s">
        <v>74</v>
      </c>
      <c r="BB308" s="1">
        <v>607.0</v>
      </c>
      <c r="BC308" s="1">
        <v>622.0</v>
      </c>
      <c r="BD308" s="1" t="s">
        <v>74</v>
      </c>
      <c r="BE308" s="1" t="s">
        <v>3203</v>
      </c>
      <c r="BF308" s="2" t="str">
        <f>HYPERLINK("http://dx.doi.org/10.1080/09593330.2011.586729","http://dx.doi.org/10.1080/09593330.2011.586729")</f>
        <v>http://dx.doi.org/10.1080/09593330.2011.586729</v>
      </c>
      <c r="BG308" s="1" t="s">
        <v>74</v>
      </c>
      <c r="BH308" s="1" t="s">
        <v>74</v>
      </c>
      <c r="BI308" s="1" t="s">
        <v>74</v>
      </c>
      <c r="BJ308" s="1" t="s">
        <v>74</v>
      </c>
      <c r="BK308" s="1" t="s">
        <v>74</v>
      </c>
      <c r="BL308" s="1" t="s">
        <v>74</v>
      </c>
      <c r="BM308" s="1" t="s">
        <v>74</v>
      </c>
      <c r="BN308" s="1">
        <v>2.2629635E7</v>
      </c>
      <c r="BO308" s="1" t="s">
        <v>74</v>
      </c>
      <c r="BP308" s="1" t="s">
        <v>74</v>
      </c>
      <c r="BQ308" s="1" t="s">
        <v>74</v>
      </c>
      <c r="BR308" s="1" t="s">
        <v>74</v>
      </c>
      <c r="BS308" s="1" t="s">
        <v>3204</v>
      </c>
      <c r="BT308" s="1" t="str">
        <f>HYPERLINK("https%3A%2F%2Fwww.webofscience.com%2Fwos%2Fwoscc%2Ffull-record%2FWOS:000303580800001","View Full Record in Web of Science")</f>
        <v>View Full Record in Web of Science</v>
      </c>
    </row>
    <row r="309" ht="12.75" customHeight="1">
      <c r="A309" s="1" t="s">
        <v>72</v>
      </c>
      <c r="B309" s="1" t="s">
        <v>3205</v>
      </c>
      <c r="C309" s="1" t="s">
        <v>74</v>
      </c>
      <c r="D309" s="1" t="s">
        <v>74</v>
      </c>
      <c r="E309" s="1" t="s">
        <v>74</v>
      </c>
      <c r="F309" s="1" t="s">
        <v>3206</v>
      </c>
      <c r="G309" s="1" t="s">
        <v>74</v>
      </c>
      <c r="H309" s="1" t="s">
        <v>74</v>
      </c>
      <c r="I309" s="1" t="s">
        <v>3207</v>
      </c>
      <c r="J309" s="1" t="s">
        <v>3208</v>
      </c>
      <c r="K309" s="1" t="s">
        <v>74</v>
      </c>
      <c r="L309" s="1" t="s">
        <v>74</v>
      </c>
      <c r="M309" s="1" t="s">
        <v>74</v>
      </c>
      <c r="N309" s="1" t="s">
        <v>74</v>
      </c>
      <c r="O309" s="1" t="s">
        <v>74</v>
      </c>
      <c r="P309" s="1" t="s">
        <v>74</v>
      </c>
      <c r="Q309" s="1" t="s">
        <v>74</v>
      </c>
      <c r="R309" s="1" t="s">
        <v>74</v>
      </c>
      <c r="S309" s="1" t="s">
        <v>74</v>
      </c>
      <c r="T309" s="1" t="s">
        <v>74</v>
      </c>
      <c r="U309" s="1" t="s">
        <v>74</v>
      </c>
      <c r="V309" s="1" t="s">
        <v>3209</v>
      </c>
      <c r="W309" s="1" t="s">
        <v>74</v>
      </c>
      <c r="X309" s="1" t="s">
        <v>74</v>
      </c>
      <c r="Y309" s="1" t="s">
        <v>74</v>
      </c>
      <c r="Z309" s="1" t="s">
        <v>74</v>
      </c>
      <c r="AA309" s="1" t="s">
        <v>74</v>
      </c>
      <c r="AB309" s="1" t="s">
        <v>74</v>
      </c>
      <c r="AC309" s="1" t="s">
        <v>74</v>
      </c>
      <c r="AD309" s="1" t="s">
        <v>74</v>
      </c>
      <c r="AE309" s="1" t="s">
        <v>74</v>
      </c>
      <c r="AF309" s="1" t="s">
        <v>74</v>
      </c>
      <c r="AG309" s="1" t="s">
        <v>74</v>
      </c>
      <c r="AH309" s="1" t="s">
        <v>74</v>
      </c>
      <c r="AI309" s="1" t="s">
        <v>74</v>
      </c>
      <c r="AJ309" s="1" t="s">
        <v>74</v>
      </c>
      <c r="AK309" s="1" t="s">
        <v>74</v>
      </c>
      <c r="AL309" s="1" t="s">
        <v>74</v>
      </c>
      <c r="AM309" s="1" t="s">
        <v>74</v>
      </c>
      <c r="AN309" s="1" t="s">
        <v>74</v>
      </c>
      <c r="AO309" s="1" t="s">
        <v>3210</v>
      </c>
      <c r="AP309" s="1" t="s">
        <v>3211</v>
      </c>
      <c r="AQ309" s="1" t="s">
        <v>74</v>
      </c>
      <c r="AR309" s="1" t="s">
        <v>74</v>
      </c>
      <c r="AS309" s="1" t="s">
        <v>74</v>
      </c>
      <c r="AT309" s="1" t="s">
        <v>74</v>
      </c>
      <c r="AU309" s="1">
        <v>2012.0</v>
      </c>
      <c r="AV309" s="1">
        <v>15.0</v>
      </c>
      <c r="AW309" s="1">
        <v>7.0</v>
      </c>
      <c r="AX309" s="1" t="s">
        <v>74</v>
      </c>
      <c r="AY309" s="1" t="s">
        <v>74</v>
      </c>
      <c r="AZ309" s="1" t="s">
        <v>74</v>
      </c>
      <c r="BA309" s="1" t="s">
        <v>74</v>
      </c>
      <c r="BB309" s="1">
        <v>617.0</v>
      </c>
      <c r="BC309" s="1">
        <v>631.0</v>
      </c>
      <c r="BD309" s="1" t="s">
        <v>74</v>
      </c>
      <c r="BE309" s="1" t="s">
        <v>74</v>
      </c>
      <c r="BF309" s="1" t="s">
        <v>74</v>
      </c>
      <c r="BG309" s="1" t="s">
        <v>74</v>
      </c>
      <c r="BH309" s="1" t="s">
        <v>74</v>
      </c>
      <c r="BI309" s="1" t="s">
        <v>74</v>
      </c>
      <c r="BJ309" s="1" t="s">
        <v>74</v>
      </c>
      <c r="BK309" s="1" t="s">
        <v>74</v>
      </c>
      <c r="BL309" s="1" t="s">
        <v>74</v>
      </c>
      <c r="BM309" s="1" t="s">
        <v>74</v>
      </c>
      <c r="BN309" s="1" t="s">
        <v>74</v>
      </c>
      <c r="BO309" s="1" t="s">
        <v>74</v>
      </c>
      <c r="BP309" s="1" t="s">
        <v>74</v>
      </c>
      <c r="BQ309" s="1" t="s">
        <v>74</v>
      </c>
      <c r="BR309" s="1" t="s">
        <v>74</v>
      </c>
      <c r="BS309" s="1" t="s">
        <v>3212</v>
      </c>
      <c r="BT309" s="1" t="str">
        <f>HYPERLINK("https%3A%2F%2Fwww.webofscience.com%2Fwos%2Fwoscc%2Ffull-record%2FWOS:000307195500002","View Full Record in Web of Science")</f>
        <v>View Full Record in Web of Science</v>
      </c>
    </row>
    <row r="310" ht="12.75" customHeight="1">
      <c r="A310" s="1" t="s">
        <v>72</v>
      </c>
      <c r="B310" s="1" t="s">
        <v>3213</v>
      </c>
      <c r="C310" s="1" t="s">
        <v>74</v>
      </c>
      <c r="D310" s="1" t="s">
        <v>74</v>
      </c>
      <c r="E310" s="1" t="s">
        <v>74</v>
      </c>
      <c r="F310" s="1" t="s">
        <v>3214</v>
      </c>
      <c r="G310" s="1" t="s">
        <v>74</v>
      </c>
      <c r="H310" s="1" t="s">
        <v>74</v>
      </c>
      <c r="I310" s="1" t="s">
        <v>3215</v>
      </c>
      <c r="J310" s="1" t="s">
        <v>3216</v>
      </c>
      <c r="K310" s="1" t="s">
        <v>74</v>
      </c>
      <c r="L310" s="1" t="s">
        <v>74</v>
      </c>
      <c r="M310" s="1" t="s">
        <v>74</v>
      </c>
      <c r="N310" s="1" t="s">
        <v>74</v>
      </c>
      <c r="O310" s="1" t="s">
        <v>74</v>
      </c>
      <c r="P310" s="1" t="s">
        <v>74</v>
      </c>
      <c r="Q310" s="1" t="s">
        <v>74</v>
      </c>
      <c r="R310" s="1" t="s">
        <v>74</v>
      </c>
      <c r="S310" s="1" t="s">
        <v>74</v>
      </c>
      <c r="T310" s="1" t="s">
        <v>74</v>
      </c>
      <c r="U310" s="1" t="s">
        <v>74</v>
      </c>
      <c r="V310" s="1" t="s">
        <v>3217</v>
      </c>
      <c r="W310" s="1" t="s">
        <v>74</v>
      </c>
      <c r="X310" s="1" t="s">
        <v>74</v>
      </c>
      <c r="Y310" s="1" t="s">
        <v>74</v>
      </c>
      <c r="Z310" s="1" t="s">
        <v>74</v>
      </c>
      <c r="AA310" s="1" t="s">
        <v>3218</v>
      </c>
      <c r="AB310" s="1" t="s">
        <v>3219</v>
      </c>
      <c r="AC310" s="1" t="s">
        <v>74</v>
      </c>
      <c r="AD310" s="1" t="s">
        <v>74</v>
      </c>
      <c r="AE310" s="1" t="s">
        <v>74</v>
      </c>
      <c r="AF310" s="1" t="s">
        <v>74</v>
      </c>
      <c r="AG310" s="1" t="s">
        <v>74</v>
      </c>
      <c r="AH310" s="1" t="s">
        <v>74</v>
      </c>
      <c r="AI310" s="1" t="s">
        <v>74</v>
      </c>
      <c r="AJ310" s="1" t="s">
        <v>74</v>
      </c>
      <c r="AK310" s="1" t="s">
        <v>74</v>
      </c>
      <c r="AL310" s="1" t="s">
        <v>74</v>
      </c>
      <c r="AM310" s="1" t="s">
        <v>74</v>
      </c>
      <c r="AN310" s="1" t="s">
        <v>74</v>
      </c>
      <c r="AO310" s="1" t="s">
        <v>3220</v>
      </c>
      <c r="AP310" s="1" t="s">
        <v>3221</v>
      </c>
      <c r="AQ310" s="1" t="s">
        <v>74</v>
      </c>
      <c r="AR310" s="1" t="s">
        <v>74</v>
      </c>
      <c r="AS310" s="1" t="s">
        <v>74</v>
      </c>
      <c r="AT310" s="1" t="s">
        <v>350</v>
      </c>
      <c r="AU310" s="1">
        <v>2011.0</v>
      </c>
      <c r="AV310" s="1">
        <v>27.0</v>
      </c>
      <c r="AW310" s="1">
        <v>8.0</v>
      </c>
      <c r="AX310" s="1" t="s">
        <v>74</v>
      </c>
      <c r="AY310" s="1" t="s">
        <v>74</v>
      </c>
      <c r="AZ310" s="1" t="s">
        <v>74</v>
      </c>
      <c r="BA310" s="1" t="s">
        <v>74</v>
      </c>
      <c r="BB310" s="1">
        <v>1551.0</v>
      </c>
      <c r="BC310" s="1">
        <v>1559.0</v>
      </c>
      <c r="BD310" s="1" t="s">
        <v>74</v>
      </c>
      <c r="BE310" s="1" t="s">
        <v>3222</v>
      </c>
      <c r="BF310" s="2" t="str">
        <f>HYPERLINK("http://dx.doi.org/10.1590/S0102-311X2011000800010","http://dx.doi.org/10.1590/S0102-311X2011000800010")</f>
        <v>http://dx.doi.org/10.1590/S0102-311X2011000800010</v>
      </c>
      <c r="BG310" s="1" t="s">
        <v>74</v>
      </c>
      <c r="BH310" s="1" t="s">
        <v>74</v>
      </c>
      <c r="BI310" s="1" t="s">
        <v>74</v>
      </c>
      <c r="BJ310" s="1" t="s">
        <v>74</v>
      </c>
      <c r="BK310" s="1" t="s">
        <v>74</v>
      </c>
      <c r="BL310" s="1" t="s">
        <v>74</v>
      </c>
      <c r="BM310" s="1" t="s">
        <v>74</v>
      </c>
      <c r="BN310" s="1">
        <v>2.1877003E7</v>
      </c>
      <c r="BO310" s="1" t="s">
        <v>74</v>
      </c>
      <c r="BP310" s="1" t="s">
        <v>74</v>
      </c>
      <c r="BQ310" s="1" t="s">
        <v>74</v>
      </c>
      <c r="BR310" s="1" t="s">
        <v>74</v>
      </c>
      <c r="BS310" s="1" t="s">
        <v>3223</v>
      </c>
      <c r="BT310" s="1" t="str">
        <f>HYPERLINK("https%3A%2F%2Fwww.webofscience.com%2Fwos%2Fwoscc%2Ffull-record%2FWOS:000294439000010","View Full Record in Web of Science")</f>
        <v>View Full Record in Web of Science</v>
      </c>
    </row>
    <row r="311" ht="12.75" customHeight="1">
      <c r="A311" s="1" t="s">
        <v>72</v>
      </c>
      <c r="B311" s="1" t="s">
        <v>3224</v>
      </c>
      <c r="C311" s="1" t="s">
        <v>74</v>
      </c>
      <c r="D311" s="1" t="s">
        <v>74</v>
      </c>
      <c r="E311" s="1" t="s">
        <v>74</v>
      </c>
      <c r="F311" s="1" t="s">
        <v>3225</v>
      </c>
      <c r="G311" s="1" t="s">
        <v>74</v>
      </c>
      <c r="H311" s="1" t="s">
        <v>74</v>
      </c>
      <c r="I311" s="1" t="s">
        <v>3226</v>
      </c>
      <c r="J311" s="1" t="s">
        <v>3227</v>
      </c>
      <c r="K311" s="1" t="s">
        <v>74</v>
      </c>
      <c r="L311" s="1" t="s">
        <v>74</v>
      </c>
      <c r="M311" s="1" t="s">
        <v>74</v>
      </c>
      <c r="N311" s="1" t="s">
        <v>74</v>
      </c>
      <c r="O311" s="1" t="s">
        <v>74</v>
      </c>
      <c r="P311" s="1" t="s">
        <v>74</v>
      </c>
      <c r="Q311" s="1" t="s">
        <v>74</v>
      </c>
      <c r="R311" s="1" t="s">
        <v>74</v>
      </c>
      <c r="S311" s="1" t="s">
        <v>74</v>
      </c>
      <c r="T311" s="1" t="s">
        <v>74</v>
      </c>
      <c r="U311" s="1" t="s">
        <v>74</v>
      </c>
      <c r="V311" s="1" t="s">
        <v>3228</v>
      </c>
      <c r="W311" s="1" t="s">
        <v>74</v>
      </c>
      <c r="X311" s="1" t="s">
        <v>74</v>
      </c>
      <c r="Y311" s="1" t="s">
        <v>74</v>
      </c>
      <c r="Z311" s="1" t="s">
        <v>74</v>
      </c>
      <c r="AA311" s="1" t="s">
        <v>74</v>
      </c>
      <c r="AB311" s="1" t="s">
        <v>3229</v>
      </c>
      <c r="AC311" s="1" t="s">
        <v>74</v>
      </c>
      <c r="AD311" s="1" t="s">
        <v>74</v>
      </c>
      <c r="AE311" s="1" t="s">
        <v>74</v>
      </c>
      <c r="AF311" s="1" t="s">
        <v>74</v>
      </c>
      <c r="AG311" s="1" t="s">
        <v>74</v>
      </c>
      <c r="AH311" s="1" t="s">
        <v>74</v>
      </c>
      <c r="AI311" s="1" t="s">
        <v>74</v>
      </c>
      <c r="AJ311" s="1" t="s">
        <v>74</v>
      </c>
      <c r="AK311" s="1" t="s">
        <v>74</v>
      </c>
      <c r="AL311" s="1" t="s">
        <v>74</v>
      </c>
      <c r="AM311" s="1" t="s">
        <v>74</v>
      </c>
      <c r="AN311" s="1" t="s">
        <v>74</v>
      </c>
      <c r="AO311" s="1" t="s">
        <v>3230</v>
      </c>
      <c r="AP311" s="1" t="s">
        <v>74</v>
      </c>
      <c r="AQ311" s="1" t="s">
        <v>74</v>
      </c>
      <c r="AR311" s="1" t="s">
        <v>74</v>
      </c>
      <c r="AS311" s="1" t="s">
        <v>74</v>
      </c>
      <c r="AT311" s="1" t="s">
        <v>696</v>
      </c>
      <c r="AU311" s="1">
        <v>2011.0</v>
      </c>
      <c r="AV311" s="1">
        <v>80.0</v>
      </c>
      <c r="AW311" s="1">
        <v>1.0</v>
      </c>
      <c r="AX311" s="1" t="s">
        <v>74</v>
      </c>
      <c r="AY311" s="1" t="s">
        <v>74</v>
      </c>
      <c r="AZ311" s="1" t="s">
        <v>74</v>
      </c>
      <c r="BA311" s="1" t="s">
        <v>74</v>
      </c>
      <c r="BB311" s="1">
        <v>114.0</v>
      </c>
      <c r="BC311" s="1">
        <v>118.0</v>
      </c>
      <c r="BD311" s="1" t="s">
        <v>74</v>
      </c>
      <c r="BE311" s="1" t="s">
        <v>3231</v>
      </c>
      <c r="BF311" s="2" t="str">
        <f>HYPERLINK("http://dx.doi.org/10.1016/j.radphyschem.2010.08.002","http://dx.doi.org/10.1016/j.radphyschem.2010.08.002")</f>
        <v>http://dx.doi.org/10.1016/j.radphyschem.2010.08.002</v>
      </c>
      <c r="BG311" s="1" t="s">
        <v>74</v>
      </c>
      <c r="BH311" s="1" t="s">
        <v>74</v>
      </c>
      <c r="BI311" s="1" t="s">
        <v>74</v>
      </c>
      <c r="BJ311" s="1" t="s">
        <v>74</v>
      </c>
      <c r="BK311" s="1" t="s">
        <v>74</v>
      </c>
      <c r="BL311" s="1" t="s">
        <v>74</v>
      </c>
      <c r="BM311" s="1" t="s">
        <v>74</v>
      </c>
      <c r="BN311" s="1" t="s">
        <v>74</v>
      </c>
      <c r="BO311" s="1" t="s">
        <v>74</v>
      </c>
      <c r="BP311" s="1" t="s">
        <v>74</v>
      </c>
      <c r="BQ311" s="1" t="s">
        <v>74</v>
      </c>
      <c r="BR311" s="1" t="s">
        <v>74</v>
      </c>
      <c r="BS311" s="1" t="s">
        <v>3232</v>
      </c>
      <c r="BT311" s="1" t="str">
        <f>HYPERLINK("https%3A%2F%2Fwww.webofscience.com%2Fwos%2Fwoscc%2Ffull-record%2FWOS:000283972000018","View Full Record in Web of Science")</f>
        <v>View Full Record in Web of Science</v>
      </c>
    </row>
    <row r="312" ht="12.75" customHeight="1">
      <c r="A312" s="1" t="s">
        <v>72</v>
      </c>
      <c r="B312" s="1" t="s">
        <v>3233</v>
      </c>
      <c r="C312" s="1" t="s">
        <v>74</v>
      </c>
      <c r="D312" s="1" t="s">
        <v>74</v>
      </c>
      <c r="E312" s="1" t="s">
        <v>74</v>
      </c>
      <c r="F312" s="1" t="s">
        <v>3234</v>
      </c>
      <c r="G312" s="1" t="s">
        <v>74</v>
      </c>
      <c r="H312" s="1" t="s">
        <v>74</v>
      </c>
      <c r="I312" s="1" t="s">
        <v>3235</v>
      </c>
      <c r="J312" s="1" t="s">
        <v>3236</v>
      </c>
      <c r="K312" s="1" t="s">
        <v>74</v>
      </c>
      <c r="L312" s="1" t="s">
        <v>74</v>
      </c>
      <c r="M312" s="1" t="s">
        <v>74</v>
      </c>
      <c r="N312" s="1" t="s">
        <v>74</v>
      </c>
      <c r="O312" s="1" t="s">
        <v>74</v>
      </c>
      <c r="P312" s="1" t="s">
        <v>74</v>
      </c>
      <c r="Q312" s="1" t="s">
        <v>74</v>
      </c>
      <c r="R312" s="1" t="s">
        <v>74</v>
      </c>
      <c r="S312" s="1" t="s">
        <v>74</v>
      </c>
      <c r="T312" s="1" t="s">
        <v>74</v>
      </c>
      <c r="U312" s="1" t="s">
        <v>74</v>
      </c>
      <c r="V312" s="1" t="s">
        <v>3237</v>
      </c>
      <c r="W312" s="1" t="s">
        <v>74</v>
      </c>
      <c r="X312" s="1" t="s">
        <v>74</v>
      </c>
      <c r="Y312" s="1" t="s">
        <v>74</v>
      </c>
      <c r="Z312" s="1" t="s">
        <v>74</v>
      </c>
      <c r="AA312" s="1" t="s">
        <v>3238</v>
      </c>
      <c r="AB312" s="1" t="s">
        <v>3239</v>
      </c>
      <c r="AC312" s="1" t="s">
        <v>74</v>
      </c>
      <c r="AD312" s="1" t="s">
        <v>74</v>
      </c>
      <c r="AE312" s="1" t="s">
        <v>74</v>
      </c>
      <c r="AF312" s="1" t="s">
        <v>74</v>
      </c>
      <c r="AG312" s="1" t="s">
        <v>74</v>
      </c>
      <c r="AH312" s="1" t="s">
        <v>74</v>
      </c>
      <c r="AI312" s="1" t="s">
        <v>74</v>
      </c>
      <c r="AJ312" s="1" t="s">
        <v>74</v>
      </c>
      <c r="AK312" s="1" t="s">
        <v>74</v>
      </c>
      <c r="AL312" s="1" t="s">
        <v>74</v>
      </c>
      <c r="AM312" s="1" t="s">
        <v>74</v>
      </c>
      <c r="AN312" s="1" t="s">
        <v>74</v>
      </c>
      <c r="AO312" s="1" t="s">
        <v>3240</v>
      </c>
      <c r="AP312" s="1" t="s">
        <v>3241</v>
      </c>
      <c r="AQ312" s="1" t="s">
        <v>74</v>
      </c>
      <c r="AR312" s="1" t="s">
        <v>74</v>
      </c>
      <c r="AS312" s="1" t="s">
        <v>74</v>
      </c>
      <c r="AT312" s="1" t="s">
        <v>3242</v>
      </c>
      <c r="AU312" s="1">
        <v>2010.0</v>
      </c>
      <c r="AV312" s="1">
        <v>483.0</v>
      </c>
      <c r="AW312" s="1">
        <v>1.0</v>
      </c>
      <c r="AX312" s="1" t="s">
        <v>74</v>
      </c>
      <c r="AY312" s="1" t="s">
        <v>74</v>
      </c>
      <c r="AZ312" s="1" t="s">
        <v>74</v>
      </c>
      <c r="BA312" s="1" t="s">
        <v>74</v>
      </c>
      <c r="BB312" s="1">
        <v>41.0</v>
      </c>
      <c r="BC312" s="1">
        <v>46.0</v>
      </c>
      <c r="BD312" s="1" t="s">
        <v>74</v>
      </c>
      <c r="BE312" s="1" t="s">
        <v>3243</v>
      </c>
      <c r="BF312" s="2" t="str">
        <f>HYPERLINK("http://dx.doi.org/10.1016/j.neulet.2010.07.057","http://dx.doi.org/10.1016/j.neulet.2010.07.057")</f>
        <v>http://dx.doi.org/10.1016/j.neulet.2010.07.057</v>
      </c>
      <c r="BG312" s="1" t="s">
        <v>74</v>
      </c>
      <c r="BH312" s="1" t="s">
        <v>74</v>
      </c>
      <c r="BI312" s="1" t="s">
        <v>74</v>
      </c>
      <c r="BJ312" s="1" t="s">
        <v>74</v>
      </c>
      <c r="BK312" s="1" t="s">
        <v>74</v>
      </c>
      <c r="BL312" s="1" t="s">
        <v>74</v>
      </c>
      <c r="BM312" s="1" t="s">
        <v>74</v>
      </c>
      <c r="BN312" s="1">
        <v>2.0674672E7</v>
      </c>
      <c r="BO312" s="1" t="s">
        <v>74</v>
      </c>
      <c r="BP312" s="1" t="s">
        <v>74</v>
      </c>
      <c r="BQ312" s="1" t="s">
        <v>74</v>
      </c>
      <c r="BR312" s="1" t="s">
        <v>74</v>
      </c>
      <c r="BS312" s="1" t="s">
        <v>3244</v>
      </c>
      <c r="BT312" s="1" t="str">
        <f>HYPERLINK("https%3A%2F%2Fwww.webofscience.com%2Fwos%2Fwoscc%2Ffull-record%2FWOS:000281940500010","View Full Record in Web of Science")</f>
        <v>View Full Record in Web of Science</v>
      </c>
    </row>
    <row r="313" ht="12.75" customHeight="1">
      <c r="A313" s="1" t="s">
        <v>72</v>
      </c>
      <c r="B313" s="1" t="s">
        <v>3245</v>
      </c>
      <c r="C313" s="1" t="s">
        <v>74</v>
      </c>
      <c r="D313" s="1" t="s">
        <v>74</v>
      </c>
      <c r="E313" s="1" t="s">
        <v>74</v>
      </c>
      <c r="F313" s="1" t="s">
        <v>3246</v>
      </c>
      <c r="G313" s="1" t="s">
        <v>74</v>
      </c>
      <c r="H313" s="1" t="s">
        <v>74</v>
      </c>
      <c r="I313" s="1" t="s">
        <v>3247</v>
      </c>
      <c r="J313" s="1" t="s">
        <v>3248</v>
      </c>
      <c r="K313" s="1" t="s">
        <v>74</v>
      </c>
      <c r="L313" s="1" t="s">
        <v>74</v>
      </c>
      <c r="M313" s="1" t="s">
        <v>74</v>
      </c>
      <c r="N313" s="1" t="s">
        <v>74</v>
      </c>
      <c r="O313" s="1" t="s">
        <v>74</v>
      </c>
      <c r="P313" s="1" t="s">
        <v>74</v>
      </c>
      <c r="Q313" s="1" t="s">
        <v>74</v>
      </c>
      <c r="R313" s="1" t="s">
        <v>74</v>
      </c>
      <c r="S313" s="1" t="s">
        <v>74</v>
      </c>
      <c r="T313" s="1" t="s">
        <v>74</v>
      </c>
      <c r="U313" s="1" t="s">
        <v>74</v>
      </c>
      <c r="V313" s="1" t="s">
        <v>3249</v>
      </c>
      <c r="W313" s="1" t="s">
        <v>74</v>
      </c>
      <c r="X313" s="1" t="s">
        <v>74</v>
      </c>
      <c r="Y313" s="1" t="s">
        <v>74</v>
      </c>
      <c r="Z313" s="1" t="s">
        <v>74</v>
      </c>
      <c r="AA313" s="1" t="s">
        <v>3250</v>
      </c>
      <c r="AB313" s="1" t="s">
        <v>3251</v>
      </c>
      <c r="AC313" s="1" t="s">
        <v>74</v>
      </c>
      <c r="AD313" s="1" t="s">
        <v>74</v>
      </c>
      <c r="AE313" s="1" t="s">
        <v>74</v>
      </c>
      <c r="AF313" s="1" t="s">
        <v>74</v>
      </c>
      <c r="AG313" s="1" t="s">
        <v>74</v>
      </c>
      <c r="AH313" s="1" t="s">
        <v>74</v>
      </c>
      <c r="AI313" s="1" t="s">
        <v>74</v>
      </c>
      <c r="AJ313" s="1" t="s">
        <v>74</v>
      </c>
      <c r="AK313" s="1" t="s">
        <v>74</v>
      </c>
      <c r="AL313" s="1" t="s">
        <v>74</v>
      </c>
      <c r="AM313" s="1" t="s">
        <v>74</v>
      </c>
      <c r="AN313" s="1" t="s">
        <v>74</v>
      </c>
      <c r="AO313" s="1" t="s">
        <v>3252</v>
      </c>
      <c r="AP313" s="1" t="s">
        <v>3253</v>
      </c>
      <c r="AQ313" s="1" t="s">
        <v>74</v>
      </c>
      <c r="AR313" s="1" t="s">
        <v>74</v>
      </c>
      <c r="AS313" s="1" t="s">
        <v>74</v>
      </c>
      <c r="AT313" s="1" t="s">
        <v>158</v>
      </c>
      <c r="AU313" s="1">
        <v>2010.0</v>
      </c>
      <c r="AV313" s="1">
        <v>41.0</v>
      </c>
      <c r="AW313" s="1">
        <v>7.0</v>
      </c>
      <c r="AX313" s="1" t="s">
        <v>74</v>
      </c>
      <c r="AY313" s="1" t="s">
        <v>74</v>
      </c>
      <c r="AZ313" s="1" t="s">
        <v>74</v>
      </c>
      <c r="BA313" s="1" t="s">
        <v>74</v>
      </c>
      <c r="BB313" s="1">
        <v>758.0</v>
      </c>
      <c r="BC313" s="1">
        <v>763.0</v>
      </c>
      <c r="BD313" s="1" t="s">
        <v>74</v>
      </c>
      <c r="BE313" s="1" t="s">
        <v>3254</v>
      </c>
      <c r="BF313" s="2" t="str">
        <f>HYPERLINK("http://dx.doi.org/10.1002/jrs.2517","http://dx.doi.org/10.1002/jrs.2517")</f>
        <v>http://dx.doi.org/10.1002/jrs.2517</v>
      </c>
      <c r="BG313" s="1" t="s">
        <v>74</v>
      </c>
      <c r="BH313" s="1" t="s">
        <v>74</v>
      </c>
      <c r="BI313" s="1" t="s">
        <v>74</v>
      </c>
      <c r="BJ313" s="1" t="s">
        <v>74</v>
      </c>
      <c r="BK313" s="1" t="s">
        <v>74</v>
      </c>
      <c r="BL313" s="1" t="s">
        <v>74</v>
      </c>
      <c r="BM313" s="1" t="s">
        <v>74</v>
      </c>
      <c r="BN313" s="1" t="s">
        <v>74</v>
      </c>
      <c r="BO313" s="1" t="s">
        <v>74</v>
      </c>
      <c r="BP313" s="1" t="s">
        <v>74</v>
      </c>
      <c r="BQ313" s="1" t="s">
        <v>74</v>
      </c>
      <c r="BR313" s="1" t="s">
        <v>74</v>
      </c>
      <c r="BS313" s="1" t="s">
        <v>3255</v>
      </c>
      <c r="BT313" s="1" t="str">
        <f>HYPERLINK("https%3A%2F%2Fwww.webofscience.com%2Fwos%2Fwoscc%2Ffull-record%2FWOS:000280621500007","View Full Record in Web of Science")</f>
        <v>View Full Record in Web of Science</v>
      </c>
    </row>
    <row r="314" ht="12.75" customHeight="1">
      <c r="A314" s="1" t="s">
        <v>72</v>
      </c>
      <c r="B314" s="1" t="s">
        <v>3256</v>
      </c>
      <c r="C314" s="1" t="s">
        <v>74</v>
      </c>
      <c r="D314" s="1" t="s">
        <v>74</v>
      </c>
      <c r="E314" s="1" t="s">
        <v>74</v>
      </c>
      <c r="F314" s="1" t="s">
        <v>3257</v>
      </c>
      <c r="G314" s="1" t="s">
        <v>74</v>
      </c>
      <c r="H314" s="1" t="s">
        <v>74</v>
      </c>
      <c r="I314" s="1" t="s">
        <v>3258</v>
      </c>
      <c r="J314" s="1" t="s">
        <v>623</v>
      </c>
      <c r="K314" s="1" t="s">
        <v>74</v>
      </c>
      <c r="L314" s="1" t="s">
        <v>74</v>
      </c>
      <c r="M314" s="1" t="s">
        <v>74</v>
      </c>
      <c r="N314" s="1" t="s">
        <v>74</v>
      </c>
      <c r="O314" s="1" t="s">
        <v>74</v>
      </c>
      <c r="P314" s="1" t="s">
        <v>74</v>
      </c>
      <c r="Q314" s="1" t="s">
        <v>74</v>
      </c>
      <c r="R314" s="1" t="s">
        <v>74</v>
      </c>
      <c r="S314" s="1" t="s">
        <v>74</v>
      </c>
      <c r="T314" s="1" t="s">
        <v>74</v>
      </c>
      <c r="U314" s="1" t="s">
        <v>74</v>
      </c>
      <c r="V314" s="1" t="s">
        <v>3259</v>
      </c>
      <c r="W314" s="1" t="s">
        <v>74</v>
      </c>
      <c r="X314" s="1" t="s">
        <v>74</v>
      </c>
      <c r="Y314" s="1" t="s">
        <v>74</v>
      </c>
      <c r="Z314" s="1" t="s">
        <v>74</v>
      </c>
      <c r="AA314" s="1" t="s">
        <v>74</v>
      </c>
      <c r="AB314" s="1" t="s">
        <v>3260</v>
      </c>
      <c r="AC314" s="1" t="s">
        <v>74</v>
      </c>
      <c r="AD314" s="1" t="s">
        <v>74</v>
      </c>
      <c r="AE314" s="1" t="s">
        <v>74</v>
      </c>
      <c r="AF314" s="1" t="s">
        <v>74</v>
      </c>
      <c r="AG314" s="1" t="s">
        <v>74</v>
      </c>
      <c r="AH314" s="1" t="s">
        <v>74</v>
      </c>
      <c r="AI314" s="1" t="s">
        <v>74</v>
      </c>
      <c r="AJ314" s="1" t="s">
        <v>74</v>
      </c>
      <c r="AK314" s="1" t="s">
        <v>74</v>
      </c>
      <c r="AL314" s="1" t="s">
        <v>74</v>
      </c>
      <c r="AM314" s="1" t="s">
        <v>74</v>
      </c>
      <c r="AN314" s="1" t="s">
        <v>74</v>
      </c>
      <c r="AO314" s="1" t="s">
        <v>627</v>
      </c>
      <c r="AP314" s="1" t="s">
        <v>628</v>
      </c>
      <c r="AQ314" s="1" t="s">
        <v>74</v>
      </c>
      <c r="AR314" s="1" t="s">
        <v>74</v>
      </c>
      <c r="AS314" s="1" t="s">
        <v>74</v>
      </c>
      <c r="AT314" s="1" t="s">
        <v>3261</v>
      </c>
      <c r="AU314" s="1">
        <v>2008.0</v>
      </c>
      <c r="AV314" s="1">
        <v>669.0</v>
      </c>
      <c r="AW314" s="1">
        <v>5.0</v>
      </c>
      <c r="AX314" s="1" t="s">
        <v>74</v>
      </c>
      <c r="AY314" s="1" t="s">
        <v>74</v>
      </c>
      <c r="AZ314" s="1" t="s">
        <v>74</v>
      </c>
      <c r="BA314" s="1" t="s">
        <v>74</v>
      </c>
      <c r="BB314" s="1">
        <v>271.0</v>
      </c>
      <c r="BC314" s="1">
        <v>274.0</v>
      </c>
      <c r="BD314" s="1" t="s">
        <v>74</v>
      </c>
      <c r="BE314" s="1" t="s">
        <v>3262</v>
      </c>
      <c r="BF314" s="2" t="str">
        <f>HYPERLINK("http://dx.doi.org/10.1016/j.physletb.2008.10.008","http://dx.doi.org/10.1016/j.physletb.2008.10.008")</f>
        <v>http://dx.doi.org/10.1016/j.physletb.2008.10.008</v>
      </c>
      <c r="BG314" s="1" t="s">
        <v>74</v>
      </c>
      <c r="BH314" s="1" t="s">
        <v>74</v>
      </c>
      <c r="BI314" s="1" t="s">
        <v>74</v>
      </c>
      <c r="BJ314" s="1" t="s">
        <v>74</v>
      </c>
      <c r="BK314" s="1" t="s">
        <v>74</v>
      </c>
      <c r="BL314" s="1" t="s">
        <v>74</v>
      </c>
      <c r="BM314" s="1" t="s">
        <v>74</v>
      </c>
      <c r="BN314" s="1" t="s">
        <v>74</v>
      </c>
      <c r="BO314" s="1" t="s">
        <v>74</v>
      </c>
      <c r="BP314" s="1" t="s">
        <v>74</v>
      </c>
      <c r="BQ314" s="1" t="s">
        <v>74</v>
      </c>
      <c r="BR314" s="1" t="s">
        <v>74</v>
      </c>
      <c r="BS314" s="1" t="s">
        <v>3263</v>
      </c>
      <c r="BT314" s="1" t="str">
        <f>HYPERLINK("https%3A%2F%2Fwww.webofscience.com%2Fwos%2Fwoscc%2Ffull-record%2FWOS:000261631800004","View Full Record in Web of Science")</f>
        <v>View Full Record in Web of Science</v>
      </c>
    </row>
    <row r="315" ht="12.75" customHeight="1">
      <c r="A315" s="1" t="s">
        <v>72</v>
      </c>
      <c r="B315" s="1" t="s">
        <v>3264</v>
      </c>
      <c r="C315" s="1" t="s">
        <v>74</v>
      </c>
      <c r="D315" s="1" t="s">
        <v>74</v>
      </c>
      <c r="E315" s="1" t="s">
        <v>74</v>
      </c>
      <c r="F315" s="1" t="s">
        <v>3265</v>
      </c>
      <c r="G315" s="1" t="s">
        <v>74</v>
      </c>
      <c r="H315" s="1" t="s">
        <v>74</v>
      </c>
      <c r="I315" s="1" t="s">
        <v>3266</v>
      </c>
      <c r="J315" s="1" t="s">
        <v>3267</v>
      </c>
      <c r="K315" s="1" t="s">
        <v>74</v>
      </c>
      <c r="L315" s="1" t="s">
        <v>74</v>
      </c>
      <c r="M315" s="1" t="s">
        <v>74</v>
      </c>
      <c r="N315" s="1" t="s">
        <v>74</v>
      </c>
      <c r="O315" s="1" t="s">
        <v>74</v>
      </c>
      <c r="P315" s="1" t="s">
        <v>74</v>
      </c>
      <c r="Q315" s="1" t="s">
        <v>74</v>
      </c>
      <c r="R315" s="1" t="s">
        <v>74</v>
      </c>
      <c r="S315" s="1" t="s">
        <v>74</v>
      </c>
      <c r="T315" s="1" t="s">
        <v>74</v>
      </c>
      <c r="U315" s="1" t="s">
        <v>74</v>
      </c>
      <c r="V315" s="1" t="s">
        <v>3268</v>
      </c>
      <c r="W315" s="1" t="s">
        <v>74</v>
      </c>
      <c r="X315" s="1" t="s">
        <v>74</v>
      </c>
      <c r="Y315" s="1" t="s">
        <v>74</v>
      </c>
      <c r="Z315" s="1" t="s">
        <v>74</v>
      </c>
      <c r="AA315" s="1" t="s">
        <v>3269</v>
      </c>
      <c r="AB315" s="1" t="s">
        <v>3270</v>
      </c>
      <c r="AC315" s="1" t="s">
        <v>74</v>
      </c>
      <c r="AD315" s="1" t="s">
        <v>74</v>
      </c>
      <c r="AE315" s="1" t="s">
        <v>74</v>
      </c>
      <c r="AF315" s="1" t="s">
        <v>74</v>
      </c>
      <c r="AG315" s="1" t="s">
        <v>74</v>
      </c>
      <c r="AH315" s="1" t="s">
        <v>74</v>
      </c>
      <c r="AI315" s="1" t="s">
        <v>74</v>
      </c>
      <c r="AJ315" s="1" t="s">
        <v>74</v>
      </c>
      <c r="AK315" s="1" t="s">
        <v>74</v>
      </c>
      <c r="AL315" s="1" t="s">
        <v>74</v>
      </c>
      <c r="AM315" s="1" t="s">
        <v>74</v>
      </c>
      <c r="AN315" s="1" t="s">
        <v>74</v>
      </c>
      <c r="AO315" s="1" t="s">
        <v>3271</v>
      </c>
      <c r="AP315" s="1" t="s">
        <v>74</v>
      </c>
      <c r="AQ315" s="1" t="s">
        <v>74</v>
      </c>
      <c r="AR315" s="1" t="s">
        <v>74</v>
      </c>
      <c r="AS315" s="1" t="s">
        <v>74</v>
      </c>
      <c r="AT315" s="1" t="s">
        <v>3272</v>
      </c>
      <c r="AU315" s="1">
        <v>2008.0</v>
      </c>
      <c r="AV315" s="1">
        <v>112.0</v>
      </c>
      <c r="AW315" s="1">
        <v>40.0</v>
      </c>
      <c r="AX315" s="1" t="s">
        <v>74</v>
      </c>
      <c r="AY315" s="1" t="s">
        <v>74</v>
      </c>
      <c r="AZ315" s="1" t="s">
        <v>74</v>
      </c>
      <c r="BA315" s="1" t="s">
        <v>74</v>
      </c>
      <c r="BB315" s="1">
        <v>12644.0</v>
      </c>
      <c r="BC315" s="1">
        <v>12649.0</v>
      </c>
      <c r="BD315" s="1" t="s">
        <v>74</v>
      </c>
      <c r="BE315" s="1" t="s">
        <v>3273</v>
      </c>
      <c r="BF315" s="2" t="str">
        <f>HYPERLINK("http://dx.doi.org/10.1021/jp8046455","http://dx.doi.org/10.1021/jp8046455")</f>
        <v>http://dx.doi.org/10.1021/jp8046455</v>
      </c>
      <c r="BG315" s="1" t="s">
        <v>74</v>
      </c>
      <c r="BH315" s="1" t="s">
        <v>74</v>
      </c>
      <c r="BI315" s="1" t="s">
        <v>74</v>
      </c>
      <c r="BJ315" s="1" t="s">
        <v>74</v>
      </c>
      <c r="BK315" s="1" t="s">
        <v>74</v>
      </c>
      <c r="BL315" s="1" t="s">
        <v>74</v>
      </c>
      <c r="BM315" s="1" t="s">
        <v>74</v>
      </c>
      <c r="BN315" s="1">
        <v>1.8793015E7</v>
      </c>
      <c r="BO315" s="1" t="s">
        <v>74</v>
      </c>
      <c r="BP315" s="1" t="s">
        <v>74</v>
      </c>
      <c r="BQ315" s="1" t="s">
        <v>74</v>
      </c>
      <c r="BR315" s="1" t="s">
        <v>74</v>
      </c>
      <c r="BS315" s="1" t="s">
        <v>3274</v>
      </c>
      <c r="BT315" s="1" t="str">
        <f>HYPERLINK("https%3A%2F%2Fwww.webofscience.com%2Fwos%2Fwoscc%2Ffull-record%2FWOS:000259780200012","View Full Record in Web of Science")</f>
        <v>View Full Record in Web of Science</v>
      </c>
    </row>
    <row r="316" ht="12.75" customHeight="1">
      <c r="A316" s="1" t="s">
        <v>72</v>
      </c>
      <c r="B316" s="1" t="s">
        <v>3275</v>
      </c>
      <c r="C316" s="1" t="s">
        <v>74</v>
      </c>
      <c r="D316" s="1" t="s">
        <v>74</v>
      </c>
      <c r="E316" s="1" t="s">
        <v>74</v>
      </c>
      <c r="F316" s="1" t="s">
        <v>3276</v>
      </c>
      <c r="G316" s="1" t="s">
        <v>74</v>
      </c>
      <c r="H316" s="1" t="s">
        <v>74</v>
      </c>
      <c r="I316" s="1" t="s">
        <v>3277</v>
      </c>
      <c r="J316" s="1" t="s">
        <v>3278</v>
      </c>
      <c r="K316" s="1" t="s">
        <v>74</v>
      </c>
      <c r="L316" s="1" t="s">
        <v>74</v>
      </c>
      <c r="M316" s="1" t="s">
        <v>74</v>
      </c>
      <c r="N316" s="1" t="s">
        <v>74</v>
      </c>
      <c r="O316" s="1" t="s">
        <v>74</v>
      </c>
      <c r="P316" s="1" t="s">
        <v>74</v>
      </c>
      <c r="Q316" s="1" t="s">
        <v>74</v>
      </c>
      <c r="R316" s="1" t="s">
        <v>74</v>
      </c>
      <c r="S316" s="1" t="s">
        <v>74</v>
      </c>
      <c r="T316" s="1" t="s">
        <v>74</v>
      </c>
      <c r="U316" s="1" t="s">
        <v>74</v>
      </c>
      <c r="V316" s="1" t="s">
        <v>3279</v>
      </c>
      <c r="W316" s="1" t="s">
        <v>74</v>
      </c>
      <c r="X316" s="1" t="s">
        <v>74</v>
      </c>
      <c r="Y316" s="1" t="s">
        <v>74</v>
      </c>
      <c r="Z316" s="1" t="s">
        <v>74</v>
      </c>
      <c r="AA316" s="1" t="s">
        <v>3280</v>
      </c>
      <c r="AB316" s="1" t="s">
        <v>74</v>
      </c>
      <c r="AC316" s="1" t="s">
        <v>74</v>
      </c>
      <c r="AD316" s="1" t="s">
        <v>74</v>
      </c>
      <c r="AE316" s="1" t="s">
        <v>74</v>
      </c>
      <c r="AF316" s="1" t="s">
        <v>74</v>
      </c>
      <c r="AG316" s="1" t="s">
        <v>74</v>
      </c>
      <c r="AH316" s="1" t="s">
        <v>74</v>
      </c>
      <c r="AI316" s="1" t="s">
        <v>74</v>
      </c>
      <c r="AJ316" s="1" t="s">
        <v>74</v>
      </c>
      <c r="AK316" s="1" t="s">
        <v>74</v>
      </c>
      <c r="AL316" s="1" t="s">
        <v>74</v>
      </c>
      <c r="AM316" s="1" t="s">
        <v>74</v>
      </c>
      <c r="AN316" s="1" t="s">
        <v>74</v>
      </c>
      <c r="AO316" s="1" t="s">
        <v>3281</v>
      </c>
      <c r="AP316" s="1" t="s">
        <v>3282</v>
      </c>
      <c r="AQ316" s="1" t="s">
        <v>74</v>
      </c>
      <c r="AR316" s="1" t="s">
        <v>74</v>
      </c>
      <c r="AS316" s="1" t="s">
        <v>74</v>
      </c>
      <c r="AT316" s="1" t="s">
        <v>74</v>
      </c>
      <c r="AU316" s="1">
        <v>2007.0</v>
      </c>
      <c r="AV316" s="1">
        <v>26.0</v>
      </c>
      <c r="AW316" s="1">
        <v>3.0</v>
      </c>
      <c r="AX316" s="1" t="s">
        <v>74</v>
      </c>
      <c r="AY316" s="1" t="s">
        <v>74</v>
      </c>
      <c r="AZ316" s="1" t="s">
        <v>74</v>
      </c>
      <c r="BA316" s="1" t="s">
        <v>74</v>
      </c>
      <c r="BB316" s="1">
        <v>363.0</v>
      </c>
      <c r="BC316" s="1">
        <v>375.0</v>
      </c>
      <c r="BD316" s="1" t="s">
        <v>74</v>
      </c>
      <c r="BE316" s="1" t="s">
        <v>74</v>
      </c>
      <c r="BF316" s="1" t="s">
        <v>74</v>
      </c>
      <c r="BG316" s="1" t="s">
        <v>74</v>
      </c>
      <c r="BH316" s="1" t="s">
        <v>74</v>
      </c>
      <c r="BI316" s="1" t="s">
        <v>74</v>
      </c>
      <c r="BJ316" s="1" t="s">
        <v>74</v>
      </c>
      <c r="BK316" s="1" t="s">
        <v>74</v>
      </c>
      <c r="BL316" s="1" t="s">
        <v>74</v>
      </c>
      <c r="BM316" s="1" t="s">
        <v>74</v>
      </c>
      <c r="BN316" s="1" t="s">
        <v>74</v>
      </c>
      <c r="BO316" s="1" t="s">
        <v>74</v>
      </c>
      <c r="BP316" s="1" t="s">
        <v>74</v>
      </c>
      <c r="BQ316" s="1" t="s">
        <v>74</v>
      </c>
      <c r="BR316" s="1" t="s">
        <v>74</v>
      </c>
      <c r="BS316" s="1" t="s">
        <v>3283</v>
      </c>
      <c r="BT316" s="1" t="str">
        <f>HYPERLINK("https%3A%2F%2Fwww.webofscience.com%2Fwos%2Fwoscc%2Ffull-record%2FWOS:000249791300007","View Full Record in Web of Science")</f>
        <v>View Full Record in Web of Science</v>
      </c>
    </row>
    <row r="317" ht="12.75" customHeight="1">
      <c r="A317" s="1" t="s">
        <v>72</v>
      </c>
      <c r="B317" s="1" t="s">
        <v>3284</v>
      </c>
      <c r="C317" s="1" t="s">
        <v>74</v>
      </c>
      <c r="D317" s="1" t="s">
        <v>74</v>
      </c>
      <c r="E317" s="1" t="s">
        <v>74</v>
      </c>
      <c r="F317" s="1" t="s">
        <v>3284</v>
      </c>
      <c r="G317" s="1" t="s">
        <v>74</v>
      </c>
      <c r="H317" s="1" t="s">
        <v>74</v>
      </c>
      <c r="I317" s="1" t="s">
        <v>3285</v>
      </c>
      <c r="J317" s="1" t="s">
        <v>3286</v>
      </c>
      <c r="K317" s="1" t="s">
        <v>74</v>
      </c>
      <c r="L317" s="1" t="s">
        <v>74</v>
      </c>
      <c r="M317" s="1" t="s">
        <v>74</v>
      </c>
      <c r="N317" s="1" t="s">
        <v>74</v>
      </c>
      <c r="O317" s="1" t="s">
        <v>74</v>
      </c>
      <c r="P317" s="1" t="s">
        <v>74</v>
      </c>
      <c r="Q317" s="1" t="s">
        <v>74</v>
      </c>
      <c r="R317" s="1" t="s">
        <v>74</v>
      </c>
      <c r="S317" s="1" t="s">
        <v>74</v>
      </c>
      <c r="T317" s="1" t="s">
        <v>74</v>
      </c>
      <c r="U317" s="1" t="s">
        <v>74</v>
      </c>
      <c r="V317" s="1" t="s">
        <v>3287</v>
      </c>
      <c r="W317" s="1" t="s">
        <v>74</v>
      </c>
      <c r="X317" s="1" t="s">
        <v>74</v>
      </c>
      <c r="Y317" s="1" t="s">
        <v>74</v>
      </c>
      <c r="Z317" s="1" t="s">
        <v>74</v>
      </c>
      <c r="AA317" s="1" t="s">
        <v>74</v>
      </c>
      <c r="AB317" s="1" t="s">
        <v>74</v>
      </c>
      <c r="AC317" s="1" t="s">
        <v>74</v>
      </c>
      <c r="AD317" s="1" t="s">
        <v>74</v>
      </c>
      <c r="AE317" s="1" t="s">
        <v>74</v>
      </c>
      <c r="AF317" s="1" t="s">
        <v>74</v>
      </c>
      <c r="AG317" s="1" t="s">
        <v>74</v>
      </c>
      <c r="AH317" s="1" t="s">
        <v>74</v>
      </c>
      <c r="AI317" s="1" t="s">
        <v>74</v>
      </c>
      <c r="AJ317" s="1" t="s">
        <v>74</v>
      </c>
      <c r="AK317" s="1" t="s">
        <v>74</v>
      </c>
      <c r="AL317" s="1" t="s">
        <v>74</v>
      </c>
      <c r="AM317" s="1" t="s">
        <v>74</v>
      </c>
      <c r="AN317" s="1" t="s">
        <v>74</v>
      </c>
      <c r="AO317" s="1" t="s">
        <v>3288</v>
      </c>
      <c r="AP317" s="1" t="s">
        <v>3289</v>
      </c>
      <c r="AQ317" s="1" t="s">
        <v>74</v>
      </c>
      <c r="AR317" s="1" t="s">
        <v>74</v>
      </c>
      <c r="AS317" s="1" t="s">
        <v>74</v>
      </c>
      <c r="AT317" s="1" t="s">
        <v>306</v>
      </c>
      <c r="AU317" s="1">
        <v>2004.0</v>
      </c>
      <c r="AV317" s="1">
        <v>23.0</v>
      </c>
      <c r="AW317" s="1">
        <v>4.0</v>
      </c>
      <c r="AX317" s="1" t="s">
        <v>74</v>
      </c>
      <c r="AY317" s="1" t="s">
        <v>74</v>
      </c>
      <c r="AZ317" s="1" t="s">
        <v>74</v>
      </c>
      <c r="BA317" s="1" t="s">
        <v>74</v>
      </c>
      <c r="BB317" s="1">
        <v>352.0</v>
      </c>
      <c r="BC317" s="1">
        <v>356.0</v>
      </c>
      <c r="BD317" s="1" t="s">
        <v>74</v>
      </c>
      <c r="BE317" s="1" t="s">
        <v>3290</v>
      </c>
      <c r="BF317" s="2" t="str">
        <f>HYPERLINK("http://dx.doi.org/10.1002/uog.964","http://dx.doi.org/10.1002/uog.964")</f>
        <v>http://dx.doi.org/10.1002/uog.964</v>
      </c>
      <c r="BG317" s="1" t="s">
        <v>74</v>
      </c>
      <c r="BH317" s="1" t="s">
        <v>74</v>
      </c>
      <c r="BI317" s="1" t="s">
        <v>74</v>
      </c>
      <c r="BJ317" s="1" t="s">
        <v>74</v>
      </c>
      <c r="BK317" s="1" t="s">
        <v>74</v>
      </c>
      <c r="BL317" s="1" t="s">
        <v>74</v>
      </c>
      <c r="BM317" s="1" t="s">
        <v>74</v>
      </c>
      <c r="BN317" s="1">
        <v>1.5065184E7</v>
      </c>
      <c r="BO317" s="1" t="s">
        <v>74</v>
      </c>
      <c r="BP317" s="1" t="s">
        <v>74</v>
      </c>
      <c r="BQ317" s="1" t="s">
        <v>74</v>
      </c>
      <c r="BR317" s="1" t="s">
        <v>74</v>
      </c>
      <c r="BS317" s="1" t="s">
        <v>3291</v>
      </c>
      <c r="BT317" s="1" t="str">
        <f>HYPERLINK("https%3A%2F%2Fwww.webofscience.com%2Fwos%2Fwoscc%2Ffull-record%2FWOS:000221150400007","View Full Record in Web of Science")</f>
        <v>View Full Record in Web of Science</v>
      </c>
    </row>
    <row r="318" ht="12.75" customHeight="1">
      <c r="A318" s="1" t="s">
        <v>72</v>
      </c>
      <c r="B318" s="1" t="s">
        <v>3292</v>
      </c>
      <c r="C318" s="1" t="s">
        <v>74</v>
      </c>
      <c r="D318" s="1" t="s">
        <v>74</v>
      </c>
      <c r="E318" s="1" t="s">
        <v>74</v>
      </c>
      <c r="F318" s="1" t="s">
        <v>3292</v>
      </c>
      <c r="G318" s="1" t="s">
        <v>74</v>
      </c>
      <c r="H318" s="1" t="s">
        <v>74</v>
      </c>
      <c r="I318" s="1" t="s">
        <v>3293</v>
      </c>
      <c r="J318" s="1" t="s">
        <v>3294</v>
      </c>
      <c r="K318" s="1" t="s">
        <v>74</v>
      </c>
      <c r="L318" s="1" t="s">
        <v>74</v>
      </c>
      <c r="M318" s="1" t="s">
        <v>74</v>
      </c>
      <c r="N318" s="1" t="s">
        <v>74</v>
      </c>
      <c r="O318" s="1" t="s">
        <v>3295</v>
      </c>
      <c r="P318" s="1" t="s">
        <v>3296</v>
      </c>
      <c r="Q318" s="1" t="s">
        <v>3297</v>
      </c>
      <c r="R318" s="1" t="s">
        <v>74</v>
      </c>
      <c r="S318" s="1" t="s">
        <v>74</v>
      </c>
      <c r="T318" s="1" t="s">
        <v>74</v>
      </c>
      <c r="U318" s="1" t="s">
        <v>74</v>
      </c>
      <c r="V318" s="1" t="s">
        <v>3298</v>
      </c>
      <c r="W318" s="1" t="s">
        <v>74</v>
      </c>
      <c r="X318" s="1" t="s">
        <v>74</v>
      </c>
      <c r="Y318" s="1" t="s">
        <v>74</v>
      </c>
      <c r="Z318" s="1" t="s">
        <v>74</v>
      </c>
      <c r="AA318" s="1" t="s">
        <v>3299</v>
      </c>
      <c r="AB318" s="1" t="s">
        <v>3300</v>
      </c>
      <c r="AC318" s="1" t="s">
        <v>74</v>
      </c>
      <c r="AD318" s="1" t="s">
        <v>74</v>
      </c>
      <c r="AE318" s="1" t="s">
        <v>74</v>
      </c>
      <c r="AF318" s="1" t="s">
        <v>74</v>
      </c>
      <c r="AG318" s="1" t="s">
        <v>74</v>
      </c>
      <c r="AH318" s="1" t="s">
        <v>74</v>
      </c>
      <c r="AI318" s="1" t="s">
        <v>74</v>
      </c>
      <c r="AJ318" s="1" t="s">
        <v>74</v>
      </c>
      <c r="AK318" s="1" t="s">
        <v>74</v>
      </c>
      <c r="AL318" s="1" t="s">
        <v>74</v>
      </c>
      <c r="AM318" s="1" t="s">
        <v>74</v>
      </c>
      <c r="AN318" s="1" t="s">
        <v>74</v>
      </c>
      <c r="AO318" s="1" t="s">
        <v>3301</v>
      </c>
      <c r="AP318" s="1" t="s">
        <v>3302</v>
      </c>
      <c r="AQ318" s="1" t="s">
        <v>74</v>
      </c>
      <c r="AR318" s="1" t="s">
        <v>74</v>
      </c>
      <c r="AS318" s="1" t="s">
        <v>74</v>
      </c>
      <c r="AT318" s="1" t="s">
        <v>3303</v>
      </c>
      <c r="AU318" s="1">
        <v>2003.0</v>
      </c>
      <c r="AV318" s="1">
        <v>34.0</v>
      </c>
      <c r="AW318" s="1" t="s">
        <v>3304</v>
      </c>
      <c r="AX318" s="1" t="s">
        <v>74</v>
      </c>
      <c r="AY318" s="1" t="s">
        <v>74</v>
      </c>
      <c r="AZ318" s="1" t="s">
        <v>74</v>
      </c>
      <c r="BA318" s="1" t="s">
        <v>74</v>
      </c>
      <c r="BB318" s="1">
        <v>733.0</v>
      </c>
      <c r="BC318" s="1">
        <v>736.0</v>
      </c>
      <c r="BD318" s="1" t="s">
        <v>74</v>
      </c>
      <c r="BE318" s="1" t="s">
        <v>3305</v>
      </c>
      <c r="BF318" s="2" t="str">
        <f>HYPERLINK("http://dx.doi.org/10.1016/S0026-2692(03)00114-9","http://dx.doi.org/10.1016/S0026-2692(03)00114-9")</f>
        <v>http://dx.doi.org/10.1016/S0026-2692(03)00114-9</v>
      </c>
      <c r="BG318" s="1" t="s">
        <v>74</v>
      </c>
      <c r="BH318" s="1" t="s">
        <v>74</v>
      </c>
      <c r="BI318" s="1" t="s">
        <v>74</v>
      </c>
      <c r="BJ318" s="1" t="s">
        <v>74</v>
      </c>
      <c r="BK318" s="1" t="s">
        <v>74</v>
      </c>
      <c r="BL318" s="1" t="s">
        <v>74</v>
      </c>
      <c r="BM318" s="1" t="s">
        <v>74</v>
      </c>
      <c r="BN318" s="1" t="s">
        <v>74</v>
      </c>
      <c r="BO318" s="1" t="s">
        <v>74</v>
      </c>
      <c r="BP318" s="1" t="s">
        <v>74</v>
      </c>
      <c r="BQ318" s="1" t="s">
        <v>74</v>
      </c>
      <c r="BR318" s="1" t="s">
        <v>74</v>
      </c>
      <c r="BS318" s="1" t="s">
        <v>3306</v>
      </c>
      <c r="BT318" s="1" t="str">
        <f>HYPERLINK("https%3A%2F%2Fwww.webofscience.com%2Fwos%2Fwoscc%2Ffull-record%2FWOS:000183607400098","View Full Record in Web of Science")</f>
        <v>View Full Record in Web of Science</v>
      </c>
    </row>
    <row r="319" ht="12.75" customHeight="1">
      <c r="A319" s="1" t="s">
        <v>72</v>
      </c>
      <c r="B319" s="1" t="s">
        <v>3307</v>
      </c>
      <c r="C319" s="1" t="s">
        <v>74</v>
      </c>
      <c r="D319" s="1" t="s">
        <v>74</v>
      </c>
      <c r="E319" s="1" t="s">
        <v>74</v>
      </c>
      <c r="F319" s="1" t="s">
        <v>3307</v>
      </c>
      <c r="G319" s="1" t="s">
        <v>74</v>
      </c>
      <c r="H319" s="1" t="s">
        <v>74</v>
      </c>
      <c r="I319" s="1" t="s">
        <v>3308</v>
      </c>
      <c r="J319" s="1" t="s">
        <v>3309</v>
      </c>
      <c r="K319" s="1" t="s">
        <v>74</v>
      </c>
      <c r="L319" s="1" t="s">
        <v>74</v>
      </c>
      <c r="M319" s="1" t="s">
        <v>74</v>
      </c>
      <c r="N319" s="1" t="s">
        <v>74</v>
      </c>
      <c r="O319" s="1" t="s">
        <v>74</v>
      </c>
      <c r="P319" s="1" t="s">
        <v>74</v>
      </c>
      <c r="Q319" s="1" t="s">
        <v>74</v>
      </c>
      <c r="R319" s="1" t="s">
        <v>74</v>
      </c>
      <c r="S319" s="1" t="s">
        <v>74</v>
      </c>
      <c r="T319" s="1" t="s">
        <v>74</v>
      </c>
      <c r="U319" s="1" t="s">
        <v>74</v>
      </c>
      <c r="V319" s="1" t="s">
        <v>3310</v>
      </c>
      <c r="W319" s="1" t="s">
        <v>74</v>
      </c>
      <c r="X319" s="1" t="s">
        <v>74</v>
      </c>
      <c r="Y319" s="1" t="s">
        <v>74</v>
      </c>
      <c r="Z319" s="1" t="s">
        <v>74</v>
      </c>
      <c r="AA319" s="1" t="s">
        <v>74</v>
      </c>
      <c r="AB319" s="1" t="s">
        <v>3311</v>
      </c>
      <c r="AC319" s="1" t="s">
        <v>74</v>
      </c>
      <c r="AD319" s="1" t="s">
        <v>74</v>
      </c>
      <c r="AE319" s="1" t="s">
        <v>74</v>
      </c>
      <c r="AF319" s="1" t="s">
        <v>74</v>
      </c>
      <c r="AG319" s="1" t="s">
        <v>74</v>
      </c>
      <c r="AH319" s="1" t="s">
        <v>74</v>
      </c>
      <c r="AI319" s="1" t="s">
        <v>74</v>
      </c>
      <c r="AJ319" s="1" t="s">
        <v>74</v>
      </c>
      <c r="AK319" s="1" t="s">
        <v>74</v>
      </c>
      <c r="AL319" s="1" t="s">
        <v>74</v>
      </c>
      <c r="AM319" s="1" t="s">
        <v>74</v>
      </c>
      <c r="AN319" s="1" t="s">
        <v>74</v>
      </c>
      <c r="AO319" s="1" t="s">
        <v>3312</v>
      </c>
      <c r="AP319" s="1" t="s">
        <v>3313</v>
      </c>
      <c r="AQ319" s="1" t="s">
        <v>74</v>
      </c>
      <c r="AR319" s="1" t="s">
        <v>74</v>
      </c>
      <c r="AS319" s="1" t="s">
        <v>74</v>
      </c>
      <c r="AT319" s="1" t="s">
        <v>235</v>
      </c>
      <c r="AU319" s="1">
        <v>2003.0</v>
      </c>
      <c r="AV319" s="1">
        <v>46.0</v>
      </c>
      <c r="AW319" s="1" t="s">
        <v>74</v>
      </c>
      <c r="AX319" s="1">
        <v>1.0</v>
      </c>
      <c r="AY319" s="1" t="s">
        <v>74</v>
      </c>
      <c r="AZ319" s="1" t="s">
        <v>74</v>
      </c>
      <c r="BA319" s="1" t="s">
        <v>74</v>
      </c>
      <c r="BB319" s="1">
        <v>159.0</v>
      </c>
      <c r="BC319" s="1">
        <v>168.0</v>
      </c>
      <c r="BD319" s="1" t="s">
        <v>74</v>
      </c>
      <c r="BE319" s="1" t="s">
        <v>74</v>
      </c>
      <c r="BF319" s="1" t="s">
        <v>74</v>
      </c>
      <c r="BG319" s="1" t="s">
        <v>74</v>
      </c>
      <c r="BH319" s="1" t="s">
        <v>74</v>
      </c>
      <c r="BI319" s="1" t="s">
        <v>74</v>
      </c>
      <c r="BJ319" s="1" t="s">
        <v>74</v>
      </c>
      <c r="BK319" s="1" t="s">
        <v>74</v>
      </c>
      <c r="BL319" s="1" t="s">
        <v>74</v>
      </c>
      <c r="BM319" s="1" t="s">
        <v>74</v>
      </c>
      <c r="BN319" s="1" t="s">
        <v>74</v>
      </c>
      <c r="BO319" s="1" t="s">
        <v>74</v>
      </c>
      <c r="BP319" s="1" t="s">
        <v>74</v>
      </c>
      <c r="BQ319" s="1" t="s">
        <v>74</v>
      </c>
      <c r="BR319" s="1" t="s">
        <v>74</v>
      </c>
      <c r="BS319" s="1" t="s">
        <v>3314</v>
      </c>
      <c r="BT319" s="1" t="str">
        <f>HYPERLINK("https%3A%2F%2Fwww.webofscience.com%2Fwos%2Fwoscc%2Ffull-record%2FWOS:000183535600011","View Full Record in Web of Science")</f>
        <v>View Full Record in Web of Science</v>
      </c>
    </row>
    <row r="320" ht="12.75" customHeight="1">
      <c r="A320" s="1" t="s">
        <v>72</v>
      </c>
      <c r="B320" s="1" t="s">
        <v>3315</v>
      </c>
      <c r="C320" s="1" t="s">
        <v>74</v>
      </c>
      <c r="D320" s="1" t="s">
        <v>74</v>
      </c>
      <c r="E320" s="1" t="s">
        <v>74</v>
      </c>
      <c r="F320" s="1" t="s">
        <v>3315</v>
      </c>
      <c r="G320" s="1" t="s">
        <v>74</v>
      </c>
      <c r="H320" s="1" t="s">
        <v>74</v>
      </c>
      <c r="I320" s="1" t="s">
        <v>3316</v>
      </c>
      <c r="J320" s="1" t="s">
        <v>3317</v>
      </c>
      <c r="K320" s="1" t="s">
        <v>74</v>
      </c>
      <c r="L320" s="1" t="s">
        <v>74</v>
      </c>
      <c r="M320" s="1" t="s">
        <v>74</v>
      </c>
      <c r="N320" s="1" t="s">
        <v>74</v>
      </c>
      <c r="O320" s="1" t="s">
        <v>74</v>
      </c>
      <c r="P320" s="1" t="s">
        <v>74</v>
      </c>
      <c r="Q320" s="1" t="s">
        <v>74</v>
      </c>
      <c r="R320" s="1" t="s">
        <v>74</v>
      </c>
      <c r="S320" s="1" t="s">
        <v>74</v>
      </c>
      <c r="T320" s="1" t="s">
        <v>74</v>
      </c>
      <c r="U320" s="1" t="s">
        <v>74</v>
      </c>
      <c r="V320" s="1" t="s">
        <v>3318</v>
      </c>
      <c r="W320" s="1" t="s">
        <v>74</v>
      </c>
      <c r="X320" s="1" t="s">
        <v>74</v>
      </c>
      <c r="Y320" s="1" t="s">
        <v>74</v>
      </c>
      <c r="Z320" s="1" t="s">
        <v>74</v>
      </c>
      <c r="AA320" s="1" t="s">
        <v>3319</v>
      </c>
      <c r="AB320" s="1" t="s">
        <v>3320</v>
      </c>
      <c r="AC320" s="1" t="s">
        <v>74</v>
      </c>
      <c r="AD320" s="1" t="s">
        <v>74</v>
      </c>
      <c r="AE320" s="1" t="s">
        <v>74</v>
      </c>
      <c r="AF320" s="1" t="s">
        <v>74</v>
      </c>
      <c r="AG320" s="1" t="s">
        <v>74</v>
      </c>
      <c r="AH320" s="1" t="s">
        <v>74</v>
      </c>
      <c r="AI320" s="1" t="s">
        <v>74</v>
      </c>
      <c r="AJ320" s="1" t="s">
        <v>74</v>
      </c>
      <c r="AK320" s="1" t="s">
        <v>74</v>
      </c>
      <c r="AL320" s="1" t="s">
        <v>74</v>
      </c>
      <c r="AM320" s="1" t="s">
        <v>74</v>
      </c>
      <c r="AN320" s="1" t="s">
        <v>74</v>
      </c>
      <c r="AO320" s="1" t="s">
        <v>3321</v>
      </c>
      <c r="AP320" s="1" t="s">
        <v>74</v>
      </c>
      <c r="AQ320" s="1" t="s">
        <v>74</v>
      </c>
      <c r="AR320" s="1" t="s">
        <v>74</v>
      </c>
      <c r="AS320" s="1" t="s">
        <v>74</v>
      </c>
      <c r="AT320" s="1" t="s">
        <v>696</v>
      </c>
      <c r="AU320" s="1">
        <v>2003.0</v>
      </c>
      <c r="AV320" s="1">
        <v>71.0</v>
      </c>
      <c r="AW320" s="1">
        <v>1.0</v>
      </c>
      <c r="AX320" s="1" t="s">
        <v>74</v>
      </c>
      <c r="AY320" s="1" t="s">
        <v>74</v>
      </c>
      <c r="AZ320" s="1" t="s">
        <v>74</v>
      </c>
      <c r="BA320" s="1" t="s">
        <v>74</v>
      </c>
      <c r="BB320" s="1">
        <v>527.0</v>
      </c>
      <c r="BC320" s="1">
        <v>532.0</v>
      </c>
      <c r="BD320" s="1" t="s">
        <v>74</v>
      </c>
      <c r="BE320" s="1" t="s">
        <v>3322</v>
      </c>
      <c r="BF320" s="2" t="str">
        <f>HYPERLINK("http://dx.doi.org/10.1128/IAI.71.1.527-532.2003","http://dx.doi.org/10.1128/IAI.71.1.527-532.2003")</f>
        <v>http://dx.doi.org/10.1128/IAI.71.1.527-532.2003</v>
      </c>
      <c r="BG320" s="1" t="s">
        <v>74</v>
      </c>
      <c r="BH320" s="1" t="s">
        <v>74</v>
      </c>
      <c r="BI320" s="1" t="s">
        <v>74</v>
      </c>
      <c r="BJ320" s="1" t="s">
        <v>74</v>
      </c>
      <c r="BK320" s="1" t="s">
        <v>74</v>
      </c>
      <c r="BL320" s="1" t="s">
        <v>74</v>
      </c>
      <c r="BM320" s="1" t="s">
        <v>74</v>
      </c>
      <c r="BN320" s="1">
        <v>1.2496205E7</v>
      </c>
      <c r="BO320" s="1" t="s">
        <v>74</v>
      </c>
      <c r="BP320" s="1" t="s">
        <v>74</v>
      </c>
      <c r="BQ320" s="1" t="s">
        <v>74</v>
      </c>
      <c r="BR320" s="1" t="s">
        <v>74</v>
      </c>
      <c r="BS320" s="1" t="s">
        <v>3323</v>
      </c>
      <c r="BT320" s="1" t="str">
        <f>HYPERLINK("https%3A%2F%2Fwww.webofscience.com%2Fwos%2Fwoscc%2Ffull-record%2FWOS:000180212000063","View Full Record in Web of Science")</f>
        <v>View Full Record in Web of Science</v>
      </c>
    </row>
    <row r="321" ht="12.75" customHeight="1">
      <c r="A321" s="1" t="s">
        <v>72</v>
      </c>
      <c r="B321" s="1" t="s">
        <v>3324</v>
      </c>
      <c r="C321" s="1" t="s">
        <v>74</v>
      </c>
      <c r="D321" s="1" t="s">
        <v>74</v>
      </c>
      <c r="E321" s="1" t="s">
        <v>74</v>
      </c>
      <c r="F321" s="1" t="s">
        <v>3324</v>
      </c>
      <c r="G321" s="1" t="s">
        <v>74</v>
      </c>
      <c r="H321" s="1" t="s">
        <v>74</v>
      </c>
      <c r="I321" s="1" t="s">
        <v>3325</v>
      </c>
      <c r="J321" s="1" t="s">
        <v>600</v>
      </c>
      <c r="K321" s="1" t="s">
        <v>74</v>
      </c>
      <c r="L321" s="1" t="s">
        <v>74</v>
      </c>
      <c r="M321" s="1" t="s">
        <v>74</v>
      </c>
      <c r="N321" s="1" t="s">
        <v>74</v>
      </c>
      <c r="O321" s="1" t="s">
        <v>74</v>
      </c>
      <c r="P321" s="1" t="s">
        <v>74</v>
      </c>
      <c r="Q321" s="1" t="s">
        <v>74</v>
      </c>
      <c r="R321" s="1" t="s">
        <v>74</v>
      </c>
      <c r="S321" s="1" t="s">
        <v>74</v>
      </c>
      <c r="T321" s="1" t="s">
        <v>74</v>
      </c>
      <c r="U321" s="1" t="s">
        <v>74</v>
      </c>
      <c r="V321" s="1" t="s">
        <v>3326</v>
      </c>
      <c r="W321" s="1" t="s">
        <v>74</v>
      </c>
      <c r="X321" s="1" t="s">
        <v>74</v>
      </c>
      <c r="Y321" s="1" t="s">
        <v>74</v>
      </c>
      <c r="Z321" s="1" t="s">
        <v>74</v>
      </c>
      <c r="AA321" s="1" t="s">
        <v>3327</v>
      </c>
      <c r="AB321" s="1" t="s">
        <v>3328</v>
      </c>
      <c r="AC321" s="1" t="s">
        <v>74</v>
      </c>
      <c r="AD321" s="1" t="s">
        <v>74</v>
      </c>
      <c r="AE321" s="1" t="s">
        <v>74</v>
      </c>
      <c r="AF321" s="1" t="s">
        <v>74</v>
      </c>
      <c r="AG321" s="1" t="s">
        <v>74</v>
      </c>
      <c r="AH321" s="1" t="s">
        <v>74</v>
      </c>
      <c r="AI321" s="1" t="s">
        <v>74</v>
      </c>
      <c r="AJ321" s="1" t="s">
        <v>74</v>
      </c>
      <c r="AK321" s="1" t="s">
        <v>74</v>
      </c>
      <c r="AL321" s="1" t="s">
        <v>74</v>
      </c>
      <c r="AM321" s="1" t="s">
        <v>74</v>
      </c>
      <c r="AN321" s="1" t="s">
        <v>74</v>
      </c>
      <c r="AO321" s="1" t="s">
        <v>604</v>
      </c>
      <c r="AP321" s="1" t="s">
        <v>74</v>
      </c>
      <c r="AQ321" s="1" t="s">
        <v>74</v>
      </c>
      <c r="AR321" s="1" t="s">
        <v>74</v>
      </c>
      <c r="AS321" s="1" t="s">
        <v>74</v>
      </c>
      <c r="AT321" s="1" t="s">
        <v>294</v>
      </c>
      <c r="AU321" s="1">
        <v>2001.0</v>
      </c>
      <c r="AV321" s="1">
        <v>7.0</v>
      </c>
      <c r="AW321" s="1">
        <v>3.0</v>
      </c>
      <c r="AX321" s="1" t="s">
        <v>74</v>
      </c>
      <c r="AY321" s="1" t="s">
        <v>74</v>
      </c>
      <c r="AZ321" s="1" t="s">
        <v>74</v>
      </c>
      <c r="BA321" s="1" t="s">
        <v>74</v>
      </c>
      <c r="BB321" s="1">
        <v>251.0</v>
      </c>
      <c r="BC321" s="1">
        <v>258.0</v>
      </c>
      <c r="BD321" s="1" t="s">
        <v>74</v>
      </c>
      <c r="BE321" s="1" t="s">
        <v>3329</v>
      </c>
      <c r="BF321" s="2" t="str">
        <f>HYPERLINK("http://dx.doi.org/10.1106/6A9R-DKEV-ADV7-Y30X","http://dx.doi.org/10.1106/6A9R-DKEV-ADV7-Y30X")</f>
        <v>http://dx.doi.org/10.1106/6A9R-DKEV-ADV7-Y30X</v>
      </c>
      <c r="BG321" s="1" t="s">
        <v>74</v>
      </c>
      <c r="BH321" s="1" t="s">
        <v>74</v>
      </c>
      <c r="BI321" s="1" t="s">
        <v>74</v>
      </c>
      <c r="BJ321" s="1" t="s">
        <v>74</v>
      </c>
      <c r="BK321" s="1" t="s">
        <v>74</v>
      </c>
      <c r="BL321" s="1" t="s">
        <v>74</v>
      </c>
      <c r="BM321" s="1" t="s">
        <v>74</v>
      </c>
      <c r="BN321" s="1" t="s">
        <v>74</v>
      </c>
      <c r="BO321" s="1" t="s">
        <v>74</v>
      </c>
      <c r="BP321" s="1" t="s">
        <v>74</v>
      </c>
      <c r="BQ321" s="1" t="s">
        <v>74</v>
      </c>
      <c r="BR321" s="1" t="s">
        <v>74</v>
      </c>
      <c r="BS321" s="1" t="s">
        <v>3330</v>
      </c>
      <c r="BT321" s="1" t="str">
        <f>HYPERLINK("https%3A%2F%2Fwww.webofscience.com%2Fwos%2Fwoscc%2Ffull-record%2FWOS:000175957100008","View Full Record in Web of Science")</f>
        <v>View Full Record in Web of Science</v>
      </c>
    </row>
    <row r="322" ht="12.75" customHeight="1">
      <c r="A322" s="1" t="s">
        <v>72</v>
      </c>
      <c r="B322" s="1" t="s">
        <v>3331</v>
      </c>
      <c r="C322" s="1" t="s">
        <v>74</v>
      </c>
      <c r="D322" s="1" t="s">
        <v>74</v>
      </c>
      <c r="E322" s="1" t="s">
        <v>74</v>
      </c>
      <c r="F322" s="1" t="s">
        <v>3331</v>
      </c>
      <c r="G322" s="1" t="s">
        <v>74</v>
      </c>
      <c r="H322" s="1" t="s">
        <v>74</v>
      </c>
      <c r="I322" s="1" t="s">
        <v>3332</v>
      </c>
      <c r="J322" s="1" t="s">
        <v>3333</v>
      </c>
      <c r="K322" s="1" t="s">
        <v>74</v>
      </c>
      <c r="L322" s="1" t="s">
        <v>74</v>
      </c>
      <c r="M322" s="1" t="s">
        <v>74</v>
      </c>
      <c r="N322" s="1" t="s">
        <v>74</v>
      </c>
      <c r="O322" s="1" t="s">
        <v>74</v>
      </c>
      <c r="P322" s="1" t="s">
        <v>74</v>
      </c>
      <c r="Q322" s="1" t="s">
        <v>74</v>
      </c>
      <c r="R322" s="1" t="s">
        <v>74</v>
      </c>
      <c r="S322" s="1" t="s">
        <v>74</v>
      </c>
      <c r="T322" s="1" t="s">
        <v>74</v>
      </c>
      <c r="U322" s="1" t="s">
        <v>74</v>
      </c>
      <c r="V322" s="1" t="s">
        <v>3334</v>
      </c>
      <c r="W322" s="1" t="s">
        <v>74</v>
      </c>
      <c r="X322" s="1" t="s">
        <v>74</v>
      </c>
      <c r="Y322" s="1" t="s">
        <v>74</v>
      </c>
      <c r="Z322" s="1" t="s">
        <v>74</v>
      </c>
      <c r="AA322" s="1" t="s">
        <v>3335</v>
      </c>
      <c r="AB322" s="1" t="s">
        <v>74</v>
      </c>
      <c r="AC322" s="1" t="s">
        <v>74</v>
      </c>
      <c r="AD322" s="1" t="s">
        <v>74</v>
      </c>
      <c r="AE322" s="1" t="s">
        <v>74</v>
      </c>
      <c r="AF322" s="1" t="s">
        <v>74</v>
      </c>
      <c r="AG322" s="1" t="s">
        <v>74</v>
      </c>
      <c r="AH322" s="1" t="s">
        <v>74</v>
      </c>
      <c r="AI322" s="1" t="s">
        <v>74</v>
      </c>
      <c r="AJ322" s="1" t="s">
        <v>74</v>
      </c>
      <c r="AK322" s="1" t="s">
        <v>74</v>
      </c>
      <c r="AL322" s="1" t="s">
        <v>74</v>
      </c>
      <c r="AM322" s="1" t="s">
        <v>74</v>
      </c>
      <c r="AN322" s="1" t="s">
        <v>74</v>
      </c>
      <c r="AO322" s="1" t="s">
        <v>3336</v>
      </c>
      <c r="AP322" s="1" t="s">
        <v>74</v>
      </c>
      <c r="AQ322" s="1" t="s">
        <v>74</v>
      </c>
      <c r="AR322" s="1" t="s">
        <v>74</v>
      </c>
      <c r="AS322" s="1" t="s">
        <v>74</v>
      </c>
      <c r="AT322" s="1" t="s">
        <v>696</v>
      </c>
      <c r="AU322" s="1">
        <v>1999.0</v>
      </c>
      <c r="AV322" s="1">
        <v>119.0</v>
      </c>
      <c r="AW322" s="1">
        <v>1.0</v>
      </c>
      <c r="AX322" s="1" t="s">
        <v>74</v>
      </c>
      <c r="AY322" s="1" t="s">
        <v>74</v>
      </c>
      <c r="AZ322" s="1" t="s">
        <v>74</v>
      </c>
      <c r="BA322" s="1" t="s">
        <v>74</v>
      </c>
      <c r="BB322" s="1">
        <v>213.0</v>
      </c>
      <c r="BC322" s="1">
        <v>218.0</v>
      </c>
      <c r="BD322" s="1" t="s">
        <v>74</v>
      </c>
      <c r="BE322" s="1" t="s">
        <v>3337</v>
      </c>
      <c r="BF322" s="2" t="str">
        <f>HYPERLINK("http://dx.doi.org/10.1104/pp.119.1.213","http://dx.doi.org/10.1104/pp.119.1.213")</f>
        <v>http://dx.doi.org/10.1104/pp.119.1.213</v>
      </c>
      <c r="BG322" s="1" t="s">
        <v>74</v>
      </c>
      <c r="BH322" s="1" t="s">
        <v>74</v>
      </c>
      <c r="BI322" s="1" t="s">
        <v>74</v>
      </c>
      <c r="BJ322" s="1" t="s">
        <v>74</v>
      </c>
      <c r="BK322" s="1" t="s">
        <v>74</v>
      </c>
      <c r="BL322" s="1" t="s">
        <v>74</v>
      </c>
      <c r="BM322" s="1" t="s">
        <v>74</v>
      </c>
      <c r="BN322" s="1">
        <v>9880363.0</v>
      </c>
      <c r="BO322" s="1" t="s">
        <v>74</v>
      </c>
      <c r="BP322" s="1" t="s">
        <v>74</v>
      </c>
      <c r="BQ322" s="1" t="s">
        <v>74</v>
      </c>
      <c r="BR322" s="1" t="s">
        <v>74</v>
      </c>
      <c r="BS322" s="1" t="s">
        <v>3338</v>
      </c>
      <c r="BT322" s="1" t="str">
        <f>HYPERLINK("https%3A%2F%2Fwww.webofscience.com%2Fwos%2Fwoscc%2Ffull-record%2FWOS:000078048300025","View Full Record in Web of Science")</f>
        <v>View Full Record in Web of Science</v>
      </c>
    </row>
    <row r="323" ht="12.75" customHeight="1">
      <c r="A323" s="1" t="s">
        <v>72</v>
      </c>
      <c r="B323" s="1" t="s">
        <v>3339</v>
      </c>
      <c r="C323" s="1" t="s">
        <v>74</v>
      </c>
      <c r="D323" s="1" t="s">
        <v>74</v>
      </c>
      <c r="E323" s="1" t="s">
        <v>74</v>
      </c>
      <c r="F323" s="1" t="s">
        <v>3339</v>
      </c>
      <c r="G323" s="1" t="s">
        <v>74</v>
      </c>
      <c r="H323" s="1" t="s">
        <v>74</v>
      </c>
      <c r="I323" s="1" t="s">
        <v>3340</v>
      </c>
      <c r="J323" s="1" t="s">
        <v>3341</v>
      </c>
      <c r="K323" s="1" t="s">
        <v>74</v>
      </c>
      <c r="L323" s="1" t="s">
        <v>74</v>
      </c>
      <c r="M323" s="1" t="s">
        <v>74</v>
      </c>
      <c r="N323" s="1" t="s">
        <v>74</v>
      </c>
      <c r="O323" s="1" t="s">
        <v>74</v>
      </c>
      <c r="P323" s="1" t="s">
        <v>74</v>
      </c>
      <c r="Q323" s="1" t="s">
        <v>74</v>
      </c>
      <c r="R323" s="1" t="s">
        <v>74</v>
      </c>
      <c r="S323" s="1" t="s">
        <v>74</v>
      </c>
      <c r="T323" s="1" t="s">
        <v>74</v>
      </c>
      <c r="U323" s="1" t="s">
        <v>74</v>
      </c>
      <c r="V323" s="1" t="s">
        <v>3342</v>
      </c>
      <c r="W323" s="1" t="s">
        <v>74</v>
      </c>
      <c r="X323" s="1" t="s">
        <v>74</v>
      </c>
      <c r="Y323" s="1" t="s">
        <v>74</v>
      </c>
      <c r="Z323" s="1" t="s">
        <v>74</v>
      </c>
      <c r="AA323" s="1" t="s">
        <v>3343</v>
      </c>
      <c r="AB323" s="1" t="s">
        <v>3344</v>
      </c>
      <c r="AC323" s="1" t="s">
        <v>74</v>
      </c>
      <c r="AD323" s="1" t="s">
        <v>74</v>
      </c>
      <c r="AE323" s="1" t="s">
        <v>74</v>
      </c>
      <c r="AF323" s="1" t="s">
        <v>74</v>
      </c>
      <c r="AG323" s="1" t="s">
        <v>74</v>
      </c>
      <c r="AH323" s="1" t="s">
        <v>74</v>
      </c>
      <c r="AI323" s="1" t="s">
        <v>74</v>
      </c>
      <c r="AJ323" s="1" t="s">
        <v>74</v>
      </c>
      <c r="AK323" s="1" t="s">
        <v>74</v>
      </c>
      <c r="AL323" s="1" t="s">
        <v>74</v>
      </c>
      <c r="AM323" s="1" t="s">
        <v>74</v>
      </c>
      <c r="AN323" s="1" t="s">
        <v>74</v>
      </c>
      <c r="AO323" s="1" t="s">
        <v>74</v>
      </c>
      <c r="AP323" s="1" t="s">
        <v>74</v>
      </c>
      <c r="AQ323" s="1" t="s">
        <v>74</v>
      </c>
      <c r="AR323" s="1" t="s">
        <v>74</v>
      </c>
      <c r="AS323" s="1" t="s">
        <v>74</v>
      </c>
      <c r="AT323" s="1" t="s">
        <v>111</v>
      </c>
      <c r="AU323" s="1">
        <v>1998.0</v>
      </c>
      <c r="AV323" s="1">
        <v>103.0</v>
      </c>
      <c r="AW323" s="1" t="s">
        <v>3345</v>
      </c>
      <c r="AX323" s="1" t="s">
        <v>74</v>
      </c>
      <c r="AY323" s="1" t="s">
        <v>74</v>
      </c>
      <c r="AZ323" s="1" t="s">
        <v>74</v>
      </c>
      <c r="BA323" s="1" t="s">
        <v>74</v>
      </c>
      <c r="BB323" s="1">
        <v>9317.0</v>
      </c>
      <c r="BC323" s="1">
        <v>9332.0</v>
      </c>
      <c r="BD323" s="1" t="s">
        <v>74</v>
      </c>
      <c r="BE323" s="1" t="s">
        <v>3346</v>
      </c>
      <c r="BF323" s="2" t="str">
        <f>HYPERLINK("http://dx.doi.org/10.1029/97JA03090","http://dx.doi.org/10.1029/97JA03090")</f>
        <v>http://dx.doi.org/10.1029/97JA03090</v>
      </c>
      <c r="BG323" s="1" t="s">
        <v>74</v>
      </c>
      <c r="BH323" s="1" t="s">
        <v>74</v>
      </c>
      <c r="BI323" s="1" t="s">
        <v>74</v>
      </c>
      <c r="BJ323" s="1" t="s">
        <v>74</v>
      </c>
      <c r="BK323" s="1" t="s">
        <v>74</v>
      </c>
      <c r="BL323" s="1" t="s">
        <v>74</v>
      </c>
      <c r="BM323" s="1" t="s">
        <v>74</v>
      </c>
      <c r="BN323" s="1" t="s">
        <v>74</v>
      </c>
      <c r="BO323" s="1" t="s">
        <v>74</v>
      </c>
      <c r="BP323" s="1" t="s">
        <v>74</v>
      </c>
      <c r="BQ323" s="1" t="s">
        <v>74</v>
      </c>
      <c r="BR323" s="1" t="s">
        <v>74</v>
      </c>
      <c r="BS323" s="1" t="s">
        <v>3347</v>
      </c>
      <c r="BT323" s="1" t="str">
        <f>HYPERLINK("https%3A%2F%2Fwww.webofscience.com%2Fwos%2Fwoscc%2Ffull-record%2FWOS:000073430300022","View Full Record in Web of Science")</f>
        <v>View Full Record in Web of Science</v>
      </c>
    </row>
    <row r="324" ht="12.75" customHeight="1">
      <c r="A324" s="1" t="s">
        <v>72</v>
      </c>
      <c r="B324" s="1" t="s">
        <v>3348</v>
      </c>
      <c r="C324" s="1" t="s">
        <v>74</v>
      </c>
      <c r="D324" s="1" t="s">
        <v>74</v>
      </c>
      <c r="E324" s="1" t="s">
        <v>74</v>
      </c>
      <c r="F324" s="1" t="s">
        <v>3349</v>
      </c>
      <c r="G324" s="1" t="s">
        <v>74</v>
      </c>
      <c r="H324" s="1" t="s">
        <v>74</v>
      </c>
      <c r="I324" s="1" t="s">
        <v>3350</v>
      </c>
      <c r="J324" s="1" t="s">
        <v>3351</v>
      </c>
      <c r="K324" s="1" t="s">
        <v>74</v>
      </c>
      <c r="L324" s="1" t="s">
        <v>74</v>
      </c>
      <c r="M324" s="1" t="s">
        <v>74</v>
      </c>
      <c r="N324" s="1" t="s">
        <v>74</v>
      </c>
      <c r="O324" s="1" t="s">
        <v>74</v>
      </c>
      <c r="P324" s="1" t="s">
        <v>74</v>
      </c>
      <c r="Q324" s="1" t="s">
        <v>74</v>
      </c>
      <c r="R324" s="1" t="s">
        <v>74</v>
      </c>
      <c r="S324" s="1" t="s">
        <v>74</v>
      </c>
      <c r="T324" s="1" t="s">
        <v>74</v>
      </c>
      <c r="U324" s="1" t="s">
        <v>74</v>
      </c>
      <c r="V324" s="1" t="s">
        <v>3352</v>
      </c>
      <c r="W324" s="1" t="s">
        <v>74</v>
      </c>
      <c r="X324" s="1" t="s">
        <v>74</v>
      </c>
      <c r="Y324" s="1" t="s">
        <v>74</v>
      </c>
      <c r="Z324" s="1" t="s">
        <v>74</v>
      </c>
      <c r="AA324" s="1" t="s">
        <v>3353</v>
      </c>
      <c r="AB324" s="1" t="s">
        <v>3354</v>
      </c>
      <c r="AC324" s="1" t="s">
        <v>74</v>
      </c>
      <c r="AD324" s="1" t="s">
        <v>74</v>
      </c>
      <c r="AE324" s="1" t="s">
        <v>74</v>
      </c>
      <c r="AF324" s="1" t="s">
        <v>74</v>
      </c>
      <c r="AG324" s="1" t="s">
        <v>74</v>
      </c>
      <c r="AH324" s="1" t="s">
        <v>74</v>
      </c>
      <c r="AI324" s="1" t="s">
        <v>74</v>
      </c>
      <c r="AJ324" s="1" t="s">
        <v>74</v>
      </c>
      <c r="AK324" s="1" t="s">
        <v>74</v>
      </c>
      <c r="AL324" s="1" t="s">
        <v>74</v>
      </c>
      <c r="AM324" s="1" t="s">
        <v>74</v>
      </c>
      <c r="AN324" s="1" t="s">
        <v>74</v>
      </c>
      <c r="AO324" s="1" t="s">
        <v>3355</v>
      </c>
      <c r="AP324" s="1" t="s">
        <v>74</v>
      </c>
      <c r="AQ324" s="1" t="s">
        <v>74</v>
      </c>
      <c r="AR324" s="1" t="s">
        <v>74</v>
      </c>
      <c r="AS324" s="1" t="s">
        <v>74</v>
      </c>
      <c r="AT324" s="1" t="s">
        <v>3077</v>
      </c>
      <c r="AU324" s="1">
        <v>2025.0</v>
      </c>
      <c r="AV324" s="1">
        <v>10.0</v>
      </c>
      <c r="AW324" s="1">
        <v>1.0</v>
      </c>
      <c r="AX324" s="1" t="s">
        <v>74</v>
      </c>
      <c r="AY324" s="1" t="s">
        <v>74</v>
      </c>
      <c r="AZ324" s="1" t="s">
        <v>74</v>
      </c>
      <c r="BA324" s="1" t="s">
        <v>74</v>
      </c>
      <c r="BB324" s="1" t="s">
        <v>74</v>
      </c>
      <c r="BC324" s="1" t="s">
        <v>74</v>
      </c>
      <c r="BD324" s="1">
        <v>15023.0</v>
      </c>
      <c r="BE324" s="1" t="s">
        <v>3356</v>
      </c>
      <c r="BF324" s="2" t="str">
        <f>HYPERLINK("http://dx.doi.org/10.1088/2058-9565/ad8b64","http://dx.doi.org/10.1088/2058-9565/ad8b64")</f>
        <v>http://dx.doi.org/10.1088/2058-9565/ad8b64</v>
      </c>
      <c r="BG324" s="1" t="s">
        <v>74</v>
      </c>
      <c r="BH324" s="1" t="s">
        <v>74</v>
      </c>
      <c r="BI324" s="1" t="s">
        <v>74</v>
      </c>
      <c r="BJ324" s="1" t="s">
        <v>74</v>
      </c>
      <c r="BK324" s="1" t="s">
        <v>74</v>
      </c>
      <c r="BL324" s="1" t="s">
        <v>74</v>
      </c>
      <c r="BM324" s="1" t="s">
        <v>74</v>
      </c>
      <c r="BN324" s="1" t="s">
        <v>74</v>
      </c>
      <c r="BO324" s="1" t="s">
        <v>74</v>
      </c>
      <c r="BP324" s="1" t="s">
        <v>74</v>
      </c>
      <c r="BQ324" s="1" t="s">
        <v>74</v>
      </c>
      <c r="BR324" s="1" t="s">
        <v>74</v>
      </c>
      <c r="BS324" s="1" t="s">
        <v>3357</v>
      </c>
      <c r="BT324" s="1" t="str">
        <f>HYPERLINK("https%3A%2F%2Fwww.webofscience.com%2Fwos%2Fwoscc%2Ffull-record%2FWOS:001352037100001","View Full Record in Web of Science")</f>
        <v>View Full Record in Web of Science</v>
      </c>
    </row>
    <row r="325" ht="12.75" customHeight="1">
      <c r="A325" s="1" t="s">
        <v>72</v>
      </c>
      <c r="B325" s="1" t="s">
        <v>3358</v>
      </c>
      <c r="C325" s="1" t="s">
        <v>74</v>
      </c>
      <c r="D325" s="1" t="s">
        <v>74</v>
      </c>
      <c r="E325" s="1" t="s">
        <v>74</v>
      </c>
      <c r="F325" s="1" t="s">
        <v>3359</v>
      </c>
      <c r="G325" s="1" t="s">
        <v>74</v>
      </c>
      <c r="H325" s="1" t="s">
        <v>74</v>
      </c>
      <c r="I325" s="1" t="s">
        <v>3360</v>
      </c>
      <c r="J325" s="1" t="s">
        <v>3361</v>
      </c>
      <c r="K325" s="1" t="s">
        <v>74</v>
      </c>
      <c r="L325" s="1" t="s">
        <v>74</v>
      </c>
      <c r="M325" s="1" t="s">
        <v>74</v>
      </c>
      <c r="N325" s="1" t="s">
        <v>74</v>
      </c>
      <c r="O325" s="1" t="s">
        <v>74</v>
      </c>
      <c r="P325" s="1" t="s">
        <v>74</v>
      </c>
      <c r="Q325" s="1" t="s">
        <v>74</v>
      </c>
      <c r="R325" s="1" t="s">
        <v>74</v>
      </c>
      <c r="S325" s="1" t="s">
        <v>74</v>
      </c>
      <c r="T325" s="1" t="s">
        <v>74</v>
      </c>
      <c r="U325" s="1" t="s">
        <v>74</v>
      </c>
      <c r="V325" s="1" t="s">
        <v>74</v>
      </c>
      <c r="W325" s="1" t="s">
        <v>74</v>
      </c>
      <c r="X325" s="1" t="s">
        <v>74</v>
      </c>
      <c r="Y325" s="1" t="s">
        <v>74</v>
      </c>
      <c r="Z325" s="1" t="s">
        <v>74</v>
      </c>
      <c r="AA325" s="1" t="s">
        <v>3362</v>
      </c>
      <c r="AB325" s="1" t="s">
        <v>3363</v>
      </c>
      <c r="AC325" s="1" t="s">
        <v>74</v>
      </c>
      <c r="AD325" s="1" t="s">
        <v>74</v>
      </c>
      <c r="AE325" s="1" t="s">
        <v>74</v>
      </c>
      <c r="AF325" s="1" t="s">
        <v>74</v>
      </c>
      <c r="AG325" s="1" t="s">
        <v>74</v>
      </c>
      <c r="AH325" s="1" t="s">
        <v>74</v>
      </c>
      <c r="AI325" s="1" t="s">
        <v>74</v>
      </c>
      <c r="AJ325" s="1" t="s">
        <v>74</v>
      </c>
      <c r="AK325" s="1" t="s">
        <v>74</v>
      </c>
      <c r="AL325" s="1" t="s">
        <v>74</v>
      </c>
      <c r="AM325" s="1" t="s">
        <v>74</v>
      </c>
      <c r="AN325" s="1" t="s">
        <v>74</v>
      </c>
      <c r="AO325" s="1" t="s">
        <v>3364</v>
      </c>
      <c r="AP325" s="1" t="s">
        <v>74</v>
      </c>
      <c r="AQ325" s="1" t="s">
        <v>74</v>
      </c>
      <c r="AR325" s="1" t="s">
        <v>74</v>
      </c>
      <c r="AS325" s="1" t="s">
        <v>74</v>
      </c>
      <c r="AT325" s="1" t="s">
        <v>696</v>
      </c>
      <c r="AU325" s="1">
        <v>2025.0</v>
      </c>
      <c r="AV325" s="1">
        <v>8.0</v>
      </c>
      <c r="AW325" s="1">
        <v>1.0</v>
      </c>
      <c r="AX325" s="1" t="s">
        <v>74</v>
      </c>
      <c r="AY325" s="1" t="s">
        <v>74</v>
      </c>
      <c r="AZ325" s="1" t="s">
        <v>74</v>
      </c>
      <c r="BA325" s="1" t="s">
        <v>74</v>
      </c>
      <c r="BB325" s="1">
        <v>1.0</v>
      </c>
      <c r="BC325" s="1">
        <v>2.0</v>
      </c>
      <c r="BD325" s="1" t="s">
        <v>74</v>
      </c>
      <c r="BE325" s="1" t="s">
        <v>3365</v>
      </c>
      <c r="BF325" s="2" t="str">
        <f>HYPERLINK("http://dx.doi.org/10.1038/s41893-024-01499-0","http://dx.doi.org/10.1038/s41893-024-01499-0")</f>
        <v>http://dx.doi.org/10.1038/s41893-024-01499-0</v>
      </c>
      <c r="BG325" s="1" t="s">
        <v>74</v>
      </c>
      <c r="BH325" s="1" t="s">
        <v>148</v>
      </c>
      <c r="BI325" s="1" t="s">
        <v>74</v>
      </c>
      <c r="BJ325" s="1" t="s">
        <v>74</v>
      </c>
      <c r="BK325" s="1" t="s">
        <v>74</v>
      </c>
      <c r="BL325" s="1" t="s">
        <v>74</v>
      </c>
      <c r="BM325" s="1" t="s">
        <v>74</v>
      </c>
      <c r="BN325" s="1" t="s">
        <v>74</v>
      </c>
      <c r="BO325" s="1" t="s">
        <v>74</v>
      </c>
      <c r="BP325" s="1" t="s">
        <v>74</v>
      </c>
      <c r="BQ325" s="1" t="s">
        <v>74</v>
      </c>
      <c r="BR325" s="1" t="s">
        <v>74</v>
      </c>
      <c r="BS325" s="1" t="s">
        <v>3366</v>
      </c>
      <c r="BT325" s="1" t="str">
        <f>HYPERLINK("https%3A%2F%2Fwww.webofscience.com%2Fwos%2Fwoscc%2Ffull-record%2FWOS:001381176300001","View Full Record in Web of Science")</f>
        <v>View Full Record in Web of Science</v>
      </c>
    </row>
    <row r="326" ht="12.75" customHeight="1">
      <c r="A326" s="1" t="s">
        <v>72</v>
      </c>
      <c r="B326" s="1" t="s">
        <v>3367</v>
      </c>
      <c r="C326" s="1" t="s">
        <v>74</v>
      </c>
      <c r="D326" s="1" t="s">
        <v>74</v>
      </c>
      <c r="E326" s="1" t="s">
        <v>74</v>
      </c>
      <c r="F326" s="1" t="s">
        <v>3368</v>
      </c>
      <c r="G326" s="1" t="s">
        <v>74</v>
      </c>
      <c r="H326" s="1" t="s">
        <v>74</v>
      </c>
      <c r="I326" s="1" t="s">
        <v>3369</v>
      </c>
      <c r="J326" s="1" t="s">
        <v>3370</v>
      </c>
      <c r="K326" s="1" t="s">
        <v>74</v>
      </c>
      <c r="L326" s="1" t="s">
        <v>74</v>
      </c>
      <c r="M326" s="1" t="s">
        <v>74</v>
      </c>
      <c r="N326" s="1" t="s">
        <v>74</v>
      </c>
      <c r="O326" s="1" t="s">
        <v>74</v>
      </c>
      <c r="P326" s="1" t="s">
        <v>74</v>
      </c>
      <c r="Q326" s="1" t="s">
        <v>74</v>
      </c>
      <c r="R326" s="1" t="s">
        <v>74</v>
      </c>
      <c r="S326" s="1" t="s">
        <v>74</v>
      </c>
      <c r="T326" s="1" t="s">
        <v>74</v>
      </c>
      <c r="U326" s="1" t="s">
        <v>74</v>
      </c>
      <c r="V326" s="1" t="s">
        <v>3371</v>
      </c>
      <c r="W326" s="1" t="s">
        <v>74</v>
      </c>
      <c r="X326" s="1" t="s">
        <v>74</v>
      </c>
      <c r="Y326" s="1" t="s">
        <v>74</v>
      </c>
      <c r="Z326" s="1" t="s">
        <v>74</v>
      </c>
      <c r="AA326" s="1" t="s">
        <v>3372</v>
      </c>
      <c r="AB326" s="1" t="s">
        <v>3373</v>
      </c>
      <c r="AC326" s="1" t="s">
        <v>74</v>
      </c>
      <c r="AD326" s="1" t="s">
        <v>74</v>
      </c>
      <c r="AE326" s="1" t="s">
        <v>74</v>
      </c>
      <c r="AF326" s="1" t="s">
        <v>74</v>
      </c>
      <c r="AG326" s="1" t="s">
        <v>74</v>
      </c>
      <c r="AH326" s="1" t="s">
        <v>74</v>
      </c>
      <c r="AI326" s="1" t="s">
        <v>74</v>
      </c>
      <c r="AJ326" s="1" t="s">
        <v>74</v>
      </c>
      <c r="AK326" s="1" t="s">
        <v>74</v>
      </c>
      <c r="AL326" s="1" t="s">
        <v>74</v>
      </c>
      <c r="AM326" s="1" t="s">
        <v>74</v>
      </c>
      <c r="AN326" s="1" t="s">
        <v>74</v>
      </c>
      <c r="AO326" s="1" t="s">
        <v>3374</v>
      </c>
      <c r="AP326" s="1" t="s">
        <v>74</v>
      </c>
      <c r="AQ326" s="1" t="s">
        <v>74</v>
      </c>
      <c r="AR326" s="1" t="s">
        <v>74</v>
      </c>
      <c r="AS326" s="1" t="s">
        <v>74</v>
      </c>
      <c r="AT326" s="1" t="s">
        <v>606</v>
      </c>
      <c r="AU326" s="1">
        <v>2024.0</v>
      </c>
      <c r="AV326" s="1">
        <v>14.0</v>
      </c>
      <c r="AW326" s="1">
        <v>4.0</v>
      </c>
      <c r="AX326" s="1" t="s">
        <v>74</v>
      </c>
      <c r="AY326" s="1" t="s">
        <v>74</v>
      </c>
      <c r="AZ326" s="1" t="s">
        <v>74</v>
      </c>
      <c r="BA326" s="1" t="s">
        <v>74</v>
      </c>
      <c r="BB326" s="1" t="s">
        <v>74</v>
      </c>
      <c r="BC326" s="1" t="s">
        <v>74</v>
      </c>
      <c r="BD326" s="1">
        <v>2.1582440241292136E16</v>
      </c>
      <c r="BE326" s="1" t="s">
        <v>3375</v>
      </c>
      <c r="BF326" s="2" t="str">
        <f>HYPERLINK("http://dx.doi.org/10.1177/21582440241292136","http://dx.doi.org/10.1177/21582440241292136")</f>
        <v>http://dx.doi.org/10.1177/21582440241292136</v>
      </c>
      <c r="BG326" s="1" t="s">
        <v>74</v>
      </c>
      <c r="BH326" s="1" t="s">
        <v>74</v>
      </c>
      <c r="BI326" s="1" t="s">
        <v>74</v>
      </c>
      <c r="BJ326" s="1" t="s">
        <v>74</v>
      </c>
      <c r="BK326" s="1" t="s">
        <v>74</v>
      </c>
      <c r="BL326" s="1" t="s">
        <v>74</v>
      </c>
      <c r="BM326" s="1" t="s">
        <v>74</v>
      </c>
      <c r="BN326" s="1" t="s">
        <v>74</v>
      </c>
      <c r="BO326" s="1" t="s">
        <v>74</v>
      </c>
      <c r="BP326" s="1" t="s">
        <v>74</v>
      </c>
      <c r="BQ326" s="1" t="s">
        <v>74</v>
      </c>
      <c r="BR326" s="1" t="s">
        <v>74</v>
      </c>
      <c r="BS326" s="1" t="s">
        <v>3376</v>
      </c>
      <c r="BT326" s="1" t="str">
        <f>HYPERLINK("https%3A%2F%2Fwww.webofscience.com%2Fwos%2Fwoscc%2Ffull-record%2FWOS:001343244400001","View Full Record in Web of Science")</f>
        <v>View Full Record in Web of Science</v>
      </c>
    </row>
    <row r="327" ht="12.75" customHeight="1">
      <c r="A327" s="1" t="s">
        <v>72</v>
      </c>
      <c r="B327" s="1" t="s">
        <v>3377</v>
      </c>
      <c r="C327" s="1" t="s">
        <v>74</v>
      </c>
      <c r="D327" s="1" t="s">
        <v>74</v>
      </c>
      <c r="E327" s="1" t="s">
        <v>74</v>
      </c>
      <c r="F327" s="1" t="s">
        <v>3378</v>
      </c>
      <c r="G327" s="1" t="s">
        <v>74</v>
      </c>
      <c r="H327" s="1" t="s">
        <v>74</v>
      </c>
      <c r="I327" s="1" t="s">
        <v>3379</v>
      </c>
      <c r="J327" s="1" t="s">
        <v>3380</v>
      </c>
      <c r="K327" s="1" t="s">
        <v>74</v>
      </c>
      <c r="L327" s="1" t="s">
        <v>74</v>
      </c>
      <c r="M327" s="1" t="s">
        <v>74</v>
      </c>
      <c r="N327" s="1" t="s">
        <v>74</v>
      </c>
      <c r="O327" s="1" t="s">
        <v>74</v>
      </c>
      <c r="P327" s="1" t="s">
        <v>74</v>
      </c>
      <c r="Q327" s="1" t="s">
        <v>74</v>
      </c>
      <c r="R327" s="1" t="s">
        <v>74</v>
      </c>
      <c r="S327" s="1" t="s">
        <v>74</v>
      </c>
      <c r="T327" s="1" t="s">
        <v>74</v>
      </c>
      <c r="U327" s="1" t="s">
        <v>74</v>
      </c>
      <c r="V327" s="1" t="s">
        <v>3381</v>
      </c>
      <c r="W327" s="1" t="s">
        <v>74</v>
      </c>
      <c r="X327" s="1" t="s">
        <v>74</v>
      </c>
      <c r="Y327" s="1" t="s">
        <v>74</v>
      </c>
      <c r="Z327" s="1" t="s">
        <v>74</v>
      </c>
      <c r="AA327" s="1" t="s">
        <v>3382</v>
      </c>
      <c r="AB327" s="1" t="s">
        <v>3383</v>
      </c>
      <c r="AC327" s="1" t="s">
        <v>74</v>
      </c>
      <c r="AD327" s="1" t="s">
        <v>74</v>
      </c>
      <c r="AE327" s="1" t="s">
        <v>74</v>
      </c>
      <c r="AF327" s="1" t="s">
        <v>74</v>
      </c>
      <c r="AG327" s="1" t="s">
        <v>74</v>
      </c>
      <c r="AH327" s="1" t="s">
        <v>74</v>
      </c>
      <c r="AI327" s="1" t="s">
        <v>74</v>
      </c>
      <c r="AJ327" s="1" t="s">
        <v>74</v>
      </c>
      <c r="AK327" s="1" t="s">
        <v>74</v>
      </c>
      <c r="AL327" s="1" t="s">
        <v>74</v>
      </c>
      <c r="AM327" s="1" t="s">
        <v>74</v>
      </c>
      <c r="AN327" s="1" t="s">
        <v>74</v>
      </c>
      <c r="AO327" s="1" t="s">
        <v>3384</v>
      </c>
      <c r="AP327" s="1" t="s">
        <v>3385</v>
      </c>
      <c r="AQ327" s="1" t="s">
        <v>74</v>
      </c>
      <c r="AR327" s="1" t="s">
        <v>74</v>
      </c>
      <c r="AS327" s="1" t="s">
        <v>74</v>
      </c>
      <c r="AT327" s="1" t="s">
        <v>350</v>
      </c>
      <c r="AU327" s="1">
        <v>2024.0</v>
      </c>
      <c r="AV327" s="1">
        <v>28.0</v>
      </c>
      <c r="AW327" s="1">
        <v>2.0</v>
      </c>
      <c r="AX327" s="1" t="s">
        <v>74</v>
      </c>
      <c r="AY327" s="1" t="s">
        <v>74</v>
      </c>
      <c r="AZ327" s="1" t="s">
        <v>74</v>
      </c>
      <c r="BA327" s="1" t="s">
        <v>74</v>
      </c>
      <c r="BB327" s="1" t="s">
        <v>74</v>
      </c>
      <c r="BC327" s="1" t="s">
        <v>74</v>
      </c>
      <c r="BD327" s="1">
        <v>19.0</v>
      </c>
      <c r="BE327" s="1" t="s">
        <v>3386</v>
      </c>
      <c r="BF327" s="2" t="str">
        <f>HYPERLINK("http://dx.doi.org/10.1007/s00792-024-01335-5","http://dx.doi.org/10.1007/s00792-024-01335-5")</f>
        <v>http://dx.doi.org/10.1007/s00792-024-01335-5</v>
      </c>
      <c r="BG327" s="1" t="s">
        <v>74</v>
      </c>
      <c r="BH327" s="1" t="s">
        <v>74</v>
      </c>
      <c r="BI327" s="1" t="s">
        <v>74</v>
      </c>
      <c r="BJ327" s="1" t="s">
        <v>74</v>
      </c>
      <c r="BK327" s="1" t="s">
        <v>74</v>
      </c>
      <c r="BL327" s="1" t="s">
        <v>74</v>
      </c>
      <c r="BM327" s="1" t="s">
        <v>74</v>
      </c>
      <c r="BN327" s="1">
        <v>3.8427139E7</v>
      </c>
      <c r="BO327" s="1" t="s">
        <v>74</v>
      </c>
      <c r="BP327" s="1" t="s">
        <v>74</v>
      </c>
      <c r="BQ327" s="1" t="s">
        <v>74</v>
      </c>
      <c r="BR327" s="1" t="s">
        <v>74</v>
      </c>
      <c r="BS327" s="1" t="s">
        <v>3387</v>
      </c>
      <c r="BT327" s="1" t="str">
        <f>HYPERLINK("https%3A%2F%2Fwww.webofscience.com%2Fwos%2Fwoscc%2Ffull-record%2FWOS:001174882400001","View Full Record in Web of Science")</f>
        <v>View Full Record in Web of Science</v>
      </c>
    </row>
    <row r="328" ht="12.75" customHeight="1">
      <c r="A328" s="1" t="s">
        <v>72</v>
      </c>
      <c r="B328" s="1" t="s">
        <v>3388</v>
      </c>
      <c r="C328" s="1" t="s">
        <v>74</v>
      </c>
      <c r="D328" s="1" t="s">
        <v>74</v>
      </c>
      <c r="E328" s="1" t="s">
        <v>74</v>
      </c>
      <c r="F328" s="1" t="s">
        <v>3389</v>
      </c>
      <c r="G328" s="1" t="s">
        <v>74</v>
      </c>
      <c r="H328" s="1" t="s">
        <v>74</v>
      </c>
      <c r="I328" s="1" t="s">
        <v>3390</v>
      </c>
      <c r="J328" s="1" t="s">
        <v>2492</v>
      </c>
      <c r="K328" s="1" t="s">
        <v>74</v>
      </c>
      <c r="L328" s="1" t="s">
        <v>74</v>
      </c>
      <c r="M328" s="1" t="s">
        <v>74</v>
      </c>
      <c r="N328" s="1" t="s">
        <v>74</v>
      </c>
      <c r="O328" s="1" t="s">
        <v>74</v>
      </c>
      <c r="P328" s="1" t="s">
        <v>74</v>
      </c>
      <c r="Q328" s="1" t="s">
        <v>74</v>
      </c>
      <c r="R328" s="1" t="s">
        <v>74</v>
      </c>
      <c r="S328" s="1" t="s">
        <v>74</v>
      </c>
      <c r="T328" s="1" t="s">
        <v>74</v>
      </c>
      <c r="U328" s="1" t="s">
        <v>74</v>
      </c>
      <c r="V328" s="1" t="s">
        <v>3391</v>
      </c>
      <c r="W328" s="1" t="s">
        <v>74</v>
      </c>
      <c r="X328" s="1" t="s">
        <v>74</v>
      </c>
      <c r="Y328" s="1" t="s">
        <v>74</v>
      </c>
      <c r="Z328" s="1" t="s">
        <v>74</v>
      </c>
      <c r="AA328" s="1" t="s">
        <v>290</v>
      </c>
      <c r="AB328" s="1" t="s">
        <v>3392</v>
      </c>
      <c r="AC328" s="1" t="s">
        <v>74</v>
      </c>
      <c r="AD328" s="1" t="s">
        <v>74</v>
      </c>
      <c r="AE328" s="1" t="s">
        <v>74</v>
      </c>
      <c r="AF328" s="1" t="s">
        <v>74</v>
      </c>
      <c r="AG328" s="1" t="s">
        <v>74</v>
      </c>
      <c r="AH328" s="1" t="s">
        <v>74</v>
      </c>
      <c r="AI328" s="1" t="s">
        <v>74</v>
      </c>
      <c r="AJ328" s="1" t="s">
        <v>74</v>
      </c>
      <c r="AK328" s="1" t="s">
        <v>74</v>
      </c>
      <c r="AL328" s="1" t="s">
        <v>74</v>
      </c>
      <c r="AM328" s="1" t="s">
        <v>74</v>
      </c>
      <c r="AN328" s="1" t="s">
        <v>74</v>
      </c>
      <c r="AO328" s="1" t="s">
        <v>2495</v>
      </c>
      <c r="AP328" s="1" t="s">
        <v>2496</v>
      </c>
      <c r="AQ328" s="1" t="s">
        <v>74</v>
      </c>
      <c r="AR328" s="1" t="s">
        <v>74</v>
      </c>
      <c r="AS328" s="1" t="s">
        <v>74</v>
      </c>
      <c r="AT328" s="1" t="s">
        <v>235</v>
      </c>
      <c r="AU328" s="1">
        <v>2025.0</v>
      </c>
      <c r="AV328" s="1">
        <v>45.0</v>
      </c>
      <c r="AW328" s="1">
        <v>2.0</v>
      </c>
      <c r="AX328" s="1" t="s">
        <v>74</v>
      </c>
      <c r="AY328" s="1" t="s">
        <v>74</v>
      </c>
      <c r="AZ328" s="1" t="s">
        <v>74</v>
      </c>
      <c r="BA328" s="1" t="s">
        <v>74</v>
      </c>
      <c r="BB328" s="1">
        <v>337.0</v>
      </c>
      <c r="BC328" s="1">
        <v>395.0</v>
      </c>
      <c r="BD328" s="1" t="s">
        <v>74</v>
      </c>
      <c r="BE328" s="1" t="s">
        <v>3393</v>
      </c>
      <c r="BF328" s="2" t="str">
        <f>HYPERLINK("http://dx.doi.org/10.1017/etds.2024.39","http://dx.doi.org/10.1017/etds.2024.39")</f>
        <v>http://dx.doi.org/10.1017/etds.2024.39</v>
      </c>
      <c r="BG328" s="1" t="s">
        <v>74</v>
      </c>
      <c r="BH328" s="1" t="s">
        <v>170</v>
      </c>
      <c r="BI328" s="1" t="s">
        <v>74</v>
      </c>
      <c r="BJ328" s="1" t="s">
        <v>74</v>
      </c>
      <c r="BK328" s="1" t="s">
        <v>74</v>
      </c>
      <c r="BL328" s="1" t="s">
        <v>74</v>
      </c>
      <c r="BM328" s="1" t="s">
        <v>74</v>
      </c>
      <c r="BN328" s="1" t="s">
        <v>74</v>
      </c>
      <c r="BO328" s="1" t="s">
        <v>74</v>
      </c>
      <c r="BP328" s="1" t="s">
        <v>74</v>
      </c>
      <c r="BQ328" s="1" t="s">
        <v>74</v>
      </c>
      <c r="BR328" s="1" t="s">
        <v>74</v>
      </c>
      <c r="BS328" s="1" t="s">
        <v>3394</v>
      </c>
      <c r="BT328" s="1" t="str">
        <f>HYPERLINK("https%3A%2F%2Fwww.webofscience.com%2Fwos%2Fwoscc%2Ffull-record%2FWOS:001236036900001","View Full Record in Web of Science")</f>
        <v>View Full Record in Web of Science</v>
      </c>
    </row>
    <row r="329" ht="12.75" customHeight="1">
      <c r="A329" s="1" t="s">
        <v>72</v>
      </c>
      <c r="B329" s="1" t="s">
        <v>3395</v>
      </c>
      <c r="C329" s="1" t="s">
        <v>74</v>
      </c>
      <c r="D329" s="1" t="s">
        <v>74</v>
      </c>
      <c r="E329" s="1" t="s">
        <v>74</v>
      </c>
      <c r="F329" s="1" t="s">
        <v>3396</v>
      </c>
      <c r="G329" s="1" t="s">
        <v>74</v>
      </c>
      <c r="H329" s="1" t="s">
        <v>74</v>
      </c>
      <c r="I329" s="1" t="s">
        <v>3397</v>
      </c>
      <c r="J329" s="1" t="s">
        <v>2169</v>
      </c>
      <c r="K329" s="1" t="s">
        <v>74</v>
      </c>
      <c r="L329" s="1" t="s">
        <v>74</v>
      </c>
      <c r="M329" s="1" t="s">
        <v>74</v>
      </c>
      <c r="N329" s="1" t="s">
        <v>74</v>
      </c>
      <c r="O329" s="1" t="s">
        <v>74</v>
      </c>
      <c r="P329" s="1" t="s">
        <v>74</v>
      </c>
      <c r="Q329" s="1" t="s">
        <v>74</v>
      </c>
      <c r="R329" s="1" t="s">
        <v>74</v>
      </c>
      <c r="S329" s="1" t="s">
        <v>74</v>
      </c>
      <c r="T329" s="1" t="s">
        <v>74</v>
      </c>
      <c r="U329" s="1" t="s">
        <v>74</v>
      </c>
      <c r="V329" s="1" t="s">
        <v>3398</v>
      </c>
      <c r="W329" s="1" t="s">
        <v>74</v>
      </c>
      <c r="X329" s="1" t="s">
        <v>74</v>
      </c>
      <c r="Y329" s="1" t="s">
        <v>74</v>
      </c>
      <c r="Z329" s="1" t="s">
        <v>74</v>
      </c>
      <c r="AA329" s="1" t="s">
        <v>74</v>
      </c>
      <c r="AB329" s="1" t="s">
        <v>74</v>
      </c>
      <c r="AC329" s="1" t="s">
        <v>74</v>
      </c>
      <c r="AD329" s="1" t="s">
        <v>74</v>
      </c>
      <c r="AE329" s="1" t="s">
        <v>74</v>
      </c>
      <c r="AF329" s="1" t="s">
        <v>74</v>
      </c>
      <c r="AG329" s="1" t="s">
        <v>74</v>
      </c>
      <c r="AH329" s="1" t="s">
        <v>74</v>
      </c>
      <c r="AI329" s="1" t="s">
        <v>74</v>
      </c>
      <c r="AJ329" s="1" t="s">
        <v>74</v>
      </c>
      <c r="AK329" s="1" t="s">
        <v>74</v>
      </c>
      <c r="AL329" s="1" t="s">
        <v>74</v>
      </c>
      <c r="AM329" s="1" t="s">
        <v>74</v>
      </c>
      <c r="AN329" s="1" t="s">
        <v>74</v>
      </c>
      <c r="AO329" s="1" t="s">
        <v>2171</v>
      </c>
      <c r="AP329" s="1" t="s">
        <v>74</v>
      </c>
      <c r="AQ329" s="1" t="s">
        <v>74</v>
      </c>
      <c r="AR329" s="1" t="s">
        <v>74</v>
      </c>
      <c r="AS329" s="1" t="s">
        <v>74</v>
      </c>
      <c r="AT329" s="1" t="s">
        <v>3399</v>
      </c>
      <c r="AU329" s="1">
        <v>2024.0</v>
      </c>
      <c r="AV329" s="1">
        <v>212.0</v>
      </c>
      <c r="AW329" s="1" t="s">
        <v>74</v>
      </c>
      <c r="AX329" s="1" t="s">
        <v>74</v>
      </c>
      <c r="AY329" s="1" t="s">
        <v>74</v>
      </c>
      <c r="AZ329" s="1" t="s">
        <v>74</v>
      </c>
      <c r="BA329" s="1" t="s">
        <v>74</v>
      </c>
      <c r="BB329" s="1" t="s">
        <v>74</v>
      </c>
      <c r="BC329" s="1" t="s">
        <v>74</v>
      </c>
      <c r="BD329" s="1" t="s">
        <v>74</v>
      </c>
      <c r="BE329" s="1" t="s">
        <v>3400</v>
      </c>
      <c r="BF329" s="2" t="str">
        <f>HYPERLINK("http://dx.doi.org/10.1016/j.mineng.2024.108709","http://dx.doi.org/10.1016/j.mineng.2024.108709")</f>
        <v>http://dx.doi.org/10.1016/j.mineng.2024.108709</v>
      </c>
      <c r="BG329" s="1" t="s">
        <v>74</v>
      </c>
      <c r="BH329" s="1" t="s">
        <v>170</v>
      </c>
      <c r="BI329" s="1" t="s">
        <v>74</v>
      </c>
      <c r="BJ329" s="1" t="s">
        <v>74</v>
      </c>
      <c r="BK329" s="1" t="s">
        <v>74</v>
      </c>
      <c r="BL329" s="1" t="s">
        <v>74</v>
      </c>
      <c r="BM329" s="1" t="s">
        <v>74</v>
      </c>
      <c r="BN329" s="1" t="s">
        <v>74</v>
      </c>
      <c r="BO329" s="1" t="s">
        <v>74</v>
      </c>
      <c r="BP329" s="1" t="s">
        <v>74</v>
      </c>
      <c r="BQ329" s="1" t="s">
        <v>74</v>
      </c>
      <c r="BR329" s="1" t="s">
        <v>74</v>
      </c>
      <c r="BS329" s="1" t="s">
        <v>3401</v>
      </c>
      <c r="BT329" s="1" t="str">
        <f>HYPERLINK("https%3A%2F%2Fwww.webofscience.com%2Fwos%2Fwoscc%2Ffull-record%2FWOS:001240399200001","View Full Record in Web of Science")</f>
        <v>View Full Record in Web of Science</v>
      </c>
    </row>
    <row r="330" ht="12.75" customHeight="1">
      <c r="A330" s="1" t="s">
        <v>72</v>
      </c>
      <c r="B330" s="1" t="s">
        <v>3402</v>
      </c>
      <c r="C330" s="1" t="s">
        <v>74</v>
      </c>
      <c r="D330" s="1" t="s">
        <v>74</v>
      </c>
      <c r="E330" s="1" t="s">
        <v>74</v>
      </c>
      <c r="F330" s="1" t="s">
        <v>3403</v>
      </c>
      <c r="G330" s="1" t="s">
        <v>74</v>
      </c>
      <c r="H330" s="1" t="s">
        <v>74</v>
      </c>
      <c r="I330" s="1" t="s">
        <v>3404</v>
      </c>
      <c r="J330" s="1" t="s">
        <v>3405</v>
      </c>
      <c r="K330" s="1" t="s">
        <v>74</v>
      </c>
      <c r="L330" s="1" t="s">
        <v>74</v>
      </c>
      <c r="M330" s="1" t="s">
        <v>74</v>
      </c>
      <c r="N330" s="1" t="s">
        <v>74</v>
      </c>
      <c r="O330" s="1" t="s">
        <v>74</v>
      </c>
      <c r="P330" s="1" t="s">
        <v>74</v>
      </c>
      <c r="Q330" s="1" t="s">
        <v>74</v>
      </c>
      <c r="R330" s="1" t="s">
        <v>74</v>
      </c>
      <c r="S330" s="1" t="s">
        <v>74</v>
      </c>
      <c r="T330" s="1" t="s">
        <v>74</v>
      </c>
      <c r="U330" s="1" t="s">
        <v>74</v>
      </c>
      <c r="V330" s="1" t="s">
        <v>3406</v>
      </c>
      <c r="W330" s="1" t="s">
        <v>74</v>
      </c>
      <c r="X330" s="1" t="s">
        <v>74</v>
      </c>
      <c r="Y330" s="1" t="s">
        <v>74</v>
      </c>
      <c r="Z330" s="1" t="s">
        <v>74</v>
      </c>
      <c r="AA330" s="1" t="s">
        <v>3407</v>
      </c>
      <c r="AB330" s="1" t="s">
        <v>2822</v>
      </c>
      <c r="AC330" s="1" t="s">
        <v>74</v>
      </c>
      <c r="AD330" s="1" t="s">
        <v>74</v>
      </c>
      <c r="AE330" s="1" t="s">
        <v>74</v>
      </c>
      <c r="AF330" s="1" t="s">
        <v>74</v>
      </c>
      <c r="AG330" s="1" t="s">
        <v>74</v>
      </c>
      <c r="AH330" s="1" t="s">
        <v>74</v>
      </c>
      <c r="AI330" s="1" t="s">
        <v>74</v>
      </c>
      <c r="AJ330" s="1" t="s">
        <v>74</v>
      </c>
      <c r="AK330" s="1" t="s">
        <v>74</v>
      </c>
      <c r="AL330" s="1" t="s">
        <v>74</v>
      </c>
      <c r="AM330" s="1" t="s">
        <v>74</v>
      </c>
      <c r="AN330" s="1" t="s">
        <v>74</v>
      </c>
      <c r="AO330" s="1" t="s">
        <v>3408</v>
      </c>
      <c r="AP330" s="1" t="s">
        <v>3409</v>
      </c>
      <c r="AQ330" s="1" t="s">
        <v>74</v>
      </c>
      <c r="AR330" s="1" t="s">
        <v>74</v>
      </c>
      <c r="AS330" s="1" t="s">
        <v>74</v>
      </c>
      <c r="AT330" s="1" t="s">
        <v>3410</v>
      </c>
      <c r="AU330" s="1">
        <v>2024.0</v>
      </c>
      <c r="AV330" s="1" t="s">
        <v>74</v>
      </c>
      <c r="AW330" s="1" t="s">
        <v>74</v>
      </c>
      <c r="AX330" s="1" t="s">
        <v>74</v>
      </c>
      <c r="AY330" s="1" t="s">
        <v>74</v>
      </c>
      <c r="AZ330" s="1" t="s">
        <v>74</v>
      </c>
      <c r="BA330" s="1" t="s">
        <v>74</v>
      </c>
      <c r="BB330" s="1" t="s">
        <v>74</v>
      </c>
      <c r="BC330" s="1" t="s">
        <v>74</v>
      </c>
      <c r="BD330" s="1" t="s">
        <v>74</v>
      </c>
      <c r="BE330" s="1" t="s">
        <v>3411</v>
      </c>
      <c r="BF330" s="2" t="str">
        <f>HYPERLINK("http://dx.doi.org/10.1177/00332941241248595","http://dx.doi.org/10.1177/00332941241248595")</f>
        <v>http://dx.doi.org/10.1177/00332941241248595</v>
      </c>
      <c r="BG330" s="1" t="s">
        <v>74</v>
      </c>
      <c r="BH330" s="1" t="s">
        <v>782</v>
      </c>
      <c r="BI330" s="1" t="s">
        <v>74</v>
      </c>
      <c r="BJ330" s="1" t="s">
        <v>74</v>
      </c>
      <c r="BK330" s="1" t="s">
        <v>74</v>
      </c>
      <c r="BL330" s="1" t="s">
        <v>74</v>
      </c>
      <c r="BM330" s="1" t="s">
        <v>74</v>
      </c>
      <c r="BN330" s="1">
        <v>3.8648517E7</v>
      </c>
      <c r="BO330" s="1" t="s">
        <v>74</v>
      </c>
      <c r="BP330" s="1" t="s">
        <v>74</v>
      </c>
      <c r="BQ330" s="1" t="s">
        <v>74</v>
      </c>
      <c r="BR330" s="1" t="s">
        <v>74</v>
      </c>
      <c r="BS330" s="1" t="s">
        <v>3412</v>
      </c>
      <c r="BT330" s="1" t="str">
        <f>HYPERLINK("https%3A%2F%2Fwww.webofscience.com%2Fwos%2Fwoscc%2Ffull-record%2FWOS:001206515100001","View Full Record in Web of Science")</f>
        <v>View Full Record in Web of Science</v>
      </c>
    </row>
    <row r="331" ht="12.75" customHeight="1">
      <c r="A331" s="1" t="s">
        <v>72</v>
      </c>
      <c r="B331" s="1" t="s">
        <v>3413</v>
      </c>
      <c r="C331" s="1" t="s">
        <v>74</v>
      </c>
      <c r="D331" s="1" t="s">
        <v>74</v>
      </c>
      <c r="E331" s="1" t="s">
        <v>74</v>
      </c>
      <c r="F331" s="1" t="s">
        <v>3414</v>
      </c>
      <c r="G331" s="1" t="s">
        <v>74</v>
      </c>
      <c r="H331" s="1" t="s">
        <v>74</v>
      </c>
      <c r="I331" s="1" t="s">
        <v>3415</v>
      </c>
      <c r="J331" s="1" t="s">
        <v>765</v>
      </c>
      <c r="K331" s="1" t="s">
        <v>74</v>
      </c>
      <c r="L331" s="1" t="s">
        <v>74</v>
      </c>
      <c r="M331" s="1" t="s">
        <v>74</v>
      </c>
      <c r="N331" s="1" t="s">
        <v>74</v>
      </c>
      <c r="O331" s="1" t="s">
        <v>74</v>
      </c>
      <c r="P331" s="1" t="s">
        <v>74</v>
      </c>
      <c r="Q331" s="1" t="s">
        <v>74</v>
      </c>
      <c r="R331" s="1" t="s">
        <v>74</v>
      </c>
      <c r="S331" s="1" t="s">
        <v>74</v>
      </c>
      <c r="T331" s="1" t="s">
        <v>74</v>
      </c>
      <c r="U331" s="1" t="s">
        <v>74</v>
      </c>
      <c r="V331" s="1" t="s">
        <v>3416</v>
      </c>
      <c r="W331" s="1" t="s">
        <v>74</v>
      </c>
      <c r="X331" s="1" t="s">
        <v>74</v>
      </c>
      <c r="Y331" s="1" t="s">
        <v>74</v>
      </c>
      <c r="Z331" s="1" t="s">
        <v>74</v>
      </c>
      <c r="AA331" s="1" t="s">
        <v>3417</v>
      </c>
      <c r="AB331" s="1" t="s">
        <v>3418</v>
      </c>
      <c r="AC331" s="1" t="s">
        <v>74</v>
      </c>
      <c r="AD331" s="1" t="s">
        <v>74</v>
      </c>
      <c r="AE331" s="1" t="s">
        <v>74</v>
      </c>
      <c r="AF331" s="1" t="s">
        <v>74</v>
      </c>
      <c r="AG331" s="1" t="s">
        <v>74</v>
      </c>
      <c r="AH331" s="1" t="s">
        <v>74</v>
      </c>
      <c r="AI331" s="1" t="s">
        <v>74</v>
      </c>
      <c r="AJ331" s="1" t="s">
        <v>74</v>
      </c>
      <c r="AK331" s="1" t="s">
        <v>74</v>
      </c>
      <c r="AL331" s="1" t="s">
        <v>74</v>
      </c>
      <c r="AM331" s="1" t="s">
        <v>74</v>
      </c>
      <c r="AN331" s="1" t="s">
        <v>74</v>
      </c>
      <c r="AO331" s="1" t="s">
        <v>769</v>
      </c>
      <c r="AP331" s="1" t="s">
        <v>74</v>
      </c>
      <c r="AQ331" s="1" t="s">
        <v>74</v>
      </c>
      <c r="AR331" s="1" t="s">
        <v>74</v>
      </c>
      <c r="AS331" s="1" t="s">
        <v>74</v>
      </c>
      <c r="AT331" s="1" t="s">
        <v>3419</v>
      </c>
      <c r="AU331" s="1">
        <v>2024.0</v>
      </c>
      <c r="AV331" s="1">
        <v>14.0</v>
      </c>
      <c r="AW331" s="1">
        <v>1.0</v>
      </c>
      <c r="AX331" s="1" t="s">
        <v>74</v>
      </c>
      <c r="AY331" s="1" t="s">
        <v>74</v>
      </c>
      <c r="AZ331" s="1" t="s">
        <v>74</v>
      </c>
      <c r="BA331" s="1" t="s">
        <v>74</v>
      </c>
      <c r="BB331" s="1" t="s">
        <v>74</v>
      </c>
      <c r="BC331" s="1" t="s">
        <v>74</v>
      </c>
      <c r="BD331" s="1">
        <v>7254.0</v>
      </c>
      <c r="BE331" s="1" t="s">
        <v>3420</v>
      </c>
      <c r="BF331" s="2" t="str">
        <f>HYPERLINK("http://dx.doi.org/10.1038/s41598-024-57759-8","http://dx.doi.org/10.1038/s41598-024-57759-8")</f>
        <v>http://dx.doi.org/10.1038/s41598-024-57759-8</v>
      </c>
      <c r="BG331" s="1" t="s">
        <v>74</v>
      </c>
      <c r="BH331" s="1" t="s">
        <v>74</v>
      </c>
      <c r="BI331" s="1" t="s">
        <v>74</v>
      </c>
      <c r="BJ331" s="1" t="s">
        <v>74</v>
      </c>
      <c r="BK331" s="1" t="s">
        <v>74</v>
      </c>
      <c r="BL331" s="1" t="s">
        <v>74</v>
      </c>
      <c r="BM331" s="1" t="s">
        <v>74</v>
      </c>
      <c r="BN331" s="1">
        <v>3.8538729E7</v>
      </c>
      <c r="BO331" s="1" t="s">
        <v>74</v>
      </c>
      <c r="BP331" s="1" t="s">
        <v>74</v>
      </c>
      <c r="BQ331" s="1" t="s">
        <v>74</v>
      </c>
      <c r="BR331" s="1" t="s">
        <v>74</v>
      </c>
      <c r="BS331" s="1" t="s">
        <v>3421</v>
      </c>
      <c r="BT331" s="1" t="str">
        <f>HYPERLINK("https%3A%2F%2Fwww.webofscience.com%2Fwos%2Fwoscc%2Ffull-record%2FWOS:001196356400065","View Full Record in Web of Science")</f>
        <v>View Full Record in Web of Science</v>
      </c>
    </row>
    <row r="332" ht="12.75" customHeight="1">
      <c r="A332" s="1" t="s">
        <v>72</v>
      </c>
      <c r="B332" s="1" t="s">
        <v>3422</v>
      </c>
      <c r="C332" s="1" t="s">
        <v>74</v>
      </c>
      <c r="D332" s="1" t="s">
        <v>74</v>
      </c>
      <c r="E332" s="1" t="s">
        <v>74</v>
      </c>
      <c r="F332" s="1" t="s">
        <v>3423</v>
      </c>
      <c r="G332" s="1" t="s">
        <v>74</v>
      </c>
      <c r="H332" s="1" t="s">
        <v>74</v>
      </c>
      <c r="I332" s="1" t="s">
        <v>3424</v>
      </c>
      <c r="J332" s="1" t="s">
        <v>3425</v>
      </c>
      <c r="K332" s="1" t="s">
        <v>74</v>
      </c>
      <c r="L332" s="1" t="s">
        <v>74</v>
      </c>
      <c r="M332" s="1" t="s">
        <v>74</v>
      </c>
      <c r="N332" s="1" t="s">
        <v>74</v>
      </c>
      <c r="O332" s="1" t="s">
        <v>3426</v>
      </c>
      <c r="P332" s="1" t="s">
        <v>3427</v>
      </c>
      <c r="Q332" s="1" t="s">
        <v>3428</v>
      </c>
      <c r="R332" s="1" t="s">
        <v>3429</v>
      </c>
      <c r="S332" s="1" t="s">
        <v>74</v>
      </c>
      <c r="T332" s="1" t="s">
        <v>74</v>
      </c>
      <c r="U332" s="1" t="s">
        <v>74</v>
      </c>
      <c r="V332" s="1" t="s">
        <v>74</v>
      </c>
      <c r="W332" s="1" t="s">
        <v>74</v>
      </c>
      <c r="X332" s="1" t="s">
        <v>74</v>
      </c>
      <c r="Y332" s="1" t="s">
        <v>74</v>
      </c>
      <c r="Z332" s="1" t="s">
        <v>74</v>
      </c>
      <c r="AA332" s="1" t="s">
        <v>3430</v>
      </c>
      <c r="AB332" s="1" t="s">
        <v>74</v>
      </c>
      <c r="AC332" s="1" t="s">
        <v>74</v>
      </c>
      <c r="AD332" s="1" t="s">
        <v>74</v>
      </c>
      <c r="AE332" s="1" t="s">
        <v>74</v>
      </c>
      <c r="AF332" s="1" t="s">
        <v>74</v>
      </c>
      <c r="AG332" s="1" t="s">
        <v>74</v>
      </c>
      <c r="AH332" s="1" t="s">
        <v>74</v>
      </c>
      <c r="AI332" s="1" t="s">
        <v>74</v>
      </c>
      <c r="AJ332" s="1" t="s">
        <v>74</v>
      </c>
      <c r="AK332" s="1" t="s">
        <v>74</v>
      </c>
      <c r="AL332" s="1" t="s">
        <v>74</v>
      </c>
      <c r="AM332" s="1" t="s">
        <v>74</v>
      </c>
      <c r="AN332" s="1" t="s">
        <v>74</v>
      </c>
      <c r="AO332" s="1" t="s">
        <v>3431</v>
      </c>
      <c r="AP332" s="1" t="s">
        <v>3432</v>
      </c>
      <c r="AQ332" s="1" t="s">
        <v>74</v>
      </c>
      <c r="AR332" s="1" t="s">
        <v>74</v>
      </c>
      <c r="AS332" s="1" t="s">
        <v>74</v>
      </c>
      <c r="AT332" s="1" t="s">
        <v>678</v>
      </c>
      <c r="AU332" s="1">
        <v>2023.0</v>
      </c>
      <c r="AV332" s="1">
        <v>89.0</v>
      </c>
      <c r="AW332" s="1">
        <v>14.0</v>
      </c>
      <c r="AX332" s="1" t="s">
        <v>74</v>
      </c>
      <c r="AY332" s="1" t="s">
        <v>74</v>
      </c>
      <c r="AZ332" s="1" t="s">
        <v>74</v>
      </c>
      <c r="BA332" s="1" t="s">
        <v>3433</v>
      </c>
      <c r="BB332" s="1">
        <v>1375.0</v>
      </c>
      <c r="BC332" s="1">
        <v>1375.0</v>
      </c>
      <c r="BD332" s="1" t="s">
        <v>74</v>
      </c>
      <c r="BE332" s="1" t="s">
        <v>3434</v>
      </c>
      <c r="BF332" s="2" t="str">
        <f>HYPERLINK("http://dx.doi.org/10.1055/s-0043-1774115","http://dx.doi.org/10.1055/s-0043-1774115")</f>
        <v>http://dx.doi.org/10.1055/s-0043-1774115</v>
      </c>
      <c r="BG332" s="1" t="s">
        <v>74</v>
      </c>
      <c r="BH332" s="1" t="s">
        <v>74</v>
      </c>
      <c r="BI332" s="1" t="s">
        <v>74</v>
      </c>
      <c r="BJ332" s="1" t="s">
        <v>74</v>
      </c>
      <c r="BK332" s="1" t="s">
        <v>74</v>
      </c>
      <c r="BL332" s="1" t="s">
        <v>74</v>
      </c>
      <c r="BM332" s="1" t="s">
        <v>74</v>
      </c>
      <c r="BN332" s="1" t="s">
        <v>74</v>
      </c>
      <c r="BO332" s="1" t="s">
        <v>74</v>
      </c>
      <c r="BP332" s="1" t="s">
        <v>74</v>
      </c>
      <c r="BQ332" s="1" t="s">
        <v>74</v>
      </c>
      <c r="BR332" s="1" t="s">
        <v>74</v>
      </c>
      <c r="BS332" s="1" t="s">
        <v>3435</v>
      </c>
      <c r="BT332" s="1" t="str">
        <f>HYPERLINK("https%3A%2F%2Fwww.webofscience.com%2Fwos%2Fwoscc%2Ffull-record%2FWOS:001115356700309","View Full Record in Web of Science")</f>
        <v>View Full Record in Web of Science</v>
      </c>
    </row>
    <row r="333" ht="12.75" customHeight="1">
      <c r="A333" s="1" t="s">
        <v>72</v>
      </c>
      <c r="B333" s="1" t="s">
        <v>3436</v>
      </c>
      <c r="C333" s="1" t="s">
        <v>74</v>
      </c>
      <c r="D333" s="1" t="s">
        <v>74</v>
      </c>
      <c r="E333" s="1" t="s">
        <v>74</v>
      </c>
      <c r="F333" s="1" t="s">
        <v>3437</v>
      </c>
      <c r="G333" s="1" t="s">
        <v>74</v>
      </c>
      <c r="H333" s="1" t="s">
        <v>74</v>
      </c>
      <c r="I333" s="1" t="s">
        <v>3438</v>
      </c>
      <c r="J333" s="1" t="s">
        <v>3439</v>
      </c>
      <c r="K333" s="1" t="s">
        <v>74</v>
      </c>
      <c r="L333" s="1" t="s">
        <v>74</v>
      </c>
      <c r="M333" s="1" t="s">
        <v>74</v>
      </c>
      <c r="N333" s="1" t="s">
        <v>74</v>
      </c>
      <c r="O333" s="1" t="s">
        <v>74</v>
      </c>
      <c r="P333" s="1" t="s">
        <v>74</v>
      </c>
      <c r="Q333" s="1" t="s">
        <v>74</v>
      </c>
      <c r="R333" s="1" t="s">
        <v>74</v>
      </c>
      <c r="S333" s="1" t="s">
        <v>74</v>
      </c>
      <c r="T333" s="1" t="s">
        <v>74</v>
      </c>
      <c r="U333" s="1" t="s">
        <v>74</v>
      </c>
      <c r="V333" s="1" t="s">
        <v>3440</v>
      </c>
      <c r="W333" s="1" t="s">
        <v>74</v>
      </c>
      <c r="X333" s="1" t="s">
        <v>74</v>
      </c>
      <c r="Y333" s="1" t="s">
        <v>74</v>
      </c>
      <c r="Z333" s="1" t="s">
        <v>74</v>
      </c>
      <c r="AA333" s="1" t="s">
        <v>3441</v>
      </c>
      <c r="AB333" s="1" t="s">
        <v>3442</v>
      </c>
      <c r="AC333" s="1" t="s">
        <v>74</v>
      </c>
      <c r="AD333" s="1" t="s">
        <v>74</v>
      </c>
      <c r="AE333" s="1" t="s">
        <v>74</v>
      </c>
      <c r="AF333" s="1" t="s">
        <v>74</v>
      </c>
      <c r="AG333" s="1" t="s">
        <v>74</v>
      </c>
      <c r="AH333" s="1" t="s">
        <v>74</v>
      </c>
      <c r="AI333" s="1" t="s">
        <v>74</v>
      </c>
      <c r="AJ333" s="1" t="s">
        <v>74</v>
      </c>
      <c r="AK333" s="1" t="s">
        <v>74</v>
      </c>
      <c r="AL333" s="1" t="s">
        <v>74</v>
      </c>
      <c r="AM333" s="1" t="s">
        <v>74</v>
      </c>
      <c r="AN333" s="1" t="s">
        <v>74</v>
      </c>
      <c r="AO333" s="1" t="s">
        <v>3443</v>
      </c>
      <c r="AP333" s="1" t="s">
        <v>3444</v>
      </c>
      <c r="AQ333" s="1" t="s">
        <v>74</v>
      </c>
      <c r="AR333" s="1" t="s">
        <v>74</v>
      </c>
      <c r="AS333" s="1" t="s">
        <v>74</v>
      </c>
      <c r="AT333" s="1" t="s">
        <v>2310</v>
      </c>
      <c r="AU333" s="1">
        <v>2023.0</v>
      </c>
      <c r="AV333" s="1">
        <v>98.0</v>
      </c>
      <c r="AW333" s="1">
        <v>7.0</v>
      </c>
      <c r="AX333" s="1" t="s">
        <v>74</v>
      </c>
      <c r="AY333" s="1" t="s">
        <v>74</v>
      </c>
      <c r="AZ333" s="1" t="s">
        <v>74</v>
      </c>
      <c r="BA333" s="1" t="s">
        <v>74</v>
      </c>
      <c r="BB333" s="1" t="s">
        <v>74</v>
      </c>
      <c r="BC333" s="1" t="s">
        <v>74</v>
      </c>
      <c r="BD333" s="1">
        <v>75204.0</v>
      </c>
      <c r="BE333" s="1" t="s">
        <v>3445</v>
      </c>
      <c r="BF333" s="2" t="str">
        <f>HYPERLINK("http://dx.doi.org/10.1088/1402-4896/acd886","http://dx.doi.org/10.1088/1402-4896/acd886")</f>
        <v>http://dx.doi.org/10.1088/1402-4896/acd886</v>
      </c>
      <c r="BG333" s="1" t="s">
        <v>74</v>
      </c>
      <c r="BH333" s="1" t="s">
        <v>74</v>
      </c>
      <c r="BI333" s="1" t="s">
        <v>74</v>
      </c>
      <c r="BJ333" s="1" t="s">
        <v>74</v>
      </c>
      <c r="BK333" s="1" t="s">
        <v>74</v>
      </c>
      <c r="BL333" s="1" t="s">
        <v>74</v>
      </c>
      <c r="BM333" s="1" t="s">
        <v>74</v>
      </c>
      <c r="BN333" s="1" t="s">
        <v>74</v>
      </c>
      <c r="BO333" s="1" t="s">
        <v>74</v>
      </c>
      <c r="BP333" s="1" t="s">
        <v>74</v>
      </c>
      <c r="BQ333" s="1" t="s">
        <v>74</v>
      </c>
      <c r="BR333" s="1" t="s">
        <v>74</v>
      </c>
      <c r="BS333" s="1" t="s">
        <v>3446</v>
      </c>
      <c r="BT333" s="1" t="str">
        <f>HYPERLINK("https%3A%2F%2Fwww.webofscience.com%2Fwos%2Fwoscc%2Ffull-record%2FWOS:000999964600001","View Full Record in Web of Science")</f>
        <v>View Full Record in Web of Science</v>
      </c>
    </row>
    <row r="334" ht="12.75" customHeight="1">
      <c r="A334" s="1" t="s">
        <v>72</v>
      </c>
      <c r="B334" s="1" t="s">
        <v>3447</v>
      </c>
      <c r="C334" s="1" t="s">
        <v>74</v>
      </c>
      <c r="D334" s="1" t="s">
        <v>74</v>
      </c>
      <c r="E334" s="1" t="s">
        <v>74</v>
      </c>
      <c r="F334" s="1" t="s">
        <v>3448</v>
      </c>
      <c r="G334" s="1" t="s">
        <v>74</v>
      </c>
      <c r="H334" s="1" t="s">
        <v>74</v>
      </c>
      <c r="I334" s="1" t="s">
        <v>3449</v>
      </c>
      <c r="J334" s="1" t="s">
        <v>3450</v>
      </c>
      <c r="K334" s="1" t="s">
        <v>74</v>
      </c>
      <c r="L334" s="1" t="s">
        <v>74</v>
      </c>
      <c r="M334" s="1" t="s">
        <v>74</v>
      </c>
      <c r="N334" s="1" t="s">
        <v>74</v>
      </c>
      <c r="O334" s="1" t="s">
        <v>74</v>
      </c>
      <c r="P334" s="1" t="s">
        <v>74</v>
      </c>
      <c r="Q334" s="1" t="s">
        <v>74</v>
      </c>
      <c r="R334" s="1" t="s">
        <v>74</v>
      </c>
      <c r="S334" s="1" t="s">
        <v>74</v>
      </c>
      <c r="T334" s="1" t="s">
        <v>74</v>
      </c>
      <c r="U334" s="1" t="s">
        <v>74</v>
      </c>
      <c r="V334" s="1" t="s">
        <v>3451</v>
      </c>
      <c r="W334" s="1" t="s">
        <v>74</v>
      </c>
      <c r="X334" s="1" t="s">
        <v>74</v>
      </c>
      <c r="Y334" s="1" t="s">
        <v>74</v>
      </c>
      <c r="Z334" s="1" t="s">
        <v>74</v>
      </c>
      <c r="AA334" s="1" t="s">
        <v>3452</v>
      </c>
      <c r="AB334" s="1" t="s">
        <v>3453</v>
      </c>
      <c r="AC334" s="1" t="s">
        <v>74</v>
      </c>
      <c r="AD334" s="1" t="s">
        <v>74</v>
      </c>
      <c r="AE334" s="1" t="s">
        <v>74</v>
      </c>
      <c r="AF334" s="1" t="s">
        <v>74</v>
      </c>
      <c r="AG334" s="1" t="s">
        <v>74</v>
      </c>
      <c r="AH334" s="1" t="s">
        <v>74</v>
      </c>
      <c r="AI334" s="1" t="s">
        <v>74</v>
      </c>
      <c r="AJ334" s="1" t="s">
        <v>74</v>
      </c>
      <c r="AK334" s="1" t="s">
        <v>74</v>
      </c>
      <c r="AL334" s="1" t="s">
        <v>74</v>
      </c>
      <c r="AM334" s="1" t="s">
        <v>74</v>
      </c>
      <c r="AN334" s="1" t="s">
        <v>74</v>
      </c>
      <c r="AO334" s="1" t="s">
        <v>74</v>
      </c>
      <c r="AP334" s="1" t="s">
        <v>3454</v>
      </c>
      <c r="AQ334" s="1" t="s">
        <v>74</v>
      </c>
      <c r="AR334" s="1" t="s">
        <v>74</v>
      </c>
      <c r="AS334" s="1" t="s">
        <v>74</v>
      </c>
      <c r="AT334" s="1" t="s">
        <v>652</v>
      </c>
      <c r="AU334" s="1">
        <v>2022.0</v>
      </c>
      <c r="AV334" s="1">
        <v>14.0</v>
      </c>
      <c r="AW334" s="1">
        <v>6.0</v>
      </c>
      <c r="AX334" s="1" t="s">
        <v>74</v>
      </c>
      <c r="AY334" s="1" t="s">
        <v>74</v>
      </c>
      <c r="AZ334" s="1" t="s">
        <v>74</v>
      </c>
      <c r="BA334" s="1" t="s">
        <v>74</v>
      </c>
      <c r="BB334" s="1">
        <v>971.0</v>
      </c>
      <c r="BC334" s="1">
        <v>978.0</v>
      </c>
      <c r="BD334" s="1" t="s">
        <v>74</v>
      </c>
      <c r="BE334" s="1" t="s">
        <v>3455</v>
      </c>
      <c r="BF334" s="2" t="str">
        <f>HYPERLINK("http://dx.doi.org/10.3390/idr14060096","http://dx.doi.org/10.3390/idr14060096")</f>
        <v>http://dx.doi.org/10.3390/idr14060096</v>
      </c>
      <c r="BG334" s="1" t="s">
        <v>74</v>
      </c>
      <c r="BH334" s="1" t="s">
        <v>74</v>
      </c>
      <c r="BI334" s="1" t="s">
        <v>74</v>
      </c>
      <c r="BJ334" s="1" t="s">
        <v>74</v>
      </c>
      <c r="BK334" s="1" t="s">
        <v>74</v>
      </c>
      <c r="BL334" s="1" t="s">
        <v>74</v>
      </c>
      <c r="BM334" s="1" t="s">
        <v>74</v>
      </c>
      <c r="BN334" s="1">
        <v>3.6547242E7</v>
      </c>
      <c r="BO334" s="1" t="s">
        <v>74</v>
      </c>
      <c r="BP334" s="1" t="s">
        <v>74</v>
      </c>
      <c r="BQ334" s="1" t="s">
        <v>74</v>
      </c>
      <c r="BR334" s="1" t="s">
        <v>74</v>
      </c>
      <c r="BS334" s="1" t="s">
        <v>3456</v>
      </c>
      <c r="BT334" s="1" t="str">
        <f>HYPERLINK("https%3A%2F%2Fwww.webofscience.com%2Fwos%2Fwoscc%2Ffull-record%2FWOS:000902587700001","View Full Record in Web of Science")</f>
        <v>View Full Record in Web of Science</v>
      </c>
    </row>
    <row r="335" ht="12.75" customHeight="1">
      <c r="A335" s="1" t="s">
        <v>72</v>
      </c>
      <c r="B335" s="1" t="s">
        <v>3457</v>
      </c>
      <c r="C335" s="1" t="s">
        <v>74</v>
      </c>
      <c r="D335" s="1" t="s">
        <v>74</v>
      </c>
      <c r="E335" s="1" t="s">
        <v>74</v>
      </c>
      <c r="F335" s="1" t="s">
        <v>3458</v>
      </c>
      <c r="G335" s="1" t="s">
        <v>74</v>
      </c>
      <c r="H335" s="1" t="s">
        <v>74</v>
      </c>
      <c r="I335" s="1" t="s">
        <v>3459</v>
      </c>
      <c r="J335" s="1" t="s">
        <v>3460</v>
      </c>
      <c r="K335" s="1" t="s">
        <v>74</v>
      </c>
      <c r="L335" s="1" t="s">
        <v>74</v>
      </c>
      <c r="M335" s="1" t="s">
        <v>74</v>
      </c>
      <c r="N335" s="1" t="s">
        <v>74</v>
      </c>
      <c r="O335" s="1" t="s">
        <v>74</v>
      </c>
      <c r="P335" s="1" t="s">
        <v>74</v>
      </c>
      <c r="Q335" s="1" t="s">
        <v>74</v>
      </c>
      <c r="R335" s="1" t="s">
        <v>74</v>
      </c>
      <c r="S335" s="1" t="s">
        <v>74</v>
      </c>
      <c r="T335" s="1" t="s">
        <v>74</v>
      </c>
      <c r="U335" s="1" t="s">
        <v>74</v>
      </c>
      <c r="V335" s="1" t="s">
        <v>3461</v>
      </c>
      <c r="W335" s="1" t="s">
        <v>74</v>
      </c>
      <c r="X335" s="1" t="s">
        <v>74</v>
      </c>
      <c r="Y335" s="1" t="s">
        <v>74</v>
      </c>
      <c r="Z335" s="1" t="s">
        <v>74</v>
      </c>
      <c r="AA335" s="1" t="s">
        <v>3462</v>
      </c>
      <c r="AB335" s="1" t="s">
        <v>3463</v>
      </c>
      <c r="AC335" s="1" t="s">
        <v>74</v>
      </c>
      <c r="AD335" s="1" t="s">
        <v>74</v>
      </c>
      <c r="AE335" s="1" t="s">
        <v>74</v>
      </c>
      <c r="AF335" s="1" t="s">
        <v>74</v>
      </c>
      <c r="AG335" s="1" t="s">
        <v>74</v>
      </c>
      <c r="AH335" s="1" t="s">
        <v>74</v>
      </c>
      <c r="AI335" s="1" t="s">
        <v>74</v>
      </c>
      <c r="AJ335" s="1" t="s">
        <v>74</v>
      </c>
      <c r="AK335" s="1" t="s">
        <v>74</v>
      </c>
      <c r="AL335" s="1" t="s">
        <v>74</v>
      </c>
      <c r="AM335" s="1" t="s">
        <v>74</v>
      </c>
      <c r="AN335" s="1" t="s">
        <v>74</v>
      </c>
      <c r="AO335" s="1" t="s">
        <v>74</v>
      </c>
      <c r="AP335" s="1" t="s">
        <v>3464</v>
      </c>
      <c r="AQ335" s="1" t="s">
        <v>74</v>
      </c>
      <c r="AR335" s="1" t="s">
        <v>74</v>
      </c>
      <c r="AS335" s="1" t="s">
        <v>74</v>
      </c>
      <c r="AT335" s="1" t="s">
        <v>306</v>
      </c>
      <c r="AU335" s="1">
        <v>2022.0</v>
      </c>
      <c r="AV335" s="1">
        <v>11.0</v>
      </c>
      <c r="AW335" s="1">
        <v>8.0</v>
      </c>
      <c r="AX335" s="1" t="s">
        <v>74</v>
      </c>
      <c r="AY335" s="1" t="s">
        <v>74</v>
      </c>
      <c r="AZ335" s="1" t="s">
        <v>74</v>
      </c>
      <c r="BA335" s="1" t="s">
        <v>74</v>
      </c>
      <c r="BB335" s="1" t="s">
        <v>74</v>
      </c>
      <c r="BC335" s="1" t="s">
        <v>74</v>
      </c>
      <c r="BD335" s="1">
        <v>1164.0</v>
      </c>
      <c r="BE335" s="1" t="s">
        <v>3465</v>
      </c>
      <c r="BF335" s="2" t="str">
        <f>HYPERLINK("http://dx.doi.org/10.3390/foods11081164","http://dx.doi.org/10.3390/foods11081164")</f>
        <v>http://dx.doi.org/10.3390/foods11081164</v>
      </c>
      <c r="BG335" s="1" t="s">
        <v>74</v>
      </c>
      <c r="BH335" s="1" t="s">
        <v>74</v>
      </c>
      <c r="BI335" s="1" t="s">
        <v>74</v>
      </c>
      <c r="BJ335" s="1" t="s">
        <v>74</v>
      </c>
      <c r="BK335" s="1" t="s">
        <v>74</v>
      </c>
      <c r="BL335" s="1" t="s">
        <v>74</v>
      </c>
      <c r="BM335" s="1" t="s">
        <v>74</v>
      </c>
      <c r="BN335" s="1">
        <v>3.5454751E7</v>
      </c>
      <c r="BO335" s="1" t="s">
        <v>74</v>
      </c>
      <c r="BP335" s="1" t="s">
        <v>74</v>
      </c>
      <c r="BQ335" s="1" t="s">
        <v>74</v>
      </c>
      <c r="BR335" s="1" t="s">
        <v>74</v>
      </c>
      <c r="BS335" s="1" t="s">
        <v>3466</v>
      </c>
      <c r="BT335" s="1" t="str">
        <f>HYPERLINK("https%3A%2F%2Fwww.webofscience.com%2Fwos%2Fwoscc%2Ffull-record%2FWOS:000786759400001","View Full Record in Web of Science")</f>
        <v>View Full Record in Web of Science</v>
      </c>
    </row>
    <row r="336" ht="12.75" customHeight="1">
      <c r="A336" s="1" t="s">
        <v>72</v>
      </c>
      <c r="B336" s="1" t="s">
        <v>3467</v>
      </c>
      <c r="C336" s="1" t="s">
        <v>74</v>
      </c>
      <c r="D336" s="1" t="s">
        <v>74</v>
      </c>
      <c r="E336" s="1" t="s">
        <v>74</v>
      </c>
      <c r="F336" s="1" t="s">
        <v>3468</v>
      </c>
      <c r="G336" s="1" t="s">
        <v>74</v>
      </c>
      <c r="H336" s="1" t="s">
        <v>74</v>
      </c>
      <c r="I336" s="1" t="s">
        <v>3469</v>
      </c>
      <c r="J336" s="1" t="s">
        <v>3470</v>
      </c>
      <c r="K336" s="1" t="s">
        <v>74</v>
      </c>
      <c r="L336" s="1" t="s">
        <v>74</v>
      </c>
      <c r="M336" s="1" t="s">
        <v>74</v>
      </c>
      <c r="N336" s="1" t="s">
        <v>74</v>
      </c>
      <c r="O336" s="1" t="s">
        <v>74</v>
      </c>
      <c r="P336" s="1" t="s">
        <v>74</v>
      </c>
      <c r="Q336" s="1" t="s">
        <v>74</v>
      </c>
      <c r="R336" s="1" t="s">
        <v>74</v>
      </c>
      <c r="S336" s="1" t="s">
        <v>74</v>
      </c>
      <c r="T336" s="1" t="s">
        <v>74</v>
      </c>
      <c r="U336" s="1" t="s">
        <v>74</v>
      </c>
      <c r="V336" s="1" t="s">
        <v>3471</v>
      </c>
      <c r="W336" s="1" t="s">
        <v>74</v>
      </c>
      <c r="X336" s="1" t="s">
        <v>74</v>
      </c>
      <c r="Y336" s="1" t="s">
        <v>74</v>
      </c>
      <c r="Z336" s="1" t="s">
        <v>74</v>
      </c>
      <c r="AA336" s="1" t="s">
        <v>3472</v>
      </c>
      <c r="AB336" s="1" t="s">
        <v>3473</v>
      </c>
      <c r="AC336" s="1" t="s">
        <v>74</v>
      </c>
      <c r="AD336" s="1" t="s">
        <v>74</v>
      </c>
      <c r="AE336" s="1" t="s">
        <v>74</v>
      </c>
      <c r="AF336" s="1" t="s">
        <v>74</v>
      </c>
      <c r="AG336" s="1" t="s">
        <v>74</v>
      </c>
      <c r="AH336" s="1" t="s">
        <v>74</v>
      </c>
      <c r="AI336" s="1" t="s">
        <v>74</v>
      </c>
      <c r="AJ336" s="1" t="s">
        <v>74</v>
      </c>
      <c r="AK336" s="1" t="s">
        <v>74</v>
      </c>
      <c r="AL336" s="1" t="s">
        <v>74</v>
      </c>
      <c r="AM336" s="1" t="s">
        <v>74</v>
      </c>
      <c r="AN336" s="1" t="s">
        <v>74</v>
      </c>
      <c r="AO336" s="1" t="s">
        <v>3474</v>
      </c>
      <c r="AP336" s="1" t="s">
        <v>3475</v>
      </c>
      <c r="AQ336" s="1" t="s">
        <v>74</v>
      </c>
      <c r="AR336" s="1" t="s">
        <v>74</v>
      </c>
      <c r="AS336" s="1" t="s">
        <v>74</v>
      </c>
      <c r="AT336" s="1" t="s">
        <v>306</v>
      </c>
      <c r="AU336" s="1">
        <v>2022.0</v>
      </c>
      <c r="AV336" s="1" t="s">
        <v>74</v>
      </c>
      <c r="AW336" s="1">
        <v>97.0</v>
      </c>
      <c r="AX336" s="1">
        <v>1.0</v>
      </c>
      <c r="AY336" s="1" t="s">
        <v>74</v>
      </c>
      <c r="AZ336" s="1" t="s">
        <v>74</v>
      </c>
      <c r="BA336" s="1" t="s">
        <v>74</v>
      </c>
      <c r="BB336" s="1">
        <v>301.0</v>
      </c>
      <c r="BC336" s="1">
        <v>319.0</v>
      </c>
      <c r="BD336" s="1" t="s">
        <v>74</v>
      </c>
      <c r="BE336" s="1" t="s">
        <v>3476</v>
      </c>
      <c r="BF336" s="2" t="str">
        <f>HYPERLINK("http://dx.doi.org/10.47553/rifop.v97i36.1.90221","http://dx.doi.org/10.47553/rifop.v97i36.1.90221")</f>
        <v>http://dx.doi.org/10.47553/rifop.v97i36.1.90221</v>
      </c>
      <c r="BG336" s="1" t="s">
        <v>74</v>
      </c>
      <c r="BH336" s="1" t="s">
        <v>74</v>
      </c>
      <c r="BI336" s="1" t="s">
        <v>74</v>
      </c>
      <c r="BJ336" s="1" t="s">
        <v>74</v>
      </c>
      <c r="BK336" s="1" t="s">
        <v>74</v>
      </c>
      <c r="BL336" s="1" t="s">
        <v>74</v>
      </c>
      <c r="BM336" s="1" t="s">
        <v>74</v>
      </c>
      <c r="BN336" s="1" t="s">
        <v>74</v>
      </c>
      <c r="BO336" s="1" t="s">
        <v>74</v>
      </c>
      <c r="BP336" s="1" t="s">
        <v>74</v>
      </c>
      <c r="BQ336" s="1" t="s">
        <v>74</v>
      </c>
      <c r="BR336" s="1" t="s">
        <v>74</v>
      </c>
      <c r="BS336" s="1" t="s">
        <v>3477</v>
      </c>
      <c r="BT336" s="1" t="str">
        <f>HYPERLINK("https%3A%2F%2Fwww.webofscience.com%2Fwos%2Fwoscc%2Ffull-record%2FWOS:000792974800015","View Full Record in Web of Science")</f>
        <v>View Full Record in Web of Science</v>
      </c>
    </row>
    <row r="337" ht="12.75" customHeight="1">
      <c r="A337" s="1" t="s">
        <v>72</v>
      </c>
      <c r="B337" s="1" t="s">
        <v>3478</v>
      </c>
      <c r="C337" s="1" t="s">
        <v>74</v>
      </c>
      <c r="D337" s="1" t="s">
        <v>74</v>
      </c>
      <c r="E337" s="1" t="s">
        <v>74</v>
      </c>
      <c r="F337" s="1" t="s">
        <v>3479</v>
      </c>
      <c r="G337" s="1" t="s">
        <v>74</v>
      </c>
      <c r="H337" s="1" t="s">
        <v>74</v>
      </c>
      <c r="I337" s="1" t="s">
        <v>3480</v>
      </c>
      <c r="J337" s="1" t="s">
        <v>3481</v>
      </c>
      <c r="K337" s="1" t="s">
        <v>74</v>
      </c>
      <c r="L337" s="1" t="s">
        <v>74</v>
      </c>
      <c r="M337" s="1" t="s">
        <v>74</v>
      </c>
      <c r="N337" s="1" t="s">
        <v>74</v>
      </c>
      <c r="O337" s="1" t="s">
        <v>74</v>
      </c>
      <c r="P337" s="1" t="s">
        <v>74</v>
      </c>
      <c r="Q337" s="1" t="s">
        <v>74</v>
      </c>
      <c r="R337" s="1" t="s">
        <v>74</v>
      </c>
      <c r="S337" s="1" t="s">
        <v>74</v>
      </c>
      <c r="T337" s="1" t="s">
        <v>74</v>
      </c>
      <c r="U337" s="1" t="s">
        <v>74</v>
      </c>
      <c r="V337" s="1" t="s">
        <v>3482</v>
      </c>
      <c r="W337" s="1" t="s">
        <v>74</v>
      </c>
      <c r="X337" s="1" t="s">
        <v>74</v>
      </c>
      <c r="Y337" s="1" t="s">
        <v>74</v>
      </c>
      <c r="Z337" s="1" t="s">
        <v>74</v>
      </c>
      <c r="AA337" s="1" t="s">
        <v>3483</v>
      </c>
      <c r="AB337" s="1" t="s">
        <v>3484</v>
      </c>
      <c r="AC337" s="1" t="s">
        <v>74</v>
      </c>
      <c r="AD337" s="1" t="s">
        <v>74</v>
      </c>
      <c r="AE337" s="1" t="s">
        <v>74</v>
      </c>
      <c r="AF337" s="1" t="s">
        <v>74</v>
      </c>
      <c r="AG337" s="1" t="s">
        <v>74</v>
      </c>
      <c r="AH337" s="1" t="s">
        <v>74</v>
      </c>
      <c r="AI337" s="1" t="s">
        <v>74</v>
      </c>
      <c r="AJ337" s="1" t="s">
        <v>74</v>
      </c>
      <c r="AK337" s="1" t="s">
        <v>74</v>
      </c>
      <c r="AL337" s="1" t="s">
        <v>74</v>
      </c>
      <c r="AM337" s="1" t="s">
        <v>74</v>
      </c>
      <c r="AN337" s="1" t="s">
        <v>74</v>
      </c>
      <c r="AO337" s="1" t="s">
        <v>3485</v>
      </c>
      <c r="AP337" s="1" t="s">
        <v>3486</v>
      </c>
      <c r="AQ337" s="1" t="s">
        <v>74</v>
      </c>
      <c r="AR337" s="1" t="s">
        <v>74</v>
      </c>
      <c r="AS337" s="1" t="s">
        <v>74</v>
      </c>
      <c r="AT337" s="1" t="s">
        <v>696</v>
      </c>
      <c r="AU337" s="1">
        <v>2024.0</v>
      </c>
      <c r="AV337" s="1">
        <v>29.0</v>
      </c>
      <c r="AW337" s="1">
        <v>1.0</v>
      </c>
      <c r="AX337" s="1" t="s">
        <v>74</v>
      </c>
      <c r="AY337" s="1" t="s">
        <v>74</v>
      </c>
      <c r="AZ337" s="1" t="s">
        <v>74</v>
      </c>
      <c r="BA337" s="1" t="s">
        <v>74</v>
      </c>
      <c r="BB337" s="1">
        <v>100.0</v>
      </c>
      <c r="BC337" s="1">
        <v>123.0</v>
      </c>
      <c r="BD337" s="1">
        <v>1.940161222108948E16</v>
      </c>
      <c r="BE337" s="1" t="s">
        <v>3487</v>
      </c>
      <c r="BF337" s="2" t="str">
        <f>HYPERLINK("http://dx.doi.org/10.1177/19401612221089482","http://dx.doi.org/10.1177/19401612221089482")</f>
        <v>http://dx.doi.org/10.1177/19401612221089482</v>
      </c>
      <c r="BG337" s="1" t="s">
        <v>74</v>
      </c>
      <c r="BH337" s="1" t="s">
        <v>3488</v>
      </c>
      <c r="BI337" s="1" t="s">
        <v>74</v>
      </c>
      <c r="BJ337" s="1" t="s">
        <v>74</v>
      </c>
      <c r="BK337" s="1" t="s">
        <v>74</v>
      </c>
      <c r="BL337" s="1" t="s">
        <v>74</v>
      </c>
      <c r="BM337" s="1" t="s">
        <v>74</v>
      </c>
      <c r="BN337" s="1" t="s">
        <v>74</v>
      </c>
      <c r="BO337" s="1" t="s">
        <v>74</v>
      </c>
      <c r="BP337" s="1" t="s">
        <v>74</v>
      </c>
      <c r="BQ337" s="1" t="s">
        <v>74</v>
      </c>
      <c r="BR337" s="1" t="s">
        <v>74</v>
      </c>
      <c r="BS337" s="1" t="s">
        <v>3489</v>
      </c>
      <c r="BT337" s="1" t="str">
        <f>HYPERLINK("https%3A%2F%2Fwww.webofscience.com%2Fwos%2Fwoscc%2Ffull-record%2FWOS:000776632400001","View Full Record in Web of Science")</f>
        <v>View Full Record in Web of Science</v>
      </c>
    </row>
    <row r="338" ht="12.75" customHeight="1">
      <c r="A338" s="1" t="s">
        <v>72</v>
      </c>
      <c r="B338" s="1" t="s">
        <v>3490</v>
      </c>
      <c r="C338" s="1" t="s">
        <v>74</v>
      </c>
      <c r="D338" s="1" t="s">
        <v>74</v>
      </c>
      <c r="E338" s="1" t="s">
        <v>74</v>
      </c>
      <c r="F338" s="1" t="s">
        <v>3491</v>
      </c>
      <c r="G338" s="1" t="s">
        <v>74</v>
      </c>
      <c r="H338" s="1" t="s">
        <v>74</v>
      </c>
      <c r="I338" s="1" t="s">
        <v>3492</v>
      </c>
      <c r="J338" s="1" t="s">
        <v>321</v>
      </c>
      <c r="K338" s="1" t="s">
        <v>74</v>
      </c>
      <c r="L338" s="1" t="s">
        <v>74</v>
      </c>
      <c r="M338" s="1" t="s">
        <v>74</v>
      </c>
      <c r="N338" s="1" t="s">
        <v>74</v>
      </c>
      <c r="O338" s="1" t="s">
        <v>74</v>
      </c>
      <c r="P338" s="1" t="s">
        <v>74</v>
      </c>
      <c r="Q338" s="1" t="s">
        <v>74</v>
      </c>
      <c r="R338" s="1" t="s">
        <v>74</v>
      </c>
      <c r="S338" s="1" t="s">
        <v>74</v>
      </c>
      <c r="T338" s="1" t="s">
        <v>74</v>
      </c>
      <c r="U338" s="1" t="s">
        <v>74</v>
      </c>
      <c r="V338" s="1" t="s">
        <v>3493</v>
      </c>
      <c r="W338" s="1" t="s">
        <v>74</v>
      </c>
      <c r="X338" s="1" t="s">
        <v>74</v>
      </c>
      <c r="Y338" s="1" t="s">
        <v>74</v>
      </c>
      <c r="Z338" s="1" t="s">
        <v>74</v>
      </c>
      <c r="AA338" s="1" t="s">
        <v>3494</v>
      </c>
      <c r="AB338" s="1" t="s">
        <v>3495</v>
      </c>
      <c r="AC338" s="1" t="s">
        <v>74</v>
      </c>
      <c r="AD338" s="1" t="s">
        <v>74</v>
      </c>
      <c r="AE338" s="1" t="s">
        <v>74</v>
      </c>
      <c r="AF338" s="1" t="s">
        <v>74</v>
      </c>
      <c r="AG338" s="1" t="s">
        <v>74</v>
      </c>
      <c r="AH338" s="1" t="s">
        <v>74</v>
      </c>
      <c r="AI338" s="1" t="s">
        <v>74</v>
      </c>
      <c r="AJ338" s="1" t="s">
        <v>74</v>
      </c>
      <c r="AK338" s="1" t="s">
        <v>74</v>
      </c>
      <c r="AL338" s="1" t="s">
        <v>74</v>
      </c>
      <c r="AM338" s="1" t="s">
        <v>74</v>
      </c>
      <c r="AN338" s="1" t="s">
        <v>74</v>
      </c>
      <c r="AO338" s="1" t="s">
        <v>325</v>
      </c>
      <c r="AP338" s="1" t="s">
        <v>326</v>
      </c>
      <c r="AQ338" s="1" t="s">
        <v>74</v>
      </c>
      <c r="AR338" s="1" t="s">
        <v>74</v>
      </c>
      <c r="AS338" s="1" t="s">
        <v>74</v>
      </c>
      <c r="AT338" s="1" t="s">
        <v>3496</v>
      </c>
      <c r="AU338" s="1">
        <v>2022.0</v>
      </c>
      <c r="AV338" s="1">
        <v>809.0</v>
      </c>
      <c r="AW338" s="1" t="s">
        <v>74</v>
      </c>
      <c r="AX338" s="1" t="s">
        <v>74</v>
      </c>
      <c r="AY338" s="1" t="s">
        <v>74</v>
      </c>
      <c r="AZ338" s="1" t="s">
        <v>74</v>
      </c>
      <c r="BA338" s="1" t="s">
        <v>74</v>
      </c>
      <c r="BB338" s="1" t="s">
        <v>74</v>
      </c>
      <c r="BC338" s="1" t="s">
        <v>74</v>
      </c>
      <c r="BD338" s="1">
        <v>151115.0</v>
      </c>
      <c r="BE338" s="1" t="s">
        <v>3497</v>
      </c>
      <c r="BF338" s="2" t="str">
        <f>HYPERLINK("http://dx.doi.org/10.1016/j.scitotenv.2021.151115","http://dx.doi.org/10.1016/j.scitotenv.2021.151115")</f>
        <v>http://dx.doi.org/10.1016/j.scitotenv.2021.151115</v>
      </c>
      <c r="BG338" s="1" t="s">
        <v>74</v>
      </c>
      <c r="BH338" s="1" t="s">
        <v>272</v>
      </c>
      <c r="BI338" s="1" t="s">
        <v>74</v>
      </c>
      <c r="BJ338" s="1" t="s">
        <v>74</v>
      </c>
      <c r="BK338" s="1" t="s">
        <v>74</v>
      </c>
      <c r="BL338" s="1" t="s">
        <v>74</v>
      </c>
      <c r="BM338" s="1" t="s">
        <v>74</v>
      </c>
      <c r="BN338" s="1">
        <v>3.4756908E7</v>
      </c>
      <c r="BO338" s="1" t="s">
        <v>74</v>
      </c>
      <c r="BP338" s="1" t="s">
        <v>74</v>
      </c>
      <c r="BQ338" s="1" t="s">
        <v>74</v>
      </c>
      <c r="BR338" s="1" t="s">
        <v>74</v>
      </c>
      <c r="BS338" s="1" t="s">
        <v>3498</v>
      </c>
      <c r="BT338" s="1" t="str">
        <f>HYPERLINK("https%3A%2F%2Fwww.webofscience.com%2Fwos%2Fwoscc%2Ffull-record%2FWOS:000743246100017","View Full Record in Web of Science")</f>
        <v>View Full Record in Web of Science</v>
      </c>
    </row>
    <row r="339" ht="12.75" customHeight="1">
      <c r="A339" s="1" t="s">
        <v>72</v>
      </c>
      <c r="B339" s="1" t="s">
        <v>3499</v>
      </c>
      <c r="C339" s="1" t="s">
        <v>74</v>
      </c>
      <c r="D339" s="1" t="s">
        <v>74</v>
      </c>
      <c r="E339" s="1" t="s">
        <v>74</v>
      </c>
      <c r="F339" s="1" t="s">
        <v>3500</v>
      </c>
      <c r="G339" s="1" t="s">
        <v>74</v>
      </c>
      <c r="H339" s="1" t="s">
        <v>74</v>
      </c>
      <c r="I339" s="1" t="s">
        <v>3501</v>
      </c>
      <c r="J339" s="1" t="s">
        <v>3502</v>
      </c>
      <c r="K339" s="1" t="s">
        <v>74</v>
      </c>
      <c r="L339" s="1" t="s">
        <v>74</v>
      </c>
      <c r="M339" s="1" t="s">
        <v>74</v>
      </c>
      <c r="N339" s="1" t="s">
        <v>74</v>
      </c>
      <c r="O339" s="1" t="s">
        <v>74</v>
      </c>
      <c r="P339" s="1" t="s">
        <v>74</v>
      </c>
      <c r="Q339" s="1" t="s">
        <v>74</v>
      </c>
      <c r="R339" s="1" t="s">
        <v>74</v>
      </c>
      <c r="S339" s="1" t="s">
        <v>74</v>
      </c>
      <c r="T339" s="1" t="s">
        <v>74</v>
      </c>
      <c r="U339" s="1" t="s">
        <v>74</v>
      </c>
      <c r="V339" s="1" t="s">
        <v>3503</v>
      </c>
      <c r="W339" s="1" t="s">
        <v>74</v>
      </c>
      <c r="X339" s="1" t="s">
        <v>74</v>
      </c>
      <c r="Y339" s="1" t="s">
        <v>74</v>
      </c>
      <c r="Z339" s="1" t="s">
        <v>74</v>
      </c>
      <c r="AA339" s="1" t="s">
        <v>3504</v>
      </c>
      <c r="AB339" s="1" t="s">
        <v>74</v>
      </c>
      <c r="AC339" s="1" t="s">
        <v>74</v>
      </c>
      <c r="AD339" s="1" t="s">
        <v>74</v>
      </c>
      <c r="AE339" s="1" t="s">
        <v>74</v>
      </c>
      <c r="AF339" s="1" t="s">
        <v>74</v>
      </c>
      <c r="AG339" s="1" t="s">
        <v>74</v>
      </c>
      <c r="AH339" s="1" t="s">
        <v>74</v>
      </c>
      <c r="AI339" s="1" t="s">
        <v>74</v>
      </c>
      <c r="AJ339" s="1" t="s">
        <v>74</v>
      </c>
      <c r="AK339" s="1" t="s">
        <v>74</v>
      </c>
      <c r="AL339" s="1" t="s">
        <v>74</v>
      </c>
      <c r="AM339" s="1" t="s">
        <v>74</v>
      </c>
      <c r="AN339" s="1" t="s">
        <v>74</v>
      </c>
      <c r="AO339" s="1" t="s">
        <v>3505</v>
      </c>
      <c r="AP339" s="1" t="s">
        <v>3506</v>
      </c>
      <c r="AQ339" s="1" t="s">
        <v>74</v>
      </c>
      <c r="AR339" s="1" t="s">
        <v>74</v>
      </c>
      <c r="AS339" s="1" t="s">
        <v>74</v>
      </c>
      <c r="AT339" s="1" t="s">
        <v>74</v>
      </c>
      <c r="AU339" s="1">
        <v>2022.0</v>
      </c>
      <c r="AV339" s="1" t="s">
        <v>74</v>
      </c>
      <c r="AW339" s="1">
        <v>43.0</v>
      </c>
      <c r="AX339" s="1" t="s">
        <v>74</v>
      </c>
      <c r="AY339" s="1" t="s">
        <v>74</v>
      </c>
      <c r="AZ339" s="1" t="s">
        <v>74</v>
      </c>
      <c r="BA339" s="1" t="s">
        <v>74</v>
      </c>
      <c r="BB339" s="1">
        <v>931.0</v>
      </c>
      <c r="BC339" s="1">
        <v>937.0</v>
      </c>
      <c r="BD339" s="1" t="s">
        <v>74</v>
      </c>
      <c r="BE339" s="1" t="s">
        <v>74</v>
      </c>
      <c r="BF339" s="1" t="s">
        <v>74</v>
      </c>
      <c r="BG339" s="1" t="s">
        <v>74</v>
      </c>
      <c r="BH339" s="1" t="s">
        <v>74</v>
      </c>
      <c r="BI339" s="1" t="s">
        <v>74</v>
      </c>
      <c r="BJ339" s="1" t="s">
        <v>74</v>
      </c>
      <c r="BK339" s="1" t="s">
        <v>74</v>
      </c>
      <c r="BL339" s="1" t="s">
        <v>74</v>
      </c>
      <c r="BM339" s="1" t="s">
        <v>74</v>
      </c>
      <c r="BN339" s="1" t="s">
        <v>74</v>
      </c>
      <c r="BO339" s="1" t="s">
        <v>74</v>
      </c>
      <c r="BP339" s="1" t="s">
        <v>74</v>
      </c>
      <c r="BQ339" s="1" t="s">
        <v>74</v>
      </c>
      <c r="BR339" s="1" t="s">
        <v>74</v>
      </c>
      <c r="BS339" s="1" t="s">
        <v>3507</v>
      </c>
      <c r="BT339" s="1" t="str">
        <f>HYPERLINK("https%3A%2F%2Fwww.webofscience.com%2Fwos%2Fwoscc%2Ffull-record%2FWOS:000707151400001","View Full Record in Web of Science")</f>
        <v>View Full Record in Web of Science</v>
      </c>
    </row>
    <row r="340" ht="12.75" customHeight="1">
      <c r="A340" s="1" t="s">
        <v>72</v>
      </c>
      <c r="B340" s="1" t="s">
        <v>3508</v>
      </c>
      <c r="C340" s="1" t="s">
        <v>74</v>
      </c>
      <c r="D340" s="1" t="s">
        <v>74</v>
      </c>
      <c r="E340" s="1" t="s">
        <v>74</v>
      </c>
      <c r="F340" s="1" t="s">
        <v>3509</v>
      </c>
      <c r="G340" s="1" t="s">
        <v>74</v>
      </c>
      <c r="H340" s="1" t="s">
        <v>74</v>
      </c>
      <c r="I340" s="1" t="s">
        <v>3510</v>
      </c>
      <c r="J340" s="1" t="s">
        <v>2243</v>
      </c>
      <c r="K340" s="1" t="s">
        <v>74</v>
      </c>
      <c r="L340" s="1" t="s">
        <v>74</v>
      </c>
      <c r="M340" s="1" t="s">
        <v>74</v>
      </c>
      <c r="N340" s="1" t="s">
        <v>74</v>
      </c>
      <c r="O340" s="1" t="s">
        <v>74</v>
      </c>
      <c r="P340" s="1" t="s">
        <v>74</v>
      </c>
      <c r="Q340" s="1" t="s">
        <v>74</v>
      </c>
      <c r="R340" s="1" t="s">
        <v>74</v>
      </c>
      <c r="S340" s="1" t="s">
        <v>74</v>
      </c>
      <c r="T340" s="1" t="s">
        <v>74</v>
      </c>
      <c r="U340" s="1" t="s">
        <v>74</v>
      </c>
      <c r="V340" s="1" t="s">
        <v>3511</v>
      </c>
      <c r="W340" s="1" t="s">
        <v>74</v>
      </c>
      <c r="X340" s="1" t="s">
        <v>74</v>
      </c>
      <c r="Y340" s="1" t="s">
        <v>74</v>
      </c>
      <c r="Z340" s="1" t="s">
        <v>74</v>
      </c>
      <c r="AA340" s="1" t="s">
        <v>3512</v>
      </c>
      <c r="AB340" s="1" t="s">
        <v>3513</v>
      </c>
      <c r="AC340" s="1" t="s">
        <v>74</v>
      </c>
      <c r="AD340" s="1" t="s">
        <v>74</v>
      </c>
      <c r="AE340" s="1" t="s">
        <v>74</v>
      </c>
      <c r="AF340" s="1" t="s">
        <v>74</v>
      </c>
      <c r="AG340" s="1" t="s">
        <v>74</v>
      </c>
      <c r="AH340" s="1" t="s">
        <v>74</v>
      </c>
      <c r="AI340" s="1" t="s">
        <v>74</v>
      </c>
      <c r="AJ340" s="1" t="s">
        <v>74</v>
      </c>
      <c r="AK340" s="1" t="s">
        <v>74</v>
      </c>
      <c r="AL340" s="1" t="s">
        <v>74</v>
      </c>
      <c r="AM340" s="1" t="s">
        <v>74</v>
      </c>
      <c r="AN340" s="1" t="s">
        <v>74</v>
      </c>
      <c r="AO340" s="1" t="s">
        <v>74</v>
      </c>
      <c r="AP340" s="1" t="s">
        <v>2247</v>
      </c>
      <c r="AQ340" s="1" t="s">
        <v>74</v>
      </c>
      <c r="AR340" s="1" t="s">
        <v>74</v>
      </c>
      <c r="AS340" s="1" t="s">
        <v>74</v>
      </c>
      <c r="AT340" s="1" t="s">
        <v>678</v>
      </c>
      <c r="AU340" s="1">
        <v>2021.0</v>
      </c>
      <c r="AV340" s="1">
        <v>9.0</v>
      </c>
      <c r="AW340" s="1">
        <v>21.0</v>
      </c>
      <c r="AX340" s="1" t="s">
        <v>74</v>
      </c>
      <c r="AY340" s="1" t="s">
        <v>74</v>
      </c>
      <c r="AZ340" s="1" t="s">
        <v>74</v>
      </c>
      <c r="BA340" s="1" t="s">
        <v>74</v>
      </c>
      <c r="BB340" s="1" t="s">
        <v>74</v>
      </c>
      <c r="BC340" s="1" t="s">
        <v>74</v>
      </c>
      <c r="BD340" s="1">
        <v>2750.0</v>
      </c>
      <c r="BE340" s="1" t="s">
        <v>3514</v>
      </c>
      <c r="BF340" s="2" t="str">
        <f>HYPERLINK("http://dx.doi.org/10.3390/math9212750","http://dx.doi.org/10.3390/math9212750")</f>
        <v>http://dx.doi.org/10.3390/math9212750</v>
      </c>
      <c r="BG340" s="1" t="s">
        <v>74</v>
      </c>
      <c r="BH340" s="1" t="s">
        <v>74</v>
      </c>
      <c r="BI340" s="1" t="s">
        <v>74</v>
      </c>
      <c r="BJ340" s="1" t="s">
        <v>74</v>
      </c>
      <c r="BK340" s="1" t="s">
        <v>74</v>
      </c>
      <c r="BL340" s="1" t="s">
        <v>74</v>
      </c>
      <c r="BM340" s="1" t="s">
        <v>74</v>
      </c>
      <c r="BN340" s="1" t="s">
        <v>74</v>
      </c>
      <c r="BO340" s="1" t="s">
        <v>74</v>
      </c>
      <c r="BP340" s="1" t="s">
        <v>74</v>
      </c>
      <c r="BQ340" s="1" t="s">
        <v>74</v>
      </c>
      <c r="BR340" s="1" t="s">
        <v>74</v>
      </c>
      <c r="BS340" s="1" t="s">
        <v>3515</v>
      </c>
      <c r="BT340" s="1" t="str">
        <f>HYPERLINK("https%3A%2F%2Fwww.webofscience.com%2Fwos%2Fwoscc%2Ffull-record%2FWOS:000720039800001","View Full Record in Web of Science")</f>
        <v>View Full Record in Web of Science</v>
      </c>
    </row>
    <row r="341" ht="12.75" customHeight="1">
      <c r="A341" s="1" t="s">
        <v>72</v>
      </c>
      <c r="B341" s="1" t="s">
        <v>3516</v>
      </c>
      <c r="C341" s="1" t="s">
        <v>74</v>
      </c>
      <c r="D341" s="1" t="s">
        <v>74</v>
      </c>
      <c r="E341" s="1" t="s">
        <v>74</v>
      </c>
      <c r="F341" s="1" t="s">
        <v>3517</v>
      </c>
      <c r="G341" s="1" t="s">
        <v>74</v>
      </c>
      <c r="H341" s="1" t="s">
        <v>74</v>
      </c>
      <c r="I341" s="1" t="s">
        <v>3518</v>
      </c>
      <c r="J341" s="1" t="s">
        <v>3519</v>
      </c>
      <c r="K341" s="1" t="s">
        <v>74</v>
      </c>
      <c r="L341" s="1" t="s">
        <v>74</v>
      </c>
      <c r="M341" s="1" t="s">
        <v>74</v>
      </c>
      <c r="N341" s="1" t="s">
        <v>74</v>
      </c>
      <c r="O341" s="1" t="s">
        <v>74</v>
      </c>
      <c r="P341" s="1" t="s">
        <v>74</v>
      </c>
      <c r="Q341" s="1" t="s">
        <v>74</v>
      </c>
      <c r="R341" s="1" t="s">
        <v>74</v>
      </c>
      <c r="S341" s="1" t="s">
        <v>74</v>
      </c>
      <c r="T341" s="1" t="s">
        <v>74</v>
      </c>
      <c r="U341" s="1" t="s">
        <v>74</v>
      </c>
      <c r="V341" s="1" t="s">
        <v>3520</v>
      </c>
      <c r="W341" s="1" t="s">
        <v>74</v>
      </c>
      <c r="X341" s="1" t="s">
        <v>74</v>
      </c>
      <c r="Y341" s="1" t="s">
        <v>74</v>
      </c>
      <c r="Z341" s="1" t="s">
        <v>74</v>
      </c>
      <c r="AA341" s="1" t="s">
        <v>3521</v>
      </c>
      <c r="AB341" s="1" t="s">
        <v>3522</v>
      </c>
      <c r="AC341" s="1" t="s">
        <v>74</v>
      </c>
      <c r="AD341" s="1" t="s">
        <v>74</v>
      </c>
      <c r="AE341" s="1" t="s">
        <v>74</v>
      </c>
      <c r="AF341" s="1" t="s">
        <v>74</v>
      </c>
      <c r="AG341" s="1" t="s">
        <v>74</v>
      </c>
      <c r="AH341" s="1" t="s">
        <v>74</v>
      </c>
      <c r="AI341" s="1" t="s">
        <v>74</v>
      </c>
      <c r="AJ341" s="1" t="s">
        <v>74</v>
      </c>
      <c r="AK341" s="1" t="s">
        <v>74</v>
      </c>
      <c r="AL341" s="1" t="s">
        <v>74</v>
      </c>
      <c r="AM341" s="1" t="s">
        <v>74</v>
      </c>
      <c r="AN341" s="1" t="s">
        <v>74</v>
      </c>
      <c r="AO341" s="1" t="s">
        <v>3523</v>
      </c>
      <c r="AP341" s="1" t="s">
        <v>3524</v>
      </c>
      <c r="AQ341" s="1" t="s">
        <v>74</v>
      </c>
      <c r="AR341" s="1" t="s">
        <v>74</v>
      </c>
      <c r="AS341" s="1" t="s">
        <v>74</v>
      </c>
      <c r="AT341" s="1" t="s">
        <v>339</v>
      </c>
      <c r="AU341" s="1">
        <v>2021.0</v>
      </c>
      <c r="AV341" s="1">
        <v>55.0</v>
      </c>
      <c r="AW341" s="1">
        <v>5.0</v>
      </c>
      <c r="AX341" s="1" t="s">
        <v>74</v>
      </c>
      <c r="AY341" s="1" t="s">
        <v>74</v>
      </c>
      <c r="AZ341" s="1" t="s">
        <v>74</v>
      </c>
      <c r="BA341" s="1" t="s">
        <v>74</v>
      </c>
      <c r="BB341" s="1">
        <v>393.0</v>
      </c>
      <c r="BC341" s="1">
        <v>397.0</v>
      </c>
      <c r="BD341" s="1" t="s">
        <v>74</v>
      </c>
      <c r="BE341" s="1" t="s">
        <v>3525</v>
      </c>
      <c r="BF341" s="2" t="str">
        <f>HYPERLINK("http://dx.doi.org/10.1159/000517750","http://dx.doi.org/10.1159/000517750")</f>
        <v>http://dx.doi.org/10.1159/000517750</v>
      </c>
      <c r="BG341" s="1" t="s">
        <v>74</v>
      </c>
      <c r="BH341" s="1" t="s">
        <v>3526</v>
      </c>
      <c r="BI341" s="1" t="s">
        <v>74</v>
      </c>
      <c r="BJ341" s="1" t="s">
        <v>74</v>
      </c>
      <c r="BK341" s="1" t="s">
        <v>74</v>
      </c>
      <c r="BL341" s="1" t="s">
        <v>74</v>
      </c>
      <c r="BM341" s="1" t="s">
        <v>74</v>
      </c>
      <c r="BN341" s="1">
        <v>3.4407534E7</v>
      </c>
      <c r="BO341" s="1" t="s">
        <v>74</v>
      </c>
      <c r="BP341" s="1" t="s">
        <v>74</v>
      </c>
      <c r="BQ341" s="1" t="s">
        <v>74</v>
      </c>
      <c r="BR341" s="1" t="s">
        <v>74</v>
      </c>
      <c r="BS341" s="1" t="s">
        <v>3527</v>
      </c>
      <c r="BT341" s="1" t="str">
        <f>HYPERLINK("https%3A%2F%2Fwww.webofscience.com%2Fwos%2Fwoscc%2Ffull-record%2FWOS:000686257400001","View Full Record in Web of Science")</f>
        <v>View Full Record in Web of Science</v>
      </c>
    </row>
    <row r="342" ht="12.75" customHeight="1">
      <c r="A342" s="1" t="s">
        <v>72</v>
      </c>
      <c r="B342" s="1" t="s">
        <v>3528</v>
      </c>
      <c r="C342" s="1" t="s">
        <v>74</v>
      </c>
      <c r="D342" s="1" t="s">
        <v>74</v>
      </c>
      <c r="E342" s="1" t="s">
        <v>74</v>
      </c>
      <c r="F342" s="1" t="s">
        <v>3529</v>
      </c>
      <c r="G342" s="1" t="s">
        <v>74</v>
      </c>
      <c r="H342" s="1" t="s">
        <v>74</v>
      </c>
      <c r="I342" s="1" t="s">
        <v>3530</v>
      </c>
      <c r="J342" s="1" t="s">
        <v>3531</v>
      </c>
      <c r="K342" s="1" t="s">
        <v>74</v>
      </c>
      <c r="L342" s="1" t="s">
        <v>74</v>
      </c>
      <c r="M342" s="1" t="s">
        <v>74</v>
      </c>
      <c r="N342" s="1" t="s">
        <v>74</v>
      </c>
      <c r="O342" s="1" t="s">
        <v>74</v>
      </c>
      <c r="P342" s="1" t="s">
        <v>74</v>
      </c>
      <c r="Q342" s="1" t="s">
        <v>74</v>
      </c>
      <c r="R342" s="1" t="s">
        <v>74</v>
      </c>
      <c r="S342" s="1" t="s">
        <v>74</v>
      </c>
      <c r="T342" s="1" t="s">
        <v>74</v>
      </c>
      <c r="U342" s="1" t="s">
        <v>74</v>
      </c>
      <c r="V342" s="1" t="s">
        <v>3532</v>
      </c>
      <c r="W342" s="1" t="s">
        <v>74</v>
      </c>
      <c r="X342" s="1" t="s">
        <v>74</v>
      </c>
      <c r="Y342" s="1" t="s">
        <v>74</v>
      </c>
      <c r="Z342" s="1" t="s">
        <v>74</v>
      </c>
      <c r="AA342" s="1" t="s">
        <v>3533</v>
      </c>
      <c r="AB342" s="1" t="s">
        <v>74</v>
      </c>
      <c r="AC342" s="1" t="s">
        <v>74</v>
      </c>
      <c r="AD342" s="1" t="s">
        <v>74</v>
      </c>
      <c r="AE342" s="1" t="s">
        <v>74</v>
      </c>
      <c r="AF342" s="1" t="s">
        <v>74</v>
      </c>
      <c r="AG342" s="1" t="s">
        <v>74</v>
      </c>
      <c r="AH342" s="1" t="s">
        <v>74</v>
      </c>
      <c r="AI342" s="1" t="s">
        <v>74</v>
      </c>
      <c r="AJ342" s="1" t="s">
        <v>74</v>
      </c>
      <c r="AK342" s="1" t="s">
        <v>74</v>
      </c>
      <c r="AL342" s="1" t="s">
        <v>74</v>
      </c>
      <c r="AM342" s="1" t="s">
        <v>74</v>
      </c>
      <c r="AN342" s="1" t="s">
        <v>74</v>
      </c>
      <c r="AO342" s="1" t="s">
        <v>3534</v>
      </c>
      <c r="AP342" s="1" t="s">
        <v>74</v>
      </c>
      <c r="AQ342" s="1" t="s">
        <v>74</v>
      </c>
      <c r="AR342" s="1" t="s">
        <v>74</v>
      </c>
      <c r="AS342" s="1" t="s">
        <v>74</v>
      </c>
      <c r="AT342" s="1" t="s">
        <v>3535</v>
      </c>
      <c r="AU342" s="1">
        <v>2021.0</v>
      </c>
      <c r="AV342" s="1">
        <v>17.0</v>
      </c>
      <c r="AW342" s="1">
        <v>2.0</v>
      </c>
      <c r="AX342" s="1" t="s">
        <v>74</v>
      </c>
      <c r="AY342" s="1" t="s">
        <v>74</v>
      </c>
      <c r="AZ342" s="1" t="s">
        <v>74</v>
      </c>
      <c r="BA342" s="1" t="s">
        <v>74</v>
      </c>
      <c r="BB342" s="1">
        <v>235.0</v>
      </c>
      <c r="BC342" s="1">
        <v>257.0</v>
      </c>
      <c r="BD342" s="1" t="s">
        <v>74</v>
      </c>
      <c r="BE342" s="1" t="s">
        <v>3536</v>
      </c>
      <c r="BF342" s="2" t="str">
        <f>HYPERLINK("http://dx.doi.org/10.4013/arq.2021.172.04","http://dx.doi.org/10.4013/arq.2021.172.04")</f>
        <v>http://dx.doi.org/10.4013/arq.2021.172.04</v>
      </c>
      <c r="BG342" s="1" t="s">
        <v>74</v>
      </c>
      <c r="BH342" s="1" t="s">
        <v>74</v>
      </c>
      <c r="BI342" s="1" t="s">
        <v>74</v>
      </c>
      <c r="BJ342" s="1" t="s">
        <v>74</v>
      </c>
      <c r="BK342" s="1" t="s">
        <v>74</v>
      </c>
      <c r="BL342" s="1" t="s">
        <v>74</v>
      </c>
      <c r="BM342" s="1" t="s">
        <v>74</v>
      </c>
      <c r="BN342" s="1" t="s">
        <v>74</v>
      </c>
      <c r="BO342" s="1" t="s">
        <v>74</v>
      </c>
      <c r="BP342" s="1" t="s">
        <v>74</v>
      </c>
      <c r="BQ342" s="1" t="s">
        <v>74</v>
      </c>
      <c r="BR342" s="1" t="s">
        <v>74</v>
      </c>
      <c r="BS342" s="1" t="s">
        <v>3537</v>
      </c>
      <c r="BT342" s="1" t="str">
        <f>HYPERLINK("https%3A%2F%2Fwww.webofscience.com%2Fwos%2Fwoscc%2Ffull-record%2FWOS:000698674900004","View Full Record in Web of Science")</f>
        <v>View Full Record in Web of Science</v>
      </c>
    </row>
    <row r="343" ht="12.75" customHeight="1">
      <c r="A343" s="1" t="s">
        <v>72</v>
      </c>
      <c r="B343" s="1" t="s">
        <v>3538</v>
      </c>
      <c r="C343" s="1" t="s">
        <v>74</v>
      </c>
      <c r="D343" s="1" t="s">
        <v>74</v>
      </c>
      <c r="E343" s="1" t="s">
        <v>74</v>
      </c>
      <c r="F343" s="1" t="s">
        <v>3539</v>
      </c>
      <c r="G343" s="1" t="s">
        <v>74</v>
      </c>
      <c r="H343" s="1" t="s">
        <v>74</v>
      </c>
      <c r="I343" s="1" t="s">
        <v>3540</v>
      </c>
      <c r="J343" s="1" t="s">
        <v>3541</v>
      </c>
      <c r="K343" s="1" t="s">
        <v>74</v>
      </c>
      <c r="L343" s="1" t="s">
        <v>74</v>
      </c>
      <c r="M343" s="1" t="s">
        <v>74</v>
      </c>
      <c r="N343" s="1" t="s">
        <v>74</v>
      </c>
      <c r="O343" s="1" t="s">
        <v>74</v>
      </c>
      <c r="P343" s="1" t="s">
        <v>74</v>
      </c>
      <c r="Q343" s="1" t="s">
        <v>74</v>
      </c>
      <c r="R343" s="1" t="s">
        <v>74</v>
      </c>
      <c r="S343" s="1" t="s">
        <v>74</v>
      </c>
      <c r="T343" s="1" t="s">
        <v>74</v>
      </c>
      <c r="U343" s="1" t="s">
        <v>74</v>
      </c>
      <c r="V343" s="1" t="s">
        <v>3542</v>
      </c>
      <c r="W343" s="1" t="s">
        <v>74</v>
      </c>
      <c r="X343" s="1" t="s">
        <v>74</v>
      </c>
      <c r="Y343" s="1" t="s">
        <v>74</v>
      </c>
      <c r="Z343" s="1" t="s">
        <v>74</v>
      </c>
      <c r="AA343" s="1" t="s">
        <v>3543</v>
      </c>
      <c r="AB343" s="1" t="s">
        <v>3544</v>
      </c>
      <c r="AC343" s="1" t="s">
        <v>74</v>
      </c>
      <c r="AD343" s="1" t="s">
        <v>74</v>
      </c>
      <c r="AE343" s="1" t="s">
        <v>74</v>
      </c>
      <c r="AF343" s="1" t="s">
        <v>74</v>
      </c>
      <c r="AG343" s="1" t="s">
        <v>74</v>
      </c>
      <c r="AH343" s="1" t="s">
        <v>74</v>
      </c>
      <c r="AI343" s="1" t="s">
        <v>74</v>
      </c>
      <c r="AJ343" s="1" t="s">
        <v>74</v>
      </c>
      <c r="AK343" s="1" t="s">
        <v>74</v>
      </c>
      <c r="AL343" s="1" t="s">
        <v>74</v>
      </c>
      <c r="AM343" s="1" t="s">
        <v>74</v>
      </c>
      <c r="AN343" s="1" t="s">
        <v>74</v>
      </c>
      <c r="AO343" s="1" t="s">
        <v>3545</v>
      </c>
      <c r="AP343" s="1" t="s">
        <v>3546</v>
      </c>
      <c r="AQ343" s="1" t="s">
        <v>74</v>
      </c>
      <c r="AR343" s="1" t="s">
        <v>74</v>
      </c>
      <c r="AS343" s="1" t="s">
        <v>74</v>
      </c>
      <c r="AT343" s="1" t="s">
        <v>696</v>
      </c>
      <c r="AU343" s="1">
        <v>2021.0</v>
      </c>
      <c r="AV343" s="1">
        <v>42.0</v>
      </c>
      <c r="AW343" s="1">
        <v>1.0</v>
      </c>
      <c r="AX343" s="1" t="s">
        <v>74</v>
      </c>
      <c r="AY343" s="1" t="s">
        <v>74</v>
      </c>
      <c r="AZ343" s="1" t="s">
        <v>74</v>
      </c>
      <c r="BA343" s="1" t="s">
        <v>74</v>
      </c>
      <c r="BB343" s="1" t="s">
        <v>74</v>
      </c>
      <c r="BC343" s="1" t="s">
        <v>74</v>
      </c>
      <c r="BD343" s="1">
        <v>15802.0</v>
      </c>
      <c r="BE343" s="1" t="s">
        <v>3547</v>
      </c>
      <c r="BF343" s="2" t="str">
        <f>HYPERLINK("http://dx.doi.org/10.1088/1361-6404/abadd6","http://dx.doi.org/10.1088/1361-6404/abadd6")</f>
        <v>http://dx.doi.org/10.1088/1361-6404/abadd6</v>
      </c>
      <c r="BG343" s="1" t="s">
        <v>74</v>
      </c>
      <c r="BH343" s="1" t="s">
        <v>74</v>
      </c>
      <c r="BI343" s="1" t="s">
        <v>74</v>
      </c>
      <c r="BJ343" s="1" t="s">
        <v>74</v>
      </c>
      <c r="BK343" s="1" t="s">
        <v>74</v>
      </c>
      <c r="BL343" s="1" t="s">
        <v>74</v>
      </c>
      <c r="BM343" s="1" t="s">
        <v>74</v>
      </c>
      <c r="BN343" s="1" t="s">
        <v>74</v>
      </c>
      <c r="BO343" s="1" t="s">
        <v>74</v>
      </c>
      <c r="BP343" s="1" t="s">
        <v>74</v>
      </c>
      <c r="BQ343" s="1" t="s">
        <v>74</v>
      </c>
      <c r="BR343" s="1" t="s">
        <v>74</v>
      </c>
      <c r="BS343" s="1" t="s">
        <v>3548</v>
      </c>
      <c r="BT343" s="1" t="str">
        <f>HYPERLINK("https%3A%2F%2Fwww.webofscience.com%2Fwos%2Fwoscc%2Ffull-record%2FWOS:000590709600001","View Full Record in Web of Science")</f>
        <v>View Full Record in Web of Science</v>
      </c>
    </row>
    <row r="344" ht="12.75" customHeight="1">
      <c r="A344" s="1" t="s">
        <v>72</v>
      </c>
      <c r="B344" s="1" t="s">
        <v>3549</v>
      </c>
      <c r="C344" s="1" t="s">
        <v>74</v>
      </c>
      <c r="D344" s="1" t="s">
        <v>74</v>
      </c>
      <c r="E344" s="1" t="s">
        <v>74</v>
      </c>
      <c r="F344" s="1" t="s">
        <v>3550</v>
      </c>
      <c r="G344" s="1" t="s">
        <v>74</v>
      </c>
      <c r="H344" s="1" t="s">
        <v>74</v>
      </c>
      <c r="I344" s="1" t="s">
        <v>3551</v>
      </c>
      <c r="J344" s="1" t="s">
        <v>3502</v>
      </c>
      <c r="K344" s="1" t="s">
        <v>74</v>
      </c>
      <c r="L344" s="1" t="s">
        <v>74</v>
      </c>
      <c r="M344" s="1" t="s">
        <v>74</v>
      </c>
      <c r="N344" s="1" t="s">
        <v>74</v>
      </c>
      <c r="O344" s="1" t="s">
        <v>74</v>
      </c>
      <c r="P344" s="1" t="s">
        <v>74</v>
      </c>
      <c r="Q344" s="1" t="s">
        <v>74</v>
      </c>
      <c r="R344" s="1" t="s">
        <v>74</v>
      </c>
      <c r="S344" s="1" t="s">
        <v>74</v>
      </c>
      <c r="T344" s="1" t="s">
        <v>74</v>
      </c>
      <c r="U344" s="1" t="s">
        <v>74</v>
      </c>
      <c r="V344" s="1" t="s">
        <v>3552</v>
      </c>
      <c r="W344" s="1" t="s">
        <v>74</v>
      </c>
      <c r="X344" s="1" t="s">
        <v>74</v>
      </c>
      <c r="Y344" s="1" t="s">
        <v>74</v>
      </c>
      <c r="Z344" s="1" t="s">
        <v>74</v>
      </c>
      <c r="AA344" s="1" t="s">
        <v>3553</v>
      </c>
      <c r="AB344" s="1" t="s">
        <v>74</v>
      </c>
      <c r="AC344" s="1" t="s">
        <v>74</v>
      </c>
      <c r="AD344" s="1" t="s">
        <v>74</v>
      </c>
      <c r="AE344" s="1" t="s">
        <v>74</v>
      </c>
      <c r="AF344" s="1" t="s">
        <v>74</v>
      </c>
      <c r="AG344" s="1" t="s">
        <v>74</v>
      </c>
      <c r="AH344" s="1" t="s">
        <v>74</v>
      </c>
      <c r="AI344" s="1" t="s">
        <v>74</v>
      </c>
      <c r="AJ344" s="1" t="s">
        <v>74</v>
      </c>
      <c r="AK344" s="1" t="s">
        <v>74</v>
      </c>
      <c r="AL344" s="1" t="s">
        <v>74</v>
      </c>
      <c r="AM344" s="1" t="s">
        <v>74</v>
      </c>
      <c r="AN344" s="1" t="s">
        <v>74</v>
      </c>
      <c r="AO344" s="1" t="s">
        <v>3505</v>
      </c>
      <c r="AP344" s="1" t="s">
        <v>3506</v>
      </c>
      <c r="AQ344" s="1" t="s">
        <v>74</v>
      </c>
      <c r="AR344" s="1" t="s">
        <v>74</v>
      </c>
      <c r="AS344" s="1" t="s">
        <v>74</v>
      </c>
      <c r="AT344" s="1" t="s">
        <v>74</v>
      </c>
      <c r="AU344" s="1">
        <v>2021.0</v>
      </c>
      <c r="AV344" s="1" t="s">
        <v>74</v>
      </c>
      <c r="AW344" s="1">
        <v>39.0</v>
      </c>
      <c r="AX344" s="1" t="s">
        <v>74</v>
      </c>
      <c r="AY344" s="1" t="s">
        <v>74</v>
      </c>
      <c r="AZ344" s="1" t="s">
        <v>74</v>
      </c>
      <c r="BA344" s="1" t="s">
        <v>74</v>
      </c>
      <c r="BB344" s="1">
        <v>318.0</v>
      </c>
      <c r="BC344" s="1">
        <v>324.0</v>
      </c>
      <c r="BD344" s="1" t="s">
        <v>74</v>
      </c>
      <c r="BE344" s="1" t="s">
        <v>74</v>
      </c>
      <c r="BF344" s="1" t="s">
        <v>74</v>
      </c>
      <c r="BG344" s="1" t="s">
        <v>74</v>
      </c>
      <c r="BH344" s="1" t="s">
        <v>74</v>
      </c>
      <c r="BI344" s="1" t="s">
        <v>74</v>
      </c>
      <c r="BJ344" s="1" t="s">
        <v>74</v>
      </c>
      <c r="BK344" s="1" t="s">
        <v>74</v>
      </c>
      <c r="BL344" s="1" t="s">
        <v>74</v>
      </c>
      <c r="BM344" s="1" t="s">
        <v>74</v>
      </c>
      <c r="BN344" s="1" t="s">
        <v>74</v>
      </c>
      <c r="BO344" s="1" t="s">
        <v>74</v>
      </c>
      <c r="BP344" s="1" t="s">
        <v>74</v>
      </c>
      <c r="BQ344" s="1" t="s">
        <v>74</v>
      </c>
      <c r="BR344" s="1" t="s">
        <v>74</v>
      </c>
      <c r="BS344" s="1" t="s">
        <v>3554</v>
      </c>
      <c r="BT344" s="1" t="str">
        <f>HYPERLINK("https%3A%2F%2Fwww.webofscience.com%2Fwos%2Fwoscc%2Ffull-record%2FWOS:000577177400001","View Full Record in Web of Science")</f>
        <v>View Full Record in Web of Science</v>
      </c>
    </row>
    <row r="345" ht="12.75" customHeight="1">
      <c r="A345" s="1" t="s">
        <v>72</v>
      </c>
      <c r="B345" s="1" t="s">
        <v>1344</v>
      </c>
      <c r="C345" s="1" t="s">
        <v>74</v>
      </c>
      <c r="D345" s="1" t="s">
        <v>74</v>
      </c>
      <c r="E345" s="1" t="s">
        <v>74</v>
      </c>
      <c r="F345" s="1" t="s">
        <v>3555</v>
      </c>
      <c r="G345" s="1" t="s">
        <v>74</v>
      </c>
      <c r="H345" s="1" t="s">
        <v>74</v>
      </c>
      <c r="I345" s="1" t="s">
        <v>3556</v>
      </c>
      <c r="J345" s="1" t="s">
        <v>3557</v>
      </c>
      <c r="K345" s="1" t="s">
        <v>74</v>
      </c>
      <c r="L345" s="1" t="s">
        <v>74</v>
      </c>
      <c r="M345" s="1" t="s">
        <v>74</v>
      </c>
      <c r="N345" s="1" t="s">
        <v>74</v>
      </c>
      <c r="O345" s="1" t="s">
        <v>74</v>
      </c>
      <c r="P345" s="1" t="s">
        <v>74</v>
      </c>
      <c r="Q345" s="1" t="s">
        <v>74</v>
      </c>
      <c r="R345" s="1" t="s">
        <v>74</v>
      </c>
      <c r="S345" s="1" t="s">
        <v>74</v>
      </c>
      <c r="T345" s="1" t="s">
        <v>74</v>
      </c>
      <c r="U345" s="1" t="s">
        <v>74</v>
      </c>
      <c r="V345" s="1" t="s">
        <v>74</v>
      </c>
      <c r="W345" s="1" t="s">
        <v>74</v>
      </c>
      <c r="X345" s="1" t="s">
        <v>74</v>
      </c>
      <c r="Y345" s="1" t="s">
        <v>74</v>
      </c>
      <c r="Z345" s="1" t="s">
        <v>74</v>
      </c>
      <c r="AA345" s="1" t="s">
        <v>74</v>
      </c>
      <c r="AB345" s="1" t="s">
        <v>74</v>
      </c>
      <c r="AC345" s="1" t="s">
        <v>74</v>
      </c>
      <c r="AD345" s="1" t="s">
        <v>74</v>
      </c>
      <c r="AE345" s="1" t="s">
        <v>74</v>
      </c>
      <c r="AF345" s="1" t="s">
        <v>74</v>
      </c>
      <c r="AG345" s="1" t="s">
        <v>74</v>
      </c>
      <c r="AH345" s="1" t="s">
        <v>74</v>
      </c>
      <c r="AI345" s="1" t="s">
        <v>74</v>
      </c>
      <c r="AJ345" s="1" t="s">
        <v>74</v>
      </c>
      <c r="AK345" s="1" t="s">
        <v>74</v>
      </c>
      <c r="AL345" s="1" t="s">
        <v>74</v>
      </c>
      <c r="AM345" s="1" t="s">
        <v>74</v>
      </c>
      <c r="AN345" s="1" t="s">
        <v>74</v>
      </c>
      <c r="AO345" s="1" t="s">
        <v>3558</v>
      </c>
      <c r="AP345" s="1" t="s">
        <v>3559</v>
      </c>
      <c r="AQ345" s="1" t="s">
        <v>74</v>
      </c>
      <c r="AR345" s="1" t="s">
        <v>74</v>
      </c>
      <c r="AS345" s="1" t="s">
        <v>74</v>
      </c>
      <c r="AT345" s="1" t="s">
        <v>652</v>
      </c>
      <c r="AU345" s="1">
        <v>2020.0</v>
      </c>
      <c r="AV345" s="1" t="s">
        <v>74</v>
      </c>
      <c r="AW345" s="1">
        <v>132.0</v>
      </c>
      <c r="AX345" s="1" t="s">
        <v>74</v>
      </c>
      <c r="AY345" s="1" t="s">
        <v>74</v>
      </c>
      <c r="AZ345" s="1" t="s">
        <v>74</v>
      </c>
      <c r="BA345" s="1" t="s">
        <v>74</v>
      </c>
      <c r="BB345" s="1">
        <v>95.0</v>
      </c>
      <c r="BC345" s="1">
        <v>139.0</v>
      </c>
      <c r="BD345" s="1" t="s">
        <v>74</v>
      </c>
      <c r="BE345" s="1" t="s">
        <v>74</v>
      </c>
      <c r="BF345" s="1" t="s">
        <v>74</v>
      </c>
      <c r="BG345" s="1" t="s">
        <v>74</v>
      </c>
      <c r="BH345" s="1" t="s">
        <v>74</v>
      </c>
      <c r="BI345" s="1" t="s">
        <v>74</v>
      </c>
      <c r="BJ345" s="1" t="s">
        <v>74</v>
      </c>
      <c r="BK345" s="1" t="s">
        <v>74</v>
      </c>
      <c r="BL345" s="1" t="s">
        <v>74</v>
      </c>
      <c r="BM345" s="1" t="s">
        <v>74</v>
      </c>
      <c r="BN345" s="1" t="s">
        <v>74</v>
      </c>
      <c r="BO345" s="1" t="s">
        <v>74</v>
      </c>
      <c r="BP345" s="1" t="s">
        <v>74</v>
      </c>
      <c r="BQ345" s="1" t="s">
        <v>74</v>
      </c>
      <c r="BR345" s="1" t="s">
        <v>74</v>
      </c>
      <c r="BS345" s="1" t="s">
        <v>3560</v>
      </c>
      <c r="BT345" s="1" t="str">
        <f>HYPERLINK("https%3A%2F%2Fwww.webofscience.com%2Fwos%2Fwoscc%2Ffull-record%2FWOS:000646042300007","View Full Record in Web of Science")</f>
        <v>View Full Record in Web of Science</v>
      </c>
    </row>
    <row r="346" ht="12.75" customHeight="1">
      <c r="A346" s="1" t="s">
        <v>72</v>
      </c>
      <c r="B346" s="1" t="s">
        <v>3561</v>
      </c>
      <c r="C346" s="1" t="s">
        <v>74</v>
      </c>
      <c r="D346" s="1" t="s">
        <v>74</v>
      </c>
      <c r="E346" s="1" t="s">
        <v>74</v>
      </c>
      <c r="F346" s="1" t="s">
        <v>3562</v>
      </c>
      <c r="G346" s="1" t="s">
        <v>74</v>
      </c>
      <c r="H346" s="1" t="s">
        <v>74</v>
      </c>
      <c r="I346" s="1" t="s">
        <v>3563</v>
      </c>
      <c r="J346" s="1" t="s">
        <v>3564</v>
      </c>
      <c r="K346" s="1" t="s">
        <v>74</v>
      </c>
      <c r="L346" s="1" t="s">
        <v>74</v>
      </c>
      <c r="M346" s="1" t="s">
        <v>74</v>
      </c>
      <c r="N346" s="1" t="s">
        <v>74</v>
      </c>
      <c r="O346" s="1" t="s">
        <v>74</v>
      </c>
      <c r="P346" s="1" t="s">
        <v>74</v>
      </c>
      <c r="Q346" s="1" t="s">
        <v>74</v>
      </c>
      <c r="R346" s="1" t="s">
        <v>74</v>
      </c>
      <c r="S346" s="1" t="s">
        <v>74</v>
      </c>
      <c r="T346" s="1" t="s">
        <v>74</v>
      </c>
      <c r="U346" s="1" t="s">
        <v>74</v>
      </c>
      <c r="V346" s="1" t="s">
        <v>3565</v>
      </c>
      <c r="W346" s="1" t="s">
        <v>74</v>
      </c>
      <c r="X346" s="1" t="s">
        <v>74</v>
      </c>
      <c r="Y346" s="1" t="s">
        <v>74</v>
      </c>
      <c r="Z346" s="1" t="s">
        <v>74</v>
      </c>
      <c r="AA346" s="1" t="s">
        <v>3566</v>
      </c>
      <c r="AB346" s="1" t="s">
        <v>3567</v>
      </c>
      <c r="AC346" s="1" t="s">
        <v>74</v>
      </c>
      <c r="AD346" s="1" t="s">
        <v>74</v>
      </c>
      <c r="AE346" s="1" t="s">
        <v>74</v>
      </c>
      <c r="AF346" s="1" t="s">
        <v>74</v>
      </c>
      <c r="AG346" s="1" t="s">
        <v>74</v>
      </c>
      <c r="AH346" s="1" t="s">
        <v>74</v>
      </c>
      <c r="AI346" s="1" t="s">
        <v>74</v>
      </c>
      <c r="AJ346" s="1" t="s">
        <v>74</v>
      </c>
      <c r="AK346" s="1" t="s">
        <v>74</v>
      </c>
      <c r="AL346" s="1" t="s">
        <v>74</v>
      </c>
      <c r="AM346" s="1" t="s">
        <v>74</v>
      </c>
      <c r="AN346" s="1" t="s">
        <v>74</v>
      </c>
      <c r="AO346" s="1" t="s">
        <v>3568</v>
      </c>
      <c r="AP346" s="1" t="s">
        <v>3569</v>
      </c>
      <c r="AQ346" s="1" t="s">
        <v>74</v>
      </c>
      <c r="AR346" s="1" t="s">
        <v>74</v>
      </c>
      <c r="AS346" s="1" t="s">
        <v>74</v>
      </c>
      <c r="AT346" s="1" t="s">
        <v>2704</v>
      </c>
      <c r="AU346" s="1">
        <v>2020.0</v>
      </c>
      <c r="AV346" s="1">
        <v>37.0</v>
      </c>
      <c r="AW346" s="1">
        <v>9.0</v>
      </c>
      <c r="AX346" s="1" t="s">
        <v>74</v>
      </c>
      <c r="AY346" s="1" t="s">
        <v>74</v>
      </c>
      <c r="AZ346" s="1" t="s">
        <v>74</v>
      </c>
      <c r="BA346" s="1" t="s">
        <v>74</v>
      </c>
      <c r="BB346" s="1">
        <v>1262.0</v>
      </c>
      <c r="BC346" s="1">
        <v>1283.0</v>
      </c>
      <c r="BD346" s="1" t="s">
        <v>74</v>
      </c>
      <c r="BE346" s="1" t="s">
        <v>3570</v>
      </c>
      <c r="BF346" s="2" t="str">
        <f>HYPERLINK("http://dx.doi.org/10.1039/c9np00058e","http://dx.doi.org/10.1039/c9np00058e")</f>
        <v>http://dx.doi.org/10.1039/c9np00058e</v>
      </c>
      <c r="BG346" s="1" t="s">
        <v>74</v>
      </c>
      <c r="BH346" s="1" t="s">
        <v>74</v>
      </c>
      <c r="BI346" s="1" t="s">
        <v>74</v>
      </c>
      <c r="BJ346" s="1" t="s">
        <v>74</v>
      </c>
      <c r="BK346" s="1" t="s">
        <v>74</v>
      </c>
      <c r="BL346" s="1" t="s">
        <v>74</v>
      </c>
      <c r="BM346" s="1" t="s">
        <v>74</v>
      </c>
      <c r="BN346" s="1">
        <v>3.2426792E7</v>
      </c>
      <c r="BO346" s="1" t="s">
        <v>74</v>
      </c>
      <c r="BP346" s="1" t="s">
        <v>74</v>
      </c>
      <c r="BQ346" s="1" t="s">
        <v>74</v>
      </c>
      <c r="BR346" s="1" t="s">
        <v>74</v>
      </c>
      <c r="BS346" s="1" t="s">
        <v>3571</v>
      </c>
      <c r="BT346" s="1" t="str">
        <f>HYPERLINK("https%3A%2F%2Fwww.webofscience.com%2Fwos%2Fwoscc%2Ffull-record%2FWOS:000571972300006","View Full Record in Web of Science")</f>
        <v>View Full Record in Web of Science</v>
      </c>
    </row>
    <row r="347" ht="12.75" customHeight="1">
      <c r="A347" s="1" t="s">
        <v>72</v>
      </c>
      <c r="B347" s="1" t="s">
        <v>3572</v>
      </c>
      <c r="C347" s="1" t="s">
        <v>74</v>
      </c>
      <c r="D347" s="1" t="s">
        <v>74</v>
      </c>
      <c r="E347" s="1" t="s">
        <v>74</v>
      </c>
      <c r="F347" s="1" t="s">
        <v>3573</v>
      </c>
      <c r="G347" s="1" t="s">
        <v>74</v>
      </c>
      <c r="H347" s="1" t="s">
        <v>74</v>
      </c>
      <c r="I347" s="1" t="s">
        <v>3574</v>
      </c>
      <c r="J347" s="1" t="s">
        <v>3575</v>
      </c>
      <c r="K347" s="1" t="s">
        <v>74</v>
      </c>
      <c r="L347" s="1" t="s">
        <v>74</v>
      </c>
      <c r="M347" s="1" t="s">
        <v>74</v>
      </c>
      <c r="N347" s="1" t="s">
        <v>74</v>
      </c>
      <c r="O347" s="1" t="s">
        <v>74</v>
      </c>
      <c r="P347" s="1" t="s">
        <v>74</v>
      </c>
      <c r="Q347" s="1" t="s">
        <v>74</v>
      </c>
      <c r="R347" s="1" t="s">
        <v>74</v>
      </c>
      <c r="S347" s="1" t="s">
        <v>74</v>
      </c>
      <c r="T347" s="1" t="s">
        <v>74</v>
      </c>
      <c r="U347" s="1" t="s">
        <v>74</v>
      </c>
      <c r="V347" s="1" t="s">
        <v>3576</v>
      </c>
      <c r="W347" s="1" t="s">
        <v>74</v>
      </c>
      <c r="X347" s="1" t="s">
        <v>74</v>
      </c>
      <c r="Y347" s="1" t="s">
        <v>74</v>
      </c>
      <c r="Z347" s="1" t="s">
        <v>74</v>
      </c>
      <c r="AA347" s="1" t="s">
        <v>3577</v>
      </c>
      <c r="AB347" s="1" t="s">
        <v>3578</v>
      </c>
      <c r="AC347" s="1" t="s">
        <v>74</v>
      </c>
      <c r="AD347" s="1" t="s">
        <v>74</v>
      </c>
      <c r="AE347" s="1" t="s">
        <v>74</v>
      </c>
      <c r="AF347" s="1" t="s">
        <v>74</v>
      </c>
      <c r="AG347" s="1" t="s">
        <v>74</v>
      </c>
      <c r="AH347" s="1" t="s">
        <v>74</v>
      </c>
      <c r="AI347" s="1" t="s">
        <v>74</v>
      </c>
      <c r="AJ347" s="1" t="s">
        <v>74</v>
      </c>
      <c r="AK347" s="1" t="s">
        <v>74</v>
      </c>
      <c r="AL347" s="1" t="s">
        <v>74</v>
      </c>
      <c r="AM347" s="1" t="s">
        <v>74</v>
      </c>
      <c r="AN347" s="1" t="s">
        <v>74</v>
      </c>
      <c r="AO347" s="1" t="s">
        <v>3579</v>
      </c>
      <c r="AP347" s="1" t="s">
        <v>3580</v>
      </c>
      <c r="AQ347" s="1" t="s">
        <v>74</v>
      </c>
      <c r="AR347" s="1" t="s">
        <v>74</v>
      </c>
      <c r="AS347" s="1" t="s">
        <v>74</v>
      </c>
      <c r="AT347" s="1" t="s">
        <v>3581</v>
      </c>
      <c r="AU347" s="1">
        <v>2019.0</v>
      </c>
      <c r="AV347" s="1">
        <v>42.0</v>
      </c>
      <c r="AW347" s="1">
        <v>6.0</v>
      </c>
      <c r="AX347" s="1" t="s">
        <v>74</v>
      </c>
      <c r="AY347" s="1" t="s">
        <v>74</v>
      </c>
      <c r="AZ347" s="1" t="s">
        <v>74</v>
      </c>
      <c r="BA347" s="1" t="s">
        <v>74</v>
      </c>
      <c r="BB347" s="1">
        <v>1124.0</v>
      </c>
      <c r="BC347" s="1">
        <v>1140.0</v>
      </c>
      <c r="BD347" s="1" t="s">
        <v>74</v>
      </c>
      <c r="BE347" s="1" t="s">
        <v>3582</v>
      </c>
      <c r="BF347" s="2" t="str">
        <f>HYPERLINK("http://dx.doi.org/10.1108/PIJPSM-03-2019-0033","http://dx.doi.org/10.1108/PIJPSM-03-2019-0033")</f>
        <v>http://dx.doi.org/10.1108/PIJPSM-03-2019-0033</v>
      </c>
      <c r="BG347" s="1" t="s">
        <v>74</v>
      </c>
      <c r="BH347" s="1" t="s">
        <v>74</v>
      </c>
      <c r="BI347" s="1" t="s">
        <v>74</v>
      </c>
      <c r="BJ347" s="1" t="s">
        <v>74</v>
      </c>
      <c r="BK347" s="1" t="s">
        <v>74</v>
      </c>
      <c r="BL347" s="1" t="s">
        <v>74</v>
      </c>
      <c r="BM347" s="1" t="s">
        <v>74</v>
      </c>
      <c r="BN347" s="1" t="s">
        <v>74</v>
      </c>
      <c r="BO347" s="1" t="s">
        <v>74</v>
      </c>
      <c r="BP347" s="1" t="s">
        <v>74</v>
      </c>
      <c r="BQ347" s="1" t="s">
        <v>74</v>
      </c>
      <c r="BR347" s="1" t="s">
        <v>74</v>
      </c>
      <c r="BS347" s="1" t="s">
        <v>3583</v>
      </c>
      <c r="BT347" s="1" t="str">
        <f>HYPERLINK("https%3A%2F%2Fwww.webofscience.com%2Fwos%2Fwoscc%2Ffull-record%2FWOS:000497200400011","View Full Record in Web of Science")</f>
        <v>View Full Record in Web of Science</v>
      </c>
    </row>
    <row r="348" ht="12.75" customHeight="1">
      <c r="A348" s="1" t="s">
        <v>72</v>
      </c>
      <c r="B348" s="1" t="s">
        <v>3584</v>
      </c>
      <c r="C348" s="1" t="s">
        <v>74</v>
      </c>
      <c r="D348" s="1" t="s">
        <v>74</v>
      </c>
      <c r="E348" s="1" t="s">
        <v>74</v>
      </c>
      <c r="F348" s="1" t="s">
        <v>3585</v>
      </c>
      <c r="G348" s="1" t="s">
        <v>74</v>
      </c>
      <c r="H348" s="1" t="s">
        <v>74</v>
      </c>
      <c r="I348" s="1" t="s">
        <v>3586</v>
      </c>
      <c r="J348" s="1" t="s">
        <v>3587</v>
      </c>
      <c r="K348" s="1" t="s">
        <v>74</v>
      </c>
      <c r="L348" s="1" t="s">
        <v>74</v>
      </c>
      <c r="M348" s="1" t="s">
        <v>74</v>
      </c>
      <c r="N348" s="1" t="s">
        <v>74</v>
      </c>
      <c r="O348" s="1" t="s">
        <v>74</v>
      </c>
      <c r="P348" s="1" t="s">
        <v>74</v>
      </c>
      <c r="Q348" s="1" t="s">
        <v>74</v>
      </c>
      <c r="R348" s="1" t="s">
        <v>74</v>
      </c>
      <c r="S348" s="1" t="s">
        <v>74</v>
      </c>
      <c r="T348" s="1" t="s">
        <v>74</v>
      </c>
      <c r="U348" s="1" t="s">
        <v>74</v>
      </c>
      <c r="V348" s="1" t="s">
        <v>3588</v>
      </c>
      <c r="W348" s="1" t="s">
        <v>74</v>
      </c>
      <c r="X348" s="1" t="s">
        <v>74</v>
      </c>
      <c r="Y348" s="1" t="s">
        <v>74</v>
      </c>
      <c r="Z348" s="1" t="s">
        <v>74</v>
      </c>
      <c r="AA348" s="1" t="s">
        <v>3589</v>
      </c>
      <c r="AB348" s="1" t="s">
        <v>3590</v>
      </c>
      <c r="AC348" s="1" t="s">
        <v>74</v>
      </c>
      <c r="AD348" s="1" t="s">
        <v>74</v>
      </c>
      <c r="AE348" s="1" t="s">
        <v>74</v>
      </c>
      <c r="AF348" s="1" t="s">
        <v>74</v>
      </c>
      <c r="AG348" s="1" t="s">
        <v>74</v>
      </c>
      <c r="AH348" s="1" t="s">
        <v>74</v>
      </c>
      <c r="AI348" s="1" t="s">
        <v>74</v>
      </c>
      <c r="AJ348" s="1" t="s">
        <v>74</v>
      </c>
      <c r="AK348" s="1" t="s">
        <v>74</v>
      </c>
      <c r="AL348" s="1" t="s">
        <v>74</v>
      </c>
      <c r="AM348" s="1" t="s">
        <v>74</v>
      </c>
      <c r="AN348" s="1" t="s">
        <v>74</v>
      </c>
      <c r="AO348" s="1" t="s">
        <v>3591</v>
      </c>
      <c r="AP348" s="1" t="s">
        <v>3592</v>
      </c>
      <c r="AQ348" s="1" t="s">
        <v>74</v>
      </c>
      <c r="AR348" s="1" t="s">
        <v>74</v>
      </c>
      <c r="AS348" s="1" t="s">
        <v>74</v>
      </c>
      <c r="AT348" s="1" t="s">
        <v>606</v>
      </c>
      <c r="AU348" s="1">
        <v>2019.0</v>
      </c>
      <c r="AV348" s="1">
        <v>104.0</v>
      </c>
      <c r="AW348" s="1" t="s">
        <v>3593</v>
      </c>
      <c r="AX348" s="1" t="s">
        <v>74</v>
      </c>
      <c r="AY348" s="1" t="s">
        <v>74</v>
      </c>
      <c r="AZ348" s="1" t="s">
        <v>74</v>
      </c>
      <c r="BA348" s="1" t="s">
        <v>74</v>
      </c>
      <c r="BB348" s="1">
        <v>4207.0</v>
      </c>
      <c r="BC348" s="1">
        <v>4218.0</v>
      </c>
      <c r="BD348" s="1" t="s">
        <v>74</v>
      </c>
      <c r="BE348" s="1" t="s">
        <v>3594</v>
      </c>
      <c r="BF348" s="2" t="str">
        <f>HYPERLINK("http://dx.doi.org/10.1007/s00170-019-04194-z","http://dx.doi.org/10.1007/s00170-019-04194-z")</f>
        <v>http://dx.doi.org/10.1007/s00170-019-04194-z</v>
      </c>
      <c r="BG348" s="1" t="s">
        <v>74</v>
      </c>
      <c r="BH348" s="1" t="s">
        <v>74</v>
      </c>
      <c r="BI348" s="1" t="s">
        <v>74</v>
      </c>
      <c r="BJ348" s="1" t="s">
        <v>74</v>
      </c>
      <c r="BK348" s="1" t="s">
        <v>74</v>
      </c>
      <c r="BL348" s="1" t="s">
        <v>74</v>
      </c>
      <c r="BM348" s="1" t="s">
        <v>74</v>
      </c>
      <c r="BN348" s="1" t="s">
        <v>74</v>
      </c>
      <c r="BO348" s="1" t="s">
        <v>74</v>
      </c>
      <c r="BP348" s="1" t="s">
        <v>74</v>
      </c>
      <c r="BQ348" s="1" t="s">
        <v>74</v>
      </c>
      <c r="BR348" s="1" t="s">
        <v>74</v>
      </c>
      <c r="BS348" s="1" t="s">
        <v>3595</v>
      </c>
      <c r="BT348" s="1" t="str">
        <f>HYPERLINK("https%3A%2F%2Fwww.webofscience.com%2Fwos%2Fwoscc%2Ffull-record%2FWOS:000500220700065","View Full Record in Web of Science")</f>
        <v>View Full Record in Web of Science</v>
      </c>
    </row>
    <row r="349" ht="12.75" customHeight="1">
      <c r="A349" s="1" t="s">
        <v>72</v>
      </c>
      <c r="B349" s="1" t="s">
        <v>3596</v>
      </c>
      <c r="C349" s="1" t="s">
        <v>74</v>
      </c>
      <c r="D349" s="1" t="s">
        <v>74</v>
      </c>
      <c r="E349" s="1" t="s">
        <v>74</v>
      </c>
      <c r="F349" s="1" t="s">
        <v>3597</v>
      </c>
      <c r="G349" s="1" t="s">
        <v>74</v>
      </c>
      <c r="H349" s="1" t="s">
        <v>74</v>
      </c>
      <c r="I349" s="1" t="s">
        <v>3598</v>
      </c>
      <c r="J349" s="1" t="s">
        <v>959</v>
      </c>
      <c r="K349" s="1" t="s">
        <v>74</v>
      </c>
      <c r="L349" s="1" t="s">
        <v>74</v>
      </c>
      <c r="M349" s="1" t="s">
        <v>74</v>
      </c>
      <c r="N349" s="1" t="s">
        <v>74</v>
      </c>
      <c r="O349" s="1" t="s">
        <v>74</v>
      </c>
      <c r="P349" s="1" t="s">
        <v>74</v>
      </c>
      <c r="Q349" s="1" t="s">
        <v>74</v>
      </c>
      <c r="R349" s="1" t="s">
        <v>74</v>
      </c>
      <c r="S349" s="1" t="s">
        <v>74</v>
      </c>
      <c r="T349" s="1" t="s">
        <v>74</v>
      </c>
      <c r="U349" s="1" t="s">
        <v>74</v>
      </c>
      <c r="V349" s="1" t="s">
        <v>3599</v>
      </c>
      <c r="W349" s="1" t="s">
        <v>74</v>
      </c>
      <c r="X349" s="1" t="s">
        <v>74</v>
      </c>
      <c r="Y349" s="1" t="s">
        <v>74</v>
      </c>
      <c r="Z349" s="1" t="s">
        <v>74</v>
      </c>
      <c r="AA349" s="1" t="s">
        <v>3600</v>
      </c>
      <c r="AB349" s="1" t="s">
        <v>3601</v>
      </c>
      <c r="AC349" s="1" t="s">
        <v>74</v>
      </c>
      <c r="AD349" s="1" t="s">
        <v>74</v>
      </c>
      <c r="AE349" s="1" t="s">
        <v>74</v>
      </c>
      <c r="AF349" s="1" t="s">
        <v>74</v>
      </c>
      <c r="AG349" s="1" t="s">
        <v>74</v>
      </c>
      <c r="AH349" s="1" t="s">
        <v>74</v>
      </c>
      <c r="AI349" s="1" t="s">
        <v>74</v>
      </c>
      <c r="AJ349" s="1" t="s">
        <v>74</v>
      </c>
      <c r="AK349" s="1" t="s">
        <v>74</v>
      </c>
      <c r="AL349" s="1" t="s">
        <v>74</v>
      </c>
      <c r="AM349" s="1" t="s">
        <v>74</v>
      </c>
      <c r="AN349" s="1" t="s">
        <v>74</v>
      </c>
      <c r="AO349" s="1" t="s">
        <v>963</v>
      </c>
      <c r="AP349" s="1" t="s">
        <v>964</v>
      </c>
      <c r="AQ349" s="1" t="s">
        <v>74</v>
      </c>
      <c r="AR349" s="1" t="s">
        <v>74</v>
      </c>
      <c r="AS349" s="1" t="s">
        <v>74</v>
      </c>
      <c r="AT349" s="1" t="s">
        <v>678</v>
      </c>
      <c r="AU349" s="1">
        <v>2019.0</v>
      </c>
      <c r="AV349" s="1">
        <v>31.0</v>
      </c>
      <c r="AW349" s="1">
        <v>11.0</v>
      </c>
      <c r="AX349" s="1" t="s">
        <v>74</v>
      </c>
      <c r="AY349" s="1" t="s">
        <v>74</v>
      </c>
      <c r="AZ349" s="1" t="s">
        <v>74</v>
      </c>
      <c r="BA349" s="1" t="s">
        <v>74</v>
      </c>
      <c r="BB349" s="1">
        <v>2199.0</v>
      </c>
      <c r="BC349" s="1">
        <v>2205.0</v>
      </c>
      <c r="BD349" s="1" t="s">
        <v>74</v>
      </c>
      <c r="BE349" s="1" t="s">
        <v>3602</v>
      </c>
      <c r="BF349" s="2" t="str">
        <f>HYPERLINK("http://dx.doi.org/10.1002/elan.201900061","http://dx.doi.org/10.1002/elan.201900061")</f>
        <v>http://dx.doi.org/10.1002/elan.201900061</v>
      </c>
      <c r="BG349" s="1" t="s">
        <v>74</v>
      </c>
      <c r="BH349" s="1" t="s">
        <v>3603</v>
      </c>
      <c r="BI349" s="1" t="s">
        <v>74</v>
      </c>
      <c r="BJ349" s="1" t="s">
        <v>74</v>
      </c>
      <c r="BK349" s="1" t="s">
        <v>74</v>
      </c>
      <c r="BL349" s="1" t="s">
        <v>74</v>
      </c>
      <c r="BM349" s="1" t="s">
        <v>74</v>
      </c>
      <c r="BN349" s="1" t="s">
        <v>74</v>
      </c>
      <c r="BO349" s="1" t="s">
        <v>74</v>
      </c>
      <c r="BP349" s="1" t="s">
        <v>74</v>
      </c>
      <c r="BQ349" s="1" t="s">
        <v>74</v>
      </c>
      <c r="BR349" s="1" t="s">
        <v>74</v>
      </c>
      <c r="BS349" s="1" t="s">
        <v>3604</v>
      </c>
      <c r="BT349" s="1" t="str">
        <f>HYPERLINK("https%3A%2F%2Fwww.webofscience.com%2Fwos%2Fwoscc%2Ffull-record%2FWOS:000474968900001","View Full Record in Web of Science")</f>
        <v>View Full Record in Web of Science</v>
      </c>
    </row>
    <row r="350" ht="12.75" customHeight="1">
      <c r="A350" s="1" t="s">
        <v>72</v>
      </c>
      <c r="B350" s="1" t="s">
        <v>3605</v>
      </c>
      <c r="C350" s="1" t="s">
        <v>74</v>
      </c>
      <c r="D350" s="1" t="s">
        <v>74</v>
      </c>
      <c r="E350" s="1" t="s">
        <v>74</v>
      </c>
      <c r="F350" s="1" t="s">
        <v>3606</v>
      </c>
      <c r="G350" s="1" t="s">
        <v>74</v>
      </c>
      <c r="H350" s="1" t="s">
        <v>74</v>
      </c>
      <c r="I350" s="1" t="s">
        <v>3607</v>
      </c>
      <c r="J350" s="1" t="s">
        <v>3608</v>
      </c>
      <c r="K350" s="1" t="s">
        <v>74</v>
      </c>
      <c r="L350" s="1" t="s">
        <v>74</v>
      </c>
      <c r="M350" s="1" t="s">
        <v>74</v>
      </c>
      <c r="N350" s="1" t="s">
        <v>74</v>
      </c>
      <c r="O350" s="1" t="s">
        <v>74</v>
      </c>
      <c r="P350" s="1" t="s">
        <v>74</v>
      </c>
      <c r="Q350" s="1" t="s">
        <v>74</v>
      </c>
      <c r="R350" s="1" t="s">
        <v>74</v>
      </c>
      <c r="S350" s="1" t="s">
        <v>74</v>
      </c>
      <c r="T350" s="1" t="s">
        <v>74</v>
      </c>
      <c r="U350" s="1" t="s">
        <v>74</v>
      </c>
      <c r="V350" s="1" t="s">
        <v>3609</v>
      </c>
      <c r="W350" s="1" t="s">
        <v>74</v>
      </c>
      <c r="X350" s="1" t="s">
        <v>74</v>
      </c>
      <c r="Y350" s="1" t="s">
        <v>74</v>
      </c>
      <c r="Z350" s="1" t="s">
        <v>74</v>
      </c>
      <c r="AA350" s="1" t="s">
        <v>3610</v>
      </c>
      <c r="AB350" s="1" t="s">
        <v>3611</v>
      </c>
      <c r="AC350" s="1" t="s">
        <v>74</v>
      </c>
      <c r="AD350" s="1" t="s">
        <v>74</v>
      </c>
      <c r="AE350" s="1" t="s">
        <v>74</v>
      </c>
      <c r="AF350" s="1" t="s">
        <v>74</v>
      </c>
      <c r="AG350" s="1" t="s">
        <v>74</v>
      </c>
      <c r="AH350" s="1" t="s">
        <v>74</v>
      </c>
      <c r="AI350" s="1" t="s">
        <v>74</v>
      </c>
      <c r="AJ350" s="1" t="s">
        <v>74</v>
      </c>
      <c r="AK350" s="1" t="s">
        <v>74</v>
      </c>
      <c r="AL350" s="1" t="s">
        <v>74</v>
      </c>
      <c r="AM350" s="1" t="s">
        <v>74</v>
      </c>
      <c r="AN350" s="1" t="s">
        <v>74</v>
      </c>
      <c r="AO350" s="1" t="s">
        <v>3612</v>
      </c>
      <c r="AP350" s="1" t="s">
        <v>3613</v>
      </c>
      <c r="AQ350" s="1" t="s">
        <v>74</v>
      </c>
      <c r="AR350" s="1" t="s">
        <v>74</v>
      </c>
      <c r="AS350" s="1" t="s">
        <v>74</v>
      </c>
      <c r="AT350" s="1" t="s">
        <v>696</v>
      </c>
      <c r="AU350" s="1">
        <v>2019.0</v>
      </c>
      <c r="AV350" s="1">
        <v>22.0</v>
      </c>
      <c r="AW350" s="1">
        <v>1.0</v>
      </c>
      <c r="AX350" s="1" t="s">
        <v>74</v>
      </c>
      <c r="AY350" s="1" t="s">
        <v>74</v>
      </c>
      <c r="AZ350" s="1" t="s">
        <v>74</v>
      </c>
      <c r="BA350" s="1" t="s">
        <v>74</v>
      </c>
      <c r="BB350" s="1">
        <v>76.0</v>
      </c>
      <c r="BC350" s="1">
        <v>84.0</v>
      </c>
      <c r="BD350" s="1" t="s">
        <v>74</v>
      </c>
      <c r="BE350" s="1" t="s">
        <v>3614</v>
      </c>
      <c r="BF350" s="2" t="str">
        <f>HYPERLINK("http://dx.doi.org/10.1016/j.jsams.2018.07.006","http://dx.doi.org/10.1016/j.jsams.2018.07.006")</f>
        <v>http://dx.doi.org/10.1016/j.jsams.2018.07.006</v>
      </c>
      <c r="BG350" s="1" t="s">
        <v>74</v>
      </c>
      <c r="BH350" s="1" t="s">
        <v>74</v>
      </c>
      <c r="BI350" s="1" t="s">
        <v>74</v>
      </c>
      <c r="BJ350" s="1" t="s">
        <v>74</v>
      </c>
      <c r="BK350" s="1" t="s">
        <v>74</v>
      </c>
      <c r="BL350" s="1" t="s">
        <v>74</v>
      </c>
      <c r="BM350" s="1" t="s">
        <v>74</v>
      </c>
      <c r="BN350" s="1">
        <v>3.0054135E7</v>
      </c>
      <c r="BO350" s="1" t="s">
        <v>74</v>
      </c>
      <c r="BP350" s="1" t="s">
        <v>74</v>
      </c>
      <c r="BQ350" s="1" t="s">
        <v>74</v>
      </c>
      <c r="BR350" s="1" t="s">
        <v>74</v>
      </c>
      <c r="BS350" s="1" t="s">
        <v>3615</v>
      </c>
      <c r="BT350" s="1" t="str">
        <f>HYPERLINK("https%3A%2F%2Fwww.webofscience.com%2Fwos%2Fwoscc%2Ffull-record%2FWOS:000457817700014","View Full Record in Web of Science")</f>
        <v>View Full Record in Web of Science</v>
      </c>
    </row>
    <row r="351" ht="12.75" customHeight="1">
      <c r="A351" s="1" t="s">
        <v>72</v>
      </c>
      <c r="B351" s="1" t="s">
        <v>3616</v>
      </c>
      <c r="C351" s="1" t="s">
        <v>74</v>
      </c>
      <c r="D351" s="1" t="s">
        <v>74</v>
      </c>
      <c r="E351" s="1" t="s">
        <v>74</v>
      </c>
      <c r="F351" s="1" t="s">
        <v>3617</v>
      </c>
      <c r="G351" s="1" t="s">
        <v>74</v>
      </c>
      <c r="H351" s="1" t="s">
        <v>74</v>
      </c>
      <c r="I351" s="1" t="s">
        <v>3618</v>
      </c>
      <c r="J351" s="1" t="s">
        <v>3619</v>
      </c>
      <c r="K351" s="1" t="s">
        <v>74</v>
      </c>
      <c r="L351" s="1" t="s">
        <v>74</v>
      </c>
      <c r="M351" s="1" t="s">
        <v>74</v>
      </c>
      <c r="N351" s="1" t="s">
        <v>74</v>
      </c>
      <c r="O351" s="1" t="s">
        <v>74</v>
      </c>
      <c r="P351" s="1" t="s">
        <v>74</v>
      </c>
      <c r="Q351" s="1" t="s">
        <v>74</v>
      </c>
      <c r="R351" s="1" t="s">
        <v>74</v>
      </c>
      <c r="S351" s="1" t="s">
        <v>74</v>
      </c>
      <c r="T351" s="1" t="s">
        <v>74</v>
      </c>
      <c r="U351" s="1" t="s">
        <v>74</v>
      </c>
      <c r="V351" s="1" t="s">
        <v>3620</v>
      </c>
      <c r="W351" s="1" t="s">
        <v>74</v>
      </c>
      <c r="X351" s="1" t="s">
        <v>74</v>
      </c>
      <c r="Y351" s="1" t="s">
        <v>74</v>
      </c>
      <c r="Z351" s="1" t="s">
        <v>74</v>
      </c>
      <c r="AA351" s="1" t="s">
        <v>3621</v>
      </c>
      <c r="AB351" s="1" t="s">
        <v>3622</v>
      </c>
      <c r="AC351" s="1" t="s">
        <v>74</v>
      </c>
      <c r="AD351" s="1" t="s">
        <v>74</v>
      </c>
      <c r="AE351" s="1" t="s">
        <v>74</v>
      </c>
      <c r="AF351" s="1" t="s">
        <v>74</v>
      </c>
      <c r="AG351" s="1" t="s">
        <v>74</v>
      </c>
      <c r="AH351" s="1" t="s">
        <v>74</v>
      </c>
      <c r="AI351" s="1" t="s">
        <v>74</v>
      </c>
      <c r="AJ351" s="1" t="s">
        <v>74</v>
      </c>
      <c r="AK351" s="1" t="s">
        <v>74</v>
      </c>
      <c r="AL351" s="1" t="s">
        <v>74</v>
      </c>
      <c r="AM351" s="1" t="s">
        <v>74</v>
      </c>
      <c r="AN351" s="1" t="s">
        <v>74</v>
      </c>
      <c r="AO351" s="1" t="s">
        <v>3623</v>
      </c>
      <c r="AP351" s="1" t="s">
        <v>3624</v>
      </c>
      <c r="AQ351" s="1" t="s">
        <v>74</v>
      </c>
      <c r="AR351" s="1" t="s">
        <v>74</v>
      </c>
      <c r="AS351" s="1" t="s">
        <v>74</v>
      </c>
      <c r="AT351" s="1" t="s">
        <v>3625</v>
      </c>
      <c r="AU351" s="1">
        <v>2018.0</v>
      </c>
      <c r="AV351" s="1">
        <v>224.0</v>
      </c>
      <c r="AW351" s="1" t="s">
        <v>74</v>
      </c>
      <c r="AX351" s="1" t="s">
        <v>74</v>
      </c>
      <c r="AY351" s="1" t="s">
        <v>74</v>
      </c>
      <c r="AZ351" s="1" t="s">
        <v>74</v>
      </c>
      <c r="BA351" s="1" t="s">
        <v>74</v>
      </c>
      <c r="BB351" s="1">
        <v>340.0</v>
      </c>
      <c r="BC351" s="1">
        <v>349.0</v>
      </c>
      <c r="BD351" s="1" t="s">
        <v>74</v>
      </c>
      <c r="BE351" s="1" t="s">
        <v>3626</v>
      </c>
      <c r="BF351" s="2" t="str">
        <f>HYPERLINK("http://dx.doi.org/10.1016/j.jenvman.2018.07.065","http://dx.doi.org/10.1016/j.jenvman.2018.07.065")</f>
        <v>http://dx.doi.org/10.1016/j.jenvman.2018.07.065</v>
      </c>
      <c r="BG351" s="1" t="s">
        <v>74</v>
      </c>
      <c r="BH351" s="1" t="s">
        <v>74</v>
      </c>
      <c r="BI351" s="1" t="s">
        <v>74</v>
      </c>
      <c r="BJ351" s="1" t="s">
        <v>74</v>
      </c>
      <c r="BK351" s="1" t="s">
        <v>74</v>
      </c>
      <c r="BL351" s="1" t="s">
        <v>74</v>
      </c>
      <c r="BM351" s="1" t="s">
        <v>74</v>
      </c>
      <c r="BN351" s="1">
        <v>3.0056353E7</v>
      </c>
      <c r="BO351" s="1" t="s">
        <v>74</v>
      </c>
      <c r="BP351" s="1" t="s">
        <v>74</v>
      </c>
      <c r="BQ351" s="1" t="s">
        <v>74</v>
      </c>
      <c r="BR351" s="1" t="s">
        <v>74</v>
      </c>
      <c r="BS351" s="1" t="s">
        <v>3627</v>
      </c>
      <c r="BT351" s="1" t="str">
        <f>HYPERLINK("https%3A%2F%2Fwww.webofscience.com%2Fwos%2Fwoscc%2Ffull-record%2FWOS:000442058700036","View Full Record in Web of Science")</f>
        <v>View Full Record in Web of Science</v>
      </c>
    </row>
    <row r="352" ht="12.75" customHeight="1">
      <c r="A352" s="1" t="s">
        <v>72</v>
      </c>
      <c r="B352" s="1" t="s">
        <v>3628</v>
      </c>
      <c r="C352" s="1" t="s">
        <v>74</v>
      </c>
      <c r="D352" s="1" t="s">
        <v>74</v>
      </c>
      <c r="E352" s="1" t="s">
        <v>74</v>
      </c>
      <c r="F352" s="1" t="s">
        <v>3629</v>
      </c>
      <c r="G352" s="1" t="s">
        <v>74</v>
      </c>
      <c r="H352" s="1" t="s">
        <v>74</v>
      </c>
      <c r="I352" s="1" t="s">
        <v>3630</v>
      </c>
      <c r="J352" s="1" t="s">
        <v>3631</v>
      </c>
      <c r="K352" s="1" t="s">
        <v>74</v>
      </c>
      <c r="L352" s="1" t="s">
        <v>74</v>
      </c>
      <c r="M352" s="1" t="s">
        <v>74</v>
      </c>
      <c r="N352" s="1" t="s">
        <v>74</v>
      </c>
      <c r="O352" s="1" t="s">
        <v>74</v>
      </c>
      <c r="P352" s="1" t="s">
        <v>74</v>
      </c>
      <c r="Q352" s="1" t="s">
        <v>74</v>
      </c>
      <c r="R352" s="1" t="s">
        <v>74</v>
      </c>
      <c r="S352" s="1" t="s">
        <v>74</v>
      </c>
      <c r="T352" s="1" t="s">
        <v>74</v>
      </c>
      <c r="U352" s="1" t="s">
        <v>74</v>
      </c>
      <c r="V352" s="1" t="s">
        <v>3632</v>
      </c>
      <c r="W352" s="1" t="s">
        <v>74</v>
      </c>
      <c r="X352" s="1" t="s">
        <v>74</v>
      </c>
      <c r="Y352" s="1" t="s">
        <v>74</v>
      </c>
      <c r="Z352" s="1" t="s">
        <v>74</v>
      </c>
      <c r="AA352" s="1" t="s">
        <v>3633</v>
      </c>
      <c r="AB352" s="1" t="s">
        <v>1253</v>
      </c>
      <c r="AC352" s="1" t="s">
        <v>74</v>
      </c>
      <c r="AD352" s="1" t="s">
        <v>74</v>
      </c>
      <c r="AE352" s="1" t="s">
        <v>74</v>
      </c>
      <c r="AF352" s="1" t="s">
        <v>74</v>
      </c>
      <c r="AG352" s="1" t="s">
        <v>74</v>
      </c>
      <c r="AH352" s="1" t="s">
        <v>74</v>
      </c>
      <c r="AI352" s="1" t="s">
        <v>74</v>
      </c>
      <c r="AJ352" s="1" t="s">
        <v>74</v>
      </c>
      <c r="AK352" s="1" t="s">
        <v>74</v>
      </c>
      <c r="AL352" s="1" t="s">
        <v>74</v>
      </c>
      <c r="AM352" s="1" t="s">
        <v>74</v>
      </c>
      <c r="AN352" s="1" t="s">
        <v>74</v>
      </c>
      <c r="AO352" s="1" t="s">
        <v>3634</v>
      </c>
      <c r="AP352" s="1" t="s">
        <v>3635</v>
      </c>
      <c r="AQ352" s="1" t="s">
        <v>74</v>
      </c>
      <c r="AR352" s="1" t="s">
        <v>74</v>
      </c>
      <c r="AS352" s="1" t="s">
        <v>74</v>
      </c>
      <c r="AT352" s="1" t="s">
        <v>350</v>
      </c>
      <c r="AU352" s="1">
        <v>2018.0</v>
      </c>
      <c r="AV352" s="1">
        <v>222.0</v>
      </c>
      <c r="AW352" s="1">
        <v>8.0</v>
      </c>
      <c r="AX352" s="1" t="s">
        <v>74</v>
      </c>
      <c r="AY352" s="1" t="s">
        <v>74</v>
      </c>
      <c r="AZ352" s="1" t="s">
        <v>74</v>
      </c>
      <c r="BA352" s="1" t="s">
        <v>74</v>
      </c>
      <c r="BB352" s="1">
        <v>2006.0</v>
      </c>
      <c r="BC352" s="1">
        <v>2021.0</v>
      </c>
      <c r="BD352" s="1" t="s">
        <v>74</v>
      </c>
      <c r="BE352" s="1" t="s">
        <v>3636</v>
      </c>
      <c r="BF352" s="2" t="str">
        <f>HYPERLINK("http://dx.doi.org/10.1016/j.jpaa.2017.08.017","http://dx.doi.org/10.1016/j.jpaa.2017.08.017")</f>
        <v>http://dx.doi.org/10.1016/j.jpaa.2017.08.017</v>
      </c>
      <c r="BG352" s="1" t="s">
        <v>74</v>
      </c>
      <c r="BH352" s="1" t="s">
        <v>74</v>
      </c>
      <c r="BI352" s="1" t="s">
        <v>74</v>
      </c>
      <c r="BJ352" s="1" t="s">
        <v>74</v>
      </c>
      <c r="BK352" s="1" t="s">
        <v>74</v>
      </c>
      <c r="BL352" s="1" t="s">
        <v>74</v>
      </c>
      <c r="BM352" s="1" t="s">
        <v>74</v>
      </c>
      <c r="BN352" s="1" t="s">
        <v>74</v>
      </c>
      <c r="BO352" s="1" t="s">
        <v>74</v>
      </c>
      <c r="BP352" s="1" t="s">
        <v>74</v>
      </c>
      <c r="BQ352" s="1" t="s">
        <v>74</v>
      </c>
      <c r="BR352" s="1" t="s">
        <v>74</v>
      </c>
      <c r="BS352" s="1" t="s">
        <v>3637</v>
      </c>
      <c r="BT352" s="1" t="str">
        <f>HYPERLINK("https%3A%2F%2Fwww.webofscience.com%2Fwos%2Fwoscc%2Ffull-record%2FWOS:000428827400003","View Full Record in Web of Science")</f>
        <v>View Full Record in Web of Science</v>
      </c>
    </row>
    <row r="353" ht="12.75" customHeight="1">
      <c r="A353" s="1" t="s">
        <v>72</v>
      </c>
      <c r="B353" s="1" t="s">
        <v>3638</v>
      </c>
      <c r="C353" s="1" t="s">
        <v>74</v>
      </c>
      <c r="D353" s="1" t="s">
        <v>74</v>
      </c>
      <c r="E353" s="1" t="s">
        <v>74</v>
      </c>
      <c r="F353" s="1" t="s">
        <v>3639</v>
      </c>
      <c r="G353" s="1" t="s">
        <v>74</v>
      </c>
      <c r="H353" s="1" t="s">
        <v>74</v>
      </c>
      <c r="I353" s="1" t="s">
        <v>3640</v>
      </c>
      <c r="J353" s="1" t="s">
        <v>755</v>
      </c>
      <c r="K353" s="1" t="s">
        <v>74</v>
      </c>
      <c r="L353" s="1" t="s">
        <v>74</v>
      </c>
      <c r="M353" s="1" t="s">
        <v>74</v>
      </c>
      <c r="N353" s="1" t="s">
        <v>74</v>
      </c>
      <c r="O353" s="1" t="s">
        <v>74</v>
      </c>
      <c r="P353" s="1" t="s">
        <v>74</v>
      </c>
      <c r="Q353" s="1" t="s">
        <v>74</v>
      </c>
      <c r="R353" s="1" t="s">
        <v>74</v>
      </c>
      <c r="S353" s="1" t="s">
        <v>74</v>
      </c>
      <c r="T353" s="1" t="s">
        <v>74</v>
      </c>
      <c r="U353" s="1" t="s">
        <v>74</v>
      </c>
      <c r="V353" s="1" t="s">
        <v>3641</v>
      </c>
      <c r="W353" s="1" t="s">
        <v>74</v>
      </c>
      <c r="X353" s="1" t="s">
        <v>74</v>
      </c>
      <c r="Y353" s="1" t="s">
        <v>74</v>
      </c>
      <c r="Z353" s="1" t="s">
        <v>74</v>
      </c>
      <c r="AA353" s="1" t="s">
        <v>3362</v>
      </c>
      <c r="AB353" s="1" t="s">
        <v>3642</v>
      </c>
      <c r="AC353" s="1" t="s">
        <v>74</v>
      </c>
      <c r="AD353" s="1" t="s">
        <v>74</v>
      </c>
      <c r="AE353" s="1" t="s">
        <v>74</v>
      </c>
      <c r="AF353" s="1" t="s">
        <v>74</v>
      </c>
      <c r="AG353" s="1" t="s">
        <v>74</v>
      </c>
      <c r="AH353" s="1" t="s">
        <v>74</v>
      </c>
      <c r="AI353" s="1" t="s">
        <v>74</v>
      </c>
      <c r="AJ353" s="1" t="s">
        <v>74</v>
      </c>
      <c r="AK353" s="1" t="s">
        <v>74</v>
      </c>
      <c r="AL353" s="1" t="s">
        <v>74</v>
      </c>
      <c r="AM353" s="1" t="s">
        <v>74</v>
      </c>
      <c r="AN353" s="1" t="s">
        <v>74</v>
      </c>
      <c r="AO353" s="1" t="s">
        <v>74</v>
      </c>
      <c r="AP353" s="1" t="s">
        <v>759</v>
      </c>
      <c r="AQ353" s="1" t="s">
        <v>74</v>
      </c>
      <c r="AR353" s="1" t="s">
        <v>74</v>
      </c>
      <c r="AS353" s="1" t="s">
        <v>74</v>
      </c>
      <c r="AT353" s="1" t="s">
        <v>606</v>
      </c>
      <c r="AU353" s="1">
        <v>2017.0</v>
      </c>
      <c r="AV353" s="1">
        <v>9.0</v>
      </c>
      <c r="AW353" s="1">
        <v>10.0</v>
      </c>
      <c r="AX353" s="1" t="s">
        <v>74</v>
      </c>
      <c r="AY353" s="1" t="s">
        <v>74</v>
      </c>
      <c r="AZ353" s="1" t="s">
        <v>74</v>
      </c>
      <c r="BA353" s="1" t="s">
        <v>74</v>
      </c>
      <c r="BB353" s="1" t="s">
        <v>74</v>
      </c>
      <c r="BC353" s="1" t="s">
        <v>74</v>
      </c>
      <c r="BD353" s="1">
        <v>1825.0</v>
      </c>
      <c r="BE353" s="1" t="s">
        <v>3643</v>
      </c>
      <c r="BF353" s="2" t="str">
        <f>HYPERLINK("http://dx.doi.org/10.3390/su9101825","http://dx.doi.org/10.3390/su9101825")</f>
        <v>http://dx.doi.org/10.3390/su9101825</v>
      </c>
      <c r="BG353" s="1" t="s">
        <v>74</v>
      </c>
      <c r="BH353" s="1" t="s">
        <v>74</v>
      </c>
      <c r="BI353" s="1" t="s">
        <v>74</v>
      </c>
      <c r="BJ353" s="1" t="s">
        <v>74</v>
      </c>
      <c r="BK353" s="1" t="s">
        <v>74</v>
      </c>
      <c r="BL353" s="1" t="s">
        <v>74</v>
      </c>
      <c r="BM353" s="1" t="s">
        <v>74</v>
      </c>
      <c r="BN353" s="1" t="s">
        <v>74</v>
      </c>
      <c r="BO353" s="1" t="s">
        <v>74</v>
      </c>
      <c r="BP353" s="1" t="s">
        <v>74</v>
      </c>
      <c r="BQ353" s="1" t="s">
        <v>74</v>
      </c>
      <c r="BR353" s="1" t="s">
        <v>74</v>
      </c>
      <c r="BS353" s="1" t="s">
        <v>3644</v>
      </c>
      <c r="BT353" s="1" t="str">
        <f>HYPERLINK("https%3A%2F%2Fwww.webofscience.com%2Fwos%2Fwoscc%2Ffull-record%2FWOS:000414896200155","View Full Record in Web of Science")</f>
        <v>View Full Record in Web of Science</v>
      </c>
    </row>
    <row r="354" ht="12.75" customHeight="1">
      <c r="A354" s="1" t="s">
        <v>72</v>
      </c>
      <c r="B354" s="1" t="s">
        <v>3645</v>
      </c>
      <c r="C354" s="1" t="s">
        <v>74</v>
      </c>
      <c r="D354" s="1" t="s">
        <v>74</v>
      </c>
      <c r="E354" s="1" t="s">
        <v>74</v>
      </c>
      <c r="F354" s="1" t="s">
        <v>3646</v>
      </c>
      <c r="G354" s="1" t="s">
        <v>74</v>
      </c>
      <c r="H354" s="1" t="s">
        <v>74</v>
      </c>
      <c r="I354" s="1" t="s">
        <v>3647</v>
      </c>
      <c r="J354" s="1" t="s">
        <v>3648</v>
      </c>
      <c r="K354" s="1" t="s">
        <v>74</v>
      </c>
      <c r="L354" s="1" t="s">
        <v>74</v>
      </c>
      <c r="M354" s="1" t="s">
        <v>74</v>
      </c>
      <c r="N354" s="1" t="s">
        <v>74</v>
      </c>
      <c r="O354" s="1" t="s">
        <v>74</v>
      </c>
      <c r="P354" s="1" t="s">
        <v>74</v>
      </c>
      <c r="Q354" s="1" t="s">
        <v>74</v>
      </c>
      <c r="R354" s="1" t="s">
        <v>74</v>
      </c>
      <c r="S354" s="1" t="s">
        <v>74</v>
      </c>
      <c r="T354" s="1" t="s">
        <v>74</v>
      </c>
      <c r="U354" s="1" t="s">
        <v>74</v>
      </c>
      <c r="V354" s="1" t="s">
        <v>3649</v>
      </c>
      <c r="W354" s="1" t="s">
        <v>74</v>
      </c>
      <c r="X354" s="1" t="s">
        <v>74</v>
      </c>
      <c r="Y354" s="1" t="s">
        <v>74</v>
      </c>
      <c r="Z354" s="1" t="s">
        <v>74</v>
      </c>
      <c r="AA354" s="1" t="s">
        <v>3650</v>
      </c>
      <c r="AB354" s="1" t="s">
        <v>3651</v>
      </c>
      <c r="AC354" s="1" t="s">
        <v>74</v>
      </c>
      <c r="AD354" s="1" t="s">
        <v>74</v>
      </c>
      <c r="AE354" s="1" t="s">
        <v>74</v>
      </c>
      <c r="AF354" s="1" t="s">
        <v>74</v>
      </c>
      <c r="AG354" s="1" t="s">
        <v>74</v>
      </c>
      <c r="AH354" s="1" t="s">
        <v>74</v>
      </c>
      <c r="AI354" s="1" t="s">
        <v>74</v>
      </c>
      <c r="AJ354" s="1" t="s">
        <v>74</v>
      </c>
      <c r="AK354" s="1" t="s">
        <v>74</v>
      </c>
      <c r="AL354" s="1" t="s">
        <v>74</v>
      </c>
      <c r="AM354" s="1" t="s">
        <v>74</v>
      </c>
      <c r="AN354" s="1" t="s">
        <v>74</v>
      </c>
      <c r="AO354" s="1" t="s">
        <v>3652</v>
      </c>
      <c r="AP354" s="1" t="s">
        <v>3653</v>
      </c>
      <c r="AQ354" s="1" t="s">
        <v>74</v>
      </c>
      <c r="AR354" s="1" t="s">
        <v>74</v>
      </c>
      <c r="AS354" s="1" t="s">
        <v>74</v>
      </c>
      <c r="AT354" s="1" t="s">
        <v>235</v>
      </c>
      <c r="AU354" s="1">
        <v>2017.0</v>
      </c>
      <c r="AV354" s="1">
        <v>12.0</v>
      </c>
      <c r="AW354" s="1">
        <v>1.0</v>
      </c>
      <c r="AX354" s="1" t="s">
        <v>74</v>
      </c>
      <c r="AY354" s="1" t="s">
        <v>74</v>
      </c>
      <c r="AZ354" s="1" t="s">
        <v>74</v>
      </c>
      <c r="BA354" s="1" t="s">
        <v>74</v>
      </c>
      <c r="BB354" s="1">
        <v>61.0</v>
      </c>
      <c r="BC354" s="1">
        <v>75.0</v>
      </c>
      <c r="BD354" s="1" t="s">
        <v>74</v>
      </c>
      <c r="BE354" s="1" t="s">
        <v>74</v>
      </c>
      <c r="BF354" s="1" t="s">
        <v>74</v>
      </c>
      <c r="BG354" s="1" t="s">
        <v>74</v>
      </c>
      <c r="BH354" s="1" t="s">
        <v>74</v>
      </c>
      <c r="BI354" s="1" t="s">
        <v>74</v>
      </c>
      <c r="BJ354" s="1" t="s">
        <v>74</v>
      </c>
      <c r="BK354" s="1" t="s">
        <v>74</v>
      </c>
      <c r="BL354" s="1" t="s">
        <v>74</v>
      </c>
      <c r="BM354" s="1" t="s">
        <v>74</v>
      </c>
      <c r="BN354" s="1" t="s">
        <v>74</v>
      </c>
      <c r="BO354" s="1" t="s">
        <v>74</v>
      </c>
      <c r="BP354" s="1" t="s">
        <v>74</v>
      </c>
      <c r="BQ354" s="1" t="s">
        <v>74</v>
      </c>
      <c r="BR354" s="1" t="s">
        <v>74</v>
      </c>
      <c r="BS354" s="1" t="s">
        <v>3654</v>
      </c>
      <c r="BT354" s="1" t="str">
        <f>HYPERLINK("https%3A%2F%2Fwww.webofscience.com%2Fwos%2Fwoscc%2Ffull-record%2FWOS:000390587600005","View Full Record in Web of Science")</f>
        <v>View Full Record in Web of Science</v>
      </c>
    </row>
    <row r="355" ht="12.75" customHeight="1">
      <c r="A355" s="1" t="s">
        <v>72</v>
      </c>
      <c r="B355" s="1" t="s">
        <v>3655</v>
      </c>
      <c r="C355" s="1" t="s">
        <v>74</v>
      </c>
      <c r="D355" s="1" t="s">
        <v>74</v>
      </c>
      <c r="E355" s="1" t="s">
        <v>74</v>
      </c>
      <c r="F355" s="1" t="s">
        <v>3656</v>
      </c>
      <c r="G355" s="1" t="s">
        <v>74</v>
      </c>
      <c r="H355" s="1" t="s">
        <v>74</v>
      </c>
      <c r="I355" s="1" t="s">
        <v>3657</v>
      </c>
      <c r="J355" s="1" t="s">
        <v>3658</v>
      </c>
      <c r="K355" s="1" t="s">
        <v>74</v>
      </c>
      <c r="L355" s="1" t="s">
        <v>74</v>
      </c>
      <c r="M355" s="1" t="s">
        <v>74</v>
      </c>
      <c r="N355" s="1" t="s">
        <v>74</v>
      </c>
      <c r="O355" s="1" t="s">
        <v>74</v>
      </c>
      <c r="P355" s="1" t="s">
        <v>74</v>
      </c>
      <c r="Q355" s="1" t="s">
        <v>74</v>
      </c>
      <c r="R355" s="1" t="s">
        <v>74</v>
      </c>
      <c r="S355" s="1" t="s">
        <v>74</v>
      </c>
      <c r="T355" s="1" t="s">
        <v>74</v>
      </c>
      <c r="U355" s="1" t="s">
        <v>74</v>
      </c>
      <c r="V355" s="1" t="s">
        <v>3659</v>
      </c>
      <c r="W355" s="1" t="s">
        <v>74</v>
      </c>
      <c r="X355" s="1" t="s">
        <v>74</v>
      </c>
      <c r="Y355" s="1" t="s">
        <v>74</v>
      </c>
      <c r="Z355" s="1" t="s">
        <v>74</v>
      </c>
      <c r="AA355" s="1" t="s">
        <v>3660</v>
      </c>
      <c r="AB355" s="1" t="s">
        <v>143</v>
      </c>
      <c r="AC355" s="1" t="s">
        <v>74</v>
      </c>
      <c r="AD355" s="1" t="s">
        <v>74</v>
      </c>
      <c r="AE355" s="1" t="s">
        <v>74</v>
      </c>
      <c r="AF355" s="1" t="s">
        <v>74</v>
      </c>
      <c r="AG355" s="1" t="s">
        <v>74</v>
      </c>
      <c r="AH355" s="1" t="s">
        <v>74</v>
      </c>
      <c r="AI355" s="1" t="s">
        <v>74</v>
      </c>
      <c r="AJ355" s="1" t="s">
        <v>74</v>
      </c>
      <c r="AK355" s="1" t="s">
        <v>74</v>
      </c>
      <c r="AL355" s="1" t="s">
        <v>74</v>
      </c>
      <c r="AM355" s="1" t="s">
        <v>74</v>
      </c>
      <c r="AN355" s="1" t="s">
        <v>74</v>
      </c>
      <c r="AO355" s="1" t="s">
        <v>3661</v>
      </c>
      <c r="AP355" s="1" t="s">
        <v>3662</v>
      </c>
      <c r="AQ355" s="1" t="s">
        <v>74</v>
      </c>
      <c r="AR355" s="1" t="s">
        <v>74</v>
      </c>
      <c r="AS355" s="1" t="s">
        <v>74</v>
      </c>
      <c r="AT355" s="1" t="s">
        <v>74</v>
      </c>
      <c r="AU355" s="1">
        <v>2017.0</v>
      </c>
      <c r="AV355" s="1">
        <v>22.0</v>
      </c>
      <c r="AW355" s="1">
        <v>8.0</v>
      </c>
      <c r="AX355" s="1" t="s">
        <v>74</v>
      </c>
      <c r="AY355" s="1" t="s">
        <v>74</v>
      </c>
      <c r="AZ355" s="1" t="s">
        <v>74</v>
      </c>
      <c r="BA355" s="1" t="s">
        <v>74</v>
      </c>
      <c r="BB355" s="1">
        <v>741.0</v>
      </c>
      <c r="BC355" s="1">
        <v>751.0</v>
      </c>
      <c r="BD355" s="1" t="s">
        <v>74</v>
      </c>
      <c r="BE355" s="1" t="s">
        <v>3663</v>
      </c>
      <c r="BF355" s="2" t="str">
        <f>HYPERLINK("http://dx.doi.org/10.1080/1023666X.2017.1370804","http://dx.doi.org/10.1080/1023666X.2017.1370804")</f>
        <v>http://dx.doi.org/10.1080/1023666X.2017.1370804</v>
      </c>
      <c r="BG355" s="1" t="s">
        <v>74</v>
      </c>
      <c r="BH355" s="1" t="s">
        <v>74</v>
      </c>
      <c r="BI355" s="1" t="s">
        <v>74</v>
      </c>
      <c r="BJ355" s="1" t="s">
        <v>74</v>
      </c>
      <c r="BK355" s="1" t="s">
        <v>74</v>
      </c>
      <c r="BL355" s="1" t="s">
        <v>74</v>
      </c>
      <c r="BM355" s="1" t="s">
        <v>74</v>
      </c>
      <c r="BN355" s="1" t="s">
        <v>74</v>
      </c>
      <c r="BO355" s="1" t="s">
        <v>74</v>
      </c>
      <c r="BP355" s="1" t="s">
        <v>74</v>
      </c>
      <c r="BQ355" s="1" t="s">
        <v>74</v>
      </c>
      <c r="BR355" s="1" t="s">
        <v>74</v>
      </c>
      <c r="BS355" s="1" t="s">
        <v>3664</v>
      </c>
      <c r="BT355" s="1" t="str">
        <f>HYPERLINK("https%3A%2F%2Fwww.webofscience.com%2Fwos%2Fwoscc%2Ffull-record%2FWOS:000415907100010","View Full Record in Web of Science")</f>
        <v>View Full Record in Web of Science</v>
      </c>
    </row>
    <row r="356" ht="12.75" customHeight="1">
      <c r="A356" s="1" t="s">
        <v>72</v>
      </c>
      <c r="B356" s="1" t="s">
        <v>3665</v>
      </c>
      <c r="C356" s="1" t="s">
        <v>74</v>
      </c>
      <c r="D356" s="1" t="s">
        <v>74</v>
      </c>
      <c r="E356" s="1" t="s">
        <v>74</v>
      </c>
      <c r="F356" s="1" t="s">
        <v>3666</v>
      </c>
      <c r="G356" s="1" t="s">
        <v>74</v>
      </c>
      <c r="H356" s="1" t="s">
        <v>74</v>
      </c>
      <c r="I356" s="1" t="s">
        <v>3667</v>
      </c>
      <c r="J356" s="1" t="s">
        <v>1971</v>
      </c>
      <c r="K356" s="1" t="s">
        <v>74</v>
      </c>
      <c r="L356" s="1" t="s">
        <v>74</v>
      </c>
      <c r="M356" s="1" t="s">
        <v>74</v>
      </c>
      <c r="N356" s="1" t="s">
        <v>74</v>
      </c>
      <c r="O356" s="1" t="s">
        <v>74</v>
      </c>
      <c r="P356" s="1" t="s">
        <v>74</v>
      </c>
      <c r="Q356" s="1" t="s">
        <v>74</v>
      </c>
      <c r="R356" s="1" t="s">
        <v>74</v>
      </c>
      <c r="S356" s="1" t="s">
        <v>74</v>
      </c>
      <c r="T356" s="1" t="s">
        <v>74</v>
      </c>
      <c r="U356" s="1" t="s">
        <v>74</v>
      </c>
      <c r="V356" s="1" t="s">
        <v>3668</v>
      </c>
      <c r="W356" s="1" t="s">
        <v>74</v>
      </c>
      <c r="X356" s="1" t="s">
        <v>74</v>
      </c>
      <c r="Y356" s="1" t="s">
        <v>74</v>
      </c>
      <c r="Z356" s="1" t="s">
        <v>74</v>
      </c>
      <c r="AA356" s="1" t="s">
        <v>3669</v>
      </c>
      <c r="AB356" s="1" t="s">
        <v>3670</v>
      </c>
      <c r="AC356" s="1" t="s">
        <v>74</v>
      </c>
      <c r="AD356" s="1" t="s">
        <v>74</v>
      </c>
      <c r="AE356" s="1" t="s">
        <v>74</v>
      </c>
      <c r="AF356" s="1" t="s">
        <v>74</v>
      </c>
      <c r="AG356" s="1" t="s">
        <v>74</v>
      </c>
      <c r="AH356" s="1" t="s">
        <v>74</v>
      </c>
      <c r="AI356" s="1" t="s">
        <v>74</v>
      </c>
      <c r="AJ356" s="1" t="s">
        <v>74</v>
      </c>
      <c r="AK356" s="1" t="s">
        <v>74</v>
      </c>
      <c r="AL356" s="1" t="s">
        <v>74</v>
      </c>
      <c r="AM356" s="1" t="s">
        <v>74</v>
      </c>
      <c r="AN356" s="1" t="s">
        <v>74</v>
      </c>
      <c r="AO356" s="1" t="s">
        <v>1975</v>
      </c>
      <c r="AP356" s="1" t="s">
        <v>1976</v>
      </c>
      <c r="AQ356" s="1" t="s">
        <v>74</v>
      </c>
      <c r="AR356" s="1" t="s">
        <v>74</v>
      </c>
      <c r="AS356" s="1" t="s">
        <v>74</v>
      </c>
      <c r="AT356" s="1" t="s">
        <v>3671</v>
      </c>
      <c r="AU356" s="1">
        <v>2016.0</v>
      </c>
      <c r="AV356" s="1">
        <v>44.0</v>
      </c>
      <c r="AW356" s="1">
        <v>5.0</v>
      </c>
      <c r="AX356" s="1" t="s">
        <v>74</v>
      </c>
      <c r="AY356" s="1" t="s">
        <v>74</v>
      </c>
      <c r="AZ356" s="1" t="s">
        <v>74</v>
      </c>
      <c r="BA356" s="1" t="s">
        <v>74</v>
      </c>
      <c r="BB356" s="1">
        <v>393.0</v>
      </c>
      <c r="BC356" s="1">
        <v>399.0</v>
      </c>
      <c r="BD356" s="1" t="s">
        <v>74</v>
      </c>
      <c r="BE356" s="1" t="s">
        <v>3672</v>
      </c>
      <c r="BF356" s="2" t="str">
        <f>HYPERLINK("http://dx.doi.org/10.1016/j.aller.2015.09.001","http://dx.doi.org/10.1016/j.aller.2015.09.001")</f>
        <v>http://dx.doi.org/10.1016/j.aller.2015.09.001</v>
      </c>
      <c r="BG356" s="1" t="s">
        <v>74</v>
      </c>
      <c r="BH356" s="1" t="s">
        <v>74</v>
      </c>
      <c r="BI356" s="1" t="s">
        <v>74</v>
      </c>
      <c r="BJ356" s="1" t="s">
        <v>74</v>
      </c>
      <c r="BK356" s="1" t="s">
        <v>74</v>
      </c>
      <c r="BL356" s="1" t="s">
        <v>74</v>
      </c>
      <c r="BM356" s="1" t="s">
        <v>74</v>
      </c>
      <c r="BN356" s="1">
        <v>2.6810119E7</v>
      </c>
      <c r="BO356" s="1" t="s">
        <v>74</v>
      </c>
      <c r="BP356" s="1" t="s">
        <v>74</v>
      </c>
      <c r="BQ356" s="1" t="s">
        <v>74</v>
      </c>
      <c r="BR356" s="1" t="s">
        <v>74</v>
      </c>
      <c r="BS356" s="1" t="s">
        <v>3673</v>
      </c>
      <c r="BT356" s="1" t="str">
        <f>HYPERLINK("https%3A%2F%2Fwww.webofscience.com%2Fwos%2Fwoscc%2Ffull-record%2FWOS:000383933300002","View Full Record in Web of Science")</f>
        <v>View Full Record in Web of Science</v>
      </c>
    </row>
    <row r="357" ht="12.75" customHeight="1">
      <c r="A357" s="1" t="s">
        <v>72</v>
      </c>
      <c r="B357" s="1" t="s">
        <v>3674</v>
      </c>
      <c r="C357" s="1" t="s">
        <v>74</v>
      </c>
      <c r="D357" s="1" t="s">
        <v>74</v>
      </c>
      <c r="E357" s="1" t="s">
        <v>74</v>
      </c>
      <c r="F357" s="1" t="s">
        <v>3675</v>
      </c>
      <c r="G357" s="1" t="s">
        <v>74</v>
      </c>
      <c r="H357" s="1" t="s">
        <v>74</v>
      </c>
      <c r="I357" s="1" t="s">
        <v>3676</v>
      </c>
      <c r="J357" s="1" t="s">
        <v>312</v>
      </c>
      <c r="K357" s="1" t="s">
        <v>74</v>
      </c>
      <c r="L357" s="1" t="s">
        <v>74</v>
      </c>
      <c r="M357" s="1" t="s">
        <v>74</v>
      </c>
      <c r="N357" s="1" t="s">
        <v>74</v>
      </c>
      <c r="O357" s="1" t="s">
        <v>74</v>
      </c>
      <c r="P357" s="1" t="s">
        <v>74</v>
      </c>
      <c r="Q357" s="1" t="s">
        <v>74</v>
      </c>
      <c r="R357" s="1" t="s">
        <v>74</v>
      </c>
      <c r="S357" s="1" t="s">
        <v>74</v>
      </c>
      <c r="T357" s="1" t="s">
        <v>74</v>
      </c>
      <c r="U357" s="1" t="s">
        <v>74</v>
      </c>
      <c r="V357" s="1" t="s">
        <v>3677</v>
      </c>
      <c r="W357" s="1" t="s">
        <v>74</v>
      </c>
      <c r="X357" s="1" t="s">
        <v>74</v>
      </c>
      <c r="Y357" s="1" t="s">
        <v>74</v>
      </c>
      <c r="Z357" s="1" t="s">
        <v>74</v>
      </c>
      <c r="AA357" s="1" t="s">
        <v>74</v>
      </c>
      <c r="AB357" s="1" t="s">
        <v>74</v>
      </c>
      <c r="AC357" s="1" t="s">
        <v>74</v>
      </c>
      <c r="AD357" s="1" t="s">
        <v>74</v>
      </c>
      <c r="AE357" s="1" t="s">
        <v>74</v>
      </c>
      <c r="AF357" s="1" t="s">
        <v>74</v>
      </c>
      <c r="AG357" s="1" t="s">
        <v>74</v>
      </c>
      <c r="AH357" s="1" t="s">
        <v>74</v>
      </c>
      <c r="AI357" s="1" t="s">
        <v>74</v>
      </c>
      <c r="AJ357" s="1" t="s">
        <v>74</v>
      </c>
      <c r="AK357" s="1" t="s">
        <v>74</v>
      </c>
      <c r="AL357" s="1" t="s">
        <v>74</v>
      </c>
      <c r="AM357" s="1" t="s">
        <v>74</v>
      </c>
      <c r="AN357" s="1" t="s">
        <v>74</v>
      </c>
      <c r="AO357" s="1" t="s">
        <v>315</v>
      </c>
      <c r="AP357" s="1" t="s">
        <v>316</v>
      </c>
      <c r="AQ357" s="1" t="s">
        <v>74</v>
      </c>
      <c r="AR357" s="1" t="s">
        <v>74</v>
      </c>
      <c r="AS357" s="1" t="s">
        <v>74</v>
      </c>
      <c r="AT357" s="1" t="s">
        <v>339</v>
      </c>
      <c r="AU357" s="1">
        <v>2016.0</v>
      </c>
      <c r="AV357" s="1">
        <v>144.0</v>
      </c>
      <c r="AW357" s="1">
        <v>9.0</v>
      </c>
      <c r="AX357" s="1" t="s">
        <v>74</v>
      </c>
      <c r="AY357" s="1" t="s">
        <v>74</v>
      </c>
      <c r="AZ357" s="1" t="s">
        <v>74</v>
      </c>
      <c r="BA357" s="1" t="s">
        <v>74</v>
      </c>
      <c r="BB357" s="1">
        <v>1159.0</v>
      </c>
      <c r="BC357" s="1">
        <v>1163.0</v>
      </c>
      <c r="BD357" s="1" t="s">
        <v>74</v>
      </c>
      <c r="BE357" s="1" t="s">
        <v>3678</v>
      </c>
      <c r="BF357" s="2" t="str">
        <f>HYPERLINK("http://dx.doi.org/10.4067/S0034-98872016000900009","http://dx.doi.org/10.4067/S0034-98872016000900009")</f>
        <v>http://dx.doi.org/10.4067/S0034-98872016000900009</v>
      </c>
      <c r="BG357" s="1" t="s">
        <v>74</v>
      </c>
      <c r="BH357" s="1" t="s">
        <v>74</v>
      </c>
      <c r="BI357" s="1" t="s">
        <v>74</v>
      </c>
      <c r="BJ357" s="1" t="s">
        <v>74</v>
      </c>
      <c r="BK357" s="1" t="s">
        <v>74</v>
      </c>
      <c r="BL357" s="1" t="s">
        <v>74</v>
      </c>
      <c r="BM357" s="1" t="s">
        <v>74</v>
      </c>
      <c r="BN357" s="1">
        <v>2.8060977E7</v>
      </c>
      <c r="BO357" s="1" t="s">
        <v>74</v>
      </c>
      <c r="BP357" s="1" t="s">
        <v>74</v>
      </c>
      <c r="BQ357" s="1" t="s">
        <v>74</v>
      </c>
      <c r="BR357" s="1" t="s">
        <v>74</v>
      </c>
      <c r="BS357" s="1" t="s">
        <v>3679</v>
      </c>
      <c r="BT357" s="1" t="str">
        <f>HYPERLINK("https%3A%2F%2Fwww.webofscience.com%2Fwos%2Fwoscc%2Ffull-record%2FWOS:000387092200009","View Full Record in Web of Science")</f>
        <v>View Full Record in Web of Science</v>
      </c>
    </row>
    <row r="358" ht="12.75" customHeight="1">
      <c r="A358" s="1" t="s">
        <v>72</v>
      </c>
      <c r="B358" s="1" t="s">
        <v>3680</v>
      </c>
      <c r="C358" s="1" t="s">
        <v>74</v>
      </c>
      <c r="D358" s="1" t="s">
        <v>74</v>
      </c>
      <c r="E358" s="1" t="s">
        <v>74</v>
      </c>
      <c r="F358" s="1" t="s">
        <v>3681</v>
      </c>
      <c r="G358" s="1" t="s">
        <v>74</v>
      </c>
      <c r="H358" s="1" t="s">
        <v>74</v>
      </c>
      <c r="I358" s="1" t="s">
        <v>3682</v>
      </c>
      <c r="J358" s="1" t="s">
        <v>3036</v>
      </c>
      <c r="K358" s="1" t="s">
        <v>74</v>
      </c>
      <c r="L358" s="1" t="s">
        <v>74</v>
      </c>
      <c r="M358" s="1" t="s">
        <v>74</v>
      </c>
      <c r="N358" s="1" t="s">
        <v>74</v>
      </c>
      <c r="O358" s="1" t="s">
        <v>74</v>
      </c>
      <c r="P358" s="1" t="s">
        <v>74</v>
      </c>
      <c r="Q358" s="1" t="s">
        <v>74</v>
      </c>
      <c r="R358" s="1" t="s">
        <v>74</v>
      </c>
      <c r="S358" s="1" t="s">
        <v>74</v>
      </c>
      <c r="T358" s="1" t="s">
        <v>74</v>
      </c>
      <c r="U358" s="1" t="s">
        <v>74</v>
      </c>
      <c r="V358" s="1" t="s">
        <v>3683</v>
      </c>
      <c r="W358" s="1" t="s">
        <v>74</v>
      </c>
      <c r="X358" s="1" t="s">
        <v>74</v>
      </c>
      <c r="Y358" s="1" t="s">
        <v>74</v>
      </c>
      <c r="Z358" s="1" t="s">
        <v>74</v>
      </c>
      <c r="AA358" s="1" t="s">
        <v>3684</v>
      </c>
      <c r="AB358" s="1" t="s">
        <v>3685</v>
      </c>
      <c r="AC358" s="1" t="s">
        <v>74</v>
      </c>
      <c r="AD358" s="1" t="s">
        <v>74</v>
      </c>
      <c r="AE358" s="1" t="s">
        <v>74</v>
      </c>
      <c r="AF358" s="1" t="s">
        <v>74</v>
      </c>
      <c r="AG358" s="1" t="s">
        <v>74</v>
      </c>
      <c r="AH358" s="1" t="s">
        <v>74</v>
      </c>
      <c r="AI358" s="1" t="s">
        <v>74</v>
      </c>
      <c r="AJ358" s="1" t="s">
        <v>74</v>
      </c>
      <c r="AK358" s="1" t="s">
        <v>74</v>
      </c>
      <c r="AL358" s="1" t="s">
        <v>74</v>
      </c>
      <c r="AM358" s="1" t="s">
        <v>74</v>
      </c>
      <c r="AN358" s="1" t="s">
        <v>74</v>
      </c>
      <c r="AO358" s="1" t="s">
        <v>3040</v>
      </c>
      <c r="AP358" s="1" t="s">
        <v>3041</v>
      </c>
      <c r="AQ358" s="1" t="s">
        <v>74</v>
      </c>
      <c r="AR358" s="1" t="s">
        <v>74</v>
      </c>
      <c r="AS358" s="1" t="s">
        <v>74</v>
      </c>
      <c r="AT358" s="1" t="s">
        <v>678</v>
      </c>
      <c r="AU358" s="1">
        <v>2015.0</v>
      </c>
      <c r="AV358" s="1">
        <v>90.0</v>
      </c>
      <c r="AW358" s="1">
        <v>11.0</v>
      </c>
      <c r="AX358" s="1" t="s">
        <v>74</v>
      </c>
      <c r="AY358" s="1" t="s">
        <v>74</v>
      </c>
      <c r="AZ358" s="1" t="s">
        <v>74</v>
      </c>
      <c r="BA358" s="1" t="s">
        <v>74</v>
      </c>
      <c r="BB358" s="1">
        <v>2017.0</v>
      </c>
      <c r="BC358" s="1">
        <v>2026.0</v>
      </c>
      <c r="BD358" s="1" t="s">
        <v>74</v>
      </c>
      <c r="BE358" s="1" t="s">
        <v>3686</v>
      </c>
      <c r="BF358" s="2" t="str">
        <f>HYPERLINK("http://dx.doi.org/10.1002/jctb.4501","http://dx.doi.org/10.1002/jctb.4501")</f>
        <v>http://dx.doi.org/10.1002/jctb.4501</v>
      </c>
      <c r="BG358" s="1" t="s">
        <v>74</v>
      </c>
      <c r="BH358" s="1" t="s">
        <v>74</v>
      </c>
      <c r="BI358" s="1" t="s">
        <v>74</v>
      </c>
      <c r="BJ358" s="1" t="s">
        <v>74</v>
      </c>
      <c r="BK358" s="1" t="s">
        <v>74</v>
      </c>
      <c r="BL358" s="1" t="s">
        <v>74</v>
      </c>
      <c r="BM358" s="1" t="s">
        <v>74</v>
      </c>
      <c r="BN358" s="1" t="s">
        <v>74</v>
      </c>
      <c r="BO358" s="1" t="s">
        <v>74</v>
      </c>
      <c r="BP358" s="1" t="s">
        <v>74</v>
      </c>
      <c r="BQ358" s="1" t="s">
        <v>74</v>
      </c>
      <c r="BR358" s="1" t="s">
        <v>74</v>
      </c>
      <c r="BS358" s="1" t="s">
        <v>3687</v>
      </c>
      <c r="BT358" s="1" t="str">
        <f>HYPERLINK("https%3A%2F%2Fwww.webofscience.com%2Fwos%2Fwoscc%2Ffull-record%2FWOS:000362366700008","View Full Record in Web of Science")</f>
        <v>View Full Record in Web of Science</v>
      </c>
    </row>
    <row r="359" ht="12.75" customHeight="1">
      <c r="A359" s="1" t="s">
        <v>72</v>
      </c>
      <c r="B359" s="1" t="s">
        <v>3688</v>
      </c>
      <c r="C359" s="1" t="s">
        <v>74</v>
      </c>
      <c r="D359" s="1" t="s">
        <v>74</v>
      </c>
      <c r="E359" s="1" t="s">
        <v>74</v>
      </c>
      <c r="F359" s="1" t="s">
        <v>3689</v>
      </c>
      <c r="G359" s="1" t="s">
        <v>74</v>
      </c>
      <c r="H359" s="1" t="s">
        <v>74</v>
      </c>
      <c r="I359" s="1" t="s">
        <v>3690</v>
      </c>
      <c r="J359" s="1" t="s">
        <v>3691</v>
      </c>
      <c r="K359" s="1" t="s">
        <v>74</v>
      </c>
      <c r="L359" s="1" t="s">
        <v>74</v>
      </c>
      <c r="M359" s="1" t="s">
        <v>74</v>
      </c>
      <c r="N359" s="1" t="s">
        <v>74</v>
      </c>
      <c r="O359" s="1" t="s">
        <v>74</v>
      </c>
      <c r="P359" s="1" t="s">
        <v>74</v>
      </c>
      <c r="Q359" s="1" t="s">
        <v>74</v>
      </c>
      <c r="R359" s="1" t="s">
        <v>74</v>
      </c>
      <c r="S359" s="1" t="s">
        <v>74</v>
      </c>
      <c r="T359" s="1" t="s">
        <v>74</v>
      </c>
      <c r="U359" s="1" t="s">
        <v>74</v>
      </c>
      <c r="V359" s="1" t="s">
        <v>3692</v>
      </c>
      <c r="W359" s="1" t="s">
        <v>74</v>
      </c>
      <c r="X359" s="1" t="s">
        <v>74</v>
      </c>
      <c r="Y359" s="1" t="s">
        <v>74</v>
      </c>
      <c r="Z359" s="1" t="s">
        <v>74</v>
      </c>
      <c r="AA359" s="1" t="s">
        <v>3693</v>
      </c>
      <c r="AB359" s="1" t="s">
        <v>3694</v>
      </c>
      <c r="AC359" s="1" t="s">
        <v>74</v>
      </c>
      <c r="AD359" s="1" t="s">
        <v>74</v>
      </c>
      <c r="AE359" s="1" t="s">
        <v>74</v>
      </c>
      <c r="AF359" s="1" t="s">
        <v>74</v>
      </c>
      <c r="AG359" s="1" t="s">
        <v>74</v>
      </c>
      <c r="AH359" s="1" t="s">
        <v>74</v>
      </c>
      <c r="AI359" s="1" t="s">
        <v>74</v>
      </c>
      <c r="AJ359" s="1" t="s">
        <v>74</v>
      </c>
      <c r="AK359" s="1" t="s">
        <v>74</v>
      </c>
      <c r="AL359" s="1" t="s">
        <v>74</v>
      </c>
      <c r="AM359" s="1" t="s">
        <v>74</v>
      </c>
      <c r="AN359" s="1" t="s">
        <v>74</v>
      </c>
      <c r="AO359" s="1" t="s">
        <v>3695</v>
      </c>
      <c r="AP359" s="1" t="s">
        <v>3696</v>
      </c>
      <c r="AQ359" s="1" t="s">
        <v>74</v>
      </c>
      <c r="AR359" s="1" t="s">
        <v>74</v>
      </c>
      <c r="AS359" s="1" t="s">
        <v>74</v>
      </c>
      <c r="AT359" s="1" t="s">
        <v>606</v>
      </c>
      <c r="AU359" s="1">
        <v>2015.0</v>
      </c>
      <c r="AV359" s="1">
        <v>94.0</v>
      </c>
      <c r="AW359" s="1">
        <v>10.0</v>
      </c>
      <c r="AX359" s="1" t="s">
        <v>74</v>
      </c>
      <c r="AY359" s="1" t="s">
        <v>74</v>
      </c>
      <c r="AZ359" s="1" t="s">
        <v>74</v>
      </c>
      <c r="BA359" s="1" t="s">
        <v>74</v>
      </c>
      <c r="BB359" s="1">
        <v>1039.0</v>
      </c>
      <c r="BC359" s="1">
        <v>1047.0</v>
      </c>
      <c r="BD359" s="1" t="s">
        <v>74</v>
      </c>
      <c r="BE359" s="1" t="s">
        <v>3697</v>
      </c>
      <c r="BF359" s="2" t="str">
        <f>HYPERLINK("http://dx.doi.org/10.1111/aogs.12675","http://dx.doi.org/10.1111/aogs.12675")</f>
        <v>http://dx.doi.org/10.1111/aogs.12675</v>
      </c>
      <c r="BG359" s="1" t="s">
        <v>74</v>
      </c>
      <c r="BH359" s="1" t="s">
        <v>74</v>
      </c>
      <c r="BI359" s="1" t="s">
        <v>74</v>
      </c>
      <c r="BJ359" s="1" t="s">
        <v>74</v>
      </c>
      <c r="BK359" s="1" t="s">
        <v>74</v>
      </c>
      <c r="BL359" s="1" t="s">
        <v>74</v>
      </c>
      <c r="BM359" s="1" t="s">
        <v>74</v>
      </c>
      <c r="BN359" s="1">
        <v>2.5965378E7</v>
      </c>
      <c r="BO359" s="1" t="s">
        <v>74</v>
      </c>
      <c r="BP359" s="1" t="s">
        <v>74</v>
      </c>
      <c r="BQ359" s="1" t="s">
        <v>74</v>
      </c>
      <c r="BR359" s="1" t="s">
        <v>74</v>
      </c>
      <c r="BS359" s="1" t="s">
        <v>3698</v>
      </c>
      <c r="BT359" s="1" t="str">
        <f>HYPERLINK("https%3A%2F%2Fwww.webofscience.com%2Fwos%2Fwoscc%2Ffull-record%2FWOS:000362511300003","View Full Record in Web of Science")</f>
        <v>View Full Record in Web of Science</v>
      </c>
    </row>
    <row r="360" ht="12.75" customHeight="1">
      <c r="A360" s="1" t="s">
        <v>72</v>
      </c>
      <c r="B360" s="1" t="s">
        <v>3699</v>
      </c>
      <c r="C360" s="1" t="s">
        <v>74</v>
      </c>
      <c r="D360" s="1" t="s">
        <v>74</v>
      </c>
      <c r="E360" s="1" t="s">
        <v>74</v>
      </c>
      <c r="F360" s="1" t="s">
        <v>3700</v>
      </c>
      <c r="G360" s="1" t="s">
        <v>74</v>
      </c>
      <c r="H360" s="1" t="s">
        <v>74</v>
      </c>
      <c r="I360" s="1" t="s">
        <v>3701</v>
      </c>
      <c r="J360" s="1" t="s">
        <v>3702</v>
      </c>
      <c r="K360" s="1" t="s">
        <v>74</v>
      </c>
      <c r="L360" s="1" t="s">
        <v>74</v>
      </c>
      <c r="M360" s="1" t="s">
        <v>74</v>
      </c>
      <c r="N360" s="1" t="s">
        <v>74</v>
      </c>
      <c r="O360" s="1" t="s">
        <v>74</v>
      </c>
      <c r="P360" s="1" t="s">
        <v>74</v>
      </c>
      <c r="Q360" s="1" t="s">
        <v>74</v>
      </c>
      <c r="R360" s="1" t="s">
        <v>74</v>
      </c>
      <c r="S360" s="1" t="s">
        <v>74</v>
      </c>
      <c r="T360" s="1" t="s">
        <v>74</v>
      </c>
      <c r="U360" s="1" t="s">
        <v>74</v>
      </c>
      <c r="V360" s="1" t="s">
        <v>3703</v>
      </c>
      <c r="W360" s="1" t="s">
        <v>74</v>
      </c>
      <c r="X360" s="1" t="s">
        <v>74</v>
      </c>
      <c r="Y360" s="1" t="s">
        <v>74</v>
      </c>
      <c r="Z360" s="1" t="s">
        <v>74</v>
      </c>
      <c r="AA360" s="1" t="s">
        <v>3704</v>
      </c>
      <c r="AB360" s="1" t="s">
        <v>3705</v>
      </c>
      <c r="AC360" s="1" t="s">
        <v>74</v>
      </c>
      <c r="AD360" s="1" t="s">
        <v>74</v>
      </c>
      <c r="AE360" s="1" t="s">
        <v>74</v>
      </c>
      <c r="AF360" s="1" t="s">
        <v>74</v>
      </c>
      <c r="AG360" s="1" t="s">
        <v>74</v>
      </c>
      <c r="AH360" s="1" t="s">
        <v>74</v>
      </c>
      <c r="AI360" s="1" t="s">
        <v>74</v>
      </c>
      <c r="AJ360" s="1" t="s">
        <v>74</v>
      </c>
      <c r="AK360" s="1" t="s">
        <v>74</v>
      </c>
      <c r="AL360" s="1" t="s">
        <v>74</v>
      </c>
      <c r="AM360" s="1" t="s">
        <v>74</v>
      </c>
      <c r="AN360" s="1" t="s">
        <v>74</v>
      </c>
      <c r="AO360" s="1" t="s">
        <v>3706</v>
      </c>
      <c r="AP360" s="1" t="s">
        <v>3707</v>
      </c>
      <c r="AQ360" s="1" t="s">
        <v>74</v>
      </c>
      <c r="AR360" s="1" t="s">
        <v>74</v>
      </c>
      <c r="AS360" s="1" t="s">
        <v>74</v>
      </c>
      <c r="AT360" s="1" t="s">
        <v>3708</v>
      </c>
      <c r="AU360" s="1">
        <v>2015.0</v>
      </c>
      <c r="AV360" s="1">
        <v>123.0</v>
      </c>
      <c r="AW360" s="1" t="s">
        <v>74</v>
      </c>
      <c r="AX360" s="1" t="s">
        <v>74</v>
      </c>
      <c r="AY360" s="1" t="s">
        <v>74</v>
      </c>
      <c r="AZ360" s="1" t="s">
        <v>74</v>
      </c>
      <c r="BA360" s="1" t="s">
        <v>74</v>
      </c>
      <c r="BB360" s="1">
        <v>27.0</v>
      </c>
      <c r="BC360" s="1">
        <v>38.0</v>
      </c>
      <c r="BD360" s="1" t="s">
        <v>74</v>
      </c>
      <c r="BE360" s="1" t="s">
        <v>3709</v>
      </c>
      <c r="BF360" s="2" t="str">
        <f>HYPERLINK("http://dx.doi.org/10.1016/j.carbpol.2015.01.010","http://dx.doi.org/10.1016/j.carbpol.2015.01.010")</f>
        <v>http://dx.doi.org/10.1016/j.carbpol.2015.01.010</v>
      </c>
      <c r="BG360" s="1" t="s">
        <v>74</v>
      </c>
      <c r="BH360" s="1" t="s">
        <v>74</v>
      </c>
      <c r="BI360" s="1" t="s">
        <v>74</v>
      </c>
      <c r="BJ360" s="1" t="s">
        <v>74</v>
      </c>
      <c r="BK360" s="1" t="s">
        <v>74</v>
      </c>
      <c r="BL360" s="1" t="s">
        <v>74</v>
      </c>
      <c r="BM360" s="1" t="s">
        <v>74</v>
      </c>
      <c r="BN360" s="1">
        <v>2.5843831E7</v>
      </c>
      <c r="BO360" s="1" t="s">
        <v>74</v>
      </c>
      <c r="BP360" s="1" t="s">
        <v>74</v>
      </c>
      <c r="BQ360" s="1" t="s">
        <v>74</v>
      </c>
      <c r="BR360" s="1" t="s">
        <v>74</v>
      </c>
      <c r="BS360" s="1" t="s">
        <v>3710</v>
      </c>
      <c r="BT360" s="1" t="str">
        <f>HYPERLINK("https%3A%2F%2Fwww.webofscience.com%2Fwos%2Fwoscc%2Ffull-record%2FWOS:000353754000004","View Full Record in Web of Science")</f>
        <v>View Full Record in Web of Science</v>
      </c>
    </row>
    <row r="361" ht="12.75" customHeight="1">
      <c r="A361" s="1" t="s">
        <v>72</v>
      </c>
      <c r="B361" s="1" t="s">
        <v>3711</v>
      </c>
      <c r="C361" s="1" t="s">
        <v>74</v>
      </c>
      <c r="D361" s="1" t="s">
        <v>74</v>
      </c>
      <c r="E361" s="1" t="s">
        <v>74</v>
      </c>
      <c r="F361" s="1" t="s">
        <v>3712</v>
      </c>
      <c r="G361" s="1" t="s">
        <v>74</v>
      </c>
      <c r="H361" s="1" t="s">
        <v>74</v>
      </c>
      <c r="I361" s="1" t="s">
        <v>3713</v>
      </c>
      <c r="J361" s="1" t="s">
        <v>3714</v>
      </c>
      <c r="K361" s="1" t="s">
        <v>74</v>
      </c>
      <c r="L361" s="1" t="s">
        <v>74</v>
      </c>
      <c r="M361" s="1" t="s">
        <v>74</v>
      </c>
      <c r="N361" s="1" t="s">
        <v>74</v>
      </c>
      <c r="O361" s="1" t="s">
        <v>74</v>
      </c>
      <c r="P361" s="1" t="s">
        <v>74</v>
      </c>
      <c r="Q361" s="1" t="s">
        <v>74</v>
      </c>
      <c r="R361" s="1" t="s">
        <v>74</v>
      </c>
      <c r="S361" s="1" t="s">
        <v>74</v>
      </c>
      <c r="T361" s="1" t="s">
        <v>74</v>
      </c>
      <c r="U361" s="1" t="s">
        <v>74</v>
      </c>
      <c r="V361" s="1" t="s">
        <v>3715</v>
      </c>
      <c r="W361" s="1" t="s">
        <v>74</v>
      </c>
      <c r="X361" s="1" t="s">
        <v>74</v>
      </c>
      <c r="Y361" s="1" t="s">
        <v>74</v>
      </c>
      <c r="Z361" s="1" t="s">
        <v>74</v>
      </c>
      <c r="AA361" s="1" t="s">
        <v>3716</v>
      </c>
      <c r="AB361" s="1" t="s">
        <v>3717</v>
      </c>
      <c r="AC361" s="1" t="s">
        <v>74</v>
      </c>
      <c r="AD361" s="1" t="s">
        <v>74</v>
      </c>
      <c r="AE361" s="1" t="s">
        <v>74</v>
      </c>
      <c r="AF361" s="1" t="s">
        <v>74</v>
      </c>
      <c r="AG361" s="1" t="s">
        <v>74</v>
      </c>
      <c r="AH361" s="1" t="s">
        <v>74</v>
      </c>
      <c r="AI361" s="1" t="s">
        <v>74</v>
      </c>
      <c r="AJ361" s="1" t="s">
        <v>74</v>
      </c>
      <c r="AK361" s="1" t="s">
        <v>74</v>
      </c>
      <c r="AL361" s="1" t="s">
        <v>74</v>
      </c>
      <c r="AM361" s="1" t="s">
        <v>74</v>
      </c>
      <c r="AN361" s="1" t="s">
        <v>74</v>
      </c>
      <c r="AO361" s="1" t="s">
        <v>3718</v>
      </c>
      <c r="AP361" s="1" t="s">
        <v>3719</v>
      </c>
      <c r="AQ361" s="1" t="s">
        <v>74</v>
      </c>
      <c r="AR361" s="1" t="s">
        <v>74</v>
      </c>
      <c r="AS361" s="1" t="s">
        <v>74</v>
      </c>
      <c r="AT361" s="1" t="s">
        <v>257</v>
      </c>
      <c r="AU361" s="1">
        <v>2015.0</v>
      </c>
      <c r="AV361" s="1">
        <v>362.0</v>
      </c>
      <c r="AW361" s="1">
        <v>5.0</v>
      </c>
      <c r="AX361" s="1" t="s">
        <v>74</v>
      </c>
      <c r="AY361" s="1" t="s">
        <v>74</v>
      </c>
      <c r="AZ361" s="1" t="s">
        <v>74</v>
      </c>
      <c r="BA361" s="1" t="s">
        <v>74</v>
      </c>
      <c r="BB361" s="1" t="s">
        <v>74</v>
      </c>
      <c r="BC361" s="1" t="s">
        <v>74</v>
      </c>
      <c r="BD361" s="1" t="s">
        <v>3720</v>
      </c>
      <c r="BE361" s="1" t="s">
        <v>3721</v>
      </c>
      <c r="BF361" s="2" t="str">
        <f>HYPERLINK("http://dx.doi.org/10.1093/femsle/fnu062","http://dx.doi.org/10.1093/femsle/fnu062")</f>
        <v>http://dx.doi.org/10.1093/femsle/fnu062</v>
      </c>
      <c r="BG361" s="1" t="s">
        <v>74</v>
      </c>
      <c r="BH361" s="1" t="s">
        <v>74</v>
      </c>
      <c r="BI361" s="1" t="s">
        <v>74</v>
      </c>
      <c r="BJ361" s="1" t="s">
        <v>74</v>
      </c>
      <c r="BK361" s="1" t="s">
        <v>74</v>
      </c>
      <c r="BL361" s="1" t="s">
        <v>74</v>
      </c>
      <c r="BM361" s="1" t="s">
        <v>74</v>
      </c>
      <c r="BN361" s="1">
        <v>2.574307E7</v>
      </c>
      <c r="BO361" s="1" t="s">
        <v>74</v>
      </c>
      <c r="BP361" s="1" t="s">
        <v>74</v>
      </c>
      <c r="BQ361" s="1" t="s">
        <v>74</v>
      </c>
      <c r="BR361" s="1" t="s">
        <v>74</v>
      </c>
      <c r="BS361" s="1" t="s">
        <v>3722</v>
      </c>
      <c r="BT361" s="1" t="str">
        <f>HYPERLINK("https%3A%2F%2Fwww.webofscience.com%2Fwos%2Fwoscc%2Ffull-record%2FWOS:000356885500008","View Full Record in Web of Science")</f>
        <v>View Full Record in Web of Science</v>
      </c>
    </row>
    <row r="362" ht="12.75" customHeight="1">
      <c r="A362" s="1" t="s">
        <v>182</v>
      </c>
      <c r="B362" s="1" t="s">
        <v>3723</v>
      </c>
      <c r="C362" s="1" t="s">
        <v>74</v>
      </c>
      <c r="D362" s="1" t="s">
        <v>3724</v>
      </c>
      <c r="E362" s="1" t="s">
        <v>74</v>
      </c>
      <c r="F362" s="1" t="s">
        <v>3725</v>
      </c>
      <c r="G362" s="1" t="s">
        <v>74</v>
      </c>
      <c r="H362" s="1" t="s">
        <v>74</v>
      </c>
      <c r="I362" s="1" t="s">
        <v>3726</v>
      </c>
      <c r="J362" s="1" t="s">
        <v>3727</v>
      </c>
      <c r="K362" s="1" t="s">
        <v>74</v>
      </c>
      <c r="L362" s="1" t="s">
        <v>74</v>
      </c>
      <c r="M362" s="1" t="s">
        <v>74</v>
      </c>
      <c r="N362" s="1" t="s">
        <v>74</v>
      </c>
      <c r="O362" s="1" t="s">
        <v>3728</v>
      </c>
      <c r="P362" s="1" t="s">
        <v>3729</v>
      </c>
      <c r="Q362" s="1" t="s">
        <v>3730</v>
      </c>
      <c r="R362" s="1" t="s">
        <v>3731</v>
      </c>
      <c r="S362" s="1" t="s">
        <v>74</v>
      </c>
      <c r="T362" s="1" t="s">
        <v>74</v>
      </c>
      <c r="U362" s="1" t="s">
        <v>74</v>
      </c>
      <c r="V362" s="1" t="s">
        <v>3732</v>
      </c>
      <c r="W362" s="1" t="s">
        <v>74</v>
      </c>
      <c r="X362" s="1" t="s">
        <v>74</v>
      </c>
      <c r="Y362" s="1" t="s">
        <v>74</v>
      </c>
      <c r="Z362" s="1" t="s">
        <v>74</v>
      </c>
      <c r="AA362" s="1" t="s">
        <v>3733</v>
      </c>
      <c r="AB362" s="1" t="s">
        <v>3734</v>
      </c>
      <c r="AC362" s="1" t="s">
        <v>74</v>
      </c>
      <c r="AD362" s="1" t="s">
        <v>74</v>
      </c>
      <c r="AE362" s="1" t="s">
        <v>74</v>
      </c>
      <c r="AF362" s="1" t="s">
        <v>74</v>
      </c>
      <c r="AG362" s="1" t="s">
        <v>74</v>
      </c>
      <c r="AH362" s="1" t="s">
        <v>74</v>
      </c>
      <c r="AI362" s="1" t="s">
        <v>74</v>
      </c>
      <c r="AJ362" s="1" t="s">
        <v>74</v>
      </c>
      <c r="AK362" s="1" t="s">
        <v>74</v>
      </c>
      <c r="AL362" s="1" t="s">
        <v>74</v>
      </c>
      <c r="AM362" s="1" t="s">
        <v>74</v>
      </c>
      <c r="AN362" s="1" t="s">
        <v>74</v>
      </c>
      <c r="AO362" s="1" t="s">
        <v>74</v>
      </c>
      <c r="AP362" s="1" t="s">
        <v>74</v>
      </c>
      <c r="AQ362" s="1" t="s">
        <v>3735</v>
      </c>
      <c r="AR362" s="1" t="s">
        <v>74</v>
      </c>
      <c r="AS362" s="1" t="s">
        <v>74</v>
      </c>
      <c r="AT362" s="1" t="s">
        <v>74</v>
      </c>
      <c r="AU362" s="1">
        <v>2015.0</v>
      </c>
      <c r="AV362" s="1" t="s">
        <v>74</v>
      </c>
      <c r="AW362" s="1" t="s">
        <v>74</v>
      </c>
      <c r="AX362" s="1" t="s">
        <v>74</v>
      </c>
      <c r="AY362" s="1" t="s">
        <v>74</v>
      </c>
      <c r="AZ362" s="1" t="s">
        <v>74</v>
      </c>
      <c r="BA362" s="1" t="s">
        <v>74</v>
      </c>
      <c r="BB362" s="1">
        <v>13.0</v>
      </c>
      <c r="BC362" s="1">
        <v>17.0</v>
      </c>
      <c r="BD362" s="1" t="s">
        <v>74</v>
      </c>
      <c r="BE362" s="1" t="s">
        <v>74</v>
      </c>
      <c r="BF362" s="1" t="s">
        <v>74</v>
      </c>
      <c r="BG362" s="1" t="s">
        <v>74</v>
      </c>
      <c r="BH362" s="1" t="s">
        <v>74</v>
      </c>
      <c r="BI362" s="1" t="s">
        <v>74</v>
      </c>
      <c r="BJ362" s="1" t="s">
        <v>74</v>
      </c>
      <c r="BK362" s="1" t="s">
        <v>74</v>
      </c>
      <c r="BL362" s="1" t="s">
        <v>74</v>
      </c>
      <c r="BM362" s="1" t="s">
        <v>74</v>
      </c>
      <c r="BN362" s="1" t="s">
        <v>74</v>
      </c>
      <c r="BO362" s="1" t="s">
        <v>74</v>
      </c>
      <c r="BP362" s="1" t="s">
        <v>74</v>
      </c>
      <c r="BQ362" s="1" t="s">
        <v>74</v>
      </c>
      <c r="BR362" s="1" t="s">
        <v>74</v>
      </c>
      <c r="BS362" s="1" t="s">
        <v>3736</v>
      </c>
      <c r="BT362" s="1" t="str">
        <f>HYPERLINK("https%3A%2F%2Fwww.webofscience.com%2Fwos%2Fwoscc%2Ffull-record%2FWOS:000380551100003","View Full Record in Web of Science")</f>
        <v>View Full Record in Web of Science</v>
      </c>
    </row>
    <row r="363" ht="12.75" customHeight="1">
      <c r="A363" s="1" t="s">
        <v>72</v>
      </c>
      <c r="B363" s="1" t="s">
        <v>3737</v>
      </c>
      <c r="C363" s="1" t="s">
        <v>74</v>
      </c>
      <c r="D363" s="1" t="s">
        <v>74</v>
      </c>
      <c r="E363" s="1" t="s">
        <v>74</v>
      </c>
      <c r="F363" s="1" t="s">
        <v>3738</v>
      </c>
      <c r="G363" s="1" t="s">
        <v>74</v>
      </c>
      <c r="H363" s="1" t="s">
        <v>74</v>
      </c>
      <c r="I363" s="1" t="s">
        <v>3739</v>
      </c>
      <c r="J363" s="1" t="s">
        <v>3740</v>
      </c>
      <c r="K363" s="1" t="s">
        <v>74</v>
      </c>
      <c r="L363" s="1" t="s">
        <v>74</v>
      </c>
      <c r="M363" s="1" t="s">
        <v>74</v>
      </c>
      <c r="N363" s="1" t="s">
        <v>74</v>
      </c>
      <c r="O363" s="1" t="s">
        <v>74</v>
      </c>
      <c r="P363" s="1" t="s">
        <v>74</v>
      </c>
      <c r="Q363" s="1" t="s">
        <v>74</v>
      </c>
      <c r="R363" s="1" t="s">
        <v>74</v>
      </c>
      <c r="S363" s="1" t="s">
        <v>74</v>
      </c>
      <c r="T363" s="1" t="s">
        <v>74</v>
      </c>
      <c r="U363" s="1" t="s">
        <v>74</v>
      </c>
      <c r="V363" s="1" t="s">
        <v>3741</v>
      </c>
      <c r="W363" s="1" t="s">
        <v>74</v>
      </c>
      <c r="X363" s="1" t="s">
        <v>74</v>
      </c>
      <c r="Y363" s="1" t="s">
        <v>74</v>
      </c>
      <c r="Z363" s="1" t="s">
        <v>74</v>
      </c>
      <c r="AA363" s="1" t="s">
        <v>3742</v>
      </c>
      <c r="AB363" s="1" t="s">
        <v>3743</v>
      </c>
      <c r="AC363" s="1" t="s">
        <v>74</v>
      </c>
      <c r="AD363" s="1" t="s">
        <v>74</v>
      </c>
      <c r="AE363" s="1" t="s">
        <v>74</v>
      </c>
      <c r="AF363" s="1" t="s">
        <v>74</v>
      </c>
      <c r="AG363" s="1" t="s">
        <v>74</v>
      </c>
      <c r="AH363" s="1" t="s">
        <v>74</v>
      </c>
      <c r="AI363" s="1" t="s">
        <v>74</v>
      </c>
      <c r="AJ363" s="1" t="s">
        <v>74</v>
      </c>
      <c r="AK363" s="1" t="s">
        <v>74</v>
      </c>
      <c r="AL363" s="1" t="s">
        <v>74</v>
      </c>
      <c r="AM363" s="1" t="s">
        <v>74</v>
      </c>
      <c r="AN363" s="1" t="s">
        <v>74</v>
      </c>
      <c r="AO363" s="1" t="s">
        <v>3744</v>
      </c>
      <c r="AP363" s="1" t="s">
        <v>74</v>
      </c>
      <c r="AQ363" s="1" t="s">
        <v>74</v>
      </c>
      <c r="AR363" s="1" t="s">
        <v>74</v>
      </c>
      <c r="AS363" s="1" t="s">
        <v>74</v>
      </c>
      <c r="AT363" s="1" t="s">
        <v>158</v>
      </c>
      <c r="AU363" s="1">
        <v>2013.0</v>
      </c>
      <c r="AV363" s="1">
        <v>12.0</v>
      </c>
      <c r="AW363" s="1">
        <v>4.0</v>
      </c>
      <c r="AX363" s="1" t="s">
        <v>74</v>
      </c>
      <c r="AY363" s="1" t="s">
        <v>74</v>
      </c>
      <c r="AZ363" s="1" t="s">
        <v>74</v>
      </c>
      <c r="BA363" s="1" t="s">
        <v>74</v>
      </c>
      <c r="BB363" s="1">
        <v>338.0</v>
      </c>
      <c r="BC363" s="1">
        <v>345.0</v>
      </c>
      <c r="BD363" s="1" t="s">
        <v>74</v>
      </c>
      <c r="BE363" s="1" t="s">
        <v>74</v>
      </c>
      <c r="BF363" s="1" t="s">
        <v>74</v>
      </c>
      <c r="BG363" s="1" t="s">
        <v>74</v>
      </c>
      <c r="BH363" s="1" t="s">
        <v>74</v>
      </c>
      <c r="BI363" s="1" t="s">
        <v>74</v>
      </c>
      <c r="BJ363" s="1" t="s">
        <v>74</v>
      </c>
      <c r="BK363" s="1" t="s">
        <v>74</v>
      </c>
      <c r="BL363" s="1" t="s">
        <v>74</v>
      </c>
      <c r="BM363" s="1" t="s">
        <v>74</v>
      </c>
      <c r="BN363" s="1" t="s">
        <v>74</v>
      </c>
      <c r="BO363" s="1" t="s">
        <v>74</v>
      </c>
      <c r="BP363" s="1" t="s">
        <v>74</v>
      </c>
      <c r="BQ363" s="1" t="s">
        <v>74</v>
      </c>
      <c r="BR363" s="1" t="s">
        <v>74</v>
      </c>
      <c r="BS363" s="1" t="s">
        <v>3745</v>
      </c>
      <c r="BT363" s="1" t="str">
        <f>HYPERLINK("https%3A%2F%2Fwww.webofscience.com%2Fwos%2Fwoscc%2Ffull-record%2FWOS:000321522300001","View Full Record in Web of Science")</f>
        <v>View Full Record in Web of Science</v>
      </c>
    </row>
    <row r="364" ht="12.75" customHeight="1">
      <c r="A364" s="1" t="s">
        <v>72</v>
      </c>
      <c r="B364" s="1" t="s">
        <v>3140</v>
      </c>
      <c r="C364" s="1" t="s">
        <v>74</v>
      </c>
      <c r="D364" s="1" t="s">
        <v>74</v>
      </c>
      <c r="E364" s="1" t="s">
        <v>74</v>
      </c>
      <c r="F364" s="1" t="s">
        <v>3141</v>
      </c>
      <c r="G364" s="1" t="s">
        <v>74</v>
      </c>
      <c r="H364" s="1" t="s">
        <v>74</v>
      </c>
      <c r="I364" s="1" t="s">
        <v>3746</v>
      </c>
      <c r="J364" s="1" t="s">
        <v>3747</v>
      </c>
      <c r="K364" s="1" t="s">
        <v>74</v>
      </c>
      <c r="L364" s="1" t="s">
        <v>74</v>
      </c>
      <c r="M364" s="1" t="s">
        <v>74</v>
      </c>
      <c r="N364" s="1" t="s">
        <v>74</v>
      </c>
      <c r="O364" s="1" t="s">
        <v>74</v>
      </c>
      <c r="P364" s="1" t="s">
        <v>74</v>
      </c>
      <c r="Q364" s="1" t="s">
        <v>74</v>
      </c>
      <c r="R364" s="1" t="s">
        <v>74</v>
      </c>
      <c r="S364" s="1" t="s">
        <v>74</v>
      </c>
      <c r="T364" s="1" t="s">
        <v>74</v>
      </c>
      <c r="U364" s="1" t="s">
        <v>74</v>
      </c>
      <c r="V364" s="1" t="s">
        <v>3748</v>
      </c>
      <c r="W364" s="1" t="s">
        <v>74</v>
      </c>
      <c r="X364" s="1" t="s">
        <v>74</v>
      </c>
      <c r="Y364" s="1" t="s">
        <v>74</v>
      </c>
      <c r="Z364" s="1" t="s">
        <v>74</v>
      </c>
      <c r="AA364" s="1" t="s">
        <v>3145</v>
      </c>
      <c r="AB364" s="1" t="s">
        <v>3146</v>
      </c>
      <c r="AC364" s="1" t="s">
        <v>74</v>
      </c>
      <c r="AD364" s="1" t="s">
        <v>74</v>
      </c>
      <c r="AE364" s="1" t="s">
        <v>74</v>
      </c>
      <c r="AF364" s="1" t="s">
        <v>74</v>
      </c>
      <c r="AG364" s="1" t="s">
        <v>74</v>
      </c>
      <c r="AH364" s="1" t="s">
        <v>74</v>
      </c>
      <c r="AI364" s="1" t="s">
        <v>74</v>
      </c>
      <c r="AJ364" s="1" t="s">
        <v>74</v>
      </c>
      <c r="AK364" s="1" t="s">
        <v>74</v>
      </c>
      <c r="AL364" s="1" t="s">
        <v>74</v>
      </c>
      <c r="AM364" s="1" t="s">
        <v>74</v>
      </c>
      <c r="AN364" s="1" t="s">
        <v>74</v>
      </c>
      <c r="AO364" s="1" t="s">
        <v>3749</v>
      </c>
      <c r="AP364" s="1" t="s">
        <v>74</v>
      </c>
      <c r="AQ364" s="1" t="s">
        <v>74</v>
      </c>
      <c r="AR364" s="1" t="s">
        <v>74</v>
      </c>
      <c r="AS364" s="1" t="s">
        <v>74</v>
      </c>
      <c r="AT364" s="1" t="s">
        <v>350</v>
      </c>
      <c r="AU364" s="1">
        <v>2012.0</v>
      </c>
      <c r="AV364" s="1">
        <v>62.0</v>
      </c>
      <c r="AW364" s="1">
        <v>8.0</v>
      </c>
      <c r="AX364" s="1" t="s">
        <v>74</v>
      </c>
      <c r="AY364" s="1" t="s">
        <v>74</v>
      </c>
      <c r="AZ364" s="1" t="s">
        <v>74</v>
      </c>
      <c r="BA364" s="1" t="s">
        <v>74</v>
      </c>
      <c r="BB364" s="1">
        <v>1793.0</v>
      </c>
      <c r="BC364" s="1">
        <v>1809.0</v>
      </c>
      <c r="BD364" s="1" t="s">
        <v>74</v>
      </c>
      <c r="BE364" s="1" t="s">
        <v>3750</v>
      </c>
      <c r="BF364" s="2" t="str">
        <f>HYPERLINK("http://dx.doi.org/10.1016/j.geomphys.2012.03.011","http://dx.doi.org/10.1016/j.geomphys.2012.03.011")</f>
        <v>http://dx.doi.org/10.1016/j.geomphys.2012.03.011</v>
      </c>
      <c r="BG364" s="1" t="s">
        <v>74</v>
      </c>
      <c r="BH364" s="1" t="s">
        <v>74</v>
      </c>
      <c r="BI364" s="1" t="s">
        <v>74</v>
      </c>
      <c r="BJ364" s="1" t="s">
        <v>74</v>
      </c>
      <c r="BK364" s="1" t="s">
        <v>74</v>
      </c>
      <c r="BL364" s="1" t="s">
        <v>74</v>
      </c>
      <c r="BM364" s="1" t="s">
        <v>74</v>
      </c>
      <c r="BN364" s="1" t="s">
        <v>74</v>
      </c>
      <c r="BO364" s="1" t="s">
        <v>74</v>
      </c>
      <c r="BP364" s="1" t="s">
        <v>74</v>
      </c>
      <c r="BQ364" s="1" t="s">
        <v>74</v>
      </c>
      <c r="BR364" s="1" t="s">
        <v>74</v>
      </c>
      <c r="BS364" s="1" t="s">
        <v>3751</v>
      </c>
      <c r="BT364" s="1" t="str">
        <f>HYPERLINK("https%3A%2F%2Fwww.webofscience.com%2Fwos%2Fwoscc%2Ffull-record%2FWOS:000305591100004","View Full Record in Web of Science")</f>
        <v>View Full Record in Web of Science</v>
      </c>
    </row>
    <row r="365" ht="12.75" customHeight="1">
      <c r="A365" s="1" t="s">
        <v>72</v>
      </c>
      <c r="B365" s="1" t="s">
        <v>3752</v>
      </c>
      <c r="C365" s="1" t="s">
        <v>74</v>
      </c>
      <c r="D365" s="1" t="s">
        <v>74</v>
      </c>
      <c r="E365" s="1" t="s">
        <v>74</v>
      </c>
      <c r="F365" s="1" t="s">
        <v>3753</v>
      </c>
      <c r="G365" s="1" t="s">
        <v>74</v>
      </c>
      <c r="H365" s="1" t="s">
        <v>74</v>
      </c>
      <c r="I365" s="1" t="s">
        <v>3754</v>
      </c>
      <c r="J365" s="1" t="s">
        <v>2078</v>
      </c>
      <c r="K365" s="1" t="s">
        <v>74</v>
      </c>
      <c r="L365" s="1" t="s">
        <v>74</v>
      </c>
      <c r="M365" s="1" t="s">
        <v>74</v>
      </c>
      <c r="N365" s="1" t="s">
        <v>74</v>
      </c>
      <c r="O365" s="1" t="s">
        <v>74</v>
      </c>
      <c r="P365" s="1" t="s">
        <v>74</v>
      </c>
      <c r="Q365" s="1" t="s">
        <v>74</v>
      </c>
      <c r="R365" s="1" t="s">
        <v>74</v>
      </c>
      <c r="S365" s="1" t="s">
        <v>74</v>
      </c>
      <c r="T365" s="1" t="s">
        <v>74</v>
      </c>
      <c r="U365" s="1" t="s">
        <v>74</v>
      </c>
      <c r="V365" s="1" t="s">
        <v>3755</v>
      </c>
      <c r="W365" s="1" t="s">
        <v>74</v>
      </c>
      <c r="X365" s="1" t="s">
        <v>74</v>
      </c>
      <c r="Y365" s="1" t="s">
        <v>74</v>
      </c>
      <c r="Z365" s="1" t="s">
        <v>74</v>
      </c>
      <c r="AA365" s="1" t="s">
        <v>3756</v>
      </c>
      <c r="AB365" s="1" t="s">
        <v>3757</v>
      </c>
      <c r="AC365" s="1" t="s">
        <v>74</v>
      </c>
      <c r="AD365" s="1" t="s">
        <v>74</v>
      </c>
      <c r="AE365" s="1" t="s">
        <v>74</v>
      </c>
      <c r="AF365" s="1" t="s">
        <v>74</v>
      </c>
      <c r="AG365" s="1" t="s">
        <v>74</v>
      </c>
      <c r="AH365" s="1" t="s">
        <v>74</v>
      </c>
      <c r="AI365" s="1" t="s">
        <v>74</v>
      </c>
      <c r="AJ365" s="1" t="s">
        <v>74</v>
      </c>
      <c r="AK365" s="1" t="s">
        <v>74</v>
      </c>
      <c r="AL365" s="1" t="s">
        <v>74</v>
      </c>
      <c r="AM365" s="1" t="s">
        <v>74</v>
      </c>
      <c r="AN365" s="1" t="s">
        <v>74</v>
      </c>
      <c r="AO365" s="1" t="s">
        <v>2082</v>
      </c>
      <c r="AP365" s="1" t="s">
        <v>3758</v>
      </c>
      <c r="AQ365" s="1" t="s">
        <v>74</v>
      </c>
      <c r="AR365" s="1" t="s">
        <v>74</v>
      </c>
      <c r="AS365" s="1" t="s">
        <v>74</v>
      </c>
      <c r="AT365" s="1" t="s">
        <v>3759</v>
      </c>
      <c r="AU365" s="1">
        <v>2012.0</v>
      </c>
      <c r="AV365" s="1">
        <v>100.0</v>
      </c>
      <c r="AW365" s="1">
        <v>25.0</v>
      </c>
      <c r="AX365" s="1" t="s">
        <v>74</v>
      </c>
      <c r="AY365" s="1" t="s">
        <v>74</v>
      </c>
      <c r="AZ365" s="1" t="s">
        <v>74</v>
      </c>
      <c r="BA365" s="1" t="s">
        <v>74</v>
      </c>
      <c r="BB365" s="1" t="s">
        <v>74</v>
      </c>
      <c r="BC365" s="1" t="s">
        <v>74</v>
      </c>
      <c r="BD365" s="1">
        <v>252405.0</v>
      </c>
      <c r="BE365" s="1" t="s">
        <v>3760</v>
      </c>
      <c r="BF365" s="2" t="str">
        <f>HYPERLINK("http://dx.doi.org/10.1063/1.4729782","http://dx.doi.org/10.1063/1.4729782")</f>
        <v>http://dx.doi.org/10.1063/1.4729782</v>
      </c>
      <c r="BG365" s="1" t="s">
        <v>74</v>
      </c>
      <c r="BH365" s="1" t="s">
        <v>74</v>
      </c>
      <c r="BI365" s="1" t="s">
        <v>74</v>
      </c>
      <c r="BJ365" s="1" t="s">
        <v>74</v>
      </c>
      <c r="BK365" s="1" t="s">
        <v>74</v>
      </c>
      <c r="BL365" s="1" t="s">
        <v>74</v>
      </c>
      <c r="BM365" s="1" t="s">
        <v>74</v>
      </c>
      <c r="BN365" s="1" t="s">
        <v>74</v>
      </c>
      <c r="BO365" s="1" t="s">
        <v>74</v>
      </c>
      <c r="BP365" s="1" t="s">
        <v>74</v>
      </c>
      <c r="BQ365" s="1" t="s">
        <v>74</v>
      </c>
      <c r="BR365" s="1" t="s">
        <v>74</v>
      </c>
      <c r="BS365" s="1" t="s">
        <v>3761</v>
      </c>
      <c r="BT365" s="1" t="str">
        <f>HYPERLINK("https%3A%2F%2Fwww.webofscience.com%2Fwos%2Fwoscc%2Ffull-record%2FWOS:000305676400050","View Full Record in Web of Science")</f>
        <v>View Full Record in Web of Science</v>
      </c>
    </row>
    <row r="366" ht="12.75" customHeight="1">
      <c r="A366" s="1" t="s">
        <v>72</v>
      </c>
      <c r="B366" s="1" t="s">
        <v>3762</v>
      </c>
      <c r="C366" s="1" t="s">
        <v>74</v>
      </c>
      <c r="D366" s="1" t="s">
        <v>74</v>
      </c>
      <c r="E366" s="1" t="s">
        <v>74</v>
      </c>
      <c r="F366" s="1" t="s">
        <v>3763</v>
      </c>
      <c r="G366" s="1" t="s">
        <v>74</v>
      </c>
      <c r="H366" s="1" t="s">
        <v>74</v>
      </c>
      <c r="I366" s="1" t="s">
        <v>3764</v>
      </c>
      <c r="J366" s="1" t="s">
        <v>3765</v>
      </c>
      <c r="K366" s="1" t="s">
        <v>74</v>
      </c>
      <c r="L366" s="1" t="s">
        <v>74</v>
      </c>
      <c r="M366" s="1" t="s">
        <v>74</v>
      </c>
      <c r="N366" s="1" t="s">
        <v>74</v>
      </c>
      <c r="O366" s="1" t="s">
        <v>74</v>
      </c>
      <c r="P366" s="1" t="s">
        <v>74</v>
      </c>
      <c r="Q366" s="1" t="s">
        <v>74</v>
      </c>
      <c r="R366" s="1" t="s">
        <v>74</v>
      </c>
      <c r="S366" s="1" t="s">
        <v>74</v>
      </c>
      <c r="T366" s="1" t="s">
        <v>74</v>
      </c>
      <c r="U366" s="1" t="s">
        <v>74</v>
      </c>
      <c r="V366" s="1" t="s">
        <v>3766</v>
      </c>
      <c r="W366" s="1" t="s">
        <v>74</v>
      </c>
      <c r="X366" s="1" t="s">
        <v>74</v>
      </c>
      <c r="Y366" s="1" t="s">
        <v>74</v>
      </c>
      <c r="Z366" s="1" t="s">
        <v>74</v>
      </c>
      <c r="AA366" s="1" t="s">
        <v>3767</v>
      </c>
      <c r="AB366" s="1" t="s">
        <v>3768</v>
      </c>
      <c r="AC366" s="1" t="s">
        <v>74</v>
      </c>
      <c r="AD366" s="1" t="s">
        <v>74</v>
      </c>
      <c r="AE366" s="1" t="s">
        <v>74</v>
      </c>
      <c r="AF366" s="1" t="s">
        <v>74</v>
      </c>
      <c r="AG366" s="1" t="s">
        <v>74</v>
      </c>
      <c r="AH366" s="1" t="s">
        <v>74</v>
      </c>
      <c r="AI366" s="1" t="s">
        <v>74</v>
      </c>
      <c r="AJ366" s="1" t="s">
        <v>74</v>
      </c>
      <c r="AK366" s="1" t="s">
        <v>74</v>
      </c>
      <c r="AL366" s="1" t="s">
        <v>74</v>
      </c>
      <c r="AM366" s="1" t="s">
        <v>74</v>
      </c>
      <c r="AN366" s="1" t="s">
        <v>74</v>
      </c>
      <c r="AO366" s="1" t="s">
        <v>3769</v>
      </c>
      <c r="AP366" s="1" t="s">
        <v>74</v>
      </c>
      <c r="AQ366" s="1" t="s">
        <v>74</v>
      </c>
      <c r="AR366" s="1" t="s">
        <v>74</v>
      </c>
      <c r="AS366" s="1" t="s">
        <v>74</v>
      </c>
      <c r="AT366" s="1" t="s">
        <v>294</v>
      </c>
      <c r="AU366" s="1">
        <v>2012.0</v>
      </c>
      <c r="AV366" s="1">
        <v>35.0</v>
      </c>
      <c r="AW366" s="1">
        <v>2.0</v>
      </c>
      <c r="AX366" s="1" t="s">
        <v>74</v>
      </c>
      <c r="AY366" s="1" t="s">
        <v>74</v>
      </c>
      <c r="AZ366" s="1" t="s">
        <v>74</v>
      </c>
      <c r="BA366" s="1" t="s">
        <v>74</v>
      </c>
      <c r="BB366" s="1">
        <v>185.0</v>
      </c>
      <c r="BC366" s="1">
        <v>204.0</v>
      </c>
      <c r="BD366" s="1" t="s">
        <v>74</v>
      </c>
      <c r="BE366" s="1" t="s">
        <v>74</v>
      </c>
      <c r="BF366" s="1" t="s">
        <v>74</v>
      </c>
      <c r="BG366" s="1" t="s">
        <v>74</v>
      </c>
      <c r="BH366" s="1" t="s">
        <v>74</v>
      </c>
      <c r="BI366" s="1" t="s">
        <v>74</v>
      </c>
      <c r="BJ366" s="1" t="s">
        <v>74</v>
      </c>
      <c r="BK366" s="1" t="s">
        <v>74</v>
      </c>
      <c r="BL366" s="1" t="s">
        <v>74</v>
      </c>
      <c r="BM366" s="1" t="s">
        <v>74</v>
      </c>
      <c r="BN366" s="1" t="s">
        <v>74</v>
      </c>
      <c r="BO366" s="1" t="s">
        <v>74</v>
      </c>
      <c r="BP366" s="1" t="s">
        <v>74</v>
      </c>
      <c r="BQ366" s="1" t="s">
        <v>74</v>
      </c>
      <c r="BR366" s="1" t="s">
        <v>74</v>
      </c>
      <c r="BS366" s="1" t="s">
        <v>3770</v>
      </c>
      <c r="BT366" s="1" t="str">
        <f>HYPERLINK("https%3A%2F%2Fwww.webofscience.com%2Fwos%2Fwoscc%2Ffull-record%2FWOS:000309079700002","View Full Record in Web of Science")</f>
        <v>View Full Record in Web of Science</v>
      </c>
    </row>
    <row r="367" ht="12.75" customHeight="1">
      <c r="A367" s="1" t="s">
        <v>72</v>
      </c>
      <c r="B367" s="1" t="s">
        <v>3771</v>
      </c>
      <c r="C367" s="1" t="s">
        <v>74</v>
      </c>
      <c r="D367" s="1" t="s">
        <v>74</v>
      </c>
      <c r="E367" s="1" t="s">
        <v>74</v>
      </c>
      <c r="F367" s="1" t="s">
        <v>3772</v>
      </c>
      <c r="G367" s="1" t="s">
        <v>74</v>
      </c>
      <c r="H367" s="1" t="s">
        <v>74</v>
      </c>
      <c r="I367" s="1" t="s">
        <v>3773</v>
      </c>
      <c r="J367" s="1" t="s">
        <v>1059</v>
      </c>
      <c r="K367" s="1" t="s">
        <v>74</v>
      </c>
      <c r="L367" s="1" t="s">
        <v>74</v>
      </c>
      <c r="M367" s="1" t="s">
        <v>74</v>
      </c>
      <c r="N367" s="1" t="s">
        <v>74</v>
      </c>
      <c r="O367" s="1" t="s">
        <v>74</v>
      </c>
      <c r="P367" s="1" t="s">
        <v>74</v>
      </c>
      <c r="Q367" s="1" t="s">
        <v>74</v>
      </c>
      <c r="R367" s="1" t="s">
        <v>74</v>
      </c>
      <c r="S367" s="1" t="s">
        <v>74</v>
      </c>
      <c r="T367" s="1" t="s">
        <v>74</v>
      </c>
      <c r="U367" s="1" t="s">
        <v>74</v>
      </c>
      <c r="V367" s="1" t="s">
        <v>3774</v>
      </c>
      <c r="W367" s="1" t="s">
        <v>74</v>
      </c>
      <c r="X367" s="1" t="s">
        <v>74</v>
      </c>
      <c r="Y367" s="1" t="s">
        <v>74</v>
      </c>
      <c r="Z367" s="1" t="s">
        <v>74</v>
      </c>
      <c r="AA367" s="1" t="s">
        <v>3775</v>
      </c>
      <c r="AB367" s="1" t="s">
        <v>3776</v>
      </c>
      <c r="AC367" s="1" t="s">
        <v>74</v>
      </c>
      <c r="AD367" s="1" t="s">
        <v>74</v>
      </c>
      <c r="AE367" s="1" t="s">
        <v>74</v>
      </c>
      <c r="AF367" s="1" t="s">
        <v>74</v>
      </c>
      <c r="AG367" s="1" t="s">
        <v>74</v>
      </c>
      <c r="AH367" s="1" t="s">
        <v>74</v>
      </c>
      <c r="AI367" s="1" t="s">
        <v>74</v>
      </c>
      <c r="AJ367" s="1" t="s">
        <v>74</v>
      </c>
      <c r="AK367" s="1" t="s">
        <v>74</v>
      </c>
      <c r="AL367" s="1" t="s">
        <v>74</v>
      </c>
      <c r="AM367" s="1" t="s">
        <v>74</v>
      </c>
      <c r="AN367" s="1" t="s">
        <v>74</v>
      </c>
      <c r="AO367" s="1" t="s">
        <v>74</v>
      </c>
      <c r="AP367" s="1" t="s">
        <v>1063</v>
      </c>
      <c r="AQ367" s="1" t="s">
        <v>74</v>
      </c>
      <c r="AR367" s="1" t="s">
        <v>74</v>
      </c>
      <c r="AS367" s="1" t="s">
        <v>74</v>
      </c>
      <c r="AT367" s="1" t="s">
        <v>3777</v>
      </c>
      <c r="AU367" s="1">
        <v>2012.0</v>
      </c>
      <c r="AV367" s="1">
        <v>287.0</v>
      </c>
      <c r="AW367" s="1">
        <v>22.0</v>
      </c>
      <c r="AX367" s="1" t="s">
        <v>74</v>
      </c>
      <c r="AY367" s="1" t="s">
        <v>74</v>
      </c>
      <c r="AZ367" s="1" t="s">
        <v>74</v>
      </c>
      <c r="BA367" s="1" t="s">
        <v>74</v>
      </c>
      <c r="BB367" s="1">
        <v>18218.0</v>
      </c>
      <c r="BC367" s="1">
        <v>18229.0</v>
      </c>
      <c r="BD367" s="1" t="s">
        <v>74</v>
      </c>
      <c r="BE367" s="1" t="s">
        <v>3778</v>
      </c>
      <c r="BF367" s="2" t="str">
        <f>HYPERLINK("http://dx.doi.org/10.1074/jbc.M111.312645","http://dx.doi.org/10.1074/jbc.M111.312645")</f>
        <v>http://dx.doi.org/10.1074/jbc.M111.312645</v>
      </c>
      <c r="BG367" s="1" t="s">
        <v>74</v>
      </c>
      <c r="BH367" s="1" t="s">
        <v>74</v>
      </c>
      <c r="BI367" s="1" t="s">
        <v>74</v>
      </c>
      <c r="BJ367" s="1" t="s">
        <v>74</v>
      </c>
      <c r="BK367" s="1" t="s">
        <v>74</v>
      </c>
      <c r="BL367" s="1" t="s">
        <v>74</v>
      </c>
      <c r="BM367" s="1" t="s">
        <v>74</v>
      </c>
      <c r="BN367" s="1">
        <v>2.2493431E7</v>
      </c>
      <c r="BO367" s="1" t="s">
        <v>74</v>
      </c>
      <c r="BP367" s="1" t="s">
        <v>74</v>
      </c>
      <c r="BQ367" s="1" t="s">
        <v>74</v>
      </c>
      <c r="BR367" s="1" t="s">
        <v>74</v>
      </c>
      <c r="BS367" s="1" t="s">
        <v>3779</v>
      </c>
      <c r="BT367" s="1" t="str">
        <f>HYPERLINK("https%3A%2F%2Fwww.webofscience.com%2Fwos%2Fwoscc%2Ffull-record%2FWOS:000306411600030","View Full Record in Web of Science")</f>
        <v>View Full Record in Web of Science</v>
      </c>
    </row>
    <row r="368" ht="12.75" customHeight="1">
      <c r="A368" s="1" t="s">
        <v>72</v>
      </c>
      <c r="B368" s="1" t="s">
        <v>3780</v>
      </c>
      <c r="C368" s="1" t="s">
        <v>74</v>
      </c>
      <c r="D368" s="1" t="s">
        <v>74</v>
      </c>
      <c r="E368" s="1" t="s">
        <v>74</v>
      </c>
      <c r="F368" s="1" t="s">
        <v>3781</v>
      </c>
      <c r="G368" s="1" t="s">
        <v>74</v>
      </c>
      <c r="H368" s="1" t="s">
        <v>74</v>
      </c>
      <c r="I368" s="1" t="s">
        <v>3782</v>
      </c>
      <c r="J368" s="1" t="s">
        <v>3783</v>
      </c>
      <c r="K368" s="1" t="s">
        <v>74</v>
      </c>
      <c r="L368" s="1" t="s">
        <v>74</v>
      </c>
      <c r="M368" s="1" t="s">
        <v>74</v>
      </c>
      <c r="N368" s="1" t="s">
        <v>74</v>
      </c>
      <c r="O368" s="1" t="s">
        <v>74</v>
      </c>
      <c r="P368" s="1" t="s">
        <v>74</v>
      </c>
      <c r="Q368" s="1" t="s">
        <v>74</v>
      </c>
      <c r="R368" s="1" t="s">
        <v>74</v>
      </c>
      <c r="S368" s="1" t="s">
        <v>74</v>
      </c>
      <c r="T368" s="1" t="s">
        <v>74</v>
      </c>
      <c r="U368" s="1" t="s">
        <v>74</v>
      </c>
      <c r="V368" s="1" t="s">
        <v>3784</v>
      </c>
      <c r="W368" s="1" t="s">
        <v>74</v>
      </c>
      <c r="X368" s="1" t="s">
        <v>74</v>
      </c>
      <c r="Y368" s="1" t="s">
        <v>74</v>
      </c>
      <c r="Z368" s="1" t="s">
        <v>74</v>
      </c>
      <c r="AA368" s="1" t="s">
        <v>3785</v>
      </c>
      <c r="AB368" s="1" t="s">
        <v>3786</v>
      </c>
      <c r="AC368" s="1" t="s">
        <v>74</v>
      </c>
      <c r="AD368" s="1" t="s">
        <v>74</v>
      </c>
      <c r="AE368" s="1" t="s">
        <v>74</v>
      </c>
      <c r="AF368" s="1" t="s">
        <v>74</v>
      </c>
      <c r="AG368" s="1" t="s">
        <v>74</v>
      </c>
      <c r="AH368" s="1" t="s">
        <v>74</v>
      </c>
      <c r="AI368" s="1" t="s">
        <v>74</v>
      </c>
      <c r="AJ368" s="1" t="s">
        <v>74</v>
      </c>
      <c r="AK368" s="1" t="s">
        <v>74</v>
      </c>
      <c r="AL368" s="1" t="s">
        <v>74</v>
      </c>
      <c r="AM368" s="1" t="s">
        <v>74</v>
      </c>
      <c r="AN368" s="1" t="s">
        <v>74</v>
      </c>
      <c r="AO368" s="1" t="s">
        <v>3787</v>
      </c>
      <c r="AP368" s="1" t="s">
        <v>3788</v>
      </c>
      <c r="AQ368" s="1" t="s">
        <v>74</v>
      </c>
      <c r="AR368" s="1" t="s">
        <v>74</v>
      </c>
      <c r="AS368" s="1" t="s">
        <v>74</v>
      </c>
      <c r="AT368" s="1" t="s">
        <v>257</v>
      </c>
      <c r="AU368" s="1">
        <v>2012.0</v>
      </c>
      <c r="AV368" s="1">
        <v>32.0</v>
      </c>
      <c r="AW368" s="1">
        <v>3.0</v>
      </c>
      <c r="AX368" s="1" t="s">
        <v>74</v>
      </c>
      <c r="AY368" s="1" t="s">
        <v>74</v>
      </c>
      <c r="AZ368" s="1" t="s">
        <v>74</v>
      </c>
      <c r="BA368" s="1" t="s">
        <v>74</v>
      </c>
      <c r="BB368" s="1">
        <v>252.0</v>
      </c>
      <c r="BC368" s="1">
        <v>258.0</v>
      </c>
      <c r="BD368" s="1" t="s">
        <v>74</v>
      </c>
      <c r="BE368" s="1" t="s">
        <v>3789</v>
      </c>
      <c r="BF368" s="2" t="str">
        <f>HYPERLINK("http://dx.doi.org/10.1002/pd.2942","http://dx.doi.org/10.1002/pd.2942")</f>
        <v>http://dx.doi.org/10.1002/pd.2942</v>
      </c>
      <c r="BG368" s="1" t="s">
        <v>74</v>
      </c>
      <c r="BH368" s="1" t="s">
        <v>74</v>
      </c>
      <c r="BI368" s="1" t="s">
        <v>74</v>
      </c>
      <c r="BJ368" s="1" t="s">
        <v>74</v>
      </c>
      <c r="BK368" s="1" t="s">
        <v>74</v>
      </c>
      <c r="BL368" s="1" t="s">
        <v>74</v>
      </c>
      <c r="BM368" s="1" t="s">
        <v>74</v>
      </c>
      <c r="BN368" s="1">
        <v>2.2430723E7</v>
      </c>
      <c r="BO368" s="1" t="s">
        <v>74</v>
      </c>
      <c r="BP368" s="1" t="s">
        <v>74</v>
      </c>
      <c r="BQ368" s="1" t="s">
        <v>74</v>
      </c>
      <c r="BR368" s="1" t="s">
        <v>74</v>
      </c>
      <c r="BS368" s="1" t="s">
        <v>3790</v>
      </c>
      <c r="BT368" s="1" t="str">
        <f>HYPERLINK("https%3A%2F%2Fwww.webofscience.com%2Fwos%2Fwoscc%2Ffull-record%2FWOS:000301639300008","View Full Record in Web of Science")</f>
        <v>View Full Record in Web of Science</v>
      </c>
    </row>
    <row r="369" ht="12.75" customHeight="1">
      <c r="A369" s="1" t="s">
        <v>72</v>
      </c>
      <c r="B369" s="1" t="s">
        <v>3791</v>
      </c>
      <c r="C369" s="1" t="s">
        <v>74</v>
      </c>
      <c r="D369" s="1" t="s">
        <v>74</v>
      </c>
      <c r="E369" s="1" t="s">
        <v>74</v>
      </c>
      <c r="F369" s="1" t="s">
        <v>3792</v>
      </c>
      <c r="G369" s="1" t="s">
        <v>74</v>
      </c>
      <c r="H369" s="1" t="s">
        <v>74</v>
      </c>
      <c r="I369" s="1" t="s">
        <v>3793</v>
      </c>
      <c r="J369" s="1" t="s">
        <v>1045</v>
      </c>
      <c r="K369" s="1" t="s">
        <v>74</v>
      </c>
      <c r="L369" s="1" t="s">
        <v>74</v>
      </c>
      <c r="M369" s="1" t="s">
        <v>74</v>
      </c>
      <c r="N369" s="1" t="s">
        <v>74</v>
      </c>
      <c r="O369" s="1" t="s">
        <v>74</v>
      </c>
      <c r="P369" s="1" t="s">
        <v>74</v>
      </c>
      <c r="Q369" s="1" t="s">
        <v>74</v>
      </c>
      <c r="R369" s="1" t="s">
        <v>74</v>
      </c>
      <c r="S369" s="1" t="s">
        <v>74</v>
      </c>
      <c r="T369" s="1" t="s">
        <v>74</v>
      </c>
      <c r="U369" s="1" t="s">
        <v>74</v>
      </c>
      <c r="V369" s="1" t="s">
        <v>3794</v>
      </c>
      <c r="W369" s="1" t="s">
        <v>74</v>
      </c>
      <c r="X369" s="1" t="s">
        <v>74</v>
      </c>
      <c r="Y369" s="1" t="s">
        <v>74</v>
      </c>
      <c r="Z369" s="1" t="s">
        <v>74</v>
      </c>
      <c r="AA369" s="1" t="s">
        <v>3795</v>
      </c>
      <c r="AB369" s="1" t="s">
        <v>3796</v>
      </c>
      <c r="AC369" s="1" t="s">
        <v>74</v>
      </c>
      <c r="AD369" s="1" t="s">
        <v>74</v>
      </c>
      <c r="AE369" s="1" t="s">
        <v>74</v>
      </c>
      <c r="AF369" s="1" t="s">
        <v>74</v>
      </c>
      <c r="AG369" s="1" t="s">
        <v>74</v>
      </c>
      <c r="AH369" s="1" t="s">
        <v>74</v>
      </c>
      <c r="AI369" s="1" t="s">
        <v>74</v>
      </c>
      <c r="AJ369" s="1" t="s">
        <v>74</v>
      </c>
      <c r="AK369" s="1" t="s">
        <v>74</v>
      </c>
      <c r="AL369" s="1" t="s">
        <v>74</v>
      </c>
      <c r="AM369" s="1" t="s">
        <v>74</v>
      </c>
      <c r="AN369" s="1" t="s">
        <v>74</v>
      </c>
      <c r="AO369" s="1" t="s">
        <v>1047</v>
      </c>
      <c r="AP369" s="1" t="s">
        <v>1048</v>
      </c>
      <c r="AQ369" s="1" t="s">
        <v>74</v>
      </c>
      <c r="AR369" s="1" t="s">
        <v>74</v>
      </c>
      <c r="AS369" s="1" t="s">
        <v>74</v>
      </c>
      <c r="AT369" s="1" t="s">
        <v>270</v>
      </c>
      <c r="AU369" s="1">
        <v>2012.0</v>
      </c>
      <c r="AV369" s="1">
        <v>385.0</v>
      </c>
      <c r="AW369" s="1">
        <v>2.0</v>
      </c>
      <c r="AX369" s="1" t="s">
        <v>74</v>
      </c>
      <c r="AY369" s="1" t="s">
        <v>74</v>
      </c>
      <c r="AZ369" s="1" t="s">
        <v>74</v>
      </c>
      <c r="BA369" s="1" t="s">
        <v>74</v>
      </c>
      <c r="BB369" s="1">
        <v>608.0</v>
      </c>
      <c r="BC369" s="1">
        <v>621.0</v>
      </c>
      <c r="BD369" s="1" t="s">
        <v>74</v>
      </c>
      <c r="BE369" s="1" t="s">
        <v>3797</v>
      </c>
      <c r="BF369" s="2" t="str">
        <f>HYPERLINK("http://dx.doi.org/10.1016/j.jmaa.2011.06.078","http://dx.doi.org/10.1016/j.jmaa.2011.06.078")</f>
        <v>http://dx.doi.org/10.1016/j.jmaa.2011.06.078</v>
      </c>
      <c r="BG369" s="1" t="s">
        <v>74</v>
      </c>
      <c r="BH369" s="1" t="s">
        <v>74</v>
      </c>
      <c r="BI369" s="1" t="s">
        <v>74</v>
      </c>
      <c r="BJ369" s="1" t="s">
        <v>74</v>
      </c>
      <c r="BK369" s="1" t="s">
        <v>74</v>
      </c>
      <c r="BL369" s="1" t="s">
        <v>74</v>
      </c>
      <c r="BM369" s="1" t="s">
        <v>74</v>
      </c>
      <c r="BN369" s="1" t="s">
        <v>74</v>
      </c>
      <c r="BO369" s="1" t="s">
        <v>74</v>
      </c>
      <c r="BP369" s="1" t="s">
        <v>74</v>
      </c>
      <c r="BQ369" s="1" t="s">
        <v>74</v>
      </c>
      <c r="BR369" s="1" t="s">
        <v>74</v>
      </c>
      <c r="BS369" s="1" t="s">
        <v>3798</v>
      </c>
      <c r="BT369" s="1" t="str">
        <f>HYPERLINK("https%3A%2F%2Fwww.webofscience.com%2Fwos%2Fwoscc%2Ffull-record%2FWOS:000295062600002","View Full Record in Web of Science")</f>
        <v>View Full Record in Web of Science</v>
      </c>
    </row>
    <row r="370" ht="12.75" customHeight="1">
      <c r="A370" s="1" t="s">
        <v>72</v>
      </c>
      <c r="B370" s="1" t="s">
        <v>3799</v>
      </c>
      <c r="C370" s="1" t="s">
        <v>74</v>
      </c>
      <c r="D370" s="1" t="s">
        <v>74</v>
      </c>
      <c r="E370" s="1" t="s">
        <v>74</v>
      </c>
      <c r="F370" s="1" t="s">
        <v>3800</v>
      </c>
      <c r="G370" s="1" t="s">
        <v>74</v>
      </c>
      <c r="H370" s="1" t="s">
        <v>74</v>
      </c>
      <c r="I370" s="1" t="s">
        <v>3801</v>
      </c>
      <c r="J370" s="1" t="s">
        <v>489</v>
      </c>
      <c r="K370" s="1" t="s">
        <v>74</v>
      </c>
      <c r="L370" s="1" t="s">
        <v>74</v>
      </c>
      <c r="M370" s="1" t="s">
        <v>74</v>
      </c>
      <c r="N370" s="1" t="s">
        <v>74</v>
      </c>
      <c r="O370" s="1" t="s">
        <v>74</v>
      </c>
      <c r="P370" s="1" t="s">
        <v>74</v>
      </c>
      <c r="Q370" s="1" t="s">
        <v>74</v>
      </c>
      <c r="R370" s="1" t="s">
        <v>74</v>
      </c>
      <c r="S370" s="1" t="s">
        <v>74</v>
      </c>
      <c r="T370" s="1" t="s">
        <v>74</v>
      </c>
      <c r="U370" s="1" t="s">
        <v>74</v>
      </c>
      <c r="V370" s="1" t="s">
        <v>3802</v>
      </c>
      <c r="W370" s="1" t="s">
        <v>74</v>
      </c>
      <c r="X370" s="1" t="s">
        <v>74</v>
      </c>
      <c r="Y370" s="1" t="s">
        <v>74</v>
      </c>
      <c r="Z370" s="1" t="s">
        <v>74</v>
      </c>
      <c r="AA370" s="1" t="s">
        <v>3803</v>
      </c>
      <c r="AB370" s="1" t="s">
        <v>3804</v>
      </c>
      <c r="AC370" s="1" t="s">
        <v>74</v>
      </c>
      <c r="AD370" s="1" t="s">
        <v>74</v>
      </c>
      <c r="AE370" s="1" t="s">
        <v>74</v>
      </c>
      <c r="AF370" s="1" t="s">
        <v>74</v>
      </c>
      <c r="AG370" s="1" t="s">
        <v>74</v>
      </c>
      <c r="AH370" s="1" t="s">
        <v>74</v>
      </c>
      <c r="AI370" s="1" t="s">
        <v>74</v>
      </c>
      <c r="AJ370" s="1" t="s">
        <v>74</v>
      </c>
      <c r="AK370" s="1" t="s">
        <v>74</v>
      </c>
      <c r="AL370" s="1" t="s">
        <v>74</v>
      </c>
      <c r="AM370" s="1" t="s">
        <v>74</v>
      </c>
      <c r="AN370" s="1" t="s">
        <v>74</v>
      </c>
      <c r="AO370" s="1" t="s">
        <v>492</v>
      </c>
      <c r="AP370" s="1" t="s">
        <v>74</v>
      </c>
      <c r="AQ370" s="1" t="s">
        <v>74</v>
      </c>
      <c r="AR370" s="1" t="s">
        <v>74</v>
      </c>
      <c r="AS370" s="1" t="s">
        <v>74</v>
      </c>
      <c r="AT370" s="1" t="s">
        <v>339</v>
      </c>
      <c r="AU370" s="1">
        <v>2011.0</v>
      </c>
      <c r="AV370" s="1">
        <v>56.0</v>
      </c>
      <c r="AW370" s="1">
        <v>3.0</v>
      </c>
      <c r="AX370" s="1" t="s">
        <v>74</v>
      </c>
      <c r="AY370" s="1" t="s">
        <v>74</v>
      </c>
      <c r="AZ370" s="1" t="s">
        <v>74</v>
      </c>
      <c r="BA370" s="1" t="s">
        <v>74</v>
      </c>
      <c r="BB370" s="1">
        <v>803.0</v>
      </c>
      <c r="BC370" s="1">
        <v>807.0</v>
      </c>
      <c r="BD370" s="1" t="s">
        <v>74</v>
      </c>
      <c r="BE370" s="1" t="s">
        <v>3805</v>
      </c>
      <c r="BF370" s="2" t="str">
        <f>HYPERLINK("http://dx.doi.org/10.4067/S0717-97072011000300018","http://dx.doi.org/10.4067/S0717-97072011000300018")</f>
        <v>http://dx.doi.org/10.4067/S0717-97072011000300018</v>
      </c>
      <c r="BG370" s="1" t="s">
        <v>74</v>
      </c>
      <c r="BH370" s="1" t="s">
        <v>74</v>
      </c>
      <c r="BI370" s="1" t="s">
        <v>74</v>
      </c>
      <c r="BJ370" s="1" t="s">
        <v>74</v>
      </c>
      <c r="BK370" s="1" t="s">
        <v>74</v>
      </c>
      <c r="BL370" s="1" t="s">
        <v>74</v>
      </c>
      <c r="BM370" s="1" t="s">
        <v>74</v>
      </c>
      <c r="BN370" s="1" t="s">
        <v>74</v>
      </c>
      <c r="BO370" s="1" t="s">
        <v>74</v>
      </c>
      <c r="BP370" s="1" t="s">
        <v>74</v>
      </c>
      <c r="BQ370" s="1" t="s">
        <v>74</v>
      </c>
      <c r="BR370" s="1" t="s">
        <v>74</v>
      </c>
      <c r="BS370" s="1" t="s">
        <v>3806</v>
      </c>
      <c r="BT370" s="1" t="str">
        <f>HYPERLINK("https%3A%2F%2Fwww.webofscience.com%2Fwos%2Fwoscc%2Ffull-record%2FWOS:000296753600018","View Full Record in Web of Science")</f>
        <v>View Full Record in Web of Science</v>
      </c>
    </row>
    <row r="371" ht="12.75" customHeight="1">
      <c r="A371" s="1" t="s">
        <v>72</v>
      </c>
      <c r="B371" s="1" t="s">
        <v>3807</v>
      </c>
      <c r="C371" s="1" t="s">
        <v>74</v>
      </c>
      <c r="D371" s="1" t="s">
        <v>74</v>
      </c>
      <c r="E371" s="1" t="s">
        <v>74</v>
      </c>
      <c r="F371" s="1" t="s">
        <v>3808</v>
      </c>
      <c r="G371" s="1" t="s">
        <v>74</v>
      </c>
      <c r="H371" s="1" t="s">
        <v>74</v>
      </c>
      <c r="I371" s="1" t="s">
        <v>3809</v>
      </c>
      <c r="J371" s="1" t="s">
        <v>3810</v>
      </c>
      <c r="K371" s="1" t="s">
        <v>74</v>
      </c>
      <c r="L371" s="1" t="s">
        <v>74</v>
      </c>
      <c r="M371" s="1" t="s">
        <v>74</v>
      </c>
      <c r="N371" s="1" t="s">
        <v>74</v>
      </c>
      <c r="O371" s="1" t="s">
        <v>74</v>
      </c>
      <c r="P371" s="1" t="s">
        <v>74</v>
      </c>
      <c r="Q371" s="1" t="s">
        <v>74</v>
      </c>
      <c r="R371" s="1" t="s">
        <v>74</v>
      </c>
      <c r="S371" s="1" t="s">
        <v>74</v>
      </c>
      <c r="T371" s="1" t="s">
        <v>74</v>
      </c>
      <c r="U371" s="1" t="s">
        <v>74</v>
      </c>
      <c r="V371" s="1" t="s">
        <v>3811</v>
      </c>
      <c r="W371" s="1" t="s">
        <v>74</v>
      </c>
      <c r="X371" s="1" t="s">
        <v>74</v>
      </c>
      <c r="Y371" s="1" t="s">
        <v>74</v>
      </c>
      <c r="Z371" s="1" t="s">
        <v>74</v>
      </c>
      <c r="AA371" s="1" t="s">
        <v>3812</v>
      </c>
      <c r="AB371" s="1" t="s">
        <v>74</v>
      </c>
      <c r="AC371" s="1" t="s">
        <v>74</v>
      </c>
      <c r="AD371" s="1" t="s">
        <v>74</v>
      </c>
      <c r="AE371" s="1" t="s">
        <v>74</v>
      </c>
      <c r="AF371" s="1" t="s">
        <v>74</v>
      </c>
      <c r="AG371" s="1" t="s">
        <v>74</v>
      </c>
      <c r="AH371" s="1" t="s">
        <v>74</v>
      </c>
      <c r="AI371" s="1" t="s">
        <v>74</v>
      </c>
      <c r="AJ371" s="1" t="s">
        <v>74</v>
      </c>
      <c r="AK371" s="1" t="s">
        <v>74</v>
      </c>
      <c r="AL371" s="1" t="s">
        <v>74</v>
      </c>
      <c r="AM371" s="1" t="s">
        <v>74</v>
      </c>
      <c r="AN371" s="1" t="s">
        <v>74</v>
      </c>
      <c r="AO371" s="1" t="s">
        <v>3813</v>
      </c>
      <c r="AP371" s="1" t="s">
        <v>3814</v>
      </c>
      <c r="AQ371" s="1" t="s">
        <v>74</v>
      </c>
      <c r="AR371" s="1" t="s">
        <v>74</v>
      </c>
      <c r="AS371" s="1" t="s">
        <v>74</v>
      </c>
      <c r="AT371" s="1" t="s">
        <v>257</v>
      </c>
      <c r="AU371" s="1">
        <v>2011.0</v>
      </c>
      <c r="AV371" s="1">
        <v>54.0</v>
      </c>
      <c r="AW371" s="1">
        <v>3.0</v>
      </c>
      <c r="AX371" s="1" t="s">
        <v>74</v>
      </c>
      <c r="AY371" s="1" t="s">
        <v>74</v>
      </c>
      <c r="AZ371" s="1" t="s">
        <v>74</v>
      </c>
      <c r="BA371" s="1" t="s">
        <v>74</v>
      </c>
      <c r="BB371" s="1">
        <v>539.0</v>
      </c>
      <c r="BC371" s="1">
        <v>544.0</v>
      </c>
      <c r="BD371" s="1" t="s">
        <v>74</v>
      </c>
      <c r="BE371" s="1" t="s">
        <v>3815</v>
      </c>
      <c r="BF371" s="2" t="str">
        <f>HYPERLINK("http://dx.doi.org/10.1007/s11425-010-4141-1","http://dx.doi.org/10.1007/s11425-010-4141-1")</f>
        <v>http://dx.doi.org/10.1007/s11425-010-4141-1</v>
      </c>
      <c r="BG371" s="1" t="s">
        <v>74</v>
      </c>
      <c r="BH371" s="1" t="s">
        <v>74</v>
      </c>
      <c r="BI371" s="1" t="s">
        <v>74</v>
      </c>
      <c r="BJ371" s="1" t="s">
        <v>74</v>
      </c>
      <c r="BK371" s="1" t="s">
        <v>74</v>
      </c>
      <c r="BL371" s="1" t="s">
        <v>74</v>
      </c>
      <c r="BM371" s="1" t="s">
        <v>74</v>
      </c>
      <c r="BN371" s="1" t="s">
        <v>74</v>
      </c>
      <c r="BO371" s="1" t="s">
        <v>74</v>
      </c>
      <c r="BP371" s="1" t="s">
        <v>74</v>
      </c>
      <c r="BQ371" s="1" t="s">
        <v>74</v>
      </c>
      <c r="BR371" s="1" t="s">
        <v>74</v>
      </c>
      <c r="BS371" s="1" t="s">
        <v>3816</v>
      </c>
      <c r="BT371" s="1" t="str">
        <f>HYPERLINK("https%3A%2F%2Fwww.webofscience.com%2Fwos%2Fwoscc%2Ffull-record%2FWOS:000288121400011","View Full Record in Web of Science")</f>
        <v>View Full Record in Web of Science</v>
      </c>
    </row>
    <row r="372" ht="12.75" customHeight="1">
      <c r="A372" s="1" t="s">
        <v>182</v>
      </c>
      <c r="B372" s="1" t="s">
        <v>3817</v>
      </c>
      <c r="C372" s="1" t="s">
        <v>74</v>
      </c>
      <c r="D372" s="1" t="s">
        <v>3818</v>
      </c>
      <c r="E372" s="1" t="s">
        <v>74</v>
      </c>
      <c r="F372" s="1" t="s">
        <v>3819</v>
      </c>
      <c r="G372" s="1" t="s">
        <v>74</v>
      </c>
      <c r="H372" s="1" t="s">
        <v>74</v>
      </c>
      <c r="I372" s="1" t="s">
        <v>3820</v>
      </c>
      <c r="J372" s="1" t="s">
        <v>3821</v>
      </c>
      <c r="K372" s="1" t="s">
        <v>3822</v>
      </c>
      <c r="L372" s="1" t="s">
        <v>74</v>
      </c>
      <c r="M372" s="1" t="s">
        <v>74</v>
      </c>
      <c r="N372" s="1" t="s">
        <v>74</v>
      </c>
      <c r="O372" s="1" t="s">
        <v>3823</v>
      </c>
      <c r="P372" s="1" t="s">
        <v>3824</v>
      </c>
      <c r="Q372" s="1" t="s">
        <v>3825</v>
      </c>
      <c r="R372" s="1" t="s">
        <v>3826</v>
      </c>
      <c r="S372" s="1" t="s">
        <v>74</v>
      </c>
      <c r="T372" s="1" t="s">
        <v>74</v>
      </c>
      <c r="U372" s="1" t="s">
        <v>74</v>
      </c>
      <c r="V372" s="1" t="s">
        <v>3827</v>
      </c>
      <c r="W372" s="1" t="s">
        <v>74</v>
      </c>
      <c r="X372" s="1" t="s">
        <v>74</v>
      </c>
      <c r="Y372" s="1" t="s">
        <v>74</v>
      </c>
      <c r="Z372" s="1" t="s">
        <v>74</v>
      </c>
      <c r="AA372" s="1" t="s">
        <v>74</v>
      </c>
      <c r="AB372" s="1" t="s">
        <v>3828</v>
      </c>
      <c r="AC372" s="1" t="s">
        <v>74</v>
      </c>
      <c r="AD372" s="1" t="s">
        <v>74</v>
      </c>
      <c r="AE372" s="1" t="s">
        <v>74</v>
      </c>
      <c r="AF372" s="1" t="s">
        <v>74</v>
      </c>
      <c r="AG372" s="1" t="s">
        <v>74</v>
      </c>
      <c r="AH372" s="1" t="s">
        <v>74</v>
      </c>
      <c r="AI372" s="1" t="s">
        <v>74</v>
      </c>
      <c r="AJ372" s="1" t="s">
        <v>74</v>
      </c>
      <c r="AK372" s="1" t="s">
        <v>74</v>
      </c>
      <c r="AL372" s="1" t="s">
        <v>74</v>
      </c>
      <c r="AM372" s="1" t="s">
        <v>74</v>
      </c>
      <c r="AN372" s="1" t="s">
        <v>74</v>
      </c>
      <c r="AO372" s="1" t="s">
        <v>3829</v>
      </c>
      <c r="AP372" s="1" t="s">
        <v>3830</v>
      </c>
      <c r="AQ372" s="1" t="s">
        <v>74</v>
      </c>
      <c r="AR372" s="1" t="s">
        <v>74</v>
      </c>
      <c r="AS372" s="1" t="s">
        <v>74</v>
      </c>
      <c r="AT372" s="1" t="s">
        <v>74</v>
      </c>
      <c r="AU372" s="1">
        <v>2010.0</v>
      </c>
      <c r="AV372" s="1">
        <v>229.0</v>
      </c>
      <c r="AW372" s="1" t="s">
        <v>74</v>
      </c>
      <c r="AX372" s="1" t="s">
        <v>74</v>
      </c>
      <c r="AY372" s="1" t="s">
        <v>74</v>
      </c>
      <c r="AZ372" s="1" t="s">
        <v>74</v>
      </c>
      <c r="BA372" s="1" t="s">
        <v>74</v>
      </c>
      <c r="BB372" s="1" t="s">
        <v>74</v>
      </c>
      <c r="BC372" s="1" t="s">
        <v>74</v>
      </c>
      <c r="BD372" s="1">
        <v>12065.0</v>
      </c>
      <c r="BE372" s="1" t="s">
        <v>3831</v>
      </c>
      <c r="BF372" s="2" t="str">
        <f>HYPERLINK("http://dx.doi.org/10.1088/1742-6596/229/1/012065","http://dx.doi.org/10.1088/1742-6596/229/1/012065")</f>
        <v>http://dx.doi.org/10.1088/1742-6596/229/1/012065</v>
      </c>
      <c r="BG372" s="1" t="s">
        <v>74</v>
      </c>
      <c r="BH372" s="1" t="s">
        <v>74</v>
      </c>
      <c r="BI372" s="1" t="s">
        <v>74</v>
      </c>
      <c r="BJ372" s="1" t="s">
        <v>74</v>
      </c>
      <c r="BK372" s="1" t="s">
        <v>74</v>
      </c>
      <c r="BL372" s="1" t="s">
        <v>74</v>
      </c>
      <c r="BM372" s="1" t="s">
        <v>74</v>
      </c>
      <c r="BN372" s="1" t="s">
        <v>74</v>
      </c>
      <c r="BO372" s="1" t="s">
        <v>74</v>
      </c>
      <c r="BP372" s="1" t="s">
        <v>74</v>
      </c>
      <c r="BQ372" s="1" t="s">
        <v>74</v>
      </c>
      <c r="BR372" s="1" t="s">
        <v>74</v>
      </c>
      <c r="BS372" s="1" t="s">
        <v>3832</v>
      </c>
      <c r="BT372" s="1" t="str">
        <f>HYPERLINK("https%3A%2F%2Fwww.webofscience.com%2Fwos%2Fwoscc%2Ffull-record%2FWOS:000287182000065","View Full Record in Web of Science")</f>
        <v>View Full Record in Web of Science</v>
      </c>
    </row>
    <row r="373" ht="12.75" customHeight="1">
      <c r="A373" s="1" t="s">
        <v>72</v>
      </c>
      <c r="B373" s="1" t="s">
        <v>3833</v>
      </c>
      <c r="C373" s="1" t="s">
        <v>74</v>
      </c>
      <c r="D373" s="1" t="s">
        <v>74</v>
      </c>
      <c r="E373" s="1" t="s">
        <v>74</v>
      </c>
      <c r="F373" s="1" t="s">
        <v>3834</v>
      </c>
      <c r="G373" s="1" t="s">
        <v>74</v>
      </c>
      <c r="H373" s="1" t="s">
        <v>74</v>
      </c>
      <c r="I373" s="1" t="s">
        <v>3835</v>
      </c>
      <c r="J373" s="1" t="s">
        <v>3286</v>
      </c>
      <c r="K373" s="1" t="s">
        <v>74</v>
      </c>
      <c r="L373" s="1" t="s">
        <v>74</v>
      </c>
      <c r="M373" s="1" t="s">
        <v>74</v>
      </c>
      <c r="N373" s="1" t="s">
        <v>74</v>
      </c>
      <c r="O373" s="1" t="s">
        <v>74</v>
      </c>
      <c r="P373" s="1" t="s">
        <v>74</v>
      </c>
      <c r="Q373" s="1" t="s">
        <v>74</v>
      </c>
      <c r="R373" s="1" t="s">
        <v>74</v>
      </c>
      <c r="S373" s="1" t="s">
        <v>74</v>
      </c>
      <c r="T373" s="1" t="s">
        <v>74</v>
      </c>
      <c r="U373" s="1" t="s">
        <v>74</v>
      </c>
      <c r="V373" s="1" t="s">
        <v>3836</v>
      </c>
      <c r="W373" s="1" t="s">
        <v>74</v>
      </c>
      <c r="X373" s="1" t="s">
        <v>74</v>
      </c>
      <c r="Y373" s="1" t="s">
        <v>74</v>
      </c>
      <c r="Z373" s="1" t="s">
        <v>74</v>
      </c>
      <c r="AA373" s="1" t="s">
        <v>74</v>
      </c>
      <c r="AB373" s="1" t="s">
        <v>74</v>
      </c>
      <c r="AC373" s="1" t="s">
        <v>74</v>
      </c>
      <c r="AD373" s="1" t="s">
        <v>74</v>
      </c>
      <c r="AE373" s="1" t="s">
        <v>74</v>
      </c>
      <c r="AF373" s="1" t="s">
        <v>74</v>
      </c>
      <c r="AG373" s="1" t="s">
        <v>74</v>
      </c>
      <c r="AH373" s="1" t="s">
        <v>74</v>
      </c>
      <c r="AI373" s="1" t="s">
        <v>74</v>
      </c>
      <c r="AJ373" s="1" t="s">
        <v>74</v>
      </c>
      <c r="AK373" s="1" t="s">
        <v>74</v>
      </c>
      <c r="AL373" s="1" t="s">
        <v>74</v>
      </c>
      <c r="AM373" s="1" t="s">
        <v>74</v>
      </c>
      <c r="AN373" s="1" t="s">
        <v>74</v>
      </c>
      <c r="AO373" s="1" t="s">
        <v>3288</v>
      </c>
      <c r="AP373" s="1" t="s">
        <v>3289</v>
      </c>
      <c r="AQ373" s="1" t="s">
        <v>74</v>
      </c>
      <c r="AR373" s="1" t="s">
        <v>74</v>
      </c>
      <c r="AS373" s="1" t="s">
        <v>74</v>
      </c>
      <c r="AT373" s="1" t="s">
        <v>696</v>
      </c>
      <c r="AU373" s="1">
        <v>2010.0</v>
      </c>
      <c r="AV373" s="1">
        <v>35.0</v>
      </c>
      <c r="AW373" s="1">
        <v>1.0</v>
      </c>
      <c r="AX373" s="1" t="s">
        <v>74</v>
      </c>
      <c r="AY373" s="1" t="s">
        <v>74</v>
      </c>
      <c r="AZ373" s="1" t="s">
        <v>74</v>
      </c>
      <c r="BA373" s="1" t="s">
        <v>74</v>
      </c>
      <c r="BB373" s="1">
        <v>7.0</v>
      </c>
      <c r="BC373" s="1">
        <v>13.0</v>
      </c>
      <c r="BD373" s="1" t="s">
        <v>74</v>
      </c>
      <c r="BE373" s="1" t="s">
        <v>3837</v>
      </c>
      <c r="BF373" s="2" t="str">
        <f>HYPERLINK("http://dx.doi.org/10.1002/uog.7484","http://dx.doi.org/10.1002/uog.7484")</f>
        <v>http://dx.doi.org/10.1002/uog.7484</v>
      </c>
      <c r="BG373" s="1" t="s">
        <v>74</v>
      </c>
      <c r="BH373" s="1" t="s">
        <v>74</v>
      </c>
      <c r="BI373" s="1" t="s">
        <v>74</v>
      </c>
      <c r="BJ373" s="1" t="s">
        <v>74</v>
      </c>
      <c r="BK373" s="1" t="s">
        <v>74</v>
      </c>
      <c r="BL373" s="1" t="s">
        <v>74</v>
      </c>
      <c r="BM373" s="1" t="s">
        <v>74</v>
      </c>
      <c r="BN373" s="1">
        <v>2.001433E7</v>
      </c>
      <c r="BO373" s="1" t="s">
        <v>74</v>
      </c>
      <c r="BP373" s="1" t="s">
        <v>74</v>
      </c>
      <c r="BQ373" s="1" t="s">
        <v>74</v>
      </c>
      <c r="BR373" s="1" t="s">
        <v>74</v>
      </c>
      <c r="BS373" s="1" t="s">
        <v>3838</v>
      </c>
      <c r="BT373" s="1" t="str">
        <f>HYPERLINK("https%3A%2F%2Fwww.webofscience.com%2Fwos%2Fwoscc%2Ffull-record%2FWOS:000273679800003","View Full Record in Web of Science")</f>
        <v>View Full Record in Web of Science</v>
      </c>
    </row>
    <row r="374" ht="12.75" customHeight="1">
      <c r="A374" s="1" t="s">
        <v>72</v>
      </c>
      <c r="B374" s="1" t="s">
        <v>3839</v>
      </c>
      <c r="C374" s="1" t="s">
        <v>74</v>
      </c>
      <c r="D374" s="1" t="s">
        <v>74</v>
      </c>
      <c r="E374" s="1" t="s">
        <v>74</v>
      </c>
      <c r="F374" s="1" t="s">
        <v>3840</v>
      </c>
      <c r="G374" s="1" t="s">
        <v>74</v>
      </c>
      <c r="H374" s="1" t="s">
        <v>74</v>
      </c>
      <c r="I374" s="1" t="s">
        <v>3841</v>
      </c>
      <c r="J374" s="1" t="s">
        <v>1717</v>
      </c>
      <c r="K374" s="1" t="s">
        <v>74</v>
      </c>
      <c r="L374" s="1" t="s">
        <v>74</v>
      </c>
      <c r="M374" s="1" t="s">
        <v>74</v>
      </c>
      <c r="N374" s="1" t="s">
        <v>74</v>
      </c>
      <c r="O374" s="1" t="s">
        <v>74</v>
      </c>
      <c r="P374" s="1" t="s">
        <v>74</v>
      </c>
      <c r="Q374" s="1" t="s">
        <v>74</v>
      </c>
      <c r="R374" s="1" t="s">
        <v>74</v>
      </c>
      <c r="S374" s="1" t="s">
        <v>74</v>
      </c>
      <c r="T374" s="1" t="s">
        <v>74</v>
      </c>
      <c r="U374" s="1" t="s">
        <v>74</v>
      </c>
      <c r="V374" s="1" t="s">
        <v>3842</v>
      </c>
      <c r="W374" s="1" t="s">
        <v>74</v>
      </c>
      <c r="X374" s="1" t="s">
        <v>74</v>
      </c>
      <c r="Y374" s="1" t="s">
        <v>74</v>
      </c>
      <c r="Z374" s="1" t="s">
        <v>74</v>
      </c>
      <c r="AA374" s="1" t="s">
        <v>2645</v>
      </c>
      <c r="AB374" s="1" t="s">
        <v>3843</v>
      </c>
      <c r="AC374" s="1" t="s">
        <v>74</v>
      </c>
      <c r="AD374" s="1" t="s">
        <v>74</v>
      </c>
      <c r="AE374" s="1" t="s">
        <v>74</v>
      </c>
      <c r="AF374" s="1" t="s">
        <v>74</v>
      </c>
      <c r="AG374" s="1" t="s">
        <v>74</v>
      </c>
      <c r="AH374" s="1" t="s">
        <v>74</v>
      </c>
      <c r="AI374" s="1" t="s">
        <v>74</v>
      </c>
      <c r="AJ374" s="1" t="s">
        <v>74</v>
      </c>
      <c r="AK374" s="1" t="s">
        <v>74</v>
      </c>
      <c r="AL374" s="1" t="s">
        <v>74</v>
      </c>
      <c r="AM374" s="1" t="s">
        <v>74</v>
      </c>
      <c r="AN374" s="1" t="s">
        <v>74</v>
      </c>
      <c r="AO374" s="1" t="s">
        <v>1721</v>
      </c>
      <c r="AP374" s="1" t="s">
        <v>1722</v>
      </c>
      <c r="AQ374" s="1" t="s">
        <v>74</v>
      </c>
      <c r="AR374" s="1" t="s">
        <v>74</v>
      </c>
      <c r="AS374" s="1" t="s">
        <v>74</v>
      </c>
      <c r="AT374" s="1" t="s">
        <v>3844</v>
      </c>
      <c r="AU374" s="1">
        <v>2009.0</v>
      </c>
      <c r="AV374" s="1">
        <v>344.0</v>
      </c>
      <c r="AW374" s="1">
        <v>9.0</v>
      </c>
      <c r="AX374" s="1" t="s">
        <v>74</v>
      </c>
      <c r="AY374" s="1" t="s">
        <v>74</v>
      </c>
      <c r="AZ374" s="1" t="s">
        <v>74</v>
      </c>
      <c r="BA374" s="1" t="s">
        <v>74</v>
      </c>
      <c r="BB374" s="1">
        <v>1095.0</v>
      </c>
      <c r="BC374" s="1">
        <v>1101.0</v>
      </c>
      <c r="BD374" s="1" t="s">
        <v>74</v>
      </c>
      <c r="BE374" s="1" t="s">
        <v>3845</v>
      </c>
      <c r="BF374" s="2" t="str">
        <f>HYPERLINK("http://dx.doi.org/10.1016/j.carres.2009.03.024","http://dx.doi.org/10.1016/j.carres.2009.03.024")</f>
        <v>http://dx.doi.org/10.1016/j.carres.2009.03.024</v>
      </c>
      <c r="BG374" s="1" t="s">
        <v>74</v>
      </c>
      <c r="BH374" s="1" t="s">
        <v>74</v>
      </c>
      <c r="BI374" s="1" t="s">
        <v>74</v>
      </c>
      <c r="BJ374" s="1" t="s">
        <v>74</v>
      </c>
      <c r="BK374" s="1" t="s">
        <v>74</v>
      </c>
      <c r="BL374" s="1" t="s">
        <v>74</v>
      </c>
      <c r="BM374" s="1" t="s">
        <v>74</v>
      </c>
      <c r="BN374" s="1">
        <v>1.9389662E7</v>
      </c>
      <c r="BO374" s="1" t="s">
        <v>74</v>
      </c>
      <c r="BP374" s="1" t="s">
        <v>74</v>
      </c>
      <c r="BQ374" s="1" t="s">
        <v>74</v>
      </c>
      <c r="BR374" s="1" t="s">
        <v>74</v>
      </c>
      <c r="BS374" s="1" t="s">
        <v>3846</v>
      </c>
      <c r="BT374" s="1" t="str">
        <f>HYPERLINK("https%3A%2F%2Fwww.webofscience.com%2Fwos%2Fwoscc%2Ffull-record%2FWOS:000267314600005","View Full Record in Web of Science")</f>
        <v>View Full Record in Web of Science</v>
      </c>
    </row>
    <row r="375" ht="12.75" customHeight="1">
      <c r="A375" s="1" t="s">
        <v>72</v>
      </c>
      <c r="B375" s="1" t="s">
        <v>3847</v>
      </c>
      <c r="C375" s="1" t="s">
        <v>74</v>
      </c>
      <c r="D375" s="1" t="s">
        <v>74</v>
      </c>
      <c r="E375" s="1" t="s">
        <v>74</v>
      </c>
      <c r="F375" s="1" t="s">
        <v>3848</v>
      </c>
      <c r="G375" s="1" t="s">
        <v>74</v>
      </c>
      <c r="H375" s="1" t="s">
        <v>74</v>
      </c>
      <c r="I375" s="1" t="s">
        <v>3849</v>
      </c>
      <c r="J375" s="1" t="s">
        <v>3850</v>
      </c>
      <c r="K375" s="1" t="s">
        <v>74</v>
      </c>
      <c r="L375" s="1" t="s">
        <v>74</v>
      </c>
      <c r="M375" s="1" t="s">
        <v>74</v>
      </c>
      <c r="N375" s="1" t="s">
        <v>74</v>
      </c>
      <c r="O375" s="1" t="s">
        <v>74</v>
      </c>
      <c r="P375" s="1" t="s">
        <v>74</v>
      </c>
      <c r="Q375" s="1" t="s">
        <v>74</v>
      </c>
      <c r="R375" s="1" t="s">
        <v>74</v>
      </c>
      <c r="S375" s="1" t="s">
        <v>74</v>
      </c>
      <c r="T375" s="1" t="s">
        <v>74</v>
      </c>
      <c r="U375" s="1" t="s">
        <v>74</v>
      </c>
      <c r="V375" s="1" t="s">
        <v>3851</v>
      </c>
      <c r="W375" s="1" t="s">
        <v>74</v>
      </c>
      <c r="X375" s="1" t="s">
        <v>74</v>
      </c>
      <c r="Y375" s="1" t="s">
        <v>74</v>
      </c>
      <c r="Z375" s="1" t="s">
        <v>74</v>
      </c>
      <c r="AA375" s="1" t="s">
        <v>3852</v>
      </c>
      <c r="AB375" s="1" t="s">
        <v>3853</v>
      </c>
      <c r="AC375" s="1" t="s">
        <v>74</v>
      </c>
      <c r="AD375" s="1" t="s">
        <v>74</v>
      </c>
      <c r="AE375" s="1" t="s">
        <v>74</v>
      </c>
      <c r="AF375" s="1" t="s">
        <v>74</v>
      </c>
      <c r="AG375" s="1" t="s">
        <v>74</v>
      </c>
      <c r="AH375" s="1" t="s">
        <v>74</v>
      </c>
      <c r="AI375" s="1" t="s">
        <v>74</v>
      </c>
      <c r="AJ375" s="1" t="s">
        <v>74</v>
      </c>
      <c r="AK375" s="1" t="s">
        <v>74</v>
      </c>
      <c r="AL375" s="1" t="s">
        <v>74</v>
      </c>
      <c r="AM375" s="1" t="s">
        <v>74</v>
      </c>
      <c r="AN375" s="1" t="s">
        <v>74</v>
      </c>
      <c r="AO375" s="1" t="s">
        <v>3854</v>
      </c>
      <c r="AP375" s="1" t="s">
        <v>74</v>
      </c>
      <c r="AQ375" s="1" t="s">
        <v>74</v>
      </c>
      <c r="AR375" s="1" t="s">
        <v>74</v>
      </c>
      <c r="AS375" s="1" t="s">
        <v>74</v>
      </c>
      <c r="AT375" s="1" t="s">
        <v>2431</v>
      </c>
      <c r="AU375" s="1">
        <v>2009.0</v>
      </c>
      <c r="AV375" s="1">
        <v>45.0</v>
      </c>
      <c r="AW375" s="1">
        <v>3.0</v>
      </c>
      <c r="AX375" s="1" t="s">
        <v>74</v>
      </c>
      <c r="AY375" s="1" t="s">
        <v>74</v>
      </c>
      <c r="AZ375" s="1" t="s">
        <v>74</v>
      </c>
      <c r="BA375" s="1" t="s">
        <v>74</v>
      </c>
      <c r="BB375" s="1">
        <v>165.0</v>
      </c>
      <c r="BC375" s="1">
        <v>173.0</v>
      </c>
      <c r="BD375" s="1" t="s">
        <v>74</v>
      </c>
      <c r="BE375" s="1" t="s">
        <v>3855</v>
      </c>
      <c r="BF375" s="2" t="str">
        <f>HYPERLINK("http://dx.doi.org/10.3989/revmetalm.0762","http://dx.doi.org/10.3989/revmetalm.0762")</f>
        <v>http://dx.doi.org/10.3989/revmetalm.0762</v>
      </c>
      <c r="BG375" s="1" t="s">
        <v>74</v>
      </c>
      <c r="BH375" s="1" t="s">
        <v>74</v>
      </c>
      <c r="BI375" s="1" t="s">
        <v>74</v>
      </c>
      <c r="BJ375" s="1" t="s">
        <v>74</v>
      </c>
      <c r="BK375" s="1" t="s">
        <v>74</v>
      </c>
      <c r="BL375" s="1" t="s">
        <v>74</v>
      </c>
      <c r="BM375" s="1" t="s">
        <v>74</v>
      </c>
      <c r="BN375" s="1" t="s">
        <v>74</v>
      </c>
      <c r="BO375" s="1" t="s">
        <v>74</v>
      </c>
      <c r="BP375" s="1" t="s">
        <v>74</v>
      </c>
      <c r="BQ375" s="1" t="s">
        <v>74</v>
      </c>
      <c r="BR375" s="1" t="s">
        <v>74</v>
      </c>
      <c r="BS375" s="1" t="s">
        <v>3856</v>
      </c>
      <c r="BT375" s="1" t="str">
        <f>HYPERLINK("https%3A%2F%2Fwww.webofscience.com%2Fwos%2Fwoscc%2Ffull-record%2FWOS:000267721000001","View Full Record in Web of Science")</f>
        <v>View Full Record in Web of Science</v>
      </c>
    </row>
    <row r="376" ht="12.75" customHeight="1">
      <c r="A376" s="1" t="s">
        <v>182</v>
      </c>
      <c r="B376" s="1" t="s">
        <v>3857</v>
      </c>
      <c r="C376" s="1" t="s">
        <v>74</v>
      </c>
      <c r="D376" s="1" t="s">
        <v>3858</v>
      </c>
      <c r="E376" s="1" t="s">
        <v>74</v>
      </c>
      <c r="F376" s="1" t="s">
        <v>3859</v>
      </c>
      <c r="G376" s="1" t="s">
        <v>74</v>
      </c>
      <c r="H376" s="1" t="s">
        <v>74</v>
      </c>
      <c r="I376" s="1" t="s">
        <v>3860</v>
      </c>
      <c r="J376" s="1" t="s">
        <v>3861</v>
      </c>
      <c r="K376" s="1" t="s">
        <v>1167</v>
      </c>
      <c r="L376" s="1" t="s">
        <v>74</v>
      </c>
      <c r="M376" s="1" t="s">
        <v>74</v>
      </c>
      <c r="N376" s="1" t="s">
        <v>74</v>
      </c>
      <c r="O376" s="1" t="s">
        <v>3862</v>
      </c>
      <c r="P376" s="1" t="s">
        <v>3863</v>
      </c>
      <c r="Q376" s="1" t="s">
        <v>3864</v>
      </c>
      <c r="R376" s="1" t="s">
        <v>74</v>
      </c>
      <c r="S376" s="1" t="s">
        <v>74</v>
      </c>
      <c r="T376" s="1" t="s">
        <v>74</v>
      </c>
      <c r="U376" s="1" t="s">
        <v>74</v>
      </c>
      <c r="V376" s="1" t="s">
        <v>3865</v>
      </c>
      <c r="W376" s="1" t="s">
        <v>74</v>
      </c>
      <c r="X376" s="1" t="s">
        <v>74</v>
      </c>
      <c r="Y376" s="1" t="s">
        <v>74</v>
      </c>
      <c r="Z376" s="1" t="s">
        <v>74</v>
      </c>
      <c r="AA376" s="1" t="s">
        <v>74</v>
      </c>
      <c r="AB376" s="1" t="s">
        <v>3866</v>
      </c>
      <c r="AC376" s="1" t="s">
        <v>74</v>
      </c>
      <c r="AD376" s="1" t="s">
        <v>74</v>
      </c>
      <c r="AE376" s="1" t="s">
        <v>74</v>
      </c>
      <c r="AF376" s="1" t="s">
        <v>74</v>
      </c>
      <c r="AG376" s="1" t="s">
        <v>74</v>
      </c>
      <c r="AH376" s="1" t="s">
        <v>74</v>
      </c>
      <c r="AI376" s="1" t="s">
        <v>74</v>
      </c>
      <c r="AJ376" s="1" t="s">
        <v>74</v>
      </c>
      <c r="AK376" s="1" t="s">
        <v>74</v>
      </c>
      <c r="AL376" s="1" t="s">
        <v>74</v>
      </c>
      <c r="AM376" s="1" t="s">
        <v>74</v>
      </c>
      <c r="AN376" s="1" t="s">
        <v>74</v>
      </c>
      <c r="AO376" s="1" t="s">
        <v>1175</v>
      </c>
      <c r="AP376" s="1" t="s">
        <v>1176</v>
      </c>
      <c r="AQ376" s="1" t="s">
        <v>3867</v>
      </c>
      <c r="AR376" s="1" t="s">
        <v>74</v>
      </c>
      <c r="AS376" s="1" t="s">
        <v>74</v>
      </c>
      <c r="AT376" s="1" t="s">
        <v>74</v>
      </c>
      <c r="AU376" s="1">
        <v>2009.0</v>
      </c>
      <c r="AV376" s="1">
        <v>5833.0</v>
      </c>
      <c r="AW376" s="1" t="s">
        <v>74</v>
      </c>
      <c r="AX376" s="1" t="s">
        <v>74</v>
      </c>
      <c r="AY376" s="1" t="s">
        <v>74</v>
      </c>
      <c r="AZ376" s="1" t="s">
        <v>74</v>
      </c>
      <c r="BA376" s="1" t="s">
        <v>74</v>
      </c>
      <c r="BB376" s="1">
        <v>95.0</v>
      </c>
      <c r="BC376" s="1" t="s">
        <v>1713</v>
      </c>
      <c r="BD376" s="1" t="s">
        <v>74</v>
      </c>
      <c r="BE376" s="1" t="s">
        <v>74</v>
      </c>
      <c r="BF376" s="1" t="s">
        <v>74</v>
      </c>
      <c r="BG376" s="1" t="s">
        <v>74</v>
      </c>
      <c r="BH376" s="1" t="s">
        <v>74</v>
      </c>
      <c r="BI376" s="1" t="s">
        <v>74</v>
      </c>
      <c r="BJ376" s="1" t="s">
        <v>74</v>
      </c>
      <c r="BK376" s="1" t="s">
        <v>74</v>
      </c>
      <c r="BL376" s="1" t="s">
        <v>74</v>
      </c>
      <c r="BM376" s="1" t="s">
        <v>74</v>
      </c>
      <c r="BN376" s="1" t="s">
        <v>74</v>
      </c>
      <c r="BO376" s="1" t="s">
        <v>74</v>
      </c>
      <c r="BP376" s="1" t="s">
        <v>74</v>
      </c>
      <c r="BQ376" s="1" t="s">
        <v>74</v>
      </c>
      <c r="BR376" s="1" t="s">
        <v>74</v>
      </c>
      <c r="BS376" s="1" t="s">
        <v>3868</v>
      </c>
      <c r="BT376" s="1" t="str">
        <f>HYPERLINK("https%3A%2F%2Fwww.webofscience.com%2Fwos%2Fwoscc%2Ffull-record%2FWOS:000278582000011","View Full Record in Web of Science")</f>
        <v>View Full Record in Web of Science</v>
      </c>
    </row>
    <row r="377" ht="12.75" customHeight="1">
      <c r="A377" s="1" t="s">
        <v>72</v>
      </c>
      <c r="B377" s="1" t="s">
        <v>3869</v>
      </c>
      <c r="C377" s="1" t="s">
        <v>74</v>
      </c>
      <c r="D377" s="1" t="s">
        <v>74</v>
      </c>
      <c r="E377" s="1" t="s">
        <v>74</v>
      </c>
      <c r="F377" s="1" t="s">
        <v>3870</v>
      </c>
      <c r="G377" s="1" t="s">
        <v>74</v>
      </c>
      <c r="H377" s="1" t="s">
        <v>74</v>
      </c>
      <c r="I377" s="1" t="s">
        <v>3871</v>
      </c>
      <c r="J377" s="1" t="s">
        <v>1626</v>
      </c>
      <c r="K377" s="1" t="s">
        <v>74</v>
      </c>
      <c r="L377" s="1" t="s">
        <v>74</v>
      </c>
      <c r="M377" s="1" t="s">
        <v>74</v>
      </c>
      <c r="N377" s="1" t="s">
        <v>74</v>
      </c>
      <c r="O377" s="1" t="s">
        <v>74</v>
      </c>
      <c r="P377" s="1" t="s">
        <v>74</v>
      </c>
      <c r="Q377" s="1" t="s">
        <v>74</v>
      </c>
      <c r="R377" s="1" t="s">
        <v>74</v>
      </c>
      <c r="S377" s="1" t="s">
        <v>74</v>
      </c>
      <c r="T377" s="1" t="s">
        <v>74</v>
      </c>
      <c r="U377" s="1" t="s">
        <v>74</v>
      </c>
      <c r="V377" s="1" t="s">
        <v>3872</v>
      </c>
      <c r="W377" s="1" t="s">
        <v>74</v>
      </c>
      <c r="X377" s="1" t="s">
        <v>74</v>
      </c>
      <c r="Y377" s="1" t="s">
        <v>74</v>
      </c>
      <c r="Z377" s="1" t="s">
        <v>74</v>
      </c>
      <c r="AA377" s="1" t="s">
        <v>3873</v>
      </c>
      <c r="AB377" s="1" t="s">
        <v>3874</v>
      </c>
      <c r="AC377" s="1" t="s">
        <v>74</v>
      </c>
      <c r="AD377" s="1" t="s">
        <v>74</v>
      </c>
      <c r="AE377" s="1" t="s">
        <v>74</v>
      </c>
      <c r="AF377" s="1" t="s">
        <v>74</v>
      </c>
      <c r="AG377" s="1" t="s">
        <v>74</v>
      </c>
      <c r="AH377" s="1" t="s">
        <v>74</v>
      </c>
      <c r="AI377" s="1" t="s">
        <v>74</v>
      </c>
      <c r="AJ377" s="1" t="s">
        <v>74</v>
      </c>
      <c r="AK377" s="1" t="s">
        <v>74</v>
      </c>
      <c r="AL377" s="1" t="s">
        <v>74</v>
      </c>
      <c r="AM377" s="1" t="s">
        <v>74</v>
      </c>
      <c r="AN377" s="1" t="s">
        <v>74</v>
      </c>
      <c r="AO377" s="1" t="s">
        <v>1630</v>
      </c>
      <c r="AP377" s="1" t="s">
        <v>3875</v>
      </c>
      <c r="AQ377" s="1" t="s">
        <v>74</v>
      </c>
      <c r="AR377" s="1" t="s">
        <v>74</v>
      </c>
      <c r="AS377" s="1" t="s">
        <v>74</v>
      </c>
      <c r="AT377" s="1" t="s">
        <v>3876</v>
      </c>
      <c r="AU377" s="1">
        <v>2008.0</v>
      </c>
      <c r="AV377" s="1">
        <v>100.0</v>
      </c>
      <c r="AW377" s="1">
        <v>22.0</v>
      </c>
      <c r="AX377" s="1" t="s">
        <v>74</v>
      </c>
      <c r="AY377" s="1" t="s">
        <v>74</v>
      </c>
      <c r="AZ377" s="1" t="s">
        <v>74</v>
      </c>
      <c r="BA377" s="1" t="s">
        <v>74</v>
      </c>
      <c r="BB377" s="1" t="s">
        <v>74</v>
      </c>
      <c r="BC377" s="1" t="s">
        <v>74</v>
      </c>
      <c r="BD377" s="1">
        <v>221601.0</v>
      </c>
      <c r="BE377" s="1" t="s">
        <v>3877</v>
      </c>
      <c r="BF377" s="2" t="str">
        <f>HYPERLINK("http://dx.doi.org/10.1103/PhysRevLett.100.221601","http://dx.doi.org/10.1103/PhysRevLett.100.221601")</f>
        <v>http://dx.doi.org/10.1103/PhysRevLett.100.221601</v>
      </c>
      <c r="BG377" s="1" t="s">
        <v>74</v>
      </c>
      <c r="BH377" s="1" t="s">
        <v>74</v>
      </c>
      <c r="BI377" s="1" t="s">
        <v>74</v>
      </c>
      <c r="BJ377" s="1" t="s">
        <v>74</v>
      </c>
      <c r="BK377" s="1" t="s">
        <v>74</v>
      </c>
      <c r="BL377" s="1" t="s">
        <v>74</v>
      </c>
      <c r="BM377" s="1" t="s">
        <v>74</v>
      </c>
      <c r="BN377" s="1">
        <v>1.8643412E7</v>
      </c>
      <c r="BO377" s="1" t="s">
        <v>74</v>
      </c>
      <c r="BP377" s="1" t="s">
        <v>74</v>
      </c>
      <c r="BQ377" s="1" t="s">
        <v>74</v>
      </c>
      <c r="BR377" s="1" t="s">
        <v>74</v>
      </c>
      <c r="BS377" s="1" t="s">
        <v>3878</v>
      </c>
      <c r="BT377" s="1" t="str">
        <f>HYPERLINK("https%3A%2F%2Fwww.webofscience.com%2Fwos%2Fwoscc%2Ffull-record%2FWOS:000256528400008","View Full Record in Web of Science")</f>
        <v>View Full Record in Web of Science</v>
      </c>
    </row>
    <row r="378" ht="12.75" customHeight="1">
      <c r="A378" s="1" t="s">
        <v>72</v>
      </c>
      <c r="B378" s="1" t="s">
        <v>3879</v>
      </c>
      <c r="C378" s="1" t="s">
        <v>74</v>
      </c>
      <c r="D378" s="1" t="s">
        <v>74</v>
      </c>
      <c r="E378" s="1" t="s">
        <v>74</v>
      </c>
      <c r="F378" s="1" t="s">
        <v>3880</v>
      </c>
      <c r="G378" s="1" t="s">
        <v>74</v>
      </c>
      <c r="H378" s="1" t="s">
        <v>74</v>
      </c>
      <c r="I378" s="1" t="s">
        <v>3881</v>
      </c>
      <c r="J378" s="1" t="s">
        <v>3882</v>
      </c>
      <c r="K378" s="1" t="s">
        <v>74</v>
      </c>
      <c r="L378" s="1" t="s">
        <v>74</v>
      </c>
      <c r="M378" s="1" t="s">
        <v>74</v>
      </c>
      <c r="N378" s="1" t="s">
        <v>74</v>
      </c>
      <c r="O378" s="1" t="s">
        <v>74</v>
      </c>
      <c r="P378" s="1" t="s">
        <v>74</v>
      </c>
      <c r="Q378" s="1" t="s">
        <v>74</v>
      </c>
      <c r="R378" s="1" t="s">
        <v>74</v>
      </c>
      <c r="S378" s="1" t="s">
        <v>74</v>
      </c>
      <c r="T378" s="1" t="s">
        <v>74</v>
      </c>
      <c r="U378" s="1" t="s">
        <v>74</v>
      </c>
      <c r="V378" s="1" t="s">
        <v>3883</v>
      </c>
      <c r="W378" s="1" t="s">
        <v>74</v>
      </c>
      <c r="X378" s="1" t="s">
        <v>74</v>
      </c>
      <c r="Y378" s="1" t="s">
        <v>74</v>
      </c>
      <c r="Z378" s="1" t="s">
        <v>74</v>
      </c>
      <c r="AA378" s="1" t="s">
        <v>2711</v>
      </c>
      <c r="AB378" s="1" t="s">
        <v>2712</v>
      </c>
      <c r="AC378" s="1" t="s">
        <v>74</v>
      </c>
      <c r="AD378" s="1" t="s">
        <v>74</v>
      </c>
      <c r="AE378" s="1" t="s">
        <v>74</v>
      </c>
      <c r="AF378" s="1" t="s">
        <v>74</v>
      </c>
      <c r="AG378" s="1" t="s">
        <v>74</v>
      </c>
      <c r="AH378" s="1" t="s">
        <v>74</v>
      </c>
      <c r="AI378" s="1" t="s">
        <v>74</v>
      </c>
      <c r="AJ378" s="1" t="s">
        <v>74</v>
      </c>
      <c r="AK378" s="1" t="s">
        <v>74</v>
      </c>
      <c r="AL378" s="1" t="s">
        <v>74</v>
      </c>
      <c r="AM378" s="1" t="s">
        <v>74</v>
      </c>
      <c r="AN378" s="1" t="s">
        <v>74</v>
      </c>
      <c r="AO378" s="1" t="s">
        <v>3884</v>
      </c>
      <c r="AP378" s="1" t="s">
        <v>3885</v>
      </c>
      <c r="AQ378" s="1" t="s">
        <v>74</v>
      </c>
      <c r="AR378" s="1" t="s">
        <v>74</v>
      </c>
      <c r="AS378" s="1" t="s">
        <v>74</v>
      </c>
      <c r="AT378" s="1" t="s">
        <v>2431</v>
      </c>
      <c r="AU378" s="1">
        <v>2007.0</v>
      </c>
      <c r="AV378" s="1">
        <v>83.0</v>
      </c>
      <c r="AW378" s="1">
        <v>3.0</v>
      </c>
      <c r="AX378" s="1" t="s">
        <v>74</v>
      </c>
      <c r="AY378" s="1" t="s">
        <v>74</v>
      </c>
      <c r="AZ378" s="1" t="s">
        <v>74</v>
      </c>
      <c r="BA378" s="1" t="s">
        <v>74</v>
      </c>
      <c r="BB378" s="1">
        <v>481.0</v>
      </c>
      <c r="BC378" s="1">
        <v>485.0</v>
      </c>
      <c r="BD378" s="1" t="s">
        <v>74</v>
      </c>
      <c r="BE378" s="1" t="s">
        <v>3886</v>
      </c>
      <c r="BF378" s="2" t="str">
        <f>HYPERLINK("http://dx.doi.org/10.1562/2006-08-01-RA-992","http://dx.doi.org/10.1562/2006-08-01-RA-992")</f>
        <v>http://dx.doi.org/10.1562/2006-08-01-RA-992</v>
      </c>
      <c r="BG378" s="1" t="s">
        <v>74</v>
      </c>
      <c r="BH378" s="1" t="s">
        <v>74</v>
      </c>
      <c r="BI378" s="1" t="s">
        <v>74</v>
      </c>
      <c r="BJ378" s="1" t="s">
        <v>74</v>
      </c>
      <c r="BK378" s="1" t="s">
        <v>74</v>
      </c>
      <c r="BL378" s="1" t="s">
        <v>74</v>
      </c>
      <c r="BM378" s="1" t="s">
        <v>74</v>
      </c>
      <c r="BN378" s="1">
        <v>1.7094718E7</v>
      </c>
      <c r="BO378" s="1" t="s">
        <v>74</v>
      </c>
      <c r="BP378" s="1" t="s">
        <v>74</v>
      </c>
      <c r="BQ378" s="1" t="s">
        <v>74</v>
      </c>
      <c r="BR378" s="1" t="s">
        <v>74</v>
      </c>
      <c r="BS378" s="1" t="s">
        <v>3887</v>
      </c>
      <c r="BT378" s="1" t="str">
        <f>HYPERLINK("https%3A%2F%2Fwww.webofscience.com%2Fwos%2Fwoscc%2Ffull-record%2FWOS:000247327400003","View Full Record in Web of Science")</f>
        <v>View Full Record in Web of Science</v>
      </c>
    </row>
    <row r="379" ht="12.75" customHeight="1">
      <c r="A379" s="1" t="s">
        <v>72</v>
      </c>
      <c r="B379" s="1" t="s">
        <v>3888</v>
      </c>
      <c r="C379" s="1" t="s">
        <v>74</v>
      </c>
      <c r="D379" s="1" t="s">
        <v>74</v>
      </c>
      <c r="E379" s="1" t="s">
        <v>74</v>
      </c>
      <c r="F379" s="1" t="s">
        <v>3889</v>
      </c>
      <c r="G379" s="1" t="s">
        <v>74</v>
      </c>
      <c r="H379" s="1" t="s">
        <v>74</v>
      </c>
      <c r="I379" s="1" t="s">
        <v>3890</v>
      </c>
      <c r="J379" s="1" t="s">
        <v>3891</v>
      </c>
      <c r="K379" s="1" t="s">
        <v>74</v>
      </c>
      <c r="L379" s="1" t="s">
        <v>74</v>
      </c>
      <c r="M379" s="1" t="s">
        <v>74</v>
      </c>
      <c r="N379" s="1" t="s">
        <v>74</v>
      </c>
      <c r="O379" s="1" t="s">
        <v>74</v>
      </c>
      <c r="P379" s="1" t="s">
        <v>74</v>
      </c>
      <c r="Q379" s="1" t="s">
        <v>74</v>
      </c>
      <c r="R379" s="1" t="s">
        <v>74</v>
      </c>
      <c r="S379" s="1" t="s">
        <v>74</v>
      </c>
      <c r="T379" s="1" t="s">
        <v>74</v>
      </c>
      <c r="U379" s="1" t="s">
        <v>74</v>
      </c>
      <c r="V379" s="1" t="s">
        <v>3892</v>
      </c>
      <c r="W379" s="1" t="s">
        <v>74</v>
      </c>
      <c r="X379" s="1" t="s">
        <v>74</v>
      </c>
      <c r="Y379" s="1" t="s">
        <v>74</v>
      </c>
      <c r="Z379" s="1" t="s">
        <v>74</v>
      </c>
      <c r="AA379" s="1" t="s">
        <v>3893</v>
      </c>
      <c r="AB379" s="1" t="s">
        <v>74</v>
      </c>
      <c r="AC379" s="1" t="s">
        <v>74</v>
      </c>
      <c r="AD379" s="1" t="s">
        <v>74</v>
      </c>
      <c r="AE379" s="1" t="s">
        <v>74</v>
      </c>
      <c r="AF379" s="1" t="s">
        <v>74</v>
      </c>
      <c r="AG379" s="1" t="s">
        <v>74</v>
      </c>
      <c r="AH379" s="1" t="s">
        <v>74</v>
      </c>
      <c r="AI379" s="1" t="s">
        <v>74</v>
      </c>
      <c r="AJ379" s="1" t="s">
        <v>74</v>
      </c>
      <c r="AK379" s="1" t="s">
        <v>74</v>
      </c>
      <c r="AL379" s="1" t="s">
        <v>74</v>
      </c>
      <c r="AM379" s="1" t="s">
        <v>74</v>
      </c>
      <c r="AN379" s="1" t="s">
        <v>74</v>
      </c>
      <c r="AO379" s="1" t="s">
        <v>3894</v>
      </c>
      <c r="AP379" s="1" t="s">
        <v>3895</v>
      </c>
      <c r="AQ379" s="1" t="s">
        <v>74</v>
      </c>
      <c r="AR379" s="1" t="s">
        <v>74</v>
      </c>
      <c r="AS379" s="1" t="s">
        <v>74</v>
      </c>
      <c r="AT379" s="1" t="s">
        <v>2000</v>
      </c>
      <c r="AU379" s="1">
        <v>2006.0</v>
      </c>
      <c r="AV379" s="1">
        <v>40.0</v>
      </c>
      <c r="AW379" s="1" t="s">
        <v>1659</v>
      </c>
      <c r="AX379" s="1" t="s">
        <v>74</v>
      </c>
      <c r="AY379" s="1" t="s">
        <v>74</v>
      </c>
      <c r="AZ379" s="1" t="s">
        <v>74</v>
      </c>
      <c r="BA379" s="1" t="s">
        <v>74</v>
      </c>
      <c r="BB379" s="1">
        <v>575.0</v>
      </c>
      <c r="BC379" s="1">
        <v>583.0</v>
      </c>
      <c r="BD379" s="1" t="s">
        <v>74</v>
      </c>
      <c r="BE379" s="1" t="s">
        <v>3896</v>
      </c>
      <c r="BF379" s="2" t="str">
        <f>HYPERLINK("http://dx.doi.org/10.1016/j.ceca.2006.08.021","http://dx.doi.org/10.1016/j.ceca.2006.08.021")</f>
        <v>http://dx.doi.org/10.1016/j.ceca.2006.08.021</v>
      </c>
      <c r="BG379" s="1" t="s">
        <v>74</v>
      </c>
      <c r="BH379" s="1" t="s">
        <v>74</v>
      </c>
      <c r="BI379" s="1" t="s">
        <v>74</v>
      </c>
      <c r="BJ379" s="1" t="s">
        <v>74</v>
      </c>
      <c r="BK379" s="1" t="s">
        <v>74</v>
      </c>
      <c r="BL379" s="1" t="s">
        <v>74</v>
      </c>
      <c r="BM379" s="1" t="s">
        <v>74</v>
      </c>
      <c r="BN379" s="1">
        <v>1.703485E7</v>
      </c>
      <c r="BO379" s="1" t="s">
        <v>74</v>
      </c>
      <c r="BP379" s="1" t="s">
        <v>74</v>
      </c>
      <c r="BQ379" s="1" t="s">
        <v>74</v>
      </c>
      <c r="BR379" s="1" t="s">
        <v>74</v>
      </c>
      <c r="BS379" s="1" t="s">
        <v>3897</v>
      </c>
      <c r="BT379" s="1" t="str">
        <f>HYPERLINK("https%3A%2F%2Fwww.webofscience.com%2Fwos%2Fwoscc%2Ffull-record%2FWOS:000242558800015","View Full Record in Web of Science")</f>
        <v>View Full Record in Web of Science</v>
      </c>
    </row>
    <row r="380" ht="12.75" customHeight="1">
      <c r="A380" s="1" t="s">
        <v>72</v>
      </c>
      <c r="B380" s="1" t="s">
        <v>3898</v>
      </c>
      <c r="C380" s="1" t="s">
        <v>74</v>
      </c>
      <c r="D380" s="1" t="s">
        <v>74</v>
      </c>
      <c r="E380" s="1" t="s">
        <v>74</v>
      </c>
      <c r="F380" s="1" t="s">
        <v>3899</v>
      </c>
      <c r="G380" s="1" t="s">
        <v>74</v>
      </c>
      <c r="H380" s="1" t="s">
        <v>74</v>
      </c>
      <c r="I380" s="1" t="s">
        <v>3900</v>
      </c>
      <c r="J380" s="1" t="s">
        <v>3901</v>
      </c>
      <c r="K380" s="1" t="s">
        <v>74</v>
      </c>
      <c r="L380" s="1" t="s">
        <v>74</v>
      </c>
      <c r="M380" s="1" t="s">
        <v>74</v>
      </c>
      <c r="N380" s="1" t="s">
        <v>74</v>
      </c>
      <c r="O380" s="1" t="s">
        <v>74</v>
      </c>
      <c r="P380" s="1" t="s">
        <v>74</v>
      </c>
      <c r="Q380" s="1" t="s">
        <v>74</v>
      </c>
      <c r="R380" s="1" t="s">
        <v>74</v>
      </c>
      <c r="S380" s="1" t="s">
        <v>74</v>
      </c>
      <c r="T380" s="1" t="s">
        <v>74</v>
      </c>
      <c r="U380" s="1" t="s">
        <v>74</v>
      </c>
      <c r="V380" s="1" t="s">
        <v>3902</v>
      </c>
      <c r="W380" s="1" t="s">
        <v>74</v>
      </c>
      <c r="X380" s="1" t="s">
        <v>74</v>
      </c>
      <c r="Y380" s="1" t="s">
        <v>74</v>
      </c>
      <c r="Z380" s="1" t="s">
        <v>74</v>
      </c>
      <c r="AA380" s="1" t="s">
        <v>3903</v>
      </c>
      <c r="AB380" s="1" t="s">
        <v>3904</v>
      </c>
      <c r="AC380" s="1" t="s">
        <v>74</v>
      </c>
      <c r="AD380" s="1" t="s">
        <v>74</v>
      </c>
      <c r="AE380" s="1" t="s">
        <v>74</v>
      </c>
      <c r="AF380" s="1" t="s">
        <v>74</v>
      </c>
      <c r="AG380" s="1" t="s">
        <v>74</v>
      </c>
      <c r="AH380" s="1" t="s">
        <v>74</v>
      </c>
      <c r="AI380" s="1" t="s">
        <v>74</v>
      </c>
      <c r="AJ380" s="1" t="s">
        <v>74</v>
      </c>
      <c r="AK380" s="1" t="s">
        <v>74</v>
      </c>
      <c r="AL380" s="1" t="s">
        <v>74</v>
      </c>
      <c r="AM380" s="1" t="s">
        <v>74</v>
      </c>
      <c r="AN380" s="1" t="s">
        <v>74</v>
      </c>
      <c r="AO380" s="1" t="s">
        <v>3905</v>
      </c>
      <c r="AP380" s="1" t="s">
        <v>3906</v>
      </c>
      <c r="AQ380" s="1" t="s">
        <v>74</v>
      </c>
      <c r="AR380" s="1" t="s">
        <v>74</v>
      </c>
      <c r="AS380" s="1" t="s">
        <v>74</v>
      </c>
      <c r="AT380" s="1" t="s">
        <v>111</v>
      </c>
      <c r="AU380" s="1">
        <v>2006.0</v>
      </c>
      <c r="AV380" s="1">
        <v>42.0</v>
      </c>
      <c r="AW380" s="1">
        <v>9.0</v>
      </c>
      <c r="AX380" s="1" t="s">
        <v>74</v>
      </c>
      <c r="AY380" s="1" t="s">
        <v>74</v>
      </c>
      <c r="AZ380" s="1" t="s">
        <v>74</v>
      </c>
      <c r="BA380" s="1" t="s">
        <v>74</v>
      </c>
      <c r="BB380" s="1">
        <v>521.0</v>
      </c>
      <c r="BC380" s="1">
        <v>524.0</v>
      </c>
      <c r="BD380" s="1" t="s">
        <v>74</v>
      </c>
      <c r="BE380" s="1" t="s">
        <v>3907</v>
      </c>
      <c r="BF380" s="2" t="str">
        <f>HYPERLINK("http://dx.doi.org/10.33588/rn.4209.2005598","http://dx.doi.org/10.33588/rn.4209.2005598")</f>
        <v>http://dx.doi.org/10.33588/rn.4209.2005598</v>
      </c>
      <c r="BG380" s="1" t="s">
        <v>74</v>
      </c>
      <c r="BH380" s="1" t="s">
        <v>74</v>
      </c>
      <c r="BI380" s="1" t="s">
        <v>74</v>
      </c>
      <c r="BJ380" s="1" t="s">
        <v>74</v>
      </c>
      <c r="BK380" s="1" t="s">
        <v>74</v>
      </c>
      <c r="BL380" s="1" t="s">
        <v>74</v>
      </c>
      <c r="BM380" s="1" t="s">
        <v>74</v>
      </c>
      <c r="BN380" s="1">
        <v>1.6676274E7</v>
      </c>
      <c r="BO380" s="1" t="s">
        <v>74</v>
      </c>
      <c r="BP380" s="1" t="s">
        <v>74</v>
      </c>
      <c r="BQ380" s="1" t="s">
        <v>74</v>
      </c>
      <c r="BR380" s="1" t="s">
        <v>74</v>
      </c>
      <c r="BS380" s="1" t="s">
        <v>3908</v>
      </c>
      <c r="BT380" s="1" t="str">
        <f>HYPERLINK("https%3A%2F%2Fwww.webofscience.com%2Fwos%2Fwoscc%2Ffull-record%2FWOS:000237798500002","View Full Record in Web of Science")</f>
        <v>View Full Record in Web of Science</v>
      </c>
    </row>
    <row r="381" ht="12.75" customHeight="1">
      <c r="A381" s="1" t="s">
        <v>72</v>
      </c>
      <c r="B381" s="1" t="s">
        <v>3909</v>
      </c>
      <c r="C381" s="1" t="s">
        <v>74</v>
      </c>
      <c r="D381" s="1" t="s">
        <v>74</v>
      </c>
      <c r="E381" s="1" t="s">
        <v>74</v>
      </c>
      <c r="F381" s="1" t="s">
        <v>3909</v>
      </c>
      <c r="G381" s="1" t="s">
        <v>74</v>
      </c>
      <c r="H381" s="1" t="s">
        <v>74</v>
      </c>
      <c r="I381" s="1" t="s">
        <v>3910</v>
      </c>
      <c r="J381" s="1" t="s">
        <v>2750</v>
      </c>
      <c r="K381" s="1" t="s">
        <v>74</v>
      </c>
      <c r="L381" s="1" t="s">
        <v>74</v>
      </c>
      <c r="M381" s="1" t="s">
        <v>74</v>
      </c>
      <c r="N381" s="1" t="s">
        <v>74</v>
      </c>
      <c r="O381" s="1" t="s">
        <v>74</v>
      </c>
      <c r="P381" s="1" t="s">
        <v>74</v>
      </c>
      <c r="Q381" s="1" t="s">
        <v>74</v>
      </c>
      <c r="R381" s="1" t="s">
        <v>74</v>
      </c>
      <c r="S381" s="1" t="s">
        <v>74</v>
      </c>
      <c r="T381" s="1" t="s">
        <v>74</v>
      </c>
      <c r="U381" s="1" t="s">
        <v>74</v>
      </c>
      <c r="V381" s="1" t="s">
        <v>3911</v>
      </c>
      <c r="W381" s="1" t="s">
        <v>74</v>
      </c>
      <c r="X381" s="1" t="s">
        <v>74</v>
      </c>
      <c r="Y381" s="1" t="s">
        <v>74</v>
      </c>
      <c r="Z381" s="1" t="s">
        <v>74</v>
      </c>
      <c r="AA381" s="1" t="s">
        <v>2752</v>
      </c>
      <c r="AB381" s="1" t="s">
        <v>2753</v>
      </c>
      <c r="AC381" s="1" t="s">
        <v>74</v>
      </c>
      <c r="AD381" s="1" t="s">
        <v>74</v>
      </c>
      <c r="AE381" s="1" t="s">
        <v>74</v>
      </c>
      <c r="AF381" s="1" t="s">
        <v>74</v>
      </c>
      <c r="AG381" s="1" t="s">
        <v>74</v>
      </c>
      <c r="AH381" s="1" t="s">
        <v>74</v>
      </c>
      <c r="AI381" s="1" t="s">
        <v>74</v>
      </c>
      <c r="AJ381" s="1" t="s">
        <v>74</v>
      </c>
      <c r="AK381" s="1" t="s">
        <v>74</v>
      </c>
      <c r="AL381" s="1" t="s">
        <v>74</v>
      </c>
      <c r="AM381" s="1" t="s">
        <v>74</v>
      </c>
      <c r="AN381" s="1" t="s">
        <v>74</v>
      </c>
      <c r="AO381" s="1" t="s">
        <v>2754</v>
      </c>
      <c r="AP381" s="1" t="s">
        <v>74</v>
      </c>
      <c r="AQ381" s="1" t="s">
        <v>74</v>
      </c>
      <c r="AR381" s="1" t="s">
        <v>74</v>
      </c>
      <c r="AS381" s="1" t="s">
        <v>74</v>
      </c>
      <c r="AT381" s="1" t="s">
        <v>180</v>
      </c>
      <c r="AU381" s="1">
        <v>1998.0</v>
      </c>
      <c r="AV381" s="1">
        <v>89.0</v>
      </c>
      <c r="AW381" s="1">
        <v>5.0</v>
      </c>
      <c r="AX381" s="1" t="s">
        <v>74</v>
      </c>
      <c r="AY381" s="1" t="s">
        <v>74</v>
      </c>
      <c r="AZ381" s="1" t="s">
        <v>74</v>
      </c>
      <c r="BA381" s="1" t="s">
        <v>74</v>
      </c>
      <c r="BB381" s="1">
        <v>363.0</v>
      </c>
      <c r="BC381" s="1">
        <v>367.0</v>
      </c>
      <c r="BD381" s="1" t="s">
        <v>74</v>
      </c>
      <c r="BE381" s="1" t="s">
        <v>74</v>
      </c>
      <c r="BF381" s="1" t="s">
        <v>74</v>
      </c>
      <c r="BG381" s="1" t="s">
        <v>74</v>
      </c>
      <c r="BH381" s="1" t="s">
        <v>74</v>
      </c>
      <c r="BI381" s="1" t="s">
        <v>74</v>
      </c>
      <c r="BJ381" s="1" t="s">
        <v>74</v>
      </c>
      <c r="BK381" s="1" t="s">
        <v>74</v>
      </c>
      <c r="BL381" s="1" t="s">
        <v>74</v>
      </c>
      <c r="BM381" s="1" t="s">
        <v>74</v>
      </c>
      <c r="BN381" s="1" t="s">
        <v>74</v>
      </c>
      <c r="BO381" s="1" t="s">
        <v>74</v>
      </c>
      <c r="BP381" s="1" t="s">
        <v>74</v>
      </c>
      <c r="BQ381" s="1" t="s">
        <v>74</v>
      </c>
      <c r="BR381" s="1" t="s">
        <v>74</v>
      </c>
      <c r="BS381" s="1" t="s">
        <v>3912</v>
      </c>
      <c r="BT381" s="1" t="str">
        <f>HYPERLINK("https%3A%2F%2Fwww.webofscience.com%2Fwos%2Fwoscc%2Ffull-record%2FWOS:000073848200008","View Full Record in Web of Science")</f>
        <v>View Full Record in Web of Science</v>
      </c>
    </row>
    <row r="382" ht="12.75" customHeight="1">
      <c r="A382" s="1" t="s">
        <v>72</v>
      </c>
      <c r="B382" s="1" t="s">
        <v>3913</v>
      </c>
      <c r="C382" s="1" t="s">
        <v>74</v>
      </c>
      <c r="D382" s="1" t="s">
        <v>74</v>
      </c>
      <c r="E382" s="1" t="s">
        <v>74</v>
      </c>
      <c r="F382" s="1" t="s">
        <v>3913</v>
      </c>
      <c r="G382" s="1" t="s">
        <v>74</v>
      </c>
      <c r="H382" s="1" t="s">
        <v>74</v>
      </c>
      <c r="I382" s="1" t="s">
        <v>3914</v>
      </c>
      <c r="J382" s="1" t="s">
        <v>3915</v>
      </c>
      <c r="K382" s="1" t="s">
        <v>74</v>
      </c>
      <c r="L382" s="1" t="s">
        <v>74</v>
      </c>
      <c r="M382" s="1" t="s">
        <v>74</v>
      </c>
      <c r="N382" s="1" t="s">
        <v>74</v>
      </c>
      <c r="O382" s="1" t="s">
        <v>74</v>
      </c>
      <c r="P382" s="1" t="s">
        <v>74</v>
      </c>
      <c r="Q382" s="1" t="s">
        <v>74</v>
      </c>
      <c r="R382" s="1" t="s">
        <v>74</v>
      </c>
      <c r="S382" s="1" t="s">
        <v>74</v>
      </c>
      <c r="T382" s="1" t="s">
        <v>74</v>
      </c>
      <c r="U382" s="1" t="s">
        <v>74</v>
      </c>
      <c r="V382" s="1" t="s">
        <v>3916</v>
      </c>
      <c r="W382" s="1" t="s">
        <v>74</v>
      </c>
      <c r="X382" s="1" t="s">
        <v>74</v>
      </c>
      <c r="Y382" s="1" t="s">
        <v>74</v>
      </c>
      <c r="Z382" s="1" t="s">
        <v>74</v>
      </c>
      <c r="AA382" s="1" t="s">
        <v>74</v>
      </c>
      <c r="AB382" s="1" t="s">
        <v>74</v>
      </c>
      <c r="AC382" s="1" t="s">
        <v>74</v>
      </c>
      <c r="AD382" s="1" t="s">
        <v>74</v>
      </c>
      <c r="AE382" s="1" t="s">
        <v>74</v>
      </c>
      <c r="AF382" s="1" t="s">
        <v>74</v>
      </c>
      <c r="AG382" s="1" t="s">
        <v>74</v>
      </c>
      <c r="AH382" s="1" t="s">
        <v>74</v>
      </c>
      <c r="AI382" s="1" t="s">
        <v>74</v>
      </c>
      <c r="AJ382" s="1" t="s">
        <v>74</v>
      </c>
      <c r="AK382" s="1" t="s">
        <v>74</v>
      </c>
      <c r="AL382" s="1" t="s">
        <v>74</v>
      </c>
      <c r="AM382" s="1" t="s">
        <v>74</v>
      </c>
      <c r="AN382" s="1" t="s">
        <v>74</v>
      </c>
      <c r="AO382" s="1" t="s">
        <v>3917</v>
      </c>
      <c r="AP382" s="1" t="s">
        <v>74</v>
      </c>
      <c r="AQ382" s="1" t="s">
        <v>74</v>
      </c>
      <c r="AR382" s="1" t="s">
        <v>74</v>
      </c>
      <c r="AS382" s="1" t="s">
        <v>74</v>
      </c>
      <c r="AT382" s="1" t="s">
        <v>74</v>
      </c>
      <c r="AU382" s="1">
        <v>1991.0</v>
      </c>
      <c r="AV382" s="1">
        <v>24.0</v>
      </c>
      <c r="AW382" s="1">
        <v>2.0</v>
      </c>
      <c r="AX382" s="1" t="s">
        <v>74</v>
      </c>
      <c r="AY382" s="1" t="s">
        <v>74</v>
      </c>
      <c r="AZ382" s="1" t="s">
        <v>74</v>
      </c>
      <c r="BA382" s="1" t="s">
        <v>74</v>
      </c>
      <c r="BB382" s="1">
        <v>105.0</v>
      </c>
      <c r="BC382" s="1">
        <v>112.0</v>
      </c>
      <c r="BD382" s="1" t="s">
        <v>74</v>
      </c>
      <c r="BE382" s="1" t="s">
        <v>3918</v>
      </c>
      <c r="BF382" s="2" t="str">
        <f>HYPERLINK("http://dx.doi.org/10.1002/pi.4990240208","http://dx.doi.org/10.1002/pi.4990240208")</f>
        <v>http://dx.doi.org/10.1002/pi.4990240208</v>
      </c>
      <c r="BG382" s="1" t="s">
        <v>74</v>
      </c>
      <c r="BH382" s="1" t="s">
        <v>74</v>
      </c>
      <c r="BI382" s="1" t="s">
        <v>74</v>
      </c>
      <c r="BJ382" s="1" t="s">
        <v>74</v>
      </c>
      <c r="BK382" s="1" t="s">
        <v>74</v>
      </c>
      <c r="BL382" s="1" t="s">
        <v>74</v>
      </c>
      <c r="BM382" s="1" t="s">
        <v>74</v>
      </c>
      <c r="BN382" s="1" t="s">
        <v>74</v>
      </c>
      <c r="BO382" s="1" t="s">
        <v>74</v>
      </c>
      <c r="BP382" s="1" t="s">
        <v>74</v>
      </c>
      <c r="BQ382" s="1" t="s">
        <v>74</v>
      </c>
      <c r="BR382" s="1" t="s">
        <v>74</v>
      </c>
      <c r="BS382" s="1" t="s">
        <v>3919</v>
      </c>
      <c r="BT382" s="1" t="str">
        <f>HYPERLINK("https%3A%2F%2Fwww.webofscience.com%2Fwos%2Fwoscc%2Ffull-record%2FWOS:A1991EV28700007","View Full Record in Web of Science")</f>
        <v>View Full Record in Web of Science</v>
      </c>
    </row>
    <row r="383" ht="12.75" customHeight="1">
      <c r="A383" s="1" t="s">
        <v>72</v>
      </c>
      <c r="B383" s="1" t="s">
        <v>3920</v>
      </c>
      <c r="C383" s="1" t="s">
        <v>74</v>
      </c>
      <c r="D383" s="1" t="s">
        <v>74</v>
      </c>
      <c r="E383" s="1" t="s">
        <v>74</v>
      </c>
      <c r="F383" s="1" t="s">
        <v>3920</v>
      </c>
      <c r="G383" s="1" t="s">
        <v>74</v>
      </c>
      <c r="H383" s="1" t="s">
        <v>74</v>
      </c>
      <c r="I383" s="1" t="s">
        <v>3921</v>
      </c>
      <c r="J383" s="1" t="s">
        <v>3922</v>
      </c>
      <c r="K383" s="1" t="s">
        <v>74</v>
      </c>
      <c r="L383" s="1" t="s">
        <v>74</v>
      </c>
      <c r="M383" s="1" t="s">
        <v>74</v>
      </c>
      <c r="N383" s="1" t="s">
        <v>74</v>
      </c>
      <c r="O383" s="1" t="s">
        <v>74</v>
      </c>
      <c r="P383" s="1" t="s">
        <v>74</v>
      </c>
      <c r="Q383" s="1" t="s">
        <v>74</v>
      </c>
      <c r="R383" s="1" t="s">
        <v>74</v>
      </c>
      <c r="S383" s="1" t="s">
        <v>74</v>
      </c>
      <c r="T383" s="1" t="s">
        <v>74</v>
      </c>
      <c r="U383" s="1" t="s">
        <v>74</v>
      </c>
      <c r="V383" s="1" t="s">
        <v>3923</v>
      </c>
      <c r="W383" s="1" t="s">
        <v>74</v>
      </c>
      <c r="X383" s="1" t="s">
        <v>74</v>
      </c>
      <c r="Y383" s="1" t="s">
        <v>74</v>
      </c>
      <c r="Z383" s="1" t="s">
        <v>74</v>
      </c>
      <c r="AA383" s="1" t="s">
        <v>74</v>
      </c>
      <c r="AB383" s="1" t="s">
        <v>74</v>
      </c>
      <c r="AC383" s="1" t="s">
        <v>74</v>
      </c>
      <c r="AD383" s="1" t="s">
        <v>74</v>
      </c>
      <c r="AE383" s="1" t="s">
        <v>74</v>
      </c>
      <c r="AF383" s="1" t="s">
        <v>74</v>
      </c>
      <c r="AG383" s="1" t="s">
        <v>74</v>
      </c>
      <c r="AH383" s="1" t="s">
        <v>74</v>
      </c>
      <c r="AI383" s="1" t="s">
        <v>74</v>
      </c>
      <c r="AJ383" s="1" t="s">
        <v>74</v>
      </c>
      <c r="AK383" s="1" t="s">
        <v>74</v>
      </c>
      <c r="AL383" s="1" t="s">
        <v>74</v>
      </c>
      <c r="AM383" s="1" t="s">
        <v>74</v>
      </c>
      <c r="AN383" s="1" t="s">
        <v>74</v>
      </c>
      <c r="AO383" s="1" t="s">
        <v>3924</v>
      </c>
      <c r="AP383" s="1" t="s">
        <v>74</v>
      </c>
      <c r="AQ383" s="1" t="s">
        <v>74</v>
      </c>
      <c r="AR383" s="1" t="s">
        <v>74</v>
      </c>
      <c r="AS383" s="1" t="s">
        <v>74</v>
      </c>
      <c r="AT383" s="1" t="s">
        <v>74</v>
      </c>
      <c r="AU383" s="1">
        <v>1990.0</v>
      </c>
      <c r="AV383" s="1" t="s">
        <v>3925</v>
      </c>
      <c r="AW383" s="1">
        <v>4.0</v>
      </c>
      <c r="AX383" s="1" t="s">
        <v>74</v>
      </c>
      <c r="AY383" s="1" t="s">
        <v>74</v>
      </c>
      <c r="AZ383" s="1" t="s">
        <v>74</v>
      </c>
      <c r="BA383" s="1" t="s">
        <v>74</v>
      </c>
      <c r="BB383" s="1">
        <v>351.0</v>
      </c>
      <c r="BC383" s="1">
        <v>359.0</v>
      </c>
      <c r="BD383" s="1" t="s">
        <v>74</v>
      </c>
      <c r="BE383" s="1" t="s">
        <v>3926</v>
      </c>
      <c r="BF383" s="2" t="str">
        <f>HYPERLINK("http://dx.doi.org/10.1080/00222349008230375","http://dx.doi.org/10.1080/00222349008230375")</f>
        <v>http://dx.doi.org/10.1080/00222349008230375</v>
      </c>
      <c r="BG383" s="1" t="s">
        <v>74</v>
      </c>
      <c r="BH383" s="1" t="s">
        <v>74</v>
      </c>
      <c r="BI383" s="1" t="s">
        <v>74</v>
      </c>
      <c r="BJ383" s="1" t="s">
        <v>74</v>
      </c>
      <c r="BK383" s="1" t="s">
        <v>74</v>
      </c>
      <c r="BL383" s="1" t="s">
        <v>74</v>
      </c>
      <c r="BM383" s="1" t="s">
        <v>74</v>
      </c>
      <c r="BN383" s="1" t="s">
        <v>74</v>
      </c>
      <c r="BO383" s="1" t="s">
        <v>74</v>
      </c>
      <c r="BP383" s="1" t="s">
        <v>74</v>
      </c>
      <c r="BQ383" s="1" t="s">
        <v>74</v>
      </c>
      <c r="BR383" s="1" t="s">
        <v>74</v>
      </c>
      <c r="BS383" s="1" t="s">
        <v>3927</v>
      </c>
      <c r="BT383" s="1" t="str">
        <f>HYPERLINK("https%3A%2F%2Fwww.webofscience.com%2Fwos%2Fwoscc%2Ffull-record%2FWOS:A1990EU97800004","View Full Record in Web of Science")</f>
        <v>View Full Record in Web of Science</v>
      </c>
    </row>
    <row r="384" ht="12.75" customHeight="1">
      <c r="A384" s="1" t="s">
        <v>72</v>
      </c>
      <c r="B384" s="1" t="s">
        <v>3928</v>
      </c>
      <c r="C384" s="1" t="s">
        <v>74</v>
      </c>
      <c r="D384" s="1" t="s">
        <v>74</v>
      </c>
      <c r="E384" s="1" t="s">
        <v>74</v>
      </c>
      <c r="F384" s="1" t="s">
        <v>3929</v>
      </c>
      <c r="G384" s="1" t="s">
        <v>74</v>
      </c>
      <c r="H384" s="1" t="s">
        <v>74</v>
      </c>
      <c r="I384" s="1" t="s">
        <v>3930</v>
      </c>
      <c r="J384" s="1" t="s">
        <v>3931</v>
      </c>
      <c r="K384" s="1" t="s">
        <v>74</v>
      </c>
      <c r="L384" s="1" t="s">
        <v>74</v>
      </c>
      <c r="M384" s="1" t="s">
        <v>74</v>
      </c>
      <c r="N384" s="1" t="s">
        <v>74</v>
      </c>
      <c r="O384" s="1" t="s">
        <v>74</v>
      </c>
      <c r="P384" s="1" t="s">
        <v>74</v>
      </c>
      <c r="Q384" s="1" t="s">
        <v>74</v>
      </c>
      <c r="R384" s="1" t="s">
        <v>74</v>
      </c>
      <c r="S384" s="1" t="s">
        <v>74</v>
      </c>
      <c r="T384" s="1" t="s">
        <v>74</v>
      </c>
      <c r="U384" s="1" t="s">
        <v>74</v>
      </c>
      <c r="V384" s="1" t="s">
        <v>3932</v>
      </c>
      <c r="W384" s="1" t="s">
        <v>74</v>
      </c>
      <c r="X384" s="1" t="s">
        <v>74</v>
      </c>
      <c r="Y384" s="1" t="s">
        <v>74</v>
      </c>
      <c r="Z384" s="1" t="s">
        <v>74</v>
      </c>
      <c r="AA384" s="1" t="s">
        <v>3933</v>
      </c>
      <c r="AB384" s="1" t="s">
        <v>3934</v>
      </c>
      <c r="AC384" s="1" t="s">
        <v>74</v>
      </c>
      <c r="AD384" s="1" t="s">
        <v>74</v>
      </c>
      <c r="AE384" s="1" t="s">
        <v>74</v>
      </c>
      <c r="AF384" s="1" t="s">
        <v>74</v>
      </c>
      <c r="AG384" s="1" t="s">
        <v>74</v>
      </c>
      <c r="AH384" s="1" t="s">
        <v>74</v>
      </c>
      <c r="AI384" s="1" t="s">
        <v>74</v>
      </c>
      <c r="AJ384" s="1" t="s">
        <v>74</v>
      </c>
      <c r="AK384" s="1" t="s">
        <v>74</v>
      </c>
      <c r="AL384" s="1" t="s">
        <v>74</v>
      </c>
      <c r="AM384" s="1" t="s">
        <v>74</v>
      </c>
      <c r="AN384" s="1" t="s">
        <v>74</v>
      </c>
      <c r="AO384" s="1" t="s">
        <v>3935</v>
      </c>
      <c r="AP384" s="1" t="s">
        <v>3936</v>
      </c>
      <c r="AQ384" s="1" t="s">
        <v>74</v>
      </c>
      <c r="AR384" s="1" t="s">
        <v>74</v>
      </c>
      <c r="AS384" s="1" t="s">
        <v>74</v>
      </c>
      <c r="AT384" s="1" t="s">
        <v>3937</v>
      </c>
      <c r="AU384" s="1">
        <v>2025.0</v>
      </c>
      <c r="AV384" s="1" t="s">
        <v>74</v>
      </c>
      <c r="AW384" s="1" t="s">
        <v>74</v>
      </c>
      <c r="AX384" s="1" t="s">
        <v>74</v>
      </c>
      <c r="AY384" s="1" t="s">
        <v>74</v>
      </c>
      <c r="AZ384" s="1" t="s">
        <v>74</v>
      </c>
      <c r="BA384" s="1" t="s">
        <v>74</v>
      </c>
      <c r="BB384" s="1" t="s">
        <v>74</v>
      </c>
      <c r="BC384" s="1" t="s">
        <v>74</v>
      </c>
      <c r="BD384" s="1" t="s">
        <v>74</v>
      </c>
      <c r="BE384" s="1" t="s">
        <v>3938</v>
      </c>
      <c r="BF384" s="2" t="str">
        <f>HYPERLINK("http://dx.doi.org/10.1007/s11846-025-00852-7","http://dx.doi.org/10.1007/s11846-025-00852-7")</f>
        <v>http://dx.doi.org/10.1007/s11846-025-00852-7</v>
      </c>
      <c r="BG384" s="1" t="s">
        <v>74</v>
      </c>
      <c r="BH384" s="1" t="s">
        <v>3939</v>
      </c>
      <c r="BI384" s="1" t="s">
        <v>74</v>
      </c>
      <c r="BJ384" s="1" t="s">
        <v>74</v>
      </c>
      <c r="BK384" s="1" t="s">
        <v>74</v>
      </c>
      <c r="BL384" s="1" t="s">
        <v>74</v>
      </c>
      <c r="BM384" s="1" t="s">
        <v>74</v>
      </c>
      <c r="BN384" s="1" t="s">
        <v>74</v>
      </c>
      <c r="BO384" s="1" t="s">
        <v>74</v>
      </c>
      <c r="BP384" s="1" t="s">
        <v>74</v>
      </c>
      <c r="BQ384" s="1" t="s">
        <v>74</v>
      </c>
      <c r="BR384" s="1" t="s">
        <v>74</v>
      </c>
      <c r="BS384" s="1" t="s">
        <v>3940</v>
      </c>
      <c r="BT384" s="1" t="str">
        <f>HYPERLINK("https%3A%2F%2Fwww.webofscience.com%2Fwos%2Fwoscc%2Ffull-record%2FWOS:001422945300001","View Full Record in Web of Science")</f>
        <v>View Full Record in Web of Science</v>
      </c>
    </row>
    <row r="385" ht="12.75" customHeight="1">
      <c r="A385" s="1" t="s">
        <v>72</v>
      </c>
      <c r="B385" s="1" t="s">
        <v>3941</v>
      </c>
      <c r="C385" s="1" t="s">
        <v>74</v>
      </c>
      <c r="D385" s="1" t="s">
        <v>74</v>
      </c>
      <c r="E385" s="1" t="s">
        <v>74</v>
      </c>
      <c r="F385" s="1" t="s">
        <v>3942</v>
      </c>
      <c r="G385" s="1" t="s">
        <v>74</v>
      </c>
      <c r="H385" s="1" t="s">
        <v>74</v>
      </c>
      <c r="I385" s="1" t="s">
        <v>3943</v>
      </c>
      <c r="J385" s="1" t="s">
        <v>3502</v>
      </c>
      <c r="K385" s="1" t="s">
        <v>74</v>
      </c>
      <c r="L385" s="1" t="s">
        <v>74</v>
      </c>
      <c r="M385" s="1" t="s">
        <v>74</v>
      </c>
      <c r="N385" s="1" t="s">
        <v>74</v>
      </c>
      <c r="O385" s="1" t="s">
        <v>74</v>
      </c>
      <c r="P385" s="1" t="s">
        <v>74</v>
      </c>
      <c r="Q385" s="1" t="s">
        <v>74</v>
      </c>
      <c r="R385" s="1" t="s">
        <v>74</v>
      </c>
      <c r="S385" s="1" t="s">
        <v>74</v>
      </c>
      <c r="T385" s="1" t="s">
        <v>74</v>
      </c>
      <c r="U385" s="1" t="s">
        <v>74</v>
      </c>
      <c r="V385" s="1" t="s">
        <v>3944</v>
      </c>
      <c r="W385" s="1" t="s">
        <v>74</v>
      </c>
      <c r="X385" s="1" t="s">
        <v>74</v>
      </c>
      <c r="Y385" s="1" t="s">
        <v>74</v>
      </c>
      <c r="Z385" s="1" t="s">
        <v>74</v>
      </c>
      <c r="AA385" s="1" t="s">
        <v>3945</v>
      </c>
      <c r="AB385" s="1" t="s">
        <v>74</v>
      </c>
      <c r="AC385" s="1" t="s">
        <v>74</v>
      </c>
      <c r="AD385" s="1" t="s">
        <v>74</v>
      </c>
      <c r="AE385" s="1" t="s">
        <v>74</v>
      </c>
      <c r="AF385" s="1" t="s">
        <v>74</v>
      </c>
      <c r="AG385" s="1" t="s">
        <v>74</v>
      </c>
      <c r="AH385" s="1" t="s">
        <v>74</v>
      </c>
      <c r="AI385" s="1" t="s">
        <v>74</v>
      </c>
      <c r="AJ385" s="1" t="s">
        <v>74</v>
      </c>
      <c r="AK385" s="1" t="s">
        <v>74</v>
      </c>
      <c r="AL385" s="1" t="s">
        <v>74</v>
      </c>
      <c r="AM385" s="1" t="s">
        <v>74</v>
      </c>
      <c r="AN385" s="1" t="s">
        <v>74</v>
      </c>
      <c r="AO385" s="1" t="s">
        <v>3505</v>
      </c>
      <c r="AP385" s="1" t="s">
        <v>3506</v>
      </c>
      <c r="AQ385" s="1" t="s">
        <v>74</v>
      </c>
      <c r="AR385" s="1" t="s">
        <v>74</v>
      </c>
      <c r="AS385" s="1" t="s">
        <v>74</v>
      </c>
      <c r="AT385" s="1" t="s">
        <v>74</v>
      </c>
      <c r="AU385" s="1">
        <v>2024.0</v>
      </c>
      <c r="AV385" s="1" t="s">
        <v>74</v>
      </c>
      <c r="AW385" s="1">
        <v>52.0</v>
      </c>
      <c r="AX385" s="1" t="s">
        <v>74</v>
      </c>
      <c r="AY385" s="1" t="s">
        <v>74</v>
      </c>
      <c r="AZ385" s="1" t="s">
        <v>74</v>
      </c>
      <c r="BA385" s="1" t="s">
        <v>74</v>
      </c>
      <c r="BB385" s="1">
        <v>291.0</v>
      </c>
      <c r="BC385" s="1">
        <v>303.0</v>
      </c>
      <c r="BD385" s="1" t="s">
        <v>74</v>
      </c>
      <c r="BE385" s="1" t="s">
        <v>74</v>
      </c>
      <c r="BF385" s="1" t="s">
        <v>74</v>
      </c>
      <c r="BG385" s="1" t="s">
        <v>74</v>
      </c>
      <c r="BH385" s="1" t="s">
        <v>74</v>
      </c>
      <c r="BI385" s="1" t="s">
        <v>74</v>
      </c>
      <c r="BJ385" s="1" t="s">
        <v>74</v>
      </c>
      <c r="BK385" s="1" t="s">
        <v>74</v>
      </c>
      <c r="BL385" s="1" t="s">
        <v>74</v>
      </c>
      <c r="BM385" s="1" t="s">
        <v>74</v>
      </c>
      <c r="BN385" s="1" t="s">
        <v>74</v>
      </c>
      <c r="BO385" s="1" t="s">
        <v>74</v>
      </c>
      <c r="BP385" s="1" t="s">
        <v>74</v>
      </c>
      <c r="BQ385" s="1" t="s">
        <v>74</v>
      </c>
      <c r="BR385" s="1" t="s">
        <v>74</v>
      </c>
      <c r="BS385" s="1" t="s">
        <v>3946</v>
      </c>
      <c r="BT385" s="1" t="str">
        <f>HYPERLINK("https%3A%2F%2Fwww.webofscience.com%2Fwos%2Fwoscc%2Ffull-record%2FWOS:001147411000001","View Full Record in Web of Science")</f>
        <v>View Full Record in Web of Science</v>
      </c>
    </row>
    <row r="386" ht="12.75" customHeight="1">
      <c r="A386" s="1" t="s">
        <v>182</v>
      </c>
      <c r="B386" s="1" t="s">
        <v>3947</v>
      </c>
      <c r="C386" s="1" t="s">
        <v>74</v>
      </c>
      <c r="D386" s="1" t="s">
        <v>74</v>
      </c>
      <c r="E386" s="1" t="s">
        <v>184</v>
      </c>
      <c r="F386" s="1" t="s">
        <v>3948</v>
      </c>
      <c r="G386" s="1" t="s">
        <v>74</v>
      </c>
      <c r="H386" s="1" t="s">
        <v>74</v>
      </c>
      <c r="I386" s="1" t="s">
        <v>3949</v>
      </c>
      <c r="J386" s="1" t="s">
        <v>3950</v>
      </c>
      <c r="K386" s="1" t="s">
        <v>74</v>
      </c>
      <c r="L386" s="1" t="s">
        <v>74</v>
      </c>
      <c r="M386" s="1" t="s">
        <v>74</v>
      </c>
      <c r="N386" s="1" t="s">
        <v>74</v>
      </c>
      <c r="O386" s="1" t="s">
        <v>3951</v>
      </c>
      <c r="P386" s="1" t="s">
        <v>3952</v>
      </c>
      <c r="Q386" s="1" t="s">
        <v>3953</v>
      </c>
      <c r="R386" s="1" t="s">
        <v>74</v>
      </c>
      <c r="S386" s="1" t="s">
        <v>74</v>
      </c>
      <c r="T386" s="1" t="s">
        <v>74</v>
      </c>
      <c r="U386" s="1" t="s">
        <v>74</v>
      </c>
      <c r="V386" s="1" t="s">
        <v>3954</v>
      </c>
      <c r="W386" s="1" t="s">
        <v>74</v>
      </c>
      <c r="X386" s="1" t="s">
        <v>74</v>
      </c>
      <c r="Y386" s="1" t="s">
        <v>74</v>
      </c>
      <c r="Z386" s="1" t="s">
        <v>74</v>
      </c>
      <c r="AA386" s="1" t="s">
        <v>3955</v>
      </c>
      <c r="AB386" s="1" t="s">
        <v>3956</v>
      </c>
      <c r="AC386" s="1" t="s">
        <v>74</v>
      </c>
      <c r="AD386" s="1" t="s">
        <v>74</v>
      </c>
      <c r="AE386" s="1" t="s">
        <v>74</v>
      </c>
      <c r="AF386" s="1" t="s">
        <v>74</v>
      </c>
      <c r="AG386" s="1" t="s">
        <v>74</v>
      </c>
      <c r="AH386" s="1" t="s">
        <v>74</v>
      </c>
      <c r="AI386" s="1" t="s">
        <v>74</v>
      </c>
      <c r="AJ386" s="1" t="s">
        <v>74</v>
      </c>
      <c r="AK386" s="1" t="s">
        <v>74</v>
      </c>
      <c r="AL386" s="1" t="s">
        <v>74</v>
      </c>
      <c r="AM386" s="1" t="s">
        <v>74</v>
      </c>
      <c r="AN386" s="1" t="s">
        <v>74</v>
      </c>
      <c r="AO386" s="1" t="s">
        <v>74</v>
      </c>
      <c r="AP386" s="1" t="s">
        <v>74</v>
      </c>
      <c r="AQ386" s="1" t="s">
        <v>3957</v>
      </c>
      <c r="AR386" s="1" t="s">
        <v>74</v>
      </c>
      <c r="AS386" s="1" t="s">
        <v>74</v>
      </c>
      <c r="AT386" s="1" t="s">
        <v>74</v>
      </c>
      <c r="AU386" s="1">
        <v>2024.0</v>
      </c>
      <c r="AV386" s="1" t="s">
        <v>74</v>
      </c>
      <c r="AW386" s="1" t="s">
        <v>74</v>
      </c>
      <c r="AX386" s="1" t="s">
        <v>74</v>
      </c>
      <c r="AY386" s="1" t="s">
        <v>74</v>
      </c>
      <c r="AZ386" s="1" t="s">
        <v>74</v>
      </c>
      <c r="BA386" s="1" t="s">
        <v>74</v>
      </c>
      <c r="BB386" s="1" t="s">
        <v>74</v>
      </c>
      <c r="BC386" s="1" t="s">
        <v>74</v>
      </c>
      <c r="BD386" s="1" t="s">
        <v>74</v>
      </c>
      <c r="BE386" s="1" t="s">
        <v>3958</v>
      </c>
      <c r="BF386" s="2" t="str">
        <f>HYPERLINK("http://dx.doi.org/10.1109/ICPRS62101.2024.10677829","http://dx.doi.org/10.1109/ICPRS62101.2024.10677829")</f>
        <v>http://dx.doi.org/10.1109/ICPRS62101.2024.10677829</v>
      </c>
      <c r="BG386" s="1" t="s">
        <v>74</v>
      </c>
      <c r="BH386" s="1" t="s">
        <v>74</v>
      </c>
      <c r="BI386" s="1" t="s">
        <v>74</v>
      </c>
      <c r="BJ386" s="1" t="s">
        <v>74</v>
      </c>
      <c r="BK386" s="1" t="s">
        <v>74</v>
      </c>
      <c r="BL386" s="1" t="s">
        <v>74</v>
      </c>
      <c r="BM386" s="1" t="s">
        <v>74</v>
      </c>
      <c r="BN386" s="1" t="s">
        <v>74</v>
      </c>
      <c r="BO386" s="1" t="s">
        <v>74</v>
      </c>
      <c r="BP386" s="1" t="s">
        <v>74</v>
      </c>
      <c r="BQ386" s="1" t="s">
        <v>74</v>
      </c>
      <c r="BR386" s="1" t="s">
        <v>74</v>
      </c>
      <c r="BS386" s="1" t="s">
        <v>3959</v>
      </c>
      <c r="BT386" s="1" t="str">
        <f>HYPERLINK("https%3A%2F%2Fwww.webofscience.com%2Fwos%2Fwoscc%2Ffull-record%2FWOS:001327737700028","View Full Record in Web of Science")</f>
        <v>View Full Record in Web of Science</v>
      </c>
    </row>
    <row r="387" ht="12.75" customHeight="1">
      <c r="A387" s="1" t="s">
        <v>72</v>
      </c>
      <c r="B387" s="1" t="s">
        <v>3960</v>
      </c>
      <c r="C387" s="1" t="s">
        <v>74</v>
      </c>
      <c r="D387" s="1" t="s">
        <v>74</v>
      </c>
      <c r="E387" s="1" t="s">
        <v>74</v>
      </c>
      <c r="F387" s="1" t="s">
        <v>3961</v>
      </c>
      <c r="G387" s="1" t="s">
        <v>74</v>
      </c>
      <c r="H387" s="1" t="s">
        <v>74</v>
      </c>
      <c r="I387" s="1" t="s">
        <v>3962</v>
      </c>
      <c r="J387" s="1" t="s">
        <v>3963</v>
      </c>
      <c r="K387" s="1" t="s">
        <v>74</v>
      </c>
      <c r="L387" s="1" t="s">
        <v>74</v>
      </c>
      <c r="M387" s="1" t="s">
        <v>74</v>
      </c>
      <c r="N387" s="1" t="s">
        <v>74</v>
      </c>
      <c r="O387" s="1" t="s">
        <v>74</v>
      </c>
      <c r="P387" s="1" t="s">
        <v>74</v>
      </c>
      <c r="Q387" s="1" t="s">
        <v>74</v>
      </c>
      <c r="R387" s="1" t="s">
        <v>74</v>
      </c>
      <c r="S387" s="1" t="s">
        <v>74</v>
      </c>
      <c r="T387" s="1" t="s">
        <v>74</v>
      </c>
      <c r="U387" s="1" t="s">
        <v>74</v>
      </c>
      <c r="V387" s="1" t="s">
        <v>3964</v>
      </c>
      <c r="W387" s="1" t="s">
        <v>74</v>
      </c>
      <c r="X387" s="1" t="s">
        <v>74</v>
      </c>
      <c r="Y387" s="1" t="s">
        <v>74</v>
      </c>
      <c r="Z387" s="1" t="s">
        <v>74</v>
      </c>
      <c r="AA387" s="1" t="s">
        <v>3965</v>
      </c>
      <c r="AB387" s="1" t="s">
        <v>3966</v>
      </c>
      <c r="AC387" s="1" t="s">
        <v>74</v>
      </c>
      <c r="AD387" s="1" t="s">
        <v>74</v>
      </c>
      <c r="AE387" s="1" t="s">
        <v>74</v>
      </c>
      <c r="AF387" s="1" t="s">
        <v>74</v>
      </c>
      <c r="AG387" s="1" t="s">
        <v>74</v>
      </c>
      <c r="AH387" s="1" t="s">
        <v>74</v>
      </c>
      <c r="AI387" s="1" t="s">
        <v>74</v>
      </c>
      <c r="AJ387" s="1" t="s">
        <v>74</v>
      </c>
      <c r="AK387" s="1" t="s">
        <v>74</v>
      </c>
      <c r="AL387" s="1" t="s">
        <v>74</v>
      </c>
      <c r="AM387" s="1" t="s">
        <v>74</v>
      </c>
      <c r="AN387" s="1" t="s">
        <v>74</v>
      </c>
      <c r="AO387" s="1" t="s">
        <v>3967</v>
      </c>
      <c r="AP387" s="1" t="s">
        <v>74</v>
      </c>
      <c r="AQ387" s="1" t="s">
        <v>74</v>
      </c>
      <c r="AR387" s="1" t="s">
        <v>74</v>
      </c>
      <c r="AS387" s="1" t="s">
        <v>74</v>
      </c>
      <c r="AT387" s="1" t="s">
        <v>3968</v>
      </c>
      <c r="AU387" s="1">
        <v>2022.0</v>
      </c>
      <c r="AV387" s="1">
        <v>13.0</v>
      </c>
      <c r="AW387" s="1" t="s">
        <v>74</v>
      </c>
      <c r="AX387" s="1" t="s">
        <v>74</v>
      </c>
      <c r="AY387" s="1" t="s">
        <v>74</v>
      </c>
      <c r="AZ387" s="1" t="s">
        <v>74</v>
      </c>
      <c r="BA387" s="1" t="s">
        <v>74</v>
      </c>
      <c r="BB387" s="1" t="s">
        <v>74</v>
      </c>
      <c r="BC387" s="1" t="s">
        <v>74</v>
      </c>
      <c r="BD387" s="1">
        <v>955601.0</v>
      </c>
      <c r="BE387" s="1" t="s">
        <v>3969</v>
      </c>
      <c r="BF387" s="2" t="str">
        <f>HYPERLINK("http://dx.doi.org/10.3389/fpls.2022.955601","http://dx.doi.org/10.3389/fpls.2022.955601")</f>
        <v>http://dx.doi.org/10.3389/fpls.2022.955601</v>
      </c>
      <c r="BG387" s="1" t="s">
        <v>74</v>
      </c>
      <c r="BH387" s="1" t="s">
        <v>74</v>
      </c>
      <c r="BI387" s="1" t="s">
        <v>74</v>
      </c>
      <c r="BJ387" s="1" t="s">
        <v>74</v>
      </c>
      <c r="BK387" s="1" t="s">
        <v>74</v>
      </c>
      <c r="BL387" s="1" t="s">
        <v>74</v>
      </c>
      <c r="BM387" s="1" t="s">
        <v>74</v>
      </c>
      <c r="BN387" s="1">
        <v>3.6204054E7</v>
      </c>
      <c r="BO387" s="1" t="s">
        <v>74</v>
      </c>
      <c r="BP387" s="1" t="s">
        <v>74</v>
      </c>
      <c r="BQ387" s="1" t="s">
        <v>74</v>
      </c>
      <c r="BR387" s="1" t="s">
        <v>74</v>
      </c>
      <c r="BS387" s="1" t="s">
        <v>3970</v>
      </c>
      <c r="BT387" s="1" t="str">
        <f>HYPERLINK("https%3A%2F%2Fwww.webofscience.com%2Fwos%2Fwoscc%2Ffull-record%2FWOS:000868590400001","View Full Record in Web of Science")</f>
        <v>View Full Record in Web of Science</v>
      </c>
    </row>
    <row r="388" ht="12.75" customHeight="1">
      <c r="A388" s="1" t="s">
        <v>72</v>
      </c>
      <c r="B388" s="1" t="s">
        <v>3971</v>
      </c>
      <c r="C388" s="1" t="s">
        <v>74</v>
      </c>
      <c r="D388" s="1" t="s">
        <v>74</v>
      </c>
      <c r="E388" s="1" t="s">
        <v>74</v>
      </c>
      <c r="F388" s="1" t="s">
        <v>3972</v>
      </c>
      <c r="G388" s="1" t="s">
        <v>74</v>
      </c>
      <c r="H388" s="1" t="s">
        <v>74</v>
      </c>
      <c r="I388" s="1" t="s">
        <v>3973</v>
      </c>
      <c r="J388" s="1" t="s">
        <v>1045</v>
      </c>
      <c r="K388" s="1" t="s">
        <v>74</v>
      </c>
      <c r="L388" s="1" t="s">
        <v>74</v>
      </c>
      <c r="M388" s="1" t="s">
        <v>74</v>
      </c>
      <c r="N388" s="1" t="s">
        <v>74</v>
      </c>
      <c r="O388" s="1" t="s">
        <v>74</v>
      </c>
      <c r="P388" s="1" t="s">
        <v>74</v>
      </c>
      <c r="Q388" s="1" t="s">
        <v>74</v>
      </c>
      <c r="R388" s="1" t="s">
        <v>74</v>
      </c>
      <c r="S388" s="1" t="s">
        <v>74</v>
      </c>
      <c r="T388" s="1" t="s">
        <v>74</v>
      </c>
      <c r="U388" s="1" t="s">
        <v>74</v>
      </c>
      <c r="V388" s="1" t="s">
        <v>3974</v>
      </c>
      <c r="W388" s="1" t="s">
        <v>74</v>
      </c>
      <c r="X388" s="1" t="s">
        <v>74</v>
      </c>
      <c r="Y388" s="1" t="s">
        <v>74</v>
      </c>
      <c r="Z388" s="1" t="s">
        <v>74</v>
      </c>
      <c r="AA388" s="1" t="s">
        <v>3975</v>
      </c>
      <c r="AB388" s="1" t="s">
        <v>3976</v>
      </c>
      <c r="AC388" s="1" t="s">
        <v>74</v>
      </c>
      <c r="AD388" s="1" t="s">
        <v>74</v>
      </c>
      <c r="AE388" s="1" t="s">
        <v>74</v>
      </c>
      <c r="AF388" s="1" t="s">
        <v>74</v>
      </c>
      <c r="AG388" s="1" t="s">
        <v>74</v>
      </c>
      <c r="AH388" s="1" t="s">
        <v>74</v>
      </c>
      <c r="AI388" s="1" t="s">
        <v>74</v>
      </c>
      <c r="AJ388" s="1" t="s">
        <v>74</v>
      </c>
      <c r="AK388" s="1" t="s">
        <v>74</v>
      </c>
      <c r="AL388" s="1" t="s">
        <v>74</v>
      </c>
      <c r="AM388" s="1" t="s">
        <v>74</v>
      </c>
      <c r="AN388" s="1" t="s">
        <v>74</v>
      </c>
      <c r="AO388" s="1" t="s">
        <v>1047</v>
      </c>
      <c r="AP388" s="1" t="s">
        <v>1048</v>
      </c>
      <c r="AQ388" s="1" t="s">
        <v>74</v>
      </c>
      <c r="AR388" s="1" t="s">
        <v>74</v>
      </c>
      <c r="AS388" s="1" t="s">
        <v>74</v>
      </c>
      <c r="AT388" s="1" t="s">
        <v>1202</v>
      </c>
      <c r="AU388" s="1">
        <v>2022.0</v>
      </c>
      <c r="AV388" s="1">
        <v>515.0</v>
      </c>
      <c r="AW388" s="1">
        <v>2.0</v>
      </c>
      <c r="AX388" s="1" t="s">
        <v>74</v>
      </c>
      <c r="AY388" s="1" t="s">
        <v>74</v>
      </c>
      <c r="AZ388" s="1" t="s">
        <v>74</v>
      </c>
      <c r="BA388" s="1" t="s">
        <v>74</v>
      </c>
      <c r="BB388" s="1" t="s">
        <v>74</v>
      </c>
      <c r="BC388" s="1" t="s">
        <v>74</v>
      </c>
      <c r="BD388" s="1">
        <v>126419.0</v>
      </c>
      <c r="BE388" s="1" t="s">
        <v>3977</v>
      </c>
      <c r="BF388" s="2" t="str">
        <f>HYPERLINK("http://dx.doi.org/10.1016/j.jmaa.2022.126419","http://dx.doi.org/10.1016/j.jmaa.2022.126419")</f>
        <v>http://dx.doi.org/10.1016/j.jmaa.2022.126419</v>
      </c>
      <c r="BG388" s="1" t="s">
        <v>74</v>
      </c>
      <c r="BH388" s="1" t="s">
        <v>3978</v>
      </c>
      <c r="BI388" s="1" t="s">
        <v>74</v>
      </c>
      <c r="BJ388" s="1" t="s">
        <v>74</v>
      </c>
      <c r="BK388" s="1" t="s">
        <v>74</v>
      </c>
      <c r="BL388" s="1" t="s">
        <v>74</v>
      </c>
      <c r="BM388" s="1" t="s">
        <v>74</v>
      </c>
      <c r="BN388" s="1" t="s">
        <v>74</v>
      </c>
      <c r="BO388" s="1" t="s">
        <v>74</v>
      </c>
      <c r="BP388" s="1" t="s">
        <v>74</v>
      </c>
      <c r="BQ388" s="1" t="s">
        <v>74</v>
      </c>
      <c r="BR388" s="1" t="s">
        <v>74</v>
      </c>
      <c r="BS388" s="1" t="s">
        <v>3979</v>
      </c>
      <c r="BT388" s="1" t="str">
        <f>HYPERLINK("https%3A%2F%2Fwww.webofscience.com%2Fwos%2Fwoscc%2Ffull-record%2FWOS:000833524000002","View Full Record in Web of Science")</f>
        <v>View Full Record in Web of Science</v>
      </c>
    </row>
    <row r="389" ht="12.75" customHeight="1">
      <c r="A389" s="1" t="s">
        <v>72</v>
      </c>
      <c r="B389" s="1" t="s">
        <v>3980</v>
      </c>
      <c r="C389" s="1" t="s">
        <v>74</v>
      </c>
      <c r="D389" s="1" t="s">
        <v>74</v>
      </c>
      <c r="E389" s="1" t="s">
        <v>74</v>
      </c>
      <c r="F389" s="1" t="s">
        <v>3981</v>
      </c>
      <c r="G389" s="1" t="s">
        <v>74</v>
      </c>
      <c r="H389" s="1" t="s">
        <v>74</v>
      </c>
      <c r="I389" s="1" t="s">
        <v>3982</v>
      </c>
      <c r="J389" s="1" t="s">
        <v>3983</v>
      </c>
      <c r="K389" s="1" t="s">
        <v>74</v>
      </c>
      <c r="L389" s="1" t="s">
        <v>74</v>
      </c>
      <c r="M389" s="1" t="s">
        <v>74</v>
      </c>
      <c r="N389" s="1" t="s">
        <v>74</v>
      </c>
      <c r="O389" s="1" t="s">
        <v>74</v>
      </c>
      <c r="P389" s="1" t="s">
        <v>74</v>
      </c>
      <c r="Q389" s="1" t="s">
        <v>74</v>
      </c>
      <c r="R389" s="1" t="s">
        <v>74</v>
      </c>
      <c r="S389" s="1" t="s">
        <v>74</v>
      </c>
      <c r="T389" s="1" t="s">
        <v>74</v>
      </c>
      <c r="U389" s="1" t="s">
        <v>74</v>
      </c>
      <c r="V389" s="1" t="s">
        <v>3984</v>
      </c>
      <c r="W389" s="1" t="s">
        <v>74</v>
      </c>
      <c r="X389" s="1" t="s">
        <v>74</v>
      </c>
      <c r="Y389" s="1" t="s">
        <v>74</v>
      </c>
      <c r="Z389" s="1" t="s">
        <v>74</v>
      </c>
      <c r="AA389" s="1" t="s">
        <v>3985</v>
      </c>
      <c r="AB389" s="1" t="s">
        <v>3986</v>
      </c>
      <c r="AC389" s="1" t="s">
        <v>74</v>
      </c>
      <c r="AD389" s="1" t="s">
        <v>74</v>
      </c>
      <c r="AE389" s="1" t="s">
        <v>74</v>
      </c>
      <c r="AF389" s="1" t="s">
        <v>74</v>
      </c>
      <c r="AG389" s="1" t="s">
        <v>74</v>
      </c>
      <c r="AH389" s="1" t="s">
        <v>74</v>
      </c>
      <c r="AI389" s="1" t="s">
        <v>74</v>
      </c>
      <c r="AJ389" s="1" t="s">
        <v>74</v>
      </c>
      <c r="AK389" s="1" t="s">
        <v>74</v>
      </c>
      <c r="AL389" s="1" t="s">
        <v>74</v>
      </c>
      <c r="AM389" s="1" t="s">
        <v>74</v>
      </c>
      <c r="AN389" s="1" t="s">
        <v>74</v>
      </c>
      <c r="AO389" s="1" t="s">
        <v>3987</v>
      </c>
      <c r="AP389" s="1" t="s">
        <v>3988</v>
      </c>
      <c r="AQ389" s="1" t="s">
        <v>74</v>
      </c>
      <c r="AR389" s="1" t="s">
        <v>74</v>
      </c>
      <c r="AS389" s="1" t="s">
        <v>74</v>
      </c>
      <c r="AT389" s="1" t="s">
        <v>696</v>
      </c>
      <c r="AU389" s="1">
        <v>2023.0</v>
      </c>
      <c r="AV389" s="1">
        <v>64.0</v>
      </c>
      <c r="AW389" s="1">
        <v>1.0</v>
      </c>
      <c r="AX389" s="1" t="s">
        <v>74</v>
      </c>
      <c r="AY389" s="1" t="s">
        <v>74</v>
      </c>
      <c r="AZ389" s="1" t="s">
        <v>74</v>
      </c>
      <c r="BA389" s="1" t="s">
        <v>74</v>
      </c>
      <c r="BB389" s="1">
        <v>323.0</v>
      </c>
      <c r="BC389" s="1">
        <v>348.0</v>
      </c>
      <c r="BD389" s="1" t="s">
        <v>74</v>
      </c>
      <c r="BE389" s="1" t="s">
        <v>3989</v>
      </c>
      <c r="BF389" s="2" t="str">
        <f>HYPERLINK("http://dx.doi.org/10.1007/s00181-022-02249-x","http://dx.doi.org/10.1007/s00181-022-02249-x")</f>
        <v>http://dx.doi.org/10.1007/s00181-022-02249-x</v>
      </c>
      <c r="BG389" s="1" t="s">
        <v>74</v>
      </c>
      <c r="BH389" s="1" t="s">
        <v>2229</v>
      </c>
      <c r="BI389" s="1" t="s">
        <v>74</v>
      </c>
      <c r="BJ389" s="1" t="s">
        <v>74</v>
      </c>
      <c r="BK389" s="1" t="s">
        <v>74</v>
      </c>
      <c r="BL389" s="1" t="s">
        <v>74</v>
      </c>
      <c r="BM389" s="1" t="s">
        <v>74</v>
      </c>
      <c r="BN389" s="1" t="s">
        <v>74</v>
      </c>
      <c r="BO389" s="1" t="s">
        <v>74</v>
      </c>
      <c r="BP389" s="1" t="s">
        <v>74</v>
      </c>
      <c r="BQ389" s="1" t="s">
        <v>74</v>
      </c>
      <c r="BR389" s="1" t="s">
        <v>74</v>
      </c>
      <c r="BS389" s="1" t="s">
        <v>3990</v>
      </c>
      <c r="BT389" s="1" t="str">
        <f>HYPERLINK("https%3A%2F%2Fwww.webofscience.com%2Fwos%2Fwoscc%2Ffull-record%2FWOS:000795029100001","View Full Record in Web of Science")</f>
        <v>View Full Record in Web of Science</v>
      </c>
    </row>
    <row r="390" ht="12.75" customHeight="1">
      <c r="A390" s="1" t="s">
        <v>72</v>
      </c>
      <c r="B390" s="1" t="s">
        <v>3991</v>
      </c>
      <c r="C390" s="1" t="s">
        <v>74</v>
      </c>
      <c r="D390" s="1" t="s">
        <v>74</v>
      </c>
      <c r="E390" s="1" t="s">
        <v>74</v>
      </c>
      <c r="F390" s="1" t="s">
        <v>3992</v>
      </c>
      <c r="G390" s="1" t="s">
        <v>74</v>
      </c>
      <c r="H390" s="1" t="s">
        <v>74</v>
      </c>
      <c r="I390" s="1" t="s">
        <v>3993</v>
      </c>
      <c r="J390" s="1" t="s">
        <v>264</v>
      </c>
      <c r="K390" s="1" t="s">
        <v>74</v>
      </c>
      <c r="L390" s="1" t="s">
        <v>74</v>
      </c>
      <c r="M390" s="1" t="s">
        <v>74</v>
      </c>
      <c r="N390" s="1" t="s">
        <v>74</v>
      </c>
      <c r="O390" s="1" t="s">
        <v>74</v>
      </c>
      <c r="P390" s="1" t="s">
        <v>74</v>
      </c>
      <c r="Q390" s="1" t="s">
        <v>74</v>
      </c>
      <c r="R390" s="1" t="s">
        <v>74</v>
      </c>
      <c r="S390" s="1" t="s">
        <v>74</v>
      </c>
      <c r="T390" s="1" t="s">
        <v>74</v>
      </c>
      <c r="U390" s="1" t="s">
        <v>74</v>
      </c>
      <c r="V390" s="1" t="s">
        <v>3994</v>
      </c>
      <c r="W390" s="1" t="s">
        <v>74</v>
      </c>
      <c r="X390" s="1" t="s">
        <v>74</v>
      </c>
      <c r="Y390" s="1" t="s">
        <v>74</v>
      </c>
      <c r="Z390" s="1" t="s">
        <v>74</v>
      </c>
      <c r="AA390" s="1" t="s">
        <v>3995</v>
      </c>
      <c r="AB390" s="1" t="s">
        <v>3996</v>
      </c>
      <c r="AC390" s="1" t="s">
        <v>74</v>
      </c>
      <c r="AD390" s="1" t="s">
        <v>74</v>
      </c>
      <c r="AE390" s="1" t="s">
        <v>74</v>
      </c>
      <c r="AF390" s="1" t="s">
        <v>74</v>
      </c>
      <c r="AG390" s="1" t="s">
        <v>74</v>
      </c>
      <c r="AH390" s="1" t="s">
        <v>74</v>
      </c>
      <c r="AI390" s="1" t="s">
        <v>74</v>
      </c>
      <c r="AJ390" s="1" t="s">
        <v>74</v>
      </c>
      <c r="AK390" s="1" t="s">
        <v>74</v>
      </c>
      <c r="AL390" s="1" t="s">
        <v>74</v>
      </c>
      <c r="AM390" s="1" t="s">
        <v>74</v>
      </c>
      <c r="AN390" s="1" t="s">
        <v>74</v>
      </c>
      <c r="AO390" s="1" t="s">
        <v>268</v>
      </c>
      <c r="AP390" s="1" t="s">
        <v>269</v>
      </c>
      <c r="AQ390" s="1" t="s">
        <v>74</v>
      </c>
      <c r="AR390" s="1" t="s">
        <v>74</v>
      </c>
      <c r="AS390" s="1" t="s">
        <v>74</v>
      </c>
      <c r="AT390" s="1" t="s">
        <v>739</v>
      </c>
      <c r="AU390" s="1">
        <v>2022.0</v>
      </c>
      <c r="AV390" s="1">
        <v>354.0</v>
      </c>
      <c r="AW390" s="1" t="s">
        <v>74</v>
      </c>
      <c r="AX390" s="1" t="s">
        <v>74</v>
      </c>
      <c r="AY390" s="1" t="s">
        <v>74</v>
      </c>
      <c r="AZ390" s="1" t="s">
        <v>74</v>
      </c>
      <c r="BA390" s="1" t="s">
        <v>74</v>
      </c>
      <c r="BB390" s="1" t="s">
        <v>74</v>
      </c>
      <c r="BC390" s="1" t="s">
        <v>74</v>
      </c>
      <c r="BD390" s="1">
        <v>118861.0</v>
      </c>
      <c r="BE390" s="1" t="s">
        <v>3997</v>
      </c>
      <c r="BF390" s="2" t="str">
        <f>HYPERLINK("http://dx.doi.org/10.1016/j.molliq.2022.118861","http://dx.doi.org/10.1016/j.molliq.2022.118861")</f>
        <v>http://dx.doi.org/10.1016/j.molliq.2022.118861</v>
      </c>
      <c r="BG390" s="1" t="s">
        <v>74</v>
      </c>
      <c r="BH390" s="1" t="s">
        <v>3488</v>
      </c>
      <c r="BI390" s="1" t="s">
        <v>74</v>
      </c>
      <c r="BJ390" s="1" t="s">
        <v>74</v>
      </c>
      <c r="BK390" s="1" t="s">
        <v>74</v>
      </c>
      <c r="BL390" s="1" t="s">
        <v>74</v>
      </c>
      <c r="BM390" s="1" t="s">
        <v>74</v>
      </c>
      <c r="BN390" s="1" t="s">
        <v>74</v>
      </c>
      <c r="BO390" s="1" t="s">
        <v>74</v>
      </c>
      <c r="BP390" s="1" t="s">
        <v>74</v>
      </c>
      <c r="BQ390" s="1" t="s">
        <v>74</v>
      </c>
      <c r="BR390" s="1" t="s">
        <v>74</v>
      </c>
      <c r="BS390" s="1" t="s">
        <v>3998</v>
      </c>
      <c r="BT390" s="1" t="str">
        <f>HYPERLINK("https%3A%2F%2Fwww.webofscience.com%2Fwos%2Fwoscc%2Ffull-record%2FWOS:000790735100016","View Full Record in Web of Science")</f>
        <v>View Full Record in Web of Science</v>
      </c>
    </row>
    <row r="391" ht="12.75" customHeight="1">
      <c r="A391" s="1" t="s">
        <v>182</v>
      </c>
      <c r="B391" s="1" t="s">
        <v>3999</v>
      </c>
      <c r="C391" s="1" t="s">
        <v>74</v>
      </c>
      <c r="D391" s="1" t="s">
        <v>4000</v>
      </c>
      <c r="E391" s="1" t="s">
        <v>74</v>
      </c>
      <c r="F391" s="1" t="s">
        <v>4001</v>
      </c>
      <c r="G391" s="1" t="s">
        <v>74</v>
      </c>
      <c r="H391" s="1" t="s">
        <v>74</v>
      </c>
      <c r="I391" s="1" t="s">
        <v>4002</v>
      </c>
      <c r="J391" s="1" t="s">
        <v>4003</v>
      </c>
      <c r="K391" s="1" t="s">
        <v>380</v>
      </c>
      <c r="L391" s="1" t="s">
        <v>74</v>
      </c>
      <c r="M391" s="1" t="s">
        <v>74</v>
      </c>
      <c r="N391" s="1" t="s">
        <v>74</v>
      </c>
      <c r="O391" s="1" t="s">
        <v>4004</v>
      </c>
      <c r="P391" s="1" t="s">
        <v>4005</v>
      </c>
      <c r="Q391" s="1" t="s">
        <v>4006</v>
      </c>
      <c r="R391" s="1" t="s">
        <v>74</v>
      </c>
      <c r="S391" s="1" t="s">
        <v>74</v>
      </c>
      <c r="T391" s="1" t="s">
        <v>74</v>
      </c>
      <c r="U391" s="1" t="s">
        <v>74</v>
      </c>
      <c r="V391" s="1" t="s">
        <v>4007</v>
      </c>
      <c r="W391" s="1" t="s">
        <v>74</v>
      </c>
      <c r="X391" s="1" t="s">
        <v>74</v>
      </c>
      <c r="Y391" s="1" t="s">
        <v>74</v>
      </c>
      <c r="Z391" s="1" t="s">
        <v>74</v>
      </c>
      <c r="AA391" s="1" t="s">
        <v>4008</v>
      </c>
      <c r="AB391" s="1" t="s">
        <v>74</v>
      </c>
      <c r="AC391" s="1" t="s">
        <v>74</v>
      </c>
      <c r="AD391" s="1" t="s">
        <v>74</v>
      </c>
      <c r="AE391" s="1" t="s">
        <v>74</v>
      </c>
      <c r="AF391" s="1" t="s">
        <v>74</v>
      </c>
      <c r="AG391" s="1" t="s">
        <v>74</v>
      </c>
      <c r="AH391" s="1" t="s">
        <v>74</v>
      </c>
      <c r="AI391" s="1" t="s">
        <v>74</v>
      </c>
      <c r="AJ391" s="1" t="s">
        <v>74</v>
      </c>
      <c r="AK391" s="1" t="s">
        <v>74</v>
      </c>
      <c r="AL391" s="1" t="s">
        <v>74</v>
      </c>
      <c r="AM391" s="1" t="s">
        <v>74</v>
      </c>
      <c r="AN391" s="1" t="s">
        <v>74</v>
      </c>
      <c r="AO391" s="1" t="s">
        <v>388</v>
      </c>
      <c r="AP391" s="1" t="s">
        <v>74</v>
      </c>
      <c r="AQ391" s="1" t="s">
        <v>74</v>
      </c>
      <c r="AR391" s="1" t="s">
        <v>74</v>
      </c>
      <c r="AS391" s="1" t="s">
        <v>74</v>
      </c>
      <c r="AT391" s="1" t="s">
        <v>74</v>
      </c>
      <c r="AU391" s="1">
        <v>2022.0</v>
      </c>
      <c r="AV391" s="1">
        <v>199.0</v>
      </c>
      <c r="AW391" s="1" t="s">
        <v>74</v>
      </c>
      <c r="AX391" s="1" t="s">
        <v>74</v>
      </c>
      <c r="AY391" s="1" t="s">
        <v>74</v>
      </c>
      <c r="AZ391" s="1" t="s">
        <v>74</v>
      </c>
      <c r="BA391" s="1" t="s">
        <v>74</v>
      </c>
      <c r="BB391" s="1">
        <v>1416.0</v>
      </c>
      <c r="BC391" s="1">
        <v>1423.0</v>
      </c>
      <c r="BD391" s="1" t="s">
        <v>74</v>
      </c>
      <c r="BE391" s="1" t="s">
        <v>4009</v>
      </c>
      <c r="BF391" s="2" t="str">
        <f>HYPERLINK("http://dx.doi.org/10.1016/j.procs.2022.01.179","http://dx.doi.org/10.1016/j.procs.2022.01.179")</f>
        <v>http://dx.doi.org/10.1016/j.procs.2022.01.179</v>
      </c>
      <c r="BG391" s="1" t="s">
        <v>74</v>
      </c>
      <c r="BH391" s="1" t="s">
        <v>259</v>
      </c>
      <c r="BI391" s="1" t="s">
        <v>74</v>
      </c>
      <c r="BJ391" s="1" t="s">
        <v>74</v>
      </c>
      <c r="BK391" s="1" t="s">
        <v>74</v>
      </c>
      <c r="BL391" s="1" t="s">
        <v>74</v>
      </c>
      <c r="BM391" s="1" t="s">
        <v>74</v>
      </c>
      <c r="BN391" s="1" t="s">
        <v>74</v>
      </c>
      <c r="BO391" s="1" t="s">
        <v>74</v>
      </c>
      <c r="BP391" s="1" t="s">
        <v>74</v>
      </c>
      <c r="BQ391" s="1" t="s">
        <v>74</v>
      </c>
      <c r="BR391" s="1" t="s">
        <v>74</v>
      </c>
      <c r="BS391" s="1" t="s">
        <v>4010</v>
      </c>
      <c r="BT391" s="1" t="str">
        <f>HYPERLINK("https%3A%2F%2Fwww.webofscience.com%2Fwos%2Fwoscc%2Ffull-record%2FWOS:000765802100182","View Full Record in Web of Science")</f>
        <v>View Full Record in Web of Science</v>
      </c>
    </row>
    <row r="392" ht="12.75" customHeight="1">
      <c r="A392" s="1" t="s">
        <v>72</v>
      </c>
      <c r="B392" s="1" t="s">
        <v>4011</v>
      </c>
      <c r="C392" s="1" t="s">
        <v>74</v>
      </c>
      <c r="D392" s="1" t="s">
        <v>74</v>
      </c>
      <c r="E392" s="1" t="s">
        <v>74</v>
      </c>
      <c r="F392" s="1" t="s">
        <v>4012</v>
      </c>
      <c r="G392" s="1" t="s">
        <v>74</v>
      </c>
      <c r="H392" s="1" t="s">
        <v>74</v>
      </c>
      <c r="I392" s="1" t="s">
        <v>4013</v>
      </c>
      <c r="J392" s="1" t="s">
        <v>4014</v>
      </c>
      <c r="K392" s="1" t="s">
        <v>74</v>
      </c>
      <c r="L392" s="1" t="s">
        <v>74</v>
      </c>
      <c r="M392" s="1" t="s">
        <v>74</v>
      </c>
      <c r="N392" s="1" t="s">
        <v>74</v>
      </c>
      <c r="O392" s="1" t="s">
        <v>74</v>
      </c>
      <c r="P392" s="1" t="s">
        <v>74</v>
      </c>
      <c r="Q392" s="1" t="s">
        <v>74</v>
      </c>
      <c r="R392" s="1" t="s">
        <v>74</v>
      </c>
      <c r="S392" s="1" t="s">
        <v>74</v>
      </c>
      <c r="T392" s="1" t="s">
        <v>74</v>
      </c>
      <c r="U392" s="1" t="s">
        <v>74</v>
      </c>
      <c r="V392" s="1" t="s">
        <v>4015</v>
      </c>
      <c r="W392" s="1" t="s">
        <v>74</v>
      </c>
      <c r="X392" s="1" t="s">
        <v>74</v>
      </c>
      <c r="Y392" s="1" t="s">
        <v>74</v>
      </c>
      <c r="Z392" s="1" t="s">
        <v>74</v>
      </c>
      <c r="AA392" s="1" t="s">
        <v>736</v>
      </c>
      <c r="AB392" s="1" t="s">
        <v>4016</v>
      </c>
      <c r="AC392" s="1" t="s">
        <v>74</v>
      </c>
      <c r="AD392" s="1" t="s">
        <v>74</v>
      </c>
      <c r="AE392" s="1" t="s">
        <v>74</v>
      </c>
      <c r="AF392" s="1" t="s">
        <v>74</v>
      </c>
      <c r="AG392" s="1" t="s">
        <v>74</v>
      </c>
      <c r="AH392" s="1" t="s">
        <v>74</v>
      </c>
      <c r="AI392" s="1" t="s">
        <v>74</v>
      </c>
      <c r="AJ392" s="1" t="s">
        <v>74</v>
      </c>
      <c r="AK392" s="1" t="s">
        <v>74</v>
      </c>
      <c r="AL392" s="1" t="s">
        <v>74</v>
      </c>
      <c r="AM392" s="1" t="s">
        <v>74</v>
      </c>
      <c r="AN392" s="1" t="s">
        <v>74</v>
      </c>
      <c r="AO392" s="1" t="s">
        <v>74</v>
      </c>
      <c r="AP392" s="1" t="s">
        <v>4017</v>
      </c>
      <c r="AQ392" s="1" t="s">
        <v>74</v>
      </c>
      <c r="AR392" s="1" t="s">
        <v>74</v>
      </c>
      <c r="AS392" s="1" t="s">
        <v>74</v>
      </c>
      <c r="AT392" s="1" t="s">
        <v>678</v>
      </c>
      <c r="AU392" s="1">
        <v>2020.0</v>
      </c>
      <c r="AV392" s="1">
        <v>13.0</v>
      </c>
      <c r="AW392" s="1">
        <v>22.0</v>
      </c>
      <c r="AX392" s="1" t="s">
        <v>74</v>
      </c>
      <c r="AY392" s="1" t="s">
        <v>74</v>
      </c>
      <c r="AZ392" s="1" t="s">
        <v>74</v>
      </c>
      <c r="BA392" s="1" t="s">
        <v>74</v>
      </c>
      <c r="BB392" s="1" t="s">
        <v>74</v>
      </c>
      <c r="BC392" s="1" t="s">
        <v>74</v>
      </c>
      <c r="BD392" s="1">
        <v>5193.0</v>
      </c>
      <c r="BE392" s="1" t="s">
        <v>4018</v>
      </c>
      <c r="BF392" s="2" t="str">
        <f>HYPERLINK("http://dx.doi.org/10.3390/ma13225193","http://dx.doi.org/10.3390/ma13225193")</f>
        <v>http://dx.doi.org/10.3390/ma13225193</v>
      </c>
      <c r="BG392" s="1" t="s">
        <v>74</v>
      </c>
      <c r="BH392" s="1" t="s">
        <v>74</v>
      </c>
      <c r="BI392" s="1" t="s">
        <v>74</v>
      </c>
      <c r="BJ392" s="1" t="s">
        <v>74</v>
      </c>
      <c r="BK392" s="1" t="s">
        <v>74</v>
      </c>
      <c r="BL392" s="1" t="s">
        <v>74</v>
      </c>
      <c r="BM392" s="1" t="s">
        <v>74</v>
      </c>
      <c r="BN392" s="1">
        <v>3.3213023E7</v>
      </c>
      <c r="BO392" s="1" t="s">
        <v>74</v>
      </c>
      <c r="BP392" s="1" t="s">
        <v>74</v>
      </c>
      <c r="BQ392" s="1" t="s">
        <v>74</v>
      </c>
      <c r="BR392" s="1" t="s">
        <v>74</v>
      </c>
      <c r="BS392" s="1" t="s">
        <v>4019</v>
      </c>
      <c r="BT392" s="1" t="str">
        <f>HYPERLINK("https%3A%2F%2Fwww.webofscience.com%2Fwos%2Fwoscc%2Ffull-record%2FWOS:000594874000001","View Full Record in Web of Science")</f>
        <v>View Full Record in Web of Science</v>
      </c>
    </row>
    <row r="393" ht="12.75" customHeight="1">
      <c r="A393" s="1" t="s">
        <v>72</v>
      </c>
      <c r="B393" s="1" t="s">
        <v>4020</v>
      </c>
      <c r="C393" s="1" t="s">
        <v>74</v>
      </c>
      <c r="D393" s="1" t="s">
        <v>74</v>
      </c>
      <c r="E393" s="1" t="s">
        <v>74</v>
      </c>
      <c r="F393" s="1" t="s">
        <v>4021</v>
      </c>
      <c r="G393" s="1" t="s">
        <v>74</v>
      </c>
      <c r="H393" s="1" t="s">
        <v>74</v>
      </c>
      <c r="I393" s="1" t="s">
        <v>4022</v>
      </c>
      <c r="J393" s="1" t="s">
        <v>765</v>
      </c>
      <c r="K393" s="1" t="s">
        <v>74</v>
      </c>
      <c r="L393" s="1" t="s">
        <v>74</v>
      </c>
      <c r="M393" s="1" t="s">
        <v>74</v>
      </c>
      <c r="N393" s="1" t="s">
        <v>74</v>
      </c>
      <c r="O393" s="1" t="s">
        <v>74</v>
      </c>
      <c r="P393" s="1" t="s">
        <v>74</v>
      </c>
      <c r="Q393" s="1" t="s">
        <v>74</v>
      </c>
      <c r="R393" s="1" t="s">
        <v>74</v>
      </c>
      <c r="S393" s="1" t="s">
        <v>74</v>
      </c>
      <c r="T393" s="1" t="s">
        <v>74</v>
      </c>
      <c r="U393" s="1" t="s">
        <v>74</v>
      </c>
      <c r="V393" s="1" t="s">
        <v>4023</v>
      </c>
      <c r="W393" s="1" t="s">
        <v>74</v>
      </c>
      <c r="X393" s="1" t="s">
        <v>74</v>
      </c>
      <c r="Y393" s="1" t="s">
        <v>74</v>
      </c>
      <c r="Z393" s="1" t="s">
        <v>74</v>
      </c>
      <c r="AA393" s="1" t="s">
        <v>4024</v>
      </c>
      <c r="AB393" s="1" t="s">
        <v>4025</v>
      </c>
      <c r="AC393" s="1" t="s">
        <v>74</v>
      </c>
      <c r="AD393" s="1" t="s">
        <v>74</v>
      </c>
      <c r="AE393" s="1" t="s">
        <v>74</v>
      </c>
      <c r="AF393" s="1" t="s">
        <v>74</v>
      </c>
      <c r="AG393" s="1" t="s">
        <v>74</v>
      </c>
      <c r="AH393" s="1" t="s">
        <v>74</v>
      </c>
      <c r="AI393" s="1" t="s">
        <v>74</v>
      </c>
      <c r="AJ393" s="1" t="s">
        <v>74</v>
      </c>
      <c r="AK393" s="1" t="s">
        <v>74</v>
      </c>
      <c r="AL393" s="1" t="s">
        <v>74</v>
      </c>
      <c r="AM393" s="1" t="s">
        <v>74</v>
      </c>
      <c r="AN393" s="1" t="s">
        <v>74</v>
      </c>
      <c r="AO393" s="1" t="s">
        <v>769</v>
      </c>
      <c r="AP393" s="1" t="s">
        <v>74</v>
      </c>
      <c r="AQ393" s="1" t="s">
        <v>74</v>
      </c>
      <c r="AR393" s="1" t="s">
        <v>74</v>
      </c>
      <c r="AS393" s="1" t="s">
        <v>74</v>
      </c>
      <c r="AT393" s="1" t="s">
        <v>4026</v>
      </c>
      <c r="AU393" s="1">
        <v>2020.0</v>
      </c>
      <c r="AV393" s="1">
        <v>10.0</v>
      </c>
      <c r="AW393" s="1">
        <v>1.0</v>
      </c>
      <c r="AX393" s="1" t="s">
        <v>74</v>
      </c>
      <c r="AY393" s="1" t="s">
        <v>74</v>
      </c>
      <c r="AZ393" s="1" t="s">
        <v>74</v>
      </c>
      <c r="BA393" s="1" t="s">
        <v>74</v>
      </c>
      <c r="BB393" s="1" t="s">
        <v>74</v>
      </c>
      <c r="BC393" s="1" t="s">
        <v>74</v>
      </c>
      <c r="BD393" s="1">
        <v>16517.0</v>
      </c>
      <c r="BE393" s="1" t="s">
        <v>4027</v>
      </c>
      <c r="BF393" s="2" t="str">
        <f>HYPERLINK("http://dx.doi.org/10.1038/s41598-020-73458-6","http://dx.doi.org/10.1038/s41598-020-73458-6")</f>
        <v>http://dx.doi.org/10.1038/s41598-020-73458-6</v>
      </c>
      <c r="BG393" s="1" t="s">
        <v>74</v>
      </c>
      <c r="BH393" s="1" t="s">
        <v>74</v>
      </c>
      <c r="BI393" s="1" t="s">
        <v>74</v>
      </c>
      <c r="BJ393" s="1" t="s">
        <v>74</v>
      </c>
      <c r="BK393" s="1" t="s">
        <v>74</v>
      </c>
      <c r="BL393" s="1" t="s">
        <v>74</v>
      </c>
      <c r="BM393" s="1" t="s">
        <v>74</v>
      </c>
      <c r="BN393" s="1">
        <v>3.3020538E7</v>
      </c>
      <c r="BO393" s="1" t="s">
        <v>74</v>
      </c>
      <c r="BP393" s="1" t="s">
        <v>74</v>
      </c>
      <c r="BQ393" s="1" t="s">
        <v>74</v>
      </c>
      <c r="BR393" s="1" t="s">
        <v>74</v>
      </c>
      <c r="BS393" s="1" t="s">
        <v>4028</v>
      </c>
      <c r="BT393" s="1" t="str">
        <f>HYPERLINK("https%3A%2F%2Fwww.webofscience.com%2Fwos%2Fwoscc%2Ffull-record%2FWOS:000577291800028","View Full Record in Web of Science")</f>
        <v>View Full Record in Web of Science</v>
      </c>
    </row>
    <row r="394" ht="12.75" customHeight="1">
      <c r="A394" s="1" t="s">
        <v>72</v>
      </c>
      <c r="B394" s="1" t="s">
        <v>4029</v>
      </c>
      <c r="C394" s="1" t="s">
        <v>74</v>
      </c>
      <c r="D394" s="1" t="s">
        <v>74</v>
      </c>
      <c r="E394" s="1" t="s">
        <v>74</v>
      </c>
      <c r="F394" s="1" t="s">
        <v>4030</v>
      </c>
      <c r="G394" s="1" t="s">
        <v>74</v>
      </c>
      <c r="H394" s="1" t="s">
        <v>74</v>
      </c>
      <c r="I394" s="1" t="s">
        <v>4031</v>
      </c>
      <c r="J394" s="1" t="s">
        <v>3619</v>
      </c>
      <c r="K394" s="1" t="s">
        <v>74</v>
      </c>
      <c r="L394" s="1" t="s">
        <v>74</v>
      </c>
      <c r="M394" s="1" t="s">
        <v>74</v>
      </c>
      <c r="N394" s="1" t="s">
        <v>74</v>
      </c>
      <c r="O394" s="1" t="s">
        <v>74</v>
      </c>
      <c r="P394" s="1" t="s">
        <v>74</v>
      </c>
      <c r="Q394" s="1" t="s">
        <v>74</v>
      </c>
      <c r="R394" s="1" t="s">
        <v>74</v>
      </c>
      <c r="S394" s="1" t="s">
        <v>74</v>
      </c>
      <c r="T394" s="1" t="s">
        <v>74</v>
      </c>
      <c r="U394" s="1" t="s">
        <v>74</v>
      </c>
      <c r="V394" s="1" t="s">
        <v>4032</v>
      </c>
      <c r="W394" s="1" t="s">
        <v>74</v>
      </c>
      <c r="X394" s="1" t="s">
        <v>74</v>
      </c>
      <c r="Y394" s="1" t="s">
        <v>74</v>
      </c>
      <c r="Z394" s="1" t="s">
        <v>74</v>
      </c>
      <c r="AA394" s="1" t="s">
        <v>3621</v>
      </c>
      <c r="AB394" s="1" t="s">
        <v>4033</v>
      </c>
      <c r="AC394" s="1" t="s">
        <v>74</v>
      </c>
      <c r="AD394" s="1" t="s">
        <v>74</v>
      </c>
      <c r="AE394" s="1" t="s">
        <v>74</v>
      </c>
      <c r="AF394" s="1" t="s">
        <v>74</v>
      </c>
      <c r="AG394" s="1" t="s">
        <v>74</v>
      </c>
      <c r="AH394" s="1" t="s">
        <v>74</v>
      </c>
      <c r="AI394" s="1" t="s">
        <v>74</v>
      </c>
      <c r="AJ394" s="1" t="s">
        <v>74</v>
      </c>
      <c r="AK394" s="1" t="s">
        <v>74</v>
      </c>
      <c r="AL394" s="1" t="s">
        <v>74</v>
      </c>
      <c r="AM394" s="1" t="s">
        <v>74</v>
      </c>
      <c r="AN394" s="1" t="s">
        <v>74</v>
      </c>
      <c r="AO394" s="1" t="s">
        <v>3623</v>
      </c>
      <c r="AP394" s="1" t="s">
        <v>3624</v>
      </c>
      <c r="AQ394" s="1" t="s">
        <v>74</v>
      </c>
      <c r="AR394" s="1" t="s">
        <v>74</v>
      </c>
      <c r="AS394" s="1" t="s">
        <v>74</v>
      </c>
      <c r="AT394" s="1" t="s">
        <v>90</v>
      </c>
      <c r="AU394" s="1">
        <v>2020.0</v>
      </c>
      <c r="AV394" s="1">
        <v>270.0</v>
      </c>
      <c r="AW394" s="1" t="s">
        <v>74</v>
      </c>
      <c r="AX394" s="1" t="s">
        <v>74</v>
      </c>
      <c r="AY394" s="1" t="s">
        <v>74</v>
      </c>
      <c r="AZ394" s="1" t="s">
        <v>74</v>
      </c>
      <c r="BA394" s="1" t="s">
        <v>74</v>
      </c>
      <c r="BB394" s="1" t="s">
        <v>74</v>
      </c>
      <c r="BC394" s="1" t="s">
        <v>74</v>
      </c>
      <c r="BD394" s="1">
        <v>110835.0</v>
      </c>
      <c r="BE394" s="1" t="s">
        <v>4034</v>
      </c>
      <c r="BF394" s="2" t="str">
        <f>HYPERLINK("http://dx.doi.org/10.1016/j.jenvman.2020.110835","http://dx.doi.org/10.1016/j.jenvman.2020.110835")</f>
        <v>http://dx.doi.org/10.1016/j.jenvman.2020.110835</v>
      </c>
      <c r="BG394" s="1" t="s">
        <v>74</v>
      </c>
      <c r="BH394" s="1" t="s">
        <v>74</v>
      </c>
      <c r="BI394" s="1" t="s">
        <v>74</v>
      </c>
      <c r="BJ394" s="1" t="s">
        <v>74</v>
      </c>
      <c r="BK394" s="1" t="s">
        <v>74</v>
      </c>
      <c r="BL394" s="1" t="s">
        <v>74</v>
      </c>
      <c r="BM394" s="1" t="s">
        <v>74</v>
      </c>
      <c r="BN394" s="1">
        <v>3.2501237E7</v>
      </c>
      <c r="BO394" s="1" t="s">
        <v>74</v>
      </c>
      <c r="BP394" s="1" t="s">
        <v>74</v>
      </c>
      <c r="BQ394" s="1" t="s">
        <v>74</v>
      </c>
      <c r="BR394" s="1" t="s">
        <v>74</v>
      </c>
      <c r="BS394" s="1" t="s">
        <v>4035</v>
      </c>
      <c r="BT394" s="1" t="str">
        <f>HYPERLINK("https%3A%2F%2Fwww.webofscience.com%2Fwos%2Fwoscc%2Ffull-record%2FWOS:000554920300038","View Full Record in Web of Science")</f>
        <v>View Full Record in Web of Science</v>
      </c>
    </row>
    <row r="395" ht="12.75" customHeight="1">
      <c r="A395" s="1" t="s">
        <v>72</v>
      </c>
      <c r="B395" s="1" t="s">
        <v>4036</v>
      </c>
      <c r="C395" s="1" t="s">
        <v>74</v>
      </c>
      <c r="D395" s="1" t="s">
        <v>74</v>
      </c>
      <c r="E395" s="1" t="s">
        <v>74</v>
      </c>
      <c r="F395" s="1" t="s">
        <v>4037</v>
      </c>
      <c r="G395" s="1" t="s">
        <v>74</v>
      </c>
      <c r="H395" s="1" t="s">
        <v>74</v>
      </c>
      <c r="I395" s="1" t="s">
        <v>4038</v>
      </c>
      <c r="J395" s="1" t="s">
        <v>229</v>
      </c>
      <c r="K395" s="1" t="s">
        <v>74</v>
      </c>
      <c r="L395" s="1" t="s">
        <v>74</v>
      </c>
      <c r="M395" s="1" t="s">
        <v>74</v>
      </c>
      <c r="N395" s="1" t="s">
        <v>74</v>
      </c>
      <c r="O395" s="1" t="s">
        <v>74</v>
      </c>
      <c r="P395" s="1" t="s">
        <v>74</v>
      </c>
      <c r="Q395" s="1" t="s">
        <v>74</v>
      </c>
      <c r="R395" s="1" t="s">
        <v>74</v>
      </c>
      <c r="S395" s="1" t="s">
        <v>74</v>
      </c>
      <c r="T395" s="1" t="s">
        <v>74</v>
      </c>
      <c r="U395" s="1" t="s">
        <v>74</v>
      </c>
      <c r="V395" s="1" t="s">
        <v>4039</v>
      </c>
      <c r="W395" s="1" t="s">
        <v>74</v>
      </c>
      <c r="X395" s="1" t="s">
        <v>74</v>
      </c>
      <c r="Y395" s="1" t="s">
        <v>74</v>
      </c>
      <c r="Z395" s="1" t="s">
        <v>74</v>
      </c>
      <c r="AA395" s="1" t="s">
        <v>4040</v>
      </c>
      <c r="AB395" s="1" t="s">
        <v>4041</v>
      </c>
      <c r="AC395" s="1" t="s">
        <v>74</v>
      </c>
      <c r="AD395" s="1" t="s">
        <v>74</v>
      </c>
      <c r="AE395" s="1" t="s">
        <v>74</v>
      </c>
      <c r="AF395" s="1" t="s">
        <v>74</v>
      </c>
      <c r="AG395" s="1" t="s">
        <v>74</v>
      </c>
      <c r="AH395" s="1" t="s">
        <v>74</v>
      </c>
      <c r="AI395" s="1" t="s">
        <v>74</v>
      </c>
      <c r="AJ395" s="1" t="s">
        <v>74</v>
      </c>
      <c r="AK395" s="1" t="s">
        <v>74</v>
      </c>
      <c r="AL395" s="1" t="s">
        <v>74</v>
      </c>
      <c r="AM395" s="1" t="s">
        <v>74</v>
      </c>
      <c r="AN395" s="1" t="s">
        <v>74</v>
      </c>
      <c r="AO395" s="1" t="s">
        <v>233</v>
      </c>
      <c r="AP395" s="1" t="s">
        <v>234</v>
      </c>
      <c r="AQ395" s="1" t="s">
        <v>74</v>
      </c>
      <c r="AR395" s="1" t="s">
        <v>74</v>
      </c>
      <c r="AS395" s="1" t="s">
        <v>74</v>
      </c>
      <c r="AT395" s="1" t="s">
        <v>180</v>
      </c>
      <c r="AU395" s="1">
        <v>2020.0</v>
      </c>
      <c r="AV395" s="1">
        <v>247.0</v>
      </c>
      <c r="AW395" s="1" t="s">
        <v>74</v>
      </c>
      <c r="AX395" s="1" t="s">
        <v>74</v>
      </c>
      <c r="AY395" s="1" t="s">
        <v>74</v>
      </c>
      <c r="AZ395" s="1" t="s">
        <v>74</v>
      </c>
      <c r="BA395" s="1" t="s">
        <v>74</v>
      </c>
      <c r="BB395" s="1" t="s">
        <v>74</v>
      </c>
      <c r="BC395" s="1" t="s">
        <v>74</v>
      </c>
      <c r="BD395" s="1">
        <v>125813.0</v>
      </c>
      <c r="BE395" s="1" t="s">
        <v>4042</v>
      </c>
      <c r="BF395" s="2" t="str">
        <f>HYPERLINK("http://dx.doi.org/10.1016/j.chemosphere.2020.125813","http://dx.doi.org/10.1016/j.chemosphere.2020.125813")</f>
        <v>http://dx.doi.org/10.1016/j.chemosphere.2020.125813</v>
      </c>
      <c r="BG395" s="1" t="s">
        <v>74</v>
      </c>
      <c r="BH395" s="1" t="s">
        <v>74</v>
      </c>
      <c r="BI395" s="1" t="s">
        <v>74</v>
      </c>
      <c r="BJ395" s="1" t="s">
        <v>74</v>
      </c>
      <c r="BK395" s="1" t="s">
        <v>74</v>
      </c>
      <c r="BL395" s="1" t="s">
        <v>74</v>
      </c>
      <c r="BM395" s="1" t="s">
        <v>74</v>
      </c>
      <c r="BN395" s="1">
        <v>3.1951953E7</v>
      </c>
      <c r="BO395" s="1" t="s">
        <v>74</v>
      </c>
      <c r="BP395" s="1" t="s">
        <v>74</v>
      </c>
      <c r="BQ395" s="1" t="s">
        <v>74</v>
      </c>
      <c r="BR395" s="1" t="s">
        <v>74</v>
      </c>
      <c r="BS395" s="1" t="s">
        <v>4043</v>
      </c>
      <c r="BT395" s="1" t="str">
        <f>HYPERLINK("https%3A%2F%2Fwww.webofscience.com%2Fwos%2Fwoscc%2Ffull-record%2FWOS:000527924400022","View Full Record in Web of Science")</f>
        <v>View Full Record in Web of Science</v>
      </c>
    </row>
    <row r="396" ht="12.75" customHeight="1">
      <c r="A396" s="1" t="s">
        <v>72</v>
      </c>
      <c r="B396" s="1" t="s">
        <v>4044</v>
      </c>
      <c r="C396" s="1" t="s">
        <v>74</v>
      </c>
      <c r="D396" s="1" t="s">
        <v>74</v>
      </c>
      <c r="E396" s="1" t="s">
        <v>74</v>
      </c>
      <c r="F396" s="1" t="s">
        <v>4045</v>
      </c>
      <c r="G396" s="1" t="s">
        <v>74</v>
      </c>
      <c r="H396" s="1" t="s">
        <v>74</v>
      </c>
      <c r="I396" s="1" t="s">
        <v>4046</v>
      </c>
      <c r="J396" s="1" t="s">
        <v>690</v>
      </c>
      <c r="K396" s="1" t="s">
        <v>74</v>
      </c>
      <c r="L396" s="1" t="s">
        <v>74</v>
      </c>
      <c r="M396" s="1" t="s">
        <v>74</v>
      </c>
      <c r="N396" s="1" t="s">
        <v>74</v>
      </c>
      <c r="O396" s="1" t="s">
        <v>74</v>
      </c>
      <c r="P396" s="1" t="s">
        <v>74</v>
      </c>
      <c r="Q396" s="1" t="s">
        <v>74</v>
      </c>
      <c r="R396" s="1" t="s">
        <v>74</v>
      </c>
      <c r="S396" s="1" t="s">
        <v>74</v>
      </c>
      <c r="T396" s="1" t="s">
        <v>74</v>
      </c>
      <c r="U396" s="1" t="s">
        <v>74</v>
      </c>
      <c r="V396" s="1" t="s">
        <v>4047</v>
      </c>
      <c r="W396" s="1" t="s">
        <v>74</v>
      </c>
      <c r="X396" s="1" t="s">
        <v>74</v>
      </c>
      <c r="Y396" s="1" t="s">
        <v>74</v>
      </c>
      <c r="Z396" s="1" t="s">
        <v>74</v>
      </c>
      <c r="AA396" s="1" t="s">
        <v>4048</v>
      </c>
      <c r="AB396" s="1" t="s">
        <v>4049</v>
      </c>
      <c r="AC396" s="1" t="s">
        <v>74</v>
      </c>
      <c r="AD396" s="1" t="s">
        <v>74</v>
      </c>
      <c r="AE396" s="1" t="s">
        <v>74</v>
      </c>
      <c r="AF396" s="1" t="s">
        <v>74</v>
      </c>
      <c r="AG396" s="1" t="s">
        <v>74</v>
      </c>
      <c r="AH396" s="1" t="s">
        <v>74</v>
      </c>
      <c r="AI396" s="1" t="s">
        <v>74</v>
      </c>
      <c r="AJ396" s="1" t="s">
        <v>74</v>
      </c>
      <c r="AK396" s="1" t="s">
        <v>74</v>
      </c>
      <c r="AL396" s="1" t="s">
        <v>74</v>
      </c>
      <c r="AM396" s="1" t="s">
        <v>74</v>
      </c>
      <c r="AN396" s="1" t="s">
        <v>74</v>
      </c>
      <c r="AO396" s="1" t="s">
        <v>4050</v>
      </c>
      <c r="AP396" s="1" t="s">
        <v>4051</v>
      </c>
      <c r="AQ396" s="1" t="s">
        <v>74</v>
      </c>
      <c r="AR396" s="1" t="s">
        <v>74</v>
      </c>
      <c r="AS396" s="1" t="s">
        <v>74</v>
      </c>
      <c r="AT396" s="1" t="s">
        <v>4052</v>
      </c>
      <c r="AU396" s="1">
        <v>2020.0</v>
      </c>
      <c r="AV396" s="1">
        <v>101.0</v>
      </c>
      <c r="AW396" s="1">
        <v>3.0</v>
      </c>
      <c r="AX396" s="1" t="s">
        <v>74</v>
      </c>
      <c r="AY396" s="1" t="s">
        <v>74</v>
      </c>
      <c r="AZ396" s="1" t="s">
        <v>74</v>
      </c>
      <c r="BA396" s="1" t="s">
        <v>74</v>
      </c>
      <c r="BB396" s="1" t="s">
        <v>74</v>
      </c>
      <c r="BC396" s="1" t="s">
        <v>74</v>
      </c>
      <c r="BD396" s="1">
        <v>32705.0</v>
      </c>
      <c r="BE396" s="1" t="s">
        <v>4053</v>
      </c>
      <c r="BF396" s="2" t="str">
        <f>HYPERLINK("http://dx.doi.org/10.1103/PhysRevA.101.032705","http://dx.doi.org/10.1103/PhysRevA.101.032705")</f>
        <v>http://dx.doi.org/10.1103/PhysRevA.101.032705</v>
      </c>
      <c r="BG396" s="1" t="s">
        <v>74</v>
      </c>
      <c r="BH396" s="1" t="s">
        <v>74</v>
      </c>
      <c r="BI396" s="1" t="s">
        <v>74</v>
      </c>
      <c r="BJ396" s="1" t="s">
        <v>74</v>
      </c>
      <c r="BK396" s="1" t="s">
        <v>74</v>
      </c>
      <c r="BL396" s="1" t="s">
        <v>74</v>
      </c>
      <c r="BM396" s="1" t="s">
        <v>74</v>
      </c>
      <c r="BN396" s="1" t="s">
        <v>74</v>
      </c>
      <c r="BO396" s="1" t="s">
        <v>74</v>
      </c>
      <c r="BP396" s="1" t="s">
        <v>74</v>
      </c>
      <c r="BQ396" s="1" t="s">
        <v>74</v>
      </c>
      <c r="BR396" s="1" t="s">
        <v>74</v>
      </c>
      <c r="BS396" s="1" t="s">
        <v>4054</v>
      </c>
      <c r="BT396" s="1" t="str">
        <f>HYPERLINK("https%3A%2F%2Fwww.webofscience.com%2Fwos%2Fwoscc%2Ffull-record%2FWOS:000521001500010","View Full Record in Web of Science")</f>
        <v>View Full Record in Web of Science</v>
      </c>
    </row>
    <row r="397" ht="12.75" customHeight="1">
      <c r="A397" s="1" t="s">
        <v>72</v>
      </c>
      <c r="B397" s="1" t="s">
        <v>4055</v>
      </c>
      <c r="C397" s="1" t="s">
        <v>74</v>
      </c>
      <c r="D397" s="1" t="s">
        <v>74</v>
      </c>
      <c r="E397" s="1" t="s">
        <v>74</v>
      </c>
      <c r="F397" s="1" t="s">
        <v>4056</v>
      </c>
      <c r="G397" s="1" t="s">
        <v>74</v>
      </c>
      <c r="H397" s="1" t="s">
        <v>74</v>
      </c>
      <c r="I397" s="1" t="s">
        <v>4057</v>
      </c>
      <c r="J397" s="1" t="s">
        <v>4058</v>
      </c>
      <c r="K397" s="1" t="s">
        <v>74</v>
      </c>
      <c r="L397" s="1" t="s">
        <v>74</v>
      </c>
      <c r="M397" s="1" t="s">
        <v>74</v>
      </c>
      <c r="N397" s="1" t="s">
        <v>74</v>
      </c>
      <c r="O397" s="1" t="s">
        <v>74</v>
      </c>
      <c r="P397" s="1" t="s">
        <v>74</v>
      </c>
      <c r="Q397" s="1" t="s">
        <v>74</v>
      </c>
      <c r="R397" s="1" t="s">
        <v>74</v>
      </c>
      <c r="S397" s="1" t="s">
        <v>74</v>
      </c>
      <c r="T397" s="1" t="s">
        <v>74</v>
      </c>
      <c r="U397" s="1" t="s">
        <v>74</v>
      </c>
      <c r="V397" s="1" t="s">
        <v>4059</v>
      </c>
      <c r="W397" s="1" t="s">
        <v>74</v>
      </c>
      <c r="X397" s="1" t="s">
        <v>74</v>
      </c>
      <c r="Y397" s="1" t="s">
        <v>74</v>
      </c>
      <c r="Z397" s="1" t="s">
        <v>74</v>
      </c>
      <c r="AA397" s="1" t="s">
        <v>4060</v>
      </c>
      <c r="AB397" s="1" t="s">
        <v>4061</v>
      </c>
      <c r="AC397" s="1" t="s">
        <v>74</v>
      </c>
      <c r="AD397" s="1" t="s">
        <v>74</v>
      </c>
      <c r="AE397" s="1" t="s">
        <v>74</v>
      </c>
      <c r="AF397" s="1" t="s">
        <v>74</v>
      </c>
      <c r="AG397" s="1" t="s">
        <v>74</v>
      </c>
      <c r="AH397" s="1" t="s">
        <v>74</v>
      </c>
      <c r="AI397" s="1" t="s">
        <v>74</v>
      </c>
      <c r="AJ397" s="1" t="s">
        <v>74</v>
      </c>
      <c r="AK397" s="1" t="s">
        <v>74</v>
      </c>
      <c r="AL397" s="1" t="s">
        <v>74</v>
      </c>
      <c r="AM397" s="1" t="s">
        <v>74</v>
      </c>
      <c r="AN397" s="1" t="s">
        <v>74</v>
      </c>
      <c r="AO397" s="1" t="s">
        <v>4062</v>
      </c>
      <c r="AP397" s="1" t="s">
        <v>4063</v>
      </c>
      <c r="AQ397" s="1" t="s">
        <v>74</v>
      </c>
      <c r="AR397" s="1" t="s">
        <v>74</v>
      </c>
      <c r="AS397" s="1" t="s">
        <v>74</v>
      </c>
      <c r="AT397" s="1" t="s">
        <v>652</v>
      </c>
      <c r="AU397" s="1">
        <v>2018.0</v>
      </c>
      <c r="AV397" s="1">
        <v>169.0</v>
      </c>
      <c r="AW397" s="1">
        <v>10.0</v>
      </c>
      <c r="AX397" s="1" t="s">
        <v>74</v>
      </c>
      <c r="AY397" s="1" t="s">
        <v>74</v>
      </c>
      <c r="AZ397" s="1" t="s">
        <v>445</v>
      </c>
      <c r="BA397" s="1" t="s">
        <v>74</v>
      </c>
      <c r="BB397" s="1">
        <v>618.0</v>
      </c>
      <c r="BC397" s="1">
        <v>627.0</v>
      </c>
      <c r="BD397" s="1" t="s">
        <v>74</v>
      </c>
      <c r="BE397" s="1" t="s">
        <v>4064</v>
      </c>
      <c r="BF397" s="2" t="str">
        <f>HYPERLINK("http://dx.doi.org/10.1016/j.resmic.2018.05.009","http://dx.doi.org/10.1016/j.resmic.2018.05.009")</f>
        <v>http://dx.doi.org/10.1016/j.resmic.2018.05.009</v>
      </c>
      <c r="BG397" s="1" t="s">
        <v>74</v>
      </c>
      <c r="BH397" s="1" t="s">
        <v>74</v>
      </c>
      <c r="BI397" s="1" t="s">
        <v>74</v>
      </c>
      <c r="BJ397" s="1" t="s">
        <v>74</v>
      </c>
      <c r="BK397" s="1" t="s">
        <v>74</v>
      </c>
      <c r="BL397" s="1" t="s">
        <v>74</v>
      </c>
      <c r="BM397" s="1" t="s">
        <v>74</v>
      </c>
      <c r="BN397" s="1">
        <v>2.9864487E7</v>
      </c>
      <c r="BO397" s="1" t="s">
        <v>74</v>
      </c>
      <c r="BP397" s="1" t="s">
        <v>74</v>
      </c>
      <c r="BQ397" s="1" t="s">
        <v>74</v>
      </c>
      <c r="BR397" s="1" t="s">
        <v>74</v>
      </c>
      <c r="BS397" s="1" t="s">
        <v>4065</v>
      </c>
      <c r="BT397" s="1" t="str">
        <f>HYPERLINK("https%3A%2F%2Fwww.webofscience.com%2Fwos%2Fwoscc%2Ffull-record%2FWOS:000452002300010","View Full Record in Web of Science")</f>
        <v>View Full Record in Web of Science</v>
      </c>
    </row>
    <row r="398" ht="12.75" customHeight="1">
      <c r="A398" s="1" t="s">
        <v>72</v>
      </c>
      <c r="B398" s="1" t="s">
        <v>4066</v>
      </c>
      <c r="C398" s="1" t="s">
        <v>74</v>
      </c>
      <c r="D398" s="1" t="s">
        <v>74</v>
      </c>
      <c r="E398" s="1" t="s">
        <v>74</v>
      </c>
      <c r="F398" s="1" t="s">
        <v>4067</v>
      </c>
      <c r="G398" s="1" t="s">
        <v>74</v>
      </c>
      <c r="H398" s="1" t="s">
        <v>74</v>
      </c>
      <c r="I398" s="1" t="s">
        <v>4068</v>
      </c>
      <c r="J398" s="1" t="s">
        <v>4069</v>
      </c>
      <c r="K398" s="1" t="s">
        <v>74</v>
      </c>
      <c r="L398" s="1" t="s">
        <v>74</v>
      </c>
      <c r="M398" s="1" t="s">
        <v>74</v>
      </c>
      <c r="N398" s="1" t="s">
        <v>74</v>
      </c>
      <c r="O398" s="1" t="s">
        <v>74</v>
      </c>
      <c r="P398" s="1" t="s">
        <v>74</v>
      </c>
      <c r="Q398" s="1" t="s">
        <v>74</v>
      </c>
      <c r="R398" s="1" t="s">
        <v>74</v>
      </c>
      <c r="S398" s="1" t="s">
        <v>74</v>
      </c>
      <c r="T398" s="1" t="s">
        <v>74</v>
      </c>
      <c r="U398" s="1" t="s">
        <v>74</v>
      </c>
      <c r="V398" s="1" t="s">
        <v>4070</v>
      </c>
      <c r="W398" s="1" t="s">
        <v>74</v>
      </c>
      <c r="X398" s="1" t="s">
        <v>74</v>
      </c>
      <c r="Y398" s="1" t="s">
        <v>74</v>
      </c>
      <c r="Z398" s="1" t="s">
        <v>74</v>
      </c>
      <c r="AA398" s="1" t="s">
        <v>4071</v>
      </c>
      <c r="AB398" s="1" t="s">
        <v>4072</v>
      </c>
      <c r="AC398" s="1" t="s">
        <v>74</v>
      </c>
      <c r="AD398" s="1" t="s">
        <v>74</v>
      </c>
      <c r="AE398" s="1" t="s">
        <v>74</v>
      </c>
      <c r="AF398" s="1" t="s">
        <v>74</v>
      </c>
      <c r="AG398" s="1" t="s">
        <v>74</v>
      </c>
      <c r="AH398" s="1" t="s">
        <v>74</v>
      </c>
      <c r="AI398" s="1" t="s">
        <v>74</v>
      </c>
      <c r="AJ398" s="1" t="s">
        <v>74</v>
      </c>
      <c r="AK398" s="1" t="s">
        <v>74</v>
      </c>
      <c r="AL398" s="1" t="s">
        <v>74</v>
      </c>
      <c r="AM398" s="1" t="s">
        <v>74</v>
      </c>
      <c r="AN398" s="1" t="s">
        <v>74</v>
      </c>
      <c r="AO398" s="1" t="s">
        <v>4073</v>
      </c>
      <c r="AP398" s="1" t="s">
        <v>74</v>
      </c>
      <c r="AQ398" s="1" t="s">
        <v>74</v>
      </c>
      <c r="AR398" s="1" t="s">
        <v>74</v>
      </c>
      <c r="AS398" s="1" t="s">
        <v>74</v>
      </c>
      <c r="AT398" s="1" t="s">
        <v>4074</v>
      </c>
      <c r="AU398" s="1">
        <v>2018.0</v>
      </c>
      <c r="AV398" s="1">
        <v>9.0</v>
      </c>
      <c r="AW398" s="1" t="s">
        <v>74</v>
      </c>
      <c r="AX398" s="1" t="s">
        <v>74</v>
      </c>
      <c r="AY398" s="1" t="s">
        <v>74</v>
      </c>
      <c r="AZ398" s="1" t="s">
        <v>74</v>
      </c>
      <c r="BA398" s="1" t="s">
        <v>74</v>
      </c>
      <c r="BB398" s="1">
        <v>1728.0</v>
      </c>
      <c r="BC398" s="1">
        <v>1734.0</v>
      </c>
      <c r="BD398" s="1" t="s">
        <v>74</v>
      </c>
      <c r="BE398" s="1" t="s">
        <v>4075</v>
      </c>
      <c r="BF398" s="2" t="str">
        <f>HYPERLINK("http://dx.doi.org/10.3762/bjnano.9.164","http://dx.doi.org/10.3762/bjnano.9.164")</f>
        <v>http://dx.doi.org/10.3762/bjnano.9.164</v>
      </c>
      <c r="BG398" s="1" t="s">
        <v>74</v>
      </c>
      <c r="BH398" s="1" t="s">
        <v>74</v>
      </c>
      <c r="BI398" s="1" t="s">
        <v>74</v>
      </c>
      <c r="BJ398" s="1" t="s">
        <v>74</v>
      </c>
      <c r="BK398" s="1" t="s">
        <v>74</v>
      </c>
      <c r="BL398" s="1" t="s">
        <v>74</v>
      </c>
      <c r="BM398" s="1" t="s">
        <v>74</v>
      </c>
      <c r="BN398" s="1">
        <v>2.9977706E7</v>
      </c>
      <c r="BO398" s="1" t="s">
        <v>74</v>
      </c>
      <c r="BP398" s="1" t="s">
        <v>74</v>
      </c>
      <c r="BQ398" s="1" t="s">
        <v>74</v>
      </c>
      <c r="BR398" s="1" t="s">
        <v>74</v>
      </c>
      <c r="BS398" s="1" t="s">
        <v>4076</v>
      </c>
      <c r="BT398" s="1" t="str">
        <f>HYPERLINK("https%3A%2F%2Fwww.webofscience.com%2Fwos%2Fwoscc%2Ffull-record%2FWOS:000435479600001","View Full Record in Web of Science")</f>
        <v>View Full Record in Web of Science</v>
      </c>
    </row>
    <row r="399" ht="12.75" customHeight="1">
      <c r="A399" s="1" t="s">
        <v>72</v>
      </c>
      <c r="B399" s="1" t="s">
        <v>4077</v>
      </c>
      <c r="C399" s="1" t="s">
        <v>74</v>
      </c>
      <c r="D399" s="1" t="s">
        <v>74</v>
      </c>
      <c r="E399" s="1" t="s">
        <v>74</v>
      </c>
      <c r="F399" s="1" t="s">
        <v>4078</v>
      </c>
      <c r="G399" s="1" t="s">
        <v>74</v>
      </c>
      <c r="H399" s="1" t="s">
        <v>74</v>
      </c>
      <c r="I399" s="1" t="s">
        <v>4079</v>
      </c>
      <c r="J399" s="1" t="s">
        <v>4080</v>
      </c>
      <c r="K399" s="1" t="s">
        <v>74</v>
      </c>
      <c r="L399" s="1" t="s">
        <v>74</v>
      </c>
      <c r="M399" s="1" t="s">
        <v>74</v>
      </c>
      <c r="N399" s="1" t="s">
        <v>74</v>
      </c>
      <c r="O399" s="1" t="s">
        <v>74</v>
      </c>
      <c r="P399" s="1" t="s">
        <v>74</v>
      </c>
      <c r="Q399" s="1" t="s">
        <v>74</v>
      </c>
      <c r="R399" s="1" t="s">
        <v>74</v>
      </c>
      <c r="S399" s="1" t="s">
        <v>74</v>
      </c>
      <c r="T399" s="1" t="s">
        <v>74</v>
      </c>
      <c r="U399" s="1" t="s">
        <v>74</v>
      </c>
      <c r="V399" s="1" t="s">
        <v>4081</v>
      </c>
      <c r="W399" s="1" t="s">
        <v>74</v>
      </c>
      <c r="X399" s="1" t="s">
        <v>74</v>
      </c>
      <c r="Y399" s="1" t="s">
        <v>74</v>
      </c>
      <c r="Z399" s="1" t="s">
        <v>74</v>
      </c>
      <c r="AA399" s="1" t="s">
        <v>4082</v>
      </c>
      <c r="AB399" s="1" t="s">
        <v>4083</v>
      </c>
      <c r="AC399" s="1" t="s">
        <v>74</v>
      </c>
      <c r="AD399" s="1" t="s">
        <v>74</v>
      </c>
      <c r="AE399" s="1" t="s">
        <v>74</v>
      </c>
      <c r="AF399" s="1" t="s">
        <v>74</v>
      </c>
      <c r="AG399" s="1" t="s">
        <v>74</v>
      </c>
      <c r="AH399" s="1" t="s">
        <v>74</v>
      </c>
      <c r="AI399" s="1" t="s">
        <v>74</v>
      </c>
      <c r="AJ399" s="1" t="s">
        <v>74</v>
      </c>
      <c r="AK399" s="1" t="s">
        <v>74</v>
      </c>
      <c r="AL399" s="1" t="s">
        <v>74</v>
      </c>
      <c r="AM399" s="1" t="s">
        <v>74</v>
      </c>
      <c r="AN399" s="1" t="s">
        <v>74</v>
      </c>
      <c r="AO399" s="1" t="s">
        <v>4084</v>
      </c>
      <c r="AP399" s="1" t="s">
        <v>4085</v>
      </c>
      <c r="AQ399" s="1" t="s">
        <v>74</v>
      </c>
      <c r="AR399" s="1" t="s">
        <v>74</v>
      </c>
      <c r="AS399" s="1" t="s">
        <v>74</v>
      </c>
      <c r="AT399" s="1" t="s">
        <v>652</v>
      </c>
      <c r="AU399" s="1">
        <v>2017.0</v>
      </c>
      <c r="AV399" s="1">
        <v>26.0</v>
      </c>
      <c r="AW399" s="1">
        <v>6.0</v>
      </c>
      <c r="AX399" s="1" t="s">
        <v>74</v>
      </c>
      <c r="AY399" s="1" t="s">
        <v>74</v>
      </c>
      <c r="AZ399" s="1" t="s">
        <v>74</v>
      </c>
      <c r="BA399" s="1" t="s">
        <v>74</v>
      </c>
      <c r="BB399" s="1">
        <v>1763.0</v>
      </c>
      <c r="BC399" s="1">
        <v>1772.0</v>
      </c>
      <c r="BD399" s="1" t="s">
        <v>74</v>
      </c>
      <c r="BE399" s="1" t="s">
        <v>4086</v>
      </c>
      <c r="BF399" s="2" t="str">
        <f>HYPERLINK("http://dx.doi.org/10.1007/s10068-017-0226-8","http://dx.doi.org/10.1007/s10068-017-0226-8")</f>
        <v>http://dx.doi.org/10.1007/s10068-017-0226-8</v>
      </c>
      <c r="BG399" s="1" t="s">
        <v>74</v>
      </c>
      <c r="BH399" s="1" t="s">
        <v>74</v>
      </c>
      <c r="BI399" s="1" t="s">
        <v>74</v>
      </c>
      <c r="BJ399" s="1" t="s">
        <v>74</v>
      </c>
      <c r="BK399" s="1" t="s">
        <v>74</v>
      </c>
      <c r="BL399" s="1" t="s">
        <v>74</v>
      </c>
      <c r="BM399" s="1" t="s">
        <v>74</v>
      </c>
      <c r="BN399" s="1">
        <v>3.0263716E7</v>
      </c>
      <c r="BO399" s="1" t="s">
        <v>74</v>
      </c>
      <c r="BP399" s="1" t="s">
        <v>74</v>
      </c>
      <c r="BQ399" s="1" t="s">
        <v>74</v>
      </c>
      <c r="BR399" s="1" t="s">
        <v>74</v>
      </c>
      <c r="BS399" s="1" t="s">
        <v>4087</v>
      </c>
      <c r="BT399" s="1" t="str">
        <f>HYPERLINK("https%3A%2F%2Fwww.webofscience.com%2Fwos%2Fwoscc%2Ffull-record%2FWOS:000419153900034","View Full Record in Web of Science")</f>
        <v>View Full Record in Web of Science</v>
      </c>
    </row>
    <row r="400" ht="12.75" customHeight="1">
      <c r="A400" s="1" t="s">
        <v>72</v>
      </c>
      <c r="B400" s="1" t="s">
        <v>4088</v>
      </c>
      <c r="C400" s="1" t="s">
        <v>74</v>
      </c>
      <c r="D400" s="1" t="s">
        <v>74</v>
      </c>
      <c r="E400" s="1" t="s">
        <v>74</v>
      </c>
      <c r="F400" s="1" t="s">
        <v>4089</v>
      </c>
      <c r="G400" s="1" t="s">
        <v>74</v>
      </c>
      <c r="H400" s="1" t="s">
        <v>74</v>
      </c>
      <c r="I400" s="1" t="s">
        <v>4090</v>
      </c>
      <c r="J400" s="1" t="s">
        <v>1605</v>
      </c>
      <c r="K400" s="1" t="s">
        <v>74</v>
      </c>
      <c r="L400" s="1" t="s">
        <v>74</v>
      </c>
      <c r="M400" s="1" t="s">
        <v>74</v>
      </c>
      <c r="N400" s="1" t="s">
        <v>74</v>
      </c>
      <c r="O400" s="1" t="s">
        <v>74</v>
      </c>
      <c r="P400" s="1" t="s">
        <v>74</v>
      </c>
      <c r="Q400" s="1" t="s">
        <v>74</v>
      </c>
      <c r="R400" s="1" t="s">
        <v>74</v>
      </c>
      <c r="S400" s="1" t="s">
        <v>74</v>
      </c>
      <c r="T400" s="1" t="s">
        <v>74</v>
      </c>
      <c r="U400" s="1" t="s">
        <v>74</v>
      </c>
      <c r="V400" s="1" t="s">
        <v>4091</v>
      </c>
      <c r="W400" s="1" t="s">
        <v>74</v>
      </c>
      <c r="X400" s="1" t="s">
        <v>74</v>
      </c>
      <c r="Y400" s="1" t="s">
        <v>74</v>
      </c>
      <c r="Z400" s="1" t="s">
        <v>74</v>
      </c>
      <c r="AA400" s="1" t="s">
        <v>4092</v>
      </c>
      <c r="AB400" s="1" t="s">
        <v>4093</v>
      </c>
      <c r="AC400" s="1" t="s">
        <v>74</v>
      </c>
      <c r="AD400" s="1" t="s">
        <v>74</v>
      </c>
      <c r="AE400" s="1" t="s">
        <v>74</v>
      </c>
      <c r="AF400" s="1" t="s">
        <v>74</v>
      </c>
      <c r="AG400" s="1" t="s">
        <v>74</v>
      </c>
      <c r="AH400" s="1" t="s">
        <v>74</v>
      </c>
      <c r="AI400" s="1" t="s">
        <v>74</v>
      </c>
      <c r="AJ400" s="1" t="s">
        <v>74</v>
      </c>
      <c r="AK400" s="1" t="s">
        <v>74</v>
      </c>
      <c r="AL400" s="1" t="s">
        <v>74</v>
      </c>
      <c r="AM400" s="1" t="s">
        <v>74</v>
      </c>
      <c r="AN400" s="1" t="s">
        <v>74</v>
      </c>
      <c r="AO400" s="1" t="s">
        <v>1609</v>
      </c>
      <c r="AP400" s="1" t="s">
        <v>74</v>
      </c>
      <c r="AQ400" s="1" t="s">
        <v>74</v>
      </c>
      <c r="AR400" s="1" t="s">
        <v>74</v>
      </c>
      <c r="AS400" s="1" t="s">
        <v>74</v>
      </c>
      <c r="AT400" s="1" t="s">
        <v>4094</v>
      </c>
      <c r="AU400" s="1">
        <v>2017.0</v>
      </c>
      <c r="AV400" s="1">
        <v>12.0</v>
      </c>
      <c r="AW400" s="1">
        <v>7.0</v>
      </c>
      <c r="AX400" s="1" t="s">
        <v>74</v>
      </c>
      <c r="AY400" s="1" t="s">
        <v>74</v>
      </c>
      <c r="AZ400" s="1" t="s">
        <v>74</v>
      </c>
      <c r="BA400" s="1" t="s">
        <v>74</v>
      </c>
      <c r="BB400" s="1" t="s">
        <v>74</v>
      </c>
      <c r="BC400" s="1" t="s">
        <v>74</v>
      </c>
      <c r="BD400" s="1" t="s">
        <v>4095</v>
      </c>
      <c r="BE400" s="1" t="s">
        <v>4096</v>
      </c>
      <c r="BF400" s="2" t="str">
        <f>HYPERLINK("http://dx.doi.org/10.1371/journal.pone.0180231","http://dx.doi.org/10.1371/journal.pone.0180231")</f>
        <v>http://dx.doi.org/10.1371/journal.pone.0180231</v>
      </c>
      <c r="BG400" s="1" t="s">
        <v>74</v>
      </c>
      <c r="BH400" s="1" t="s">
        <v>74</v>
      </c>
      <c r="BI400" s="1" t="s">
        <v>74</v>
      </c>
      <c r="BJ400" s="1" t="s">
        <v>74</v>
      </c>
      <c r="BK400" s="1" t="s">
        <v>74</v>
      </c>
      <c r="BL400" s="1" t="s">
        <v>74</v>
      </c>
      <c r="BM400" s="1" t="s">
        <v>74</v>
      </c>
      <c r="BN400" s="1">
        <v>2.8672032E7</v>
      </c>
      <c r="BO400" s="1" t="s">
        <v>74</v>
      </c>
      <c r="BP400" s="1" t="s">
        <v>74</v>
      </c>
      <c r="BQ400" s="1" t="s">
        <v>74</v>
      </c>
      <c r="BR400" s="1" t="s">
        <v>74</v>
      </c>
      <c r="BS400" s="1" t="s">
        <v>4097</v>
      </c>
      <c r="BT400" s="1" t="str">
        <f>HYPERLINK("https%3A%2F%2Fwww.webofscience.com%2Fwos%2Fwoscc%2Ffull-record%2FWOS:000405268500030","View Full Record in Web of Science")</f>
        <v>View Full Record in Web of Science</v>
      </c>
    </row>
    <row r="401" ht="12.75" customHeight="1">
      <c r="A401" s="1" t="s">
        <v>72</v>
      </c>
      <c r="B401" s="1" t="s">
        <v>4098</v>
      </c>
      <c r="C401" s="1" t="s">
        <v>74</v>
      </c>
      <c r="D401" s="1" t="s">
        <v>74</v>
      </c>
      <c r="E401" s="1" t="s">
        <v>74</v>
      </c>
      <c r="F401" s="1" t="s">
        <v>4099</v>
      </c>
      <c r="G401" s="1" t="s">
        <v>74</v>
      </c>
      <c r="H401" s="1" t="s">
        <v>74</v>
      </c>
      <c r="I401" s="1" t="s">
        <v>4100</v>
      </c>
      <c r="J401" s="1" t="s">
        <v>4101</v>
      </c>
      <c r="K401" s="1" t="s">
        <v>74</v>
      </c>
      <c r="L401" s="1" t="s">
        <v>74</v>
      </c>
      <c r="M401" s="1" t="s">
        <v>74</v>
      </c>
      <c r="N401" s="1" t="s">
        <v>74</v>
      </c>
      <c r="O401" s="1" t="s">
        <v>74</v>
      </c>
      <c r="P401" s="1" t="s">
        <v>74</v>
      </c>
      <c r="Q401" s="1" t="s">
        <v>74</v>
      </c>
      <c r="R401" s="1" t="s">
        <v>74</v>
      </c>
      <c r="S401" s="1" t="s">
        <v>74</v>
      </c>
      <c r="T401" s="1" t="s">
        <v>74</v>
      </c>
      <c r="U401" s="1" t="s">
        <v>74</v>
      </c>
      <c r="V401" s="1" t="s">
        <v>4102</v>
      </c>
      <c r="W401" s="1" t="s">
        <v>74</v>
      </c>
      <c r="X401" s="1" t="s">
        <v>74</v>
      </c>
      <c r="Y401" s="1" t="s">
        <v>74</v>
      </c>
      <c r="Z401" s="1" t="s">
        <v>74</v>
      </c>
      <c r="AA401" s="1" t="s">
        <v>4103</v>
      </c>
      <c r="AB401" s="1" t="s">
        <v>4104</v>
      </c>
      <c r="AC401" s="1" t="s">
        <v>74</v>
      </c>
      <c r="AD401" s="1" t="s">
        <v>74</v>
      </c>
      <c r="AE401" s="1" t="s">
        <v>74</v>
      </c>
      <c r="AF401" s="1" t="s">
        <v>74</v>
      </c>
      <c r="AG401" s="1" t="s">
        <v>74</v>
      </c>
      <c r="AH401" s="1" t="s">
        <v>74</v>
      </c>
      <c r="AI401" s="1" t="s">
        <v>74</v>
      </c>
      <c r="AJ401" s="1" t="s">
        <v>74</v>
      </c>
      <c r="AK401" s="1" t="s">
        <v>74</v>
      </c>
      <c r="AL401" s="1" t="s">
        <v>74</v>
      </c>
      <c r="AM401" s="1" t="s">
        <v>74</v>
      </c>
      <c r="AN401" s="1" t="s">
        <v>74</v>
      </c>
      <c r="AO401" s="1" t="s">
        <v>4105</v>
      </c>
      <c r="AP401" s="1" t="s">
        <v>4106</v>
      </c>
      <c r="AQ401" s="1" t="s">
        <v>74</v>
      </c>
      <c r="AR401" s="1" t="s">
        <v>74</v>
      </c>
      <c r="AS401" s="1" t="s">
        <v>74</v>
      </c>
      <c r="AT401" s="1" t="s">
        <v>4107</v>
      </c>
      <c r="AU401" s="1">
        <v>2017.0</v>
      </c>
      <c r="AV401" s="1">
        <v>19.0</v>
      </c>
      <c r="AW401" s="1">
        <v>65.0</v>
      </c>
      <c r="AX401" s="1" t="s">
        <v>74</v>
      </c>
      <c r="AY401" s="1" t="s">
        <v>74</v>
      </c>
      <c r="AZ401" s="1" t="s">
        <v>74</v>
      </c>
      <c r="BA401" s="1" t="s">
        <v>74</v>
      </c>
      <c r="BB401" s="1">
        <v>337.0</v>
      </c>
      <c r="BC401" s="1">
        <v>357.0</v>
      </c>
      <c r="BD401" s="1" t="s">
        <v>74</v>
      </c>
      <c r="BE401" s="1" t="s">
        <v>4108</v>
      </c>
      <c r="BF401" s="2" t="str">
        <f>HYPERLINK("http://dx.doi.org/10.7819/rbgn.v0i0.3023","http://dx.doi.org/10.7819/rbgn.v0i0.3023")</f>
        <v>http://dx.doi.org/10.7819/rbgn.v0i0.3023</v>
      </c>
      <c r="BG401" s="1" t="s">
        <v>74</v>
      </c>
      <c r="BH401" s="1" t="s">
        <v>74</v>
      </c>
      <c r="BI401" s="1" t="s">
        <v>74</v>
      </c>
      <c r="BJ401" s="1" t="s">
        <v>74</v>
      </c>
      <c r="BK401" s="1" t="s">
        <v>74</v>
      </c>
      <c r="BL401" s="1" t="s">
        <v>74</v>
      </c>
      <c r="BM401" s="1" t="s">
        <v>74</v>
      </c>
      <c r="BN401" s="1" t="s">
        <v>74</v>
      </c>
      <c r="BO401" s="1" t="s">
        <v>74</v>
      </c>
      <c r="BP401" s="1" t="s">
        <v>74</v>
      </c>
      <c r="BQ401" s="1" t="s">
        <v>74</v>
      </c>
      <c r="BR401" s="1" t="s">
        <v>74</v>
      </c>
      <c r="BS401" s="1" t="s">
        <v>4109</v>
      </c>
      <c r="BT401" s="1" t="str">
        <f>HYPERLINK("https%3A%2F%2Fwww.webofscience.com%2Fwos%2Fwoscc%2Ffull-record%2FWOS:000408684100001","View Full Record in Web of Science")</f>
        <v>View Full Record in Web of Science</v>
      </c>
    </row>
    <row r="402" ht="12.75" customHeight="1">
      <c r="A402" s="1" t="s">
        <v>72</v>
      </c>
      <c r="B402" s="1" t="s">
        <v>4110</v>
      </c>
      <c r="C402" s="1" t="s">
        <v>74</v>
      </c>
      <c r="D402" s="1" t="s">
        <v>74</v>
      </c>
      <c r="E402" s="1" t="s">
        <v>74</v>
      </c>
      <c r="F402" s="1" t="s">
        <v>4111</v>
      </c>
      <c r="G402" s="1" t="s">
        <v>74</v>
      </c>
      <c r="H402" s="1" t="s">
        <v>74</v>
      </c>
      <c r="I402" s="1" t="s">
        <v>4112</v>
      </c>
      <c r="J402" s="1" t="s">
        <v>4113</v>
      </c>
      <c r="K402" s="1" t="s">
        <v>74</v>
      </c>
      <c r="L402" s="1" t="s">
        <v>74</v>
      </c>
      <c r="M402" s="1" t="s">
        <v>74</v>
      </c>
      <c r="N402" s="1" t="s">
        <v>74</v>
      </c>
      <c r="O402" s="1" t="s">
        <v>74</v>
      </c>
      <c r="P402" s="1" t="s">
        <v>74</v>
      </c>
      <c r="Q402" s="1" t="s">
        <v>74</v>
      </c>
      <c r="R402" s="1" t="s">
        <v>74</v>
      </c>
      <c r="S402" s="1" t="s">
        <v>74</v>
      </c>
      <c r="T402" s="1" t="s">
        <v>74</v>
      </c>
      <c r="U402" s="1" t="s">
        <v>74</v>
      </c>
      <c r="V402" s="1" t="s">
        <v>4114</v>
      </c>
      <c r="W402" s="1" t="s">
        <v>74</v>
      </c>
      <c r="X402" s="1" t="s">
        <v>74</v>
      </c>
      <c r="Y402" s="1" t="s">
        <v>74</v>
      </c>
      <c r="Z402" s="1" t="s">
        <v>74</v>
      </c>
      <c r="AA402" s="1" t="s">
        <v>4115</v>
      </c>
      <c r="AB402" s="1" t="s">
        <v>4116</v>
      </c>
      <c r="AC402" s="1" t="s">
        <v>74</v>
      </c>
      <c r="AD402" s="1" t="s">
        <v>74</v>
      </c>
      <c r="AE402" s="1" t="s">
        <v>74</v>
      </c>
      <c r="AF402" s="1" t="s">
        <v>74</v>
      </c>
      <c r="AG402" s="1" t="s">
        <v>74</v>
      </c>
      <c r="AH402" s="1" t="s">
        <v>74</v>
      </c>
      <c r="AI402" s="1" t="s">
        <v>74</v>
      </c>
      <c r="AJ402" s="1" t="s">
        <v>74</v>
      </c>
      <c r="AK402" s="1" t="s">
        <v>74</v>
      </c>
      <c r="AL402" s="1" t="s">
        <v>74</v>
      </c>
      <c r="AM402" s="1" t="s">
        <v>74</v>
      </c>
      <c r="AN402" s="1" t="s">
        <v>74</v>
      </c>
      <c r="AO402" s="1" t="s">
        <v>4117</v>
      </c>
      <c r="AP402" s="1" t="s">
        <v>4118</v>
      </c>
      <c r="AQ402" s="1" t="s">
        <v>74</v>
      </c>
      <c r="AR402" s="1" t="s">
        <v>74</v>
      </c>
      <c r="AS402" s="1" t="s">
        <v>74</v>
      </c>
      <c r="AT402" s="1" t="s">
        <v>306</v>
      </c>
      <c r="AU402" s="1">
        <v>2017.0</v>
      </c>
      <c r="AV402" s="1">
        <v>48.0</v>
      </c>
      <c r="AW402" s="1">
        <v>2.0</v>
      </c>
      <c r="AX402" s="1" t="s">
        <v>74</v>
      </c>
      <c r="AY402" s="1" t="s">
        <v>74</v>
      </c>
      <c r="AZ402" s="1" t="s">
        <v>74</v>
      </c>
      <c r="BA402" s="1" t="s">
        <v>74</v>
      </c>
      <c r="BB402" s="1">
        <v>268.0</v>
      </c>
      <c r="BC402" s="1">
        <v>279.0</v>
      </c>
      <c r="BD402" s="1" t="s">
        <v>74</v>
      </c>
      <c r="BE402" s="1" t="s">
        <v>4119</v>
      </c>
      <c r="BF402" s="2" t="str">
        <f>HYPERLINK("http://dx.doi.org/10.1111/jwas.12375","http://dx.doi.org/10.1111/jwas.12375")</f>
        <v>http://dx.doi.org/10.1111/jwas.12375</v>
      </c>
      <c r="BG402" s="1" t="s">
        <v>74</v>
      </c>
      <c r="BH402" s="1" t="s">
        <v>74</v>
      </c>
      <c r="BI402" s="1" t="s">
        <v>74</v>
      </c>
      <c r="BJ402" s="1" t="s">
        <v>74</v>
      </c>
      <c r="BK402" s="1" t="s">
        <v>74</v>
      </c>
      <c r="BL402" s="1" t="s">
        <v>74</v>
      </c>
      <c r="BM402" s="1" t="s">
        <v>74</v>
      </c>
      <c r="BN402" s="1" t="s">
        <v>74</v>
      </c>
      <c r="BO402" s="1" t="s">
        <v>74</v>
      </c>
      <c r="BP402" s="1" t="s">
        <v>74</v>
      </c>
      <c r="BQ402" s="1" t="s">
        <v>74</v>
      </c>
      <c r="BR402" s="1" t="s">
        <v>74</v>
      </c>
      <c r="BS402" s="1" t="s">
        <v>4120</v>
      </c>
      <c r="BT402" s="1" t="str">
        <f>HYPERLINK("https%3A%2F%2Fwww.webofscience.com%2Fwos%2Fwoscc%2Ffull-record%2FWOS:000398564700008","View Full Record in Web of Science")</f>
        <v>View Full Record in Web of Science</v>
      </c>
    </row>
    <row r="403" ht="12.75" customHeight="1">
      <c r="A403" s="1" t="s">
        <v>72</v>
      </c>
      <c r="B403" s="1" t="s">
        <v>4121</v>
      </c>
      <c r="C403" s="1" t="s">
        <v>74</v>
      </c>
      <c r="D403" s="1" t="s">
        <v>74</v>
      </c>
      <c r="E403" s="1" t="s">
        <v>74</v>
      </c>
      <c r="F403" s="1" t="s">
        <v>4122</v>
      </c>
      <c r="G403" s="1" t="s">
        <v>74</v>
      </c>
      <c r="H403" s="1" t="s">
        <v>74</v>
      </c>
      <c r="I403" s="1" t="s">
        <v>4123</v>
      </c>
      <c r="J403" s="1" t="s">
        <v>2886</v>
      </c>
      <c r="K403" s="1" t="s">
        <v>74</v>
      </c>
      <c r="L403" s="1" t="s">
        <v>74</v>
      </c>
      <c r="M403" s="1" t="s">
        <v>74</v>
      </c>
      <c r="N403" s="1" t="s">
        <v>74</v>
      </c>
      <c r="O403" s="1" t="s">
        <v>74</v>
      </c>
      <c r="P403" s="1" t="s">
        <v>74</v>
      </c>
      <c r="Q403" s="1" t="s">
        <v>74</v>
      </c>
      <c r="R403" s="1" t="s">
        <v>74</v>
      </c>
      <c r="S403" s="1" t="s">
        <v>74</v>
      </c>
      <c r="T403" s="1" t="s">
        <v>74</v>
      </c>
      <c r="U403" s="1" t="s">
        <v>74</v>
      </c>
      <c r="V403" s="1" t="s">
        <v>4124</v>
      </c>
      <c r="W403" s="1" t="s">
        <v>74</v>
      </c>
      <c r="X403" s="1" t="s">
        <v>74</v>
      </c>
      <c r="Y403" s="1" t="s">
        <v>74</v>
      </c>
      <c r="Z403" s="1" t="s">
        <v>74</v>
      </c>
      <c r="AA403" s="1" t="s">
        <v>4125</v>
      </c>
      <c r="AB403" s="1" t="s">
        <v>4126</v>
      </c>
      <c r="AC403" s="1" t="s">
        <v>74</v>
      </c>
      <c r="AD403" s="1" t="s">
        <v>74</v>
      </c>
      <c r="AE403" s="1" t="s">
        <v>74</v>
      </c>
      <c r="AF403" s="1" t="s">
        <v>74</v>
      </c>
      <c r="AG403" s="1" t="s">
        <v>74</v>
      </c>
      <c r="AH403" s="1" t="s">
        <v>74</v>
      </c>
      <c r="AI403" s="1" t="s">
        <v>74</v>
      </c>
      <c r="AJ403" s="1" t="s">
        <v>74</v>
      </c>
      <c r="AK403" s="1" t="s">
        <v>74</v>
      </c>
      <c r="AL403" s="1" t="s">
        <v>74</v>
      </c>
      <c r="AM403" s="1" t="s">
        <v>74</v>
      </c>
      <c r="AN403" s="1" t="s">
        <v>74</v>
      </c>
      <c r="AO403" s="1" t="s">
        <v>2890</v>
      </c>
      <c r="AP403" s="1" t="s">
        <v>2891</v>
      </c>
      <c r="AQ403" s="1" t="s">
        <v>74</v>
      </c>
      <c r="AR403" s="1" t="s">
        <v>74</v>
      </c>
      <c r="AS403" s="1" t="s">
        <v>74</v>
      </c>
      <c r="AT403" s="1" t="s">
        <v>306</v>
      </c>
      <c r="AU403" s="1">
        <v>2017.0</v>
      </c>
      <c r="AV403" s="1">
        <v>97.0</v>
      </c>
      <c r="AW403" s="1">
        <v>6.0</v>
      </c>
      <c r="AX403" s="1" t="s">
        <v>74</v>
      </c>
      <c r="AY403" s="1" t="s">
        <v>74</v>
      </c>
      <c r="AZ403" s="1" t="s">
        <v>74</v>
      </c>
      <c r="BA403" s="1" t="s">
        <v>74</v>
      </c>
      <c r="BB403" s="1">
        <v>1846.0</v>
      </c>
      <c r="BC403" s="1">
        <v>1853.0</v>
      </c>
      <c r="BD403" s="1" t="s">
        <v>74</v>
      </c>
      <c r="BE403" s="1" t="s">
        <v>4127</v>
      </c>
      <c r="BF403" s="2" t="str">
        <f>HYPERLINK("http://dx.doi.org/10.1002/jsfa.7985","http://dx.doi.org/10.1002/jsfa.7985")</f>
        <v>http://dx.doi.org/10.1002/jsfa.7985</v>
      </c>
      <c r="BG403" s="1" t="s">
        <v>74</v>
      </c>
      <c r="BH403" s="1" t="s">
        <v>74</v>
      </c>
      <c r="BI403" s="1" t="s">
        <v>74</v>
      </c>
      <c r="BJ403" s="1" t="s">
        <v>74</v>
      </c>
      <c r="BK403" s="1" t="s">
        <v>74</v>
      </c>
      <c r="BL403" s="1" t="s">
        <v>74</v>
      </c>
      <c r="BM403" s="1" t="s">
        <v>74</v>
      </c>
      <c r="BN403" s="1">
        <v>2.7491506E7</v>
      </c>
      <c r="BO403" s="1" t="s">
        <v>74</v>
      </c>
      <c r="BP403" s="1" t="s">
        <v>74</v>
      </c>
      <c r="BQ403" s="1" t="s">
        <v>74</v>
      </c>
      <c r="BR403" s="1" t="s">
        <v>74</v>
      </c>
      <c r="BS403" s="1" t="s">
        <v>4128</v>
      </c>
      <c r="BT403" s="1" t="str">
        <f>HYPERLINK("https%3A%2F%2Fwww.webofscience.com%2Fwos%2Fwoscc%2Ffull-record%2FWOS:000397575200022","View Full Record in Web of Science")</f>
        <v>View Full Record in Web of Science</v>
      </c>
    </row>
    <row r="404" ht="12.75" customHeight="1">
      <c r="A404" s="1" t="s">
        <v>72</v>
      </c>
      <c r="B404" s="1" t="s">
        <v>4129</v>
      </c>
      <c r="C404" s="1" t="s">
        <v>74</v>
      </c>
      <c r="D404" s="1" t="s">
        <v>74</v>
      </c>
      <c r="E404" s="1" t="s">
        <v>74</v>
      </c>
      <c r="F404" s="1" t="s">
        <v>4130</v>
      </c>
      <c r="G404" s="1" t="s">
        <v>74</v>
      </c>
      <c r="H404" s="1" t="s">
        <v>74</v>
      </c>
      <c r="I404" s="1" t="s">
        <v>4131</v>
      </c>
      <c r="J404" s="1" t="s">
        <v>4132</v>
      </c>
      <c r="K404" s="1" t="s">
        <v>74</v>
      </c>
      <c r="L404" s="1" t="s">
        <v>74</v>
      </c>
      <c r="M404" s="1" t="s">
        <v>74</v>
      </c>
      <c r="N404" s="1" t="s">
        <v>74</v>
      </c>
      <c r="O404" s="1" t="s">
        <v>74</v>
      </c>
      <c r="P404" s="1" t="s">
        <v>74</v>
      </c>
      <c r="Q404" s="1" t="s">
        <v>74</v>
      </c>
      <c r="R404" s="1" t="s">
        <v>74</v>
      </c>
      <c r="S404" s="1" t="s">
        <v>74</v>
      </c>
      <c r="T404" s="1" t="s">
        <v>74</v>
      </c>
      <c r="U404" s="1" t="s">
        <v>74</v>
      </c>
      <c r="V404" s="1" t="s">
        <v>4133</v>
      </c>
      <c r="W404" s="1" t="s">
        <v>74</v>
      </c>
      <c r="X404" s="1" t="s">
        <v>74</v>
      </c>
      <c r="Y404" s="1" t="s">
        <v>74</v>
      </c>
      <c r="Z404" s="1" t="s">
        <v>74</v>
      </c>
      <c r="AA404" s="1" t="s">
        <v>4134</v>
      </c>
      <c r="AB404" s="1" t="s">
        <v>4135</v>
      </c>
      <c r="AC404" s="1" t="s">
        <v>74</v>
      </c>
      <c r="AD404" s="1" t="s">
        <v>74</v>
      </c>
      <c r="AE404" s="1" t="s">
        <v>74</v>
      </c>
      <c r="AF404" s="1" t="s">
        <v>74</v>
      </c>
      <c r="AG404" s="1" t="s">
        <v>74</v>
      </c>
      <c r="AH404" s="1" t="s">
        <v>74</v>
      </c>
      <c r="AI404" s="1" t="s">
        <v>74</v>
      </c>
      <c r="AJ404" s="1" t="s">
        <v>74</v>
      </c>
      <c r="AK404" s="1" t="s">
        <v>74</v>
      </c>
      <c r="AL404" s="1" t="s">
        <v>74</v>
      </c>
      <c r="AM404" s="1" t="s">
        <v>74</v>
      </c>
      <c r="AN404" s="1" t="s">
        <v>74</v>
      </c>
      <c r="AO404" s="1" t="s">
        <v>4136</v>
      </c>
      <c r="AP404" s="1" t="s">
        <v>4137</v>
      </c>
      <c r="AQ404" s="1" t="s">
        <v>74</v>
      </c>
      <c r="AR404" s="1" t="s">
        <v>74</v>
      </c>
      <c r="AS404" s="1" t="s">
        <v>74</v>
      </c>
      <c r="AT404" s="1" t="s">
        <v>696</v>
      </c>
      <c r="AU404" s="1">
        <v>2017.0</v>
      </c>
      <c r="AV404" s="1">
        <v>87.0</v>
      </c>
      <c r="AW404" s="1">
        <v>1.0</v>
      </c>
      <c r="AX404" s="1" t="s">
        <v>74</v>
      </c>
      <c r="AY404" s="1" t="s">
        <v>74</v>
      </c>
      <c r="AZ404" s="1" t="s">
        <v>74</v>
      </c>
      <c r="BA404" s="1" t="s">
        <v>74</v>
      </c>
      <c r="BB404" s="1">
        <v>1.0</v>
      </c>
      <c r="BC404" s="1">
        <v>14.0</v>
      </c>
      <c r="BD404" s="1" t="s">
        <v>74</v>
      </c>
      <c r="BE404" s="1" t="s">
        <v>4138</v>
      </c>
      <c r="BF404" s="2" t="str">
        <f>HYPERLINK("http://dx.doi.org/10.1007/s00020-017-2341-6","http://dx.doi.org/10.1007/s00020-017-2341-6")</f>
        <v>http://dx.doi.org/10.1007/s00020-017-2341-6</v>
      </c>
      <c r="BG404" s="1" t="s">
        <v>74</v>
      </c>
      <c r="BH404" s="1" t="s">
        <v>74</v>
      </c>
      <c r="BI404" s="1" t="s">
        <v>74</v>
      </c>
      <c r="BJ404" s="1" t="s">
        <v>74</v>
      </c>
      <c r="BK404" s="1" t="s">
        <v>74</v>
      </c>
      <c r="BL404" s="1" t="s">
        <v>74</v>
      </c>
      <c r="BM404" s="1" t="s">
        <v>74</v>
      </c>
      <c r="BN404" s="1" t="s">
        <v>74</v>
      </c>
      <c r="BO404" s="1" t="s">
        <v>74</v>
      </c>
      <c r="BP404" s="1" t="s">
        <v>74</v>
      </c>
      <c r="BQ404" s="1" t="s">
        <v>74</v>
      </c>
      <c r="BR404" s="1" t="s">
        <v>74</v>
      </c>
      <c r="BS404" s="1" t="s">
        <v>4139</v>
      </c>
      <c r="BT404" s="1" t="str">
        <f>HYPERLINK("https%3A%2F%2Fwww.webofscience.com%2Fwos%2Fwoscc%2Ffull-record%2FWOS:000394432300001","View Full Record in Web of Science")</f>
        <v>View Full Record in Web of Science</v>
      </c>
    </row>
    <row r="405" ht="12.75" customHeight="1">
      <c r="A405" s="1" t="s">
        <v>72</v>
      </c>
      <c r="B405" s="1" t="s">
        <v>945</v>
      </c>
      <c r="C405" s="1" t="s">
        <v>74</v>
      </c>
      <c r="D405" s="1" t="s">
        <v>74</v>
      </c>
      <c r="E405" s="1" t="s">
        <v>74</v>
      </c>
      <c r="F405" s="1" t="s">
        <v>946</v>
      </c>
      <c r="G405" s="1" t="s">
        <v>74</v>
      </c>
      <c r="H405" s="1" t="s">
        <v>74</v>
      </c>
      <c r="I405" s="1" t="s">
        <v>4140</v>
      </c>
      <c r="J405" s="1" t="s">
        <v>948</v>
      </c>
      <c r="K405" s="1" t="s">
        <v>74</v>
      </c>
      <c r="L405" s="1" t="s">
        <v>74</v>
      </c>
      <c r="M405" s="1" t="s">
        <v>74</v>
      </c>
      <c r="N405" s="1" t="s">
        <v>74</v>
      </c>
      <c r="O405" s="1" t="s">
        <v>4141</v>
      </c>
      <c r="P405" s="1" t="s">
        <v>4142</v>
      </c>
      <c r="Q405" s="1" t="s">
        <v>4143</v>
      </c>
      <c r="R405" s="1" t="s">
        <v>4144</v>
      </c>
      <c r="S405" s="1" t="s">
        <v>74</v>
      </c>
      <c r="T405" s="1" t="s">
        <v>74</v>
      </c>
      <c r="U405" s="1" t="s">
        <v>74</v>
      </c>
      <c r="V405" s="1" t="s">
        <v>4145</v>
      </c>
      <c r="W405" s="1" t="s">
        <v>74</v>
      </c>
      <c r="X405" s="1" t="s">
        <v>74</v>
      </c>
      <c r="Y405" s="1" t="s">
        <v>74</v>
      </c>
      <c r="Z405" s="1" t="s">
        <v>74</v>
      </c>
      <c r="AA405" s="1" t="s">
        <v>74</v>
      </c>
      <c r="AB405" s="1" t="s">
        <v>4146</v>
      </c>
      <c r="AC405" s="1" t="s">
        <v>74</v>
      </c>
      <c r="AD405" s="1" t="s">
        <v>74</v>
      </c>
      <c r="AE405" s="1" t="s">
        <v>74</v>
      </c>
      <c r="AF405" s="1" t="s">
        <v>74</v>
      </c>
      <c r="AG405" s="1" t="s">
        <v>74</v>
      </c>
      <c r="AH405" s="1" t="s">
        <v>74</v>
      </c>
      <c r="AI405" s="1" t="s">
        <v>74</v>
      </c>
      <c r="AJ405" s="1" t="s">
        <v>74</v>
      </c>
      <c r="AK405" s="1" t="s">
        <v>74</v>
      </c>
      <c r="AL405" s="1" t="s">
        <v>74</v>
      </c>
      <c r="AM405" s="1" t="s">
        <v>74</v>
      </c>
      <c r="AN405" s="1" t="s">
        <v>74</v>
      </c>
      <c r="AO405" s="1" t="s">
        <v>951</v>
      </c>
      <c r="AP405" s="1" t="s">
        <v>74</v>
      </c>
      <c r="AQ405" s="1" t="s">
        <v>74</v>
      </c>
      <c r="AR405" s="1" t="s">
        <v>74</v>
      </c>
      <c r="AS405" s="1" t="s">
        <v>74</v>
      </c>
      <c r="AT405" s="1" t="s">
        <v>1053</v>
      </c>
      <c r="AU405" s="1">
        <v>2016.0</v>
      </c>
      <c r="AV405" s="1">
        <v>120.0</v>
      </c>
      <c r="AW405" s="1">
        <v>47.0</v>
      </c>
      <c r="AX405" s="1" t="s">
        <v>74</v>
      </c>
      <c r="AY405" s="1" t="s">
        <v>74</v>
      </c>
      <c r="AZ405" s="1" t="s">
        <v>74</v>
      </c>
      <c r="BA405" s="1" t="s">
        <v>74</v>
      </c>
      <c r="BB405" s="1">
        <v>9363.0</v>
      </c>
      <c r="BC405" s="1">
        <v>9369.0</v>
      </c>
      <c r="BD405" s="1" t="s">
        <v>74</v>
      </c>
      <c r="BE405" s="1" t="s">
        <v>4147</v>
      </c>
      <c r="BF405" s="2" t="str">
        <f>HYPERLINK("http://dx.doi.org/10.1021/acs.jpca.6b10190","http://dx.doi.org/10.1021/acs.jpca.6b10190")</f>
        <v>http://dx.doi.org/10.1021/acs.jpca.6b10190</v>
      </c>
      <c r="BG405" s="1" t="s">
        <v>74</v>
      </c>
      <c r="BH405" s="1" t="s">
        <v>74</v>
      </c>
      <c r="BI405" s="1" t="s">
        <v>74</v>
      </c>
      <c r="BJ405" s="1" t="s">
        <v>74</v>
      </c>
      <c r="BK405" s="1" t="s">
        <v>74</v>
      </c>
      <c r="BL405" s="1" t="s">
        <v>74</v>
      </c>
      <c r="BM405" s="1" t="s">
        <v>74</v>
      </c>
      <c r="BN405" s="1">
        <v>2.7805406E7</v>
      </c>
      <c r="BO405" s="1" t="s">
        <v>74</v>
      </c>
      <c r="BP405" s="1" t="s">
        <v>74</v>
      </c>
      <c r="BQ405" s="1" t="s">
        <v>74</v>
      </c>
      <c r="BR405" s="1" t="s">
        <v>74</v>
      </c>
      <c r="BS405" s="1" t="s">
        <v>4148</v>
      </c>
      <c r="BT405" s="1" t="str">
        <f>HYPERLINK("https%3A%2F%2Fwww.webofscience.com%2Fwos%2Fwoscc%2Ffull-record%2FWOS:000389160900003","View Full Record in Web of Science")</f>
        <v>View Full Record in Web of Science</v>
      </c>
    </row>
    <row r="406" ht="12.75" customHeight="1">
      <c r="A406" s="1" t="s">
        <v>72</v>
      </c>
      <c r="B406" s="1" t="s">
        <v>4149</v>
      </c>
      <c r="C406" s="1" t="s">
        <v>74</v>
      </c>
      <c r="D406" s="1" t="s">
        <v>74</v>
      </c>
      <c r="E406" s="1" t="s">
        <v>74</v>
      </c>
      <c r="F406" s="1" t="s">
        <v>4150</v>
      </c>
      <c r="G406" s="1" t="s">
        <v>74</v>
      </c>
      <c r="H406" s="1" t="s">
        <v>74</v>
      </c>
      <c r="I406" s="1" t="s">
        <v>4151</v>
      </c>
      <c r="J406" s="1" t="s">
        <v>4152</v>
      </c>
      <c r="K406" s="1" t="s">
        <v>74</v>
      </c>
      <c r="L406" s="1" t="s">
        <v>74</v>
      </c>
      <c r="M406" s="1" t="s">
        <v>74</v>
      </c>
      <c r="N406" s="1" t="s">
        <v>74</v>
      </c>
      <c r="O406" s="1" t="s">
        <v>74</v>
      </c>
      <c r="P406" s="1" t="s">
        <v>74</v>
      </c>
      <c r="Q406" s="1" t="s">
        <v>74</v>
      </c>
      <c r="R406" s="1" t="s">
        <v>74</v>
      </c>
      <c r="S406" s="1" t="s">
        <v>74</v>
      </c>
      <c r="T406" s="1" t="s">
        <v>74</v>
      </c>
      <c r="U406" s="1" t="s">
        <v>74</v>
      </c>
      <c r="V406" s="1" t="s">
        <v>4153</v>
      </c>
      <c r="W406" s="1" t="s">
        <v>74</v>
      </c>
      <c r="X406" s="1" t="s">
        <v>74</v>
      </c>
      <c r="Y406" s="1" t="s">
        <v>74</v>
      </c>
      <c r="Z406" s="1" t="s">
        <v>74</v>
      </c>
      <c r="AA406" s="1" t="s">
        <v>4154</v>
      </c>
      <c r="AB406" s="1" t="s">
        <v>4155</v>
      </c>
      <c r="AC406" s="1" t="s">
        <v>74</v>
      </c>
      <c r="AD406" s="1" t="s">
        <v>74</v>
      </c>
      <c r="AE406" s="1" t="s">
        <v>74</v>
      </c>
      <c r="AF406" s="1" t="s">
        <v>74</v>
      </c>
      <c r="AG406" s="1" t="s">
        <v>74</v>
      </c>
      <c r="AH406" s="1" t="s">
        <v>74</v>
      </c>
      <c r="AI406" s="1" t="s">
        <v>74</v>
      </c>
      <c r="AJ406" s="1" t="s">
        <v>74</v>
      </c>
      <c r="AK406" s="1" t="s">
        <v>74</v>
      </c>
      <c r="AL406" s="1" t="s">
        <v>74</v>
      </c>
      <c r="AM406" s="1" t="s">
        <v>74</v>
      </c>
      <c r="AN406" s="1" t="s">
        <v>74</v>
      </c>
      <c r="AO406" s="1" t="s">
        <v>4156</v>
      </c>
      <c r="AP406" s="1" t="s">
        <v>4157</v>
      </c>
      <c r="AQ406" s="1" t="s">
        <v>74</v>
      </c>
      <c r="AR406" s="1" t="s">
        <v>74</v>
      </c>
      <c r="AS406" s="1" t="s">
        <v>74</v>
      </c>
      <c r="AT406" s="1" t="s">
        <v>74</v>
      </c>
      <c r="AU406" s="1">
        <v>2016.0</v>
      </c>
      <c r="AV406" s="1">
        <v>18.0</v>
      </c>
      <c r="AW406" s="1">
        <v>13.0</v>
      </c>
      <c r="AX406" s="1" t="s">
        <v>74</v>
      </c>
      <c r="AY406" s="1" t="s">
        <v>74</v>
      </c>
      <c r="AZ406" s="1" t="s">
        <v>74</v>
      </c>
      <c r="BA406" s="1" t="s">
        <v>74</v>
      </c>
      <c r="BB406" s="1">
        <v>3712.0</v>
      </c>
      <c r="BC406" s="1">
        <v>3717.0</v>
      </c>
      <c r="BD406" s="1" t="s">
        <v>74</v>
      </c>
      <c r="BE406" s="1" t="s">
        <v>4158</v>
      </c>
      <c r="BF406" s="2" t="str">
        <f>HYPERLINK("http://dx.doi.org/10.1039/c6gc00912c","http://dx.doi.org/10.1039/c6gc00912c")</f>
        <v>http://dx.doi.org/10.1039/c6gc00912c</v>
      </c>
      <c r="BG406" s="1" t="s">
        <v>74</v>
      </c>
      <c r="BH406" s="1" t="s">
        <v>74</v>
      </c>
      <c r="BI406" s="1" t="s">
        <v>74</v>
      </c>
      <c r="BJ406" s="1" t="s">
        <v>74</v>
      </c>
      <c r="BK406" s="1" t="s">
        <v>74</v>
      </c>
      <c r="BL406" s="1" t="s">
        <v>74</v>
      </c>
      <c r="BM406" s="1" t="s">
        <v>74</v>
      </c>
      <c r="BN406" s="1" t="s">
        <v>74</v>
      </c>
      <c r="BO406" s="1" t="s">
        <v>74</v>
      </c>
      <c r="BP406" s="1" t="s">
        <v>74</v>
      </c>
      <c r="BQ406" s="1" t="s">
        <v>74</v>
      </c>
      <c r="BR406" s="1" t="s">
        <v>74</v>
      </c>
      <c r="BS406" s="1" t="s">
        <v>4159</v>
      </c>
      <c r="BT406" s="1" t="str">
        <f>HYPERLINK("https%3A%2F%2Fwww.webofscience.com%2Fwos%2Fwoscc%2Ffull-record%2FWOS:000378715700005","View Full Record in Web of Science")</f>
        <v>View Full Record in Web of Science</v>
      </c>
    </row>
    <row r="407" ht="12.75" customHeight="1">
      <c r="A407" s="1" t="s">
        <v>72</v>
      </c>
      <c r="B407" s="1" t="s">
        <v>4160</v>
      </c>
      <c r="C407" s="1" t="s">
        <v>74</v>
      </c>
      <c r="D407" s="1" t="s">
        <v>74</v>
      </c>
      <c r="E407" s="1" t="s">
        <v>74</v>
      </c>
      <c r="F407" s="1" t="s">
        <v>4161</v>
      </c>
      <c r="G407" s="1" t="s">
        <v>74</v>
      </c>
      <c r="H407" s="1" t="s">
        <v>74</v>
      </c>
      <c r="I407" s="1" t="s">
        <v>4162</v>
      </c>
      <c r="J407" s="1" t="s">
        <v>4163</v>
      </c>
      <c r="K407" s="1" t="s">
        <v>74</v>
      </c>
      <c r="L407" s="1" t="s">
        <v>74</v>
      </c>
      <c r="M407" s="1" t="s">
        <v>74</v>
      </c>
      <c r="N407" s="1" t="s">
        <v>74</v>
      </c>
      <c r="O407" s="1" t="s">
        <v>74</v>
      </c>
      <c r="P407" s="1" t="s">
        <v>74</v>
      </c>
      <c r="Q407" s="1" t="s">
        <v>74</v>
      </c>
      <c r="R407" s="1" t="s">
        <v>74</v>
      </c>
      <c r="S407" s="1" t="s">
        <v>74</v>
      </c>
      <c r="T407" s="1" t="s">
        <v>74</v>
      </c>
      <c r="U407" s="1" t="s">
        <v>74</v>
      </c>
      <c r="V407" s="1" t="s">
        <v>4164</v>
      </c>
      <c r="W407" s="1" t="s">
        <v>74</v>
      </c>
      <c r="X407" s="1" t="s">
        <v>74</v>
      </c>
      <c r="Y407" s="1" t="s">
        <v>74</v>
      </c>
      <c r="Z407" s="1" t="s">
        <v>74</v>
      </c>
      <c r="AA407" s="1" t="s">
        <v>4165</v>
      </c>
      <c r="AB407" s="1" t="s">
        <v>4166</v>
      </c>
      <c r="AC407" s="1" t="s">
        <v>74</v>
      </c>
      <c r="AD407" s="1" t="s">
        <v>74</v>
      </c>
      <c r="AE407" s="1" t="s">
        <v>74</v>
      </c>
      <c r="AF407" s="1" t="s">
        <v>74</v>
      </c>
      <c r="AG407" s="1" t="s">
        <v>74</v>
      </c>
      <c r="AH407" s="1" t="s">
        <v>74</v>
      </c>
      <c r="AI407" s="1" t="s">
        <v>74</v>
      </c>
      <c r="AJ407" s="1" t="s">
        <v>74</v>
      </c>
      <c r="AK407" s="1" t="s">
        <v>74</v>
      </c>
      <c r="AL407" s="1" t="s">
        <v>74</v>
      </c>
      <c r="AM407" s="1" t="s">
        <v>74</v>
      </c>
      <c r="AN407" s="1" t="s">
        <v>74</v>
      </c>
      <c r="AO407" s="1" t="s">
        <v>74</v>
      </c>
      <c r="AP407" s="1" t="s">
        <v>4167</v>
      </c>
      <c r="AQ407" s="1" t="s">
        <v>74</v>
      </c>
      <c r="AR407" s="1" t="s">
        <v>74</v>
      </c>
      <c r="AS407" s="1" t="s">
        <v>74</v>
      </c>
      <c r="AT407" s="1" t="s">
        <v>696</v>
      </c>
      <c r="AU407" s="1">
        <v>2016.0</v>
      </c>
      <c r="AV407" s="1">
        <v>21.0</v>
      </c>
      <c r="AW407" s="1">
        <v>1.0</v>
      </c>
      <c r="AX407" s="1" t="s">
        <v>74</v>
      </c>
      <c r="AY407" s="1" t="s">
        <v>74</v>
      </c>
      <c r="AZ407" s="1" t="s">
        <v>74</v>
      </c>
      <c r="BA407" s="1" t="s">
        <v>74</v>
      </c>
      <c r="BB407" s="1" t="s">
        <v>74</v>
      </c>
      <c r="BC407" s="1" t="s">
        <v>74</v>
      </c>
      <c r="BD407" s="1">
        <v>76.0</v>
      </c>
      <c r="BE407" s="1" t="s">
        <v>4168</v>
      </c>
      <c r="BF407" s="2" t="str">
        <f>HYPERLINK("http://dx.doi.org/10.3390/molecules21010076","http://dx.doi.org/10.3390/molecules21010076")</f>
        <v>http://dx.doi.org/10.3390/molecules21010076</v>
      </c>
      <c r="BG407" s="1" t="s">
        <v>74</v>
      </c>
      <c r="BH407" s="1" t="s">
        <v>74</v>
      </c>
      <c r="BI407" s="1" t="s">
        <v>74</v>
      </c>
      <c r="BJ407" s="1" t="s">
        <v>74</v>
      </c>
      <c r="BK407" s="1" t="s">
        <v>74</v>
      </c>
      <c r="BL407" s="1" t="s">
        <v>74</v>
      </c>
      <c r="BM407" s="1" t="s">
        <v>74</v>
      </c>
      <c r="BN407" s="1">
        <v>2.6760994E7</v>
      </c>
      <c r="BO407" s="1" t="s">
        <v>74</v>
      </c>
      <c r="BP407" s="1" t="s">
        <v>74</v>
      </c>
      <c r="BQ407" s="1" t="s">
        <v>74</v>
      </c>
      <c r="BR407" s="1" t="s">
        <v>74</v>
      </c>
      <c r="BS407" s="1" t="s">
        <v>4169</v>
      </c>
      <c r="BT407" s="1" t="str">
        <f>HYPERLINK("https%3A%2F%2Fwww.webofscience.com%2Fwos%2Fwoscc%2Ffull-record%2FWOS:000369486800048","View Full Record in Web of Science")</f>
        <v>View Full Record in Web of Science</v>
      </c>
    </row>
    <row r="408" ht="12.75" customHeight="1">
      <c r="A408" s="1" t="s">
        <v>72</v>
      </c>
      <c r="B408" s="1" t="s">
        <v>4170</v>
      </c>
      <c r="C408" s="1" t="s">
        <v>74</v>
      </c>
      <c r="D408" s="1" t="s">
        <v>74</v>
      </c>
      <c r="E408" s="1" t="s">
        <v>74</v>
      </c>
      <c r="F408" s="1" t="s">
        <v>4171</v>
      </c>
      <c r="G408" s="1" t="s">
        <v>74</v>
      </c>
      <c r="H408" s="1" t="s">
        <v>74</v>
      </c>
      <c r="I408" s="1" t="s">
        <v>4172</v>
      </c>
      <c r="J408" s="1" t="s">
        <v>2088</v>
      </c>
      <c r="K408" s="1" t="s">
        <v>74</v>
      </c>
      <c r="L408" s="1" t="s">
        <v>74</v>
      </c>
      <c r="M408" s="1" t="s">
        <v>74</v>
      </c>
      <c r="N408" s="1" t="s">
        <v>74</v>
      </c>
      <c r="O408" s="1" t="s">
        <v>74</v>
      </c>
      <c r="P408" s="1" t="s">
        <v>74</v>
      </c>
      <c r="Q408" s="1" t="s">
        <v>74</v>
      </c>
      <c r="R408" s="1" t="s">
        <v>74</v>
      </c>
      <c r="S408" s="1" t="s">
        <v>74</v>
      </c>
      <c r="T408" s="1" t="s">
        <v>74</v>
      </c>
      <c r="U408" s="1" t="s">
        <v>74</v>
      </c>
      <c r="V408" s="1" t="s">
        <v>4173</v>
      </c>
      <c r="W408" s="1" t="s">
        <v>74</v>
      </c>
      <c r="X408" s="1" t="s">
        <v>74</v>
      </c>
      <c r="Y408" s="1" t="s">
        <v>74</v>
      </c>
      <c r="Z408" s="1" t="s">
        <v>74</v>
      </c>
      <c r="AA408" s="1" t="s">
        <v>4174</v>
      </c>
      <c r="AB408" s="1" t="s">
        <v>74</v>
      </c>
      <c r="AC408" s="1" t="s">
        <v>74</v>
      </c>
      <c r="AD408" s="1" t="s">
        <v>74</v>
      </c>
      <c r="AE408" s="1" t="s">
        <v>74</v>
      </c>
      <c r="AF408" s="1" t="s">
        <v>74</v>
      </c>
      <c r="AG408" s="1" t="s">
        <v>74</v>
      </c>
      <c r="AH408" s="1" t="s">
        <v>74</v>
      </c>
      <c r="AI408" s="1" t="s">
        <v>74</v>
      </c>
      <c r="AJ408" s="1" t="s">
        <v>74</v>
      </c>
      <c r="AK408" s="1" t="s">
        <v>74</v>
      </c>
      <c r="AL408" s="1" t="s">
        <v>74</v>
      </c>
      <c r="AM408" s="1" t="s">
        <v>74</v>
      </c>
      <c r="AN408" s="1" t="s">
        <v>74</v>
      </c>
      <c r="AO408" s="1" t="s">
        <v>2092</v>
      </c>
      <c r="AP408" s="1" t="s">
        <v>2093</v>
      </c>
      <c r="AQ408" s="1" t="s">
        <v>74</v>
      </c>
      <c r="AR408" s="1" t="s">
        <v>74</v>
      </c>
      <c r="AS408" s="1" t="s">
        <v>74</v>
      </c>
      <c r="AT408" s="1" t="s">
        <v>74</v>
      </c>
      <c r="AU408" s="1">
        <v>2016.0</v>
      </c>
      <c r="AV408" s="1">
        <v>18.0</v>
      </c>
      <c r="AW408" s="1">
        <v>47.0</v>
      </c>
      <c r="AX408" s="1" t="s">
        <v>74</v>
      </c>
      <c r="AY408" s="1" t="s">
        <v>74</v>
      </c>
      <c r="AZ408" s="1" t="s">
        <v>74</v>
      </c>
      <c r="BA408" s="1" t="s">
        <v>74</v>
      </c>
      <c r="BB408" s="1">
        <v>32256.0</v>
      </c>
      <c r="BC408" s="1">
        <v>32265.0</v>
      </c>
      <c r="BD408" s="1" t="s">
        <v>74</v>
      </c>
      <c r="BE408" s="1" t="s">
        <v>4175</v>
      </c>
      <c r="BF408" s="2" t="str">
        <f>HYPERLINK("http://dx.doi.org/10.1039/c6cp06708e","http://dx.doi.org/10.1039/c6cp06708e")</f>
        <v>http://dx.doi.org/10.1039/c6cp06708e</v>
      </c>
      <c r="BG408" s="1" t="s">
        <v>74</v>
      </c>
      <c r="BH408" s="1" t="s">
        <v>74</v>
      </c>
      <c r="BI408" s="1" t="s">
        <v>74</v>
      </c>
      <c r="BJ408" s="1" t="s">
        <v>74</v>
      </c>
      <c r="BK408" s="1" t="s">
        <v>74</v>
      </c>
      <c r="BL408" s="1" t="s">
        <v>74</v>
      </c>
      <c r="BM408" s="1" t="s">
        <v>74</v>
      </c>
      <c r="BN408" s="1">
        <v>2.7849078E7</v>
      </c>
      <c r="BO408" s="1" t="s">
        <v>74</v>
      </c>
      <c r="BP408" s="1" t="s">
        <v>74</v>
      </c>
      <c r="BQ408" s="1" t="s">
        <v>74</v>
      </c>
      <c r="BR408" s="1" t="s">
        <v>74</v>
      </c>
      <c r="BS408" s="1" t="s">
        <v>4176</v>
      </c>
      <c r="BT408" s="1" t="str">
        <f>HYPERLINK("https%3A%2F%2Fwww.webofscience.com%2Fwos%2Fwoscc%2Ffull-record%2FWOS:000390436800029","View Full Record in Web of Science")</f>
        <v>View Full Record in Web of Science</v>
      </c>
    </row>
    <row r="409" ht="12.75" customHeight="1">
      <c r="A409" s="1" t="s">
        <v>72</v>
      </c>
      <c r="B409" s="1" t="s">
        <v>4177</v>
      </c>
      <c r="C409" s="1" t="s">
        <v>74</v>
      </c>
      <c r="D409" s="1" t="s">
        <v>74</v>
      </c>
      <c r="E409" s="1" t="s">
        <v>74</v>
      </c>
      <c r="F409" s="1" t="s">
        <v>4178</v>
      </c>
      <c r="G409" s="1" t="s">
        <v>74</v>
      </c>
      <c r="H409" s="1" t="s">
        <v>74</v>
      </c>
      <c r="I409" s="1" t="s">
        <v>4179</v>
      </c>
      <c r="J409" s="1" t="s">
        <v>321</v>
      </c>
      <c r="K409" s="1" t="s">
        <v>74</v>
      </c>
      <c r="L409" s="1" t="s">
        <v>74</v>
      </c>
      <c r="M409" s="1" t="s">
        <v>74</v>
      </c>
      <c r="N409" s="1" t="s">
        <v>74</v>
      </c>
      <c r="O409" s="1" t="s">
        <v>74</v>
      </c>
      <c r="P409" s="1" t="s">
        <v>74</v>
      </c>
      <c r="Q409" s="1" t="s">
        <v>74</v>
      </c>
      <c r="R409" s="1" t="s">
        <v>74</v>
      </c>
      <c r="S409" s="1" t="s">
        <v>74</v>
      </c>
      <c r="T409" s="1" t="s">
        <v>74</v>
      </c>
      <c r="U409" s="1" t="s">
        <v>74</v>
      </c>
      <c r="V409" s="1" t="s">
        <v>4180</v>
      </c>
      <c r="W409" s="1" t="s">
        <v>74</v>
      </c>
      <c r="X409" s="1" t="s">
        <v>74</v>
      </c>
      <c r="Y409" s="1" t="s">
        <v>74</v>
      </c>
      <c r="Z409" s="1" t="s">
        <v>74</v>
      </c>
      <c r="AA409" s="1" t="s">
        <v>4181</v>
      </c>
      <c r="AB409" s="1" t="s">
        <v>4182</v>
      </c>
      <c r="AC409" s="1" t="s">
        <v>74</v>
      </c>
      <c r="AD409" s="1" t="s">
        <v>74</v>
      </c>
      <c r="AE409" s="1" t="s">
        <v>74</v>
      </c>
      <c r="AF409" s="1" t="s">
        <v>74</v>
      </c>
      <c r="AG409" s="1" t="s">
        <v>74</v>
      </c>
      <c r="AH409" s="1" t="s">
        <v>74</v>
      </c>
      <c r="AI409" s="1" t="s">
        <v>74</v>
      </c>
      <c r="AJ409" s="1" t="s">
        <v>74</v>
      </c>
      <c r="AK409" s="1" t="s">
        <v>74</v>
      </c>
      <c r="AL409" s="1" t="s">
        <v>74</v>
      </c>
      <c r="AM409" s="1" t="s">
        <v>74</v>
      </c>
      <c r="AN409" s="1" t="s">
        <v>74</v>
      </c>
      <c r="AO409" s="1" t="s">
        <v>325</v>
      </c>
      <c r="AP409" s="1" t="s">
        <v>326</v>
      </c>
      <c r="AQ409" s="1" t="s">
        <v>74</v>
      </c>
      <c r="AR409" s="1" t="s">
        <v>74</v>
      </c>
      <c r="AS409" s="1" t="s">
        <v>74</v>
      </c>
      <c r="AT409" s="1" t="s">
        <v>1413</v>
      </c>
      <c r="AU409" s="1">
        <v>2013.0</v>
      </c>
      <c r="AV409" s="1">
        <v>450.0</v>
      </c>
      <c r="AW409" s="1" t="s">
        <v>74</v>
      </c>
      <c r="AX409" s="1" t="s">
        <v>74</v>
      </c>
      <c r="AY409" s="1" t="s">
        <v>74</v>
      </c>
      <c r="AZ409" s="1" t="s">
        <v>74</v>
      </c>
      <c r="BA409" s="1" t="s">
        <v>74</v>
      </c>
      <c r="BB409" s="1">
        <v>188.0</v>
      </c>
      <c r="BC409" s="1">
        <v>196.0</v>
      </c>
      <c r="BD409" s="1" t="s">
        <v>74</v>
      </c>
      <c r="BE409" s="1" t="s">
        <v>4183</v>
      </c>
      <c r="BF409" s="2" t="str">
        <f>HYPERLINK("http://dx.doi.org/10.1016/j.scitotenv.2013.02.021","http://dx.doi.org/10.1016/j.scitotenv.2013.02.021")</f>
        <v>http://dx.doi.org/10.1016/j.scitotenv.2013.02.021</v>
      </c>
      <c r="BG409" s="1" t="s">
        <v>74</v>
      </c>
      <c r="BH409" s="1" t="s">
        <v>74</v>
      </c>
      <c r="BI409" s="1" t="s">
        <v>74</v>
      </c>
      <c r="BJ409" s="1" t="s">
        <v>74</v>
      </c>
      <c r="BK409" s="1" t="s">
        <v>74</v>
      </c>
      <c r="BL409" s="1" t="s">
        <v>74</v>
      </c>
      <c r="BM409" s="1" t="s">
        <v>74</v>
      </c>
      <c r="BN409" s="1">
        <v>2.3474264E7</v>
      </c>
      <c r="BO409" s="1" t="s">
        <v>74</v>
      </c>
      <c r="BP409" s="1" t="s">
        <v>74</v>
      </c>
      <c r="BQ409" s="1" t="s">
        <v>74</v>
      </c>
      <c r="BR409" s="1" t="s">
        <v>74</v>
      </c>
      <c r="BS409" s="1" t="s">
        <v>4184</v>
      </c>
      <c r="BT409" s="1" t="str">
        <f>HYPERLINK("https%3A%2F%2Fwww.webofscience.com%2Fwos%2Fwoscc%2Ffull-record%2FWOS:000317879100021","View Full Record in Web of Science")</f>
        <v>View Full Record in Web of Science</v>
      </c>
    </row>
    <row r="410" ht="12.75" customHeight="1">
      <c r="A410" s="1" t="s">
        <v>72</v>
      </c>
      <c r="B410" s="1" t="s">
        <v>4185</v>
      </c>
      <c r="C410" s="1" t="s">
        <v>74</v>
      </c>
      <c r="D410" s="1" t="s">
        <v>74</v>
      </c>
      <c r="E410" s="1" t="s">
        <v>74</v>
      </c>
      <c r="F410" s="1" t="s">
        <v>4186</v>
      </c>
      <c r="G410" s="1" t="s">
        <v>74</v>
      </c>
      <c r="H410" s="1" t="s">
        <v>74</v>
      </c>
      <c r="I410" s="1" t="s">
        <v>4187</v>
      </c>
      <c r="J410" s="1" t="s">
        <v>4188</v>
      </c>
      <c r="K410" s="1" t="s">
        <v>74</v>
      </c>
      <c r="L410" s="1" t="s">
        <v>74</v>
      </c>
      <c r="M410" s="1" t="s">
        <v>74</v>
      </c>
      <c r="N410" s="1" t="s">
        <v>74</v>
      </c>
      <c r="O410" s="1" t="s">
        <v>4189</v>
      </c>
      <c r="P410" s="1" t="s">
        <v>4190</v>
      </c>
      <c r="Q410" s="1" t="s">
        <v>4191</v>
      </c>
      <c r="R410" s="1" t="s">
        <v>4192</v>
      </c>
      <c r="S410" s="1" t="s">
        <v>74</v>
      </c>
      <c r="T410" s="1" t="s">
        <v>74</v>
      </c>
      <c r="U410" s="1" t="s">
        <v>74</v>
      </c>
      <c r="V410" s="1" t="s">
        <v>74</v>
      </c>
      <c r="W410" s="1" t="s">
        <v>74</v>
      </c>
      <c r="X410" s="1" t="s">
        <v>74</v>
      </c>
      <c r="Y410" s="1" t="s">
        <v>74</v>
      </c>
      <c r="Z410" s="1" t="s">
        <v>74</v>
      </c>
      <c r="AA410" s="1" t="s">
        <v>4193</v>
      </c>
      <c r="AB410" s="1" t="s">
        <v>74</v>
      </c>
      <c r="AC410" s="1" t="s">
        <v>74</v>
      </c>
      <c r="AD410" s="1" t="s">
        <v>74</v>
      </c>
      <c r="AE410" s="1" t="s">
        <v>74</v>
      </c>
      <c r="AF410" s="1" t="s">
        <v>74</v>
      </c>
      <c r="AG410" s="1" t="s">
        <v>74</v>
      </c>
      <c r="AH410" s="1" t="s">
        <v>74</v>
      </c>
      <c r="AI410" s="1" t="s">
        <v>74</v>
      </c>
      <c r="AJ410" s="1" t="s">
        <v>74</v>
      </c>
      <c r="AK410" s="1" t="s">
        <v>74</v>
      </c>
      <c r="AL410" s="1" t="s">
        <v>74</v>
      </c>
      <c r="AM410" s="1" t="s">
        <v>74</v>
      </c>
      <c r="AN410" s="1" t="s">
        <v>74</v>
      </c>
      <c r="AO410" s="1" t="s">
        <v>4194</v>
      </c>
      <c r="AP410" s="1" t="s">
        <v>74</v>
      </c>
      <c r="AQ410" s="1" t="s">
        <v>74</v>
      </c>
      <c r="AR410" s="1" t="s">
        <v>74</v>
      </c>
      <c r="AS410" s="1" t="s">
        <v>74</v>
      </c>
      <c r="AT410" s="1" t="s">
        <v>339</v>
      </c>
      <c r="AU410" s="1">
        <v>2012.0</v>
      </c>
      <c r="AV410" s="1">
        <v>21.0</v>
      </c>
      <c r="AW410" s="1" t="s">
        <v>74</v>
      </c>
      <c r="AX410" s="1" t="s">
        <v>74</v>
      </c>
      <c r="AY410" s="1">
        <v>1.0</v>
      </c>
      <c r="AZ410" s="1" t="s">
        <v>445</v>
      </c>
      <c r="BA410" s="1" t="s">
        <v>74</v>
      </c>
      <c r="BB410" s="1">
        <v>277.0</v>
      </c>
      <c r="BC410" s="1">
        <v>277.0</v>
      </c>
      <c r="BD410" s="1" t="s">
        <v>74</v>
      </c>
      <c r="BE410" s="1" t="s">
        <v>74</v>
      </c>
      <c r="BF410" s="1" t="s">
        <v>74</v>
      </c>
      <c r="BG410" s="1" t="s">
        <v>74</v>
      </c>
      <c r="BH410" s="1" t="s">
        <v>74</v>
      </c>
      <c r="BI410" s="1" t="s">
        <v>74</v>
      </c>
      <c r="BJ410" s="1" t="s">
        <v>74</v>
      </c>
      <c r="BK410" s="1" t="s">
        <v>74</v>
      </c>
      <c r="BL410" s="1" t="s">
        <v>74</v>
      </c>
      <c r="BM410" s="1" t="s">
        <v>74</v>
      </c>
      <c r="BN410" s="1" t="s">
        <v>74</v>
      </c>
      <c r="BO410" s="1" t="s">
        <v>74</v>
      </c>
      <c r="BP410" s="1" t="s">
        <v>74</v>
      </c>
      <c r="BQ410" s="1" t="s">
        <v>74</v>
      </c>
      <c r="BR410" s="1" t="s">
        <v>74</v>
      </c>
      <c r="BS410" s="1" t="s">
        <v>4195</v>
      </c>
      <c r="BT410" s="1" t="str">
        <f>HYPERLINK("https%3A%2F%2Fwww.webofscience.com%2Fwos%2Fwoscc%2Ffull-record%2FWOS:000307963201221","View Full Record in Web of Science")</f>
        <v>View Full Record in Web of Science</v>
      </c>
    </row>
    <row r="411" ht="12.75" customHeight="1">
      <c r="A411" s="1" t="s">
        <v>72</v>
      </c>
      <c r="B411" s="1" t="s">
        <v>4196</v>
      </c>
      <c r="C411" s="1" t="s">
        <v>74</v>
      </c>
      <c r="D411" s="1" t="s">
        <v>74</v>
      </c>
      <c r="E411" s="1" t="s">
        <v>74</v>
      </c>
      <c r="F411" s="1" t="s">
        <v>4197</v>
      </c>
      <c r="G411" s="1" t="s">
        <v>74</v>
      </c>
      <c r="H411" s="1" t="s">
        <v>74</v>
      </c>
      <c r="I411" s="1" t="s">
        <v>4198</v>
      </c>
      <c r="J411" s="1" t="s">
        <v>4199</v>
      </c>
      <c r="K411" s="1" t="s">
        <v>74</v>
      </c>
      <c r="L411" s="1" t="s">
        <v>74</v>
      </c>
      <c r="M411" s="1" t="s">
        <v>74</v>
      </c>
      <c r="N411" s="1" t="s">
        <v>74</v>
      </c>
      <c r="O411" s="1" t="s">
        <v>74</v>
      </c>
      <c r="P411" s="1" t="s">
        <v>74</v>
      </c>
      <c r="Q411" s="1" t="s">
        <v>74</v>
      </c>
      <c r="R411" s="1" t="s">
        <v>74</v>
      </c>
      <c r="S411" s="1" t="s">
        <v>74</v>
      </c>
      <c r="T411" s="1" t="s">
        <v>74</v>
      </c>
      <c r="U411" s="1" t="s">
        <v>74</v>
      </c>
      <c r="V411" s="1" t="s">
        <v>4200</v>
      </c>
      <c r="W411" s="1" t="s">
        <v>74</v>
      </c>
      <c r="X411" s="1" t="s">
        <v>74</v>
      </c>
      <c r="Y411" s="1" t="s">
        <v>74</v>
      </c>
      <c r="Z411" s="1" t="s">
        <v>74</v>
      </c>
      <c r="AA411" s="1" t="s">
        <v>4201</v>
      </c>
      <c r="AB411" s="1" t="s">
        <v>4202</v>
      </c>
      <c r="AC411" s="1" t="s">
        <v>74</v>
      </c>
      <c r="AD411" s="1" t="s">
        <v>74</v>
      </c>
      <c r="AE411" s="1" t="s">
        <v>74</v>
      </c>
      <c r="AF411" s="1" t="s">
        <v>74</v>
      </c>
      <c r="AG411" s="1" t="s">
        <v>74</v>
      </c>
      <c r="AH411" s="1" t="s">
        <v>74</v>
      </c>
      <c r="AI411" s="1" t="s">
        <v>74</v>
      </c>
      <c r="AJ411" s="1" t="s">
        <v>74</v>
      </c>
      <c r="AK411" s="1" t="s">
        <v>74</v>
      </c>
      <c r="AL411" s="1" t="s">
        <v>74</v>
      </c>
      <c r="AM411" s="1" t="s">
        <v>74</v>
      </c>
      <c r="AN411" s="1" t="s">
        <v>74</v>
      </c>
      <c r="AO411" s="1" t="s">
        <v>4203</v>
      </c>
      <c r="AP411" s="1" t="s">
        <v>4204</v>
      </c>
      <c r="AQ411" s="1" t="s">
        <v>74</v>
      </c>
      <c r="AR411" s="1" t="s">
        <v>74</v>
      </c>
      <c r="AS411" s="1" t="s">
        <v>74</v>
      </c>
      <c r="AT411" s="1" t="s">
        <v>180</v>
      </c>
      <c r="AU411" s="1">
        <v>2012.0</v>
      </c>
      <c r="AV411" s="1">
        <v>16.0</v>
      </c>
      <c r="AW411" s="1">
        <v>9.0</v>
      </c>
      <c r="AX411" s="1" t="s">
        <v>74</v>
      </c>
      <c r="AY411" s="1" t="s">
        <v>74</v>
      </c>
      <c r="AZ411" s="1" t="s">
        <v>74</v>
      </c>
      <c r="BA411" s="1" t="s">
        <v>74</v>
      </c>
      <c r="BB411" s="1">
        <v>974.0</v>
      </c>
      <c r="BC411" s="1">
        <v>1031.0</v>
      </c>
      <c r="BD411" s="1" t="s">
        <v>74</v>
      </c>
      <c r="BE411" s="1" t="s">
        <v>4205</v>
      </c>
      <c r="BF411" s="2" t="str">
        <f>HYPERLINK("http://dx.doi.org/10.1089/ars.2011.4082","http://dx.doi.org/10.1089/ars.2011.4082")</f>
        <v>http://dx.doi.org/10.1089/ars.2011.4082</v>
      </c>
      <c r="BG411" s="1" t="s">
        <v>74</v>
      </c>
      <c r="BH411" s="1" t="s">
        <v>74</v>
      </c>
      <c r="BI411" s="1" t="s">
        <v>74</v>
      </c>
      <c r="BJ411" s="1" t="s">
        <v>74</v>
      </c>
      <c r="BK411" s="1" t="s">
        <v>74</v>
      </c>
      <c r="BL411" s="1" t="s">
        <v>74</v>
      </c>
      <c r="BM411" s="1" t="s">
        <v>74</v>
      </c>
      <c r="BN411" s="1">
        <v>2.21224E7</v>
      </c>
      <c r="BO411" s="1" t="s">
        <v>74</v>
      </c>
      <c r="BP411" s="1" t="s">
        <v>74</v>
      </c>
      <c r="BQ411" s="1" t="s">
        <v>74</v>
      </c>
      <c r="BR411" s="1" t="s">
        <v>74</v>
      </c>
      <c r="BS411" s="1" t="s">
        <v>4206</v>
      </c>
      <c r="BT411" s="1" t="str">
        <f>HYPERLINK("https%3A%2F%2Fwww.webofscience.com%2Fwos%2Fwoscc%2Ffull-record%2FWOS:000301225200009","View Full Record in Web of Science")</f>
        <v>View Full Record in Web of Science</v>
      </c>
    </row>
    <row r="412" ht="12.75" customHeight="1">
      <c r="A412" s="1" t="s">
        <v>72</v>
      </c>
      <c r="B412" s="1" t="s">
        <v>4207</v>
      </c>
      <c r="C412" s="1" t="s">
        <v>74</v>
      </c>
      <c r="D412" s="1" t="s">
        <v>74</v>
      </c>
      <c r="E412" s="1" t="s">
        <v>74</v>
      </c>
      <c r="F412" s="1" t="s">
        <v>4208</v>
      </c>
      <c r="G412" s="1" t="s">
        <v>74</v>
      </c>
      <c r="H412" s="1" t="s">
        <v>74</v>
      </c>
      <c r="I412" s="1" t="s">
        <v>4209</v>
      </c>
      <c r="J412" s="1" t="s">
        <v>4210</v>
      </c>
      <c r="K412" s="1" t="s">
        <v>74</v>
      </c>
      <c r="L412" s="1" t="s">
        <v>74</v>
      </c>
      <c r="M412" s="1" t="s">
        <v>74</v>
      </c>
      <c r="N412" s="1" t="s">
        <v>74</v>
      </c>
      <c r="O412" s="1" t="s">
        <v>74</v>
      </c>
      <c r="P412" s="1" t="s">
        <v>74</v>
      </c>
      <c r="Q412" s="1" t="s">
        <v>74</v>
      </c>
      <c r="R412" s="1" t="s">
        <v>74</v>
      </c>
      <c r="S412" s="1" t="s">
        <v>74</v>
      </c>
      <c r="T412" s="1" t="s">
        <v>74</v>
      </c>
      <c r="U412" s="1" t="s">
        <v>74</v>
      </c>
      <c r="V412" s="1" t="s">
        <v>4211</v>
      </c>
      <c r="W412" s="1" t="s">
        <v>74</v>
      </c>
      <c r="X412" s="1" t="s">
        <v>74</v>
      </c>
      <c r="Y412" s="1" t="s">
        <v>74</v>
      </c>
      <c r="Z412" s="1" t="s">
        <v>74</v>
      </c>
      <c r="AA412" s="1" t="s">
        <v>4212</v>
      </c>
      <c r="AB412" s="1" t="s">
        <v>4213</v>
      </c>
      <c r="AC412" s="1" t="s">
        <v>74</v>
      </c>
      <c r="AD412" s="1" t="s">
        <v>74</v>
      </c>
      <c r="AE412" s="1" t="s">
        <v>74</v>
      </c>
      <c r="AF412" s="1" t="s">
        <v>74</v>
      </c>
      <c r="AG412" s="1" t="s">
        <v>74</v>
      </c>
      <c r="AH412" s="1" t="s">
        <v>74</v>
      </c>
      <c r="AI412" s="1" t="s">
        <v>74</v>
      </c>
      <c r="AJ412" s="1" t="s">
        <v>74</v>
      </c>
      <c r="AK412" s="1" t="s">
        <v>74</v>
      </c>
      <c r="AL412" s="1" t="s">
        <v>74</v>
      </c>
      <c r="AM412" s="1" t="s">
        <v>74</v>
      </c>
      <c r="AN412" s="1" t="s">
        <v>74</v>
      </c>
      <c r="AO412" s="1" t="s">
        <v>4214</v>
      </c>
      <c r="AP412" s="1" t="s">
        <v>4215</v>
      </c>
      <c r="AQ412" s="1" t="s">
        <v>74</v>
      </c>
      <c r="AR412" s="1" t="s">
        <v>74</v>
      </c>
      <c r="AS412" s="1" t="s">
        <v>74</v>
      </c>
      <c r="AT412" s="1" t="s">
        <v>4216</v>
      </c>
      <c r="AU412" s="1">
        <v>2012.0</v>
      </c>
      <c r="AV412" s="1">
        <v>398.0</v>
      </c>
      <c r="AW412" s="1" t="s">
        <v>74</v>
      </c>
      <c r="AX412" s="1" t="s">
        <v>74</v>
      </c>
      <c r="AY412" s="1" t="s">
        <v>74</v>
      </c>
      <c r="AZ412" s="1" t="s">
        <v>74</v>
      </c>
      <c r="BA412" s="1" t="s">
        <v>74</v>
      </c>
      <c r="BB412" s="1">
        <v>17.0</v>
      </c>
      <c r="BC412" s="1">
        <v>23.0</v>
      </c>
      <c r="BD412" s="1" t="s">
        <v>74</v>
      </c>
      <c r="BE412" s="1" t="s">
        <v>4217</v>
      </c>
      <c r="BF412" s="2" t="str">
        <f>HYPERLINK("http://dx.doi.org/10.1016/j.colsurfa.2012.02.002","http://dx.doi.org/10.1016/j.colsurfa.2012.02.002")</f>
        <v>http://dx.doi.org/10.1016/j.colsurfa.2012.02.002</v>
      </c>
      <c r="BG412" s="1" t="s">
        <v>74</v>
      </c>
      <c r="BH412" s="1" t="s">
        <v>74</v>
      </c>
      <c r="BI412" s="1" t="s">
        <v>74</v>
      </c>
      <c r="BJ412" s="1" t="s">
        <v>74</v>
      </c>
      <c r="BK412" s="1" t="s">
        <v>74</v>
      </c>
      <c r="BL412" s="1" t="s">
        <v>74</v>
      </c>
      <c r="BM412" s="1" t="s">
        <v>74</v>
      </c>
      <c r="BN412" s="1" t="s">
        <v>74</v>
      </c>
      <c r="BO412" s="1" t="s">
        <v>74</v>
      </c>
      <c r="BP412" s="1" t="s">
        <v>74</v>
      </c>
      <c r="BQ412" s="1" t="s">
        <v>74</v>
      </c>
      <c r="BR412" s="1" t="s">
        <v>74</v>
      </c>
      <c r="BS412" s="1" t="s">
        <v>4218</v>
      </c>
      <c r="BT412" s="1" t="str">
        <f>HYPERLINK("https%3A%2F%2Fwww.webofscience.com%2Fwos%2Fwoscc%2Ffull-record%2FWOS:000302763000003","View Full Record in Web of Science")</f>
        <v>View Full Record in Web of Science</v>
      </c>
    </row>
    <row r="413" ht="12.75" customHeight="1">
      <c r="A413" s="1" t="s">
        <v>72</v>
      </c>
      <c r="B413" s="1" t="s">
        <v>4219</v>
      </c>
      <c r="C413" s="1" t="s">
        <v>74</v>
      </c>
      <c r="D413" s="1" t="s">
        <v>74</v>
      </c>
      <c r="E413" s="1" t="s">
        <v>74</v>
      </c>
      <c r="F413" s="1" t="s">
        <v>4220</v>
      </c>
      <c r="G413" s="1" t="s">
        <v>74</v>
      </c>
      <c r="H413" s="1" t="s">
        <v>74</v>
      </c>
      <c r="I413" s="1" t="s">
        <v>4221</v>
      </c>
      <c r="J413" s="1" t="s">
        <v>4222</v>
      </c>
      <c r="K413" s="1" t="s">
        <v>74</v>
      </c>
      <c r="L413" s="1" t="s">
        <v>74</v>
      </c>
      <c r="M413" s="1" t="s">
        <v>74</v>
      </c>
      <c r="N413" s="1" t="s">
        <v>74</v>
      </c>
      <c r="O413" s="1" t="s">
        <v>74</v>
      </c>
      <c r="P413" s="1" t="s">
        <v>74</v>
      </c>
      <c r="Q413" s="1" t="s">
        <v>74</v>
      </c>
      <c r="R413" s="1" t="s">
        <v>74</v>
      </c>
      <c r="S413" s="1" t="s">
        <v>74</v>
      </c>
      <c r="T413" s="1" t="s">
        <v>74</v>
      </c>
      <c r="U413" s="1" t="s">
        <v>74</v>
      </c>
      <c r="V413" s="1" t="s">
        <v>4223</v>
      </c>
      <c r="W413" s="1" t="s">
        <v>74</v>
      </c>
      <c r="X413" s="1" t="s">
        <v>74</v>
      </c>
      <c r="Y413" s="1" t="s">
        <v>74</v>
      </c>
      <c r="Z413" s="1" t="s">
        <v>74</v>
      </c>
      <c r="AA413" s="1" t="s">
        <v>4224</v>
      </c>
      <c r="AB413" s="1" t="s">
        <v>4225</v>
      </c>
      <c r="AC413" s="1" t="s">
        <v>74</v>
      </c>
      <c r="AD413" s="1" t="s">
        <v>74</v>
      </c>
      <c r="AE413" s="1" t="s">
        <v>74</v>
      </c>
      <c r="AF413" s="1" t="s">
        <v>74</v>
      </c>
      <c r="AG413" s="1" t="s">
        <v>74</v>
      </c>
      <c r="AH413" s="1" t="s">
        <v>74</v>
      </c>
      <c r="AI413" s="1" t="s">
        <v>74</v>
      </c>
      <c r="AJ413" s="1" t="s">
        <v>74</v>
      </c>
      <c r="AK413" s="1" t="s">
        <v>74</v>
      </c>
      <c r="AL413" s="1" t="s">
        <v>74</v>
      </c>
      <c r="AM413" s="1" t="s">
        <v>74</v>
      </c>
      <c r="AN413" s="1" t="s">
        <v>74</v>
      </c>
      <c r="AO413" s="1" t="s">
        <v>4226</v>
      </c>
      <c r="AP413" s="1" t="s">
        <v>4227</v>
      </c>
      <c r="AQ413" s="1" t="s">
        <v>74</v>
      </c>
      <c r="AR413" s="1" t="s">
        <v>74</v>
      </c>
      <c r="AS413" s="1" t="s">
        <v>74</v>
      </c>
      <c r="AT413" s="1" t="s">
        <v>158</v>
      </c>
      <c r="AU413" s="1">
        <v>2011.0</v>
      </c>
      <c r="AV413" s="1">
        <v>105.0</v>
      </c>
      <c r="AW413" s="1">
        <v>2.0</v>
      </c>
      <c r="AX413" s="1" t="s">
        <v>74</v>
      </c>
      <c r="AY413" s="1" t="s">
        <v>74</v>
      </c>
      <c r="AZ413" s="1" t="s">
        <v>74</v>
      </c>
      <c r="BA413" s="1" t="s">
        <v>74</v>
      </c>
      <c r="BB413" s="1">
        <v>210.0</v>
      </c>
      <c r="BC413" s="1">
        <v>215.0</v>
      </c>
      <c r="BD413" s="1" t="s">
        <v>74</v>
      </c>
      <c r="BE413" s="1" t="s">
        <v>4228</v>
      </c>
      <c r="BF413" s="2" t="str">
        <f>HYPERLINK("http://dx.doi.org/10.1016/j.jfoodeng.2011.02.012","http://dx.doi.org/10.1016/j.jfoodeng.2011.02.012")</f>
        <v>http://dx.doi.org/10.1016/j.jfoodeng.2011.02.012</v>
      </c>
      <c r="BG413" s="1" t="s">
        <v>74</v>
      </c>
      <c r="BH413" s="1" t="s">
        <v>74</v>
      </c>
      <c r="BI413" s="1" t="s">
        <v>74</v>
      </c>
      <c r="BJ413" s="1" t="s">
        <v>74</v>
      </c>
      <c r="BK413" s="1" t="s">
        <v>74</v>
      </c>
      <c r="BL413" s="1" t="s">
        <v>74</v>
      </c>
      <c r="BM413" s="1" t="s">
        <v>74</v>
      </c>
      <c r="BN413" s="1" t="s">
        <v>74</v>
      </c>
      <c r="BO413" s="1" t="s">
        <v>74</v>
      </c>
      <c r="BP413" s="1" t="s">
        <v>74</v>
      </c>
      <c r="BQ413" s="1" t="s">
        <v>74</v>
      </c>
      <c r="BR413" s="1" t="s">
        <v>74</v>
      </c>
      <c r="BS413" s="1" t="s">
        <v>4229</v>
      </c>
      <c r="BT413" s="1" t="str">
        <f>HYPERLINK("https%3A%2F%2Fwww.webofscience.com%2Fwos%2Fwoscc%2Ffull-record%2FWOS:000290500800002","View Full Record in Web of Science")</f>
        <v>View Full Record in Web of Science</v>
      </c>
    </row>
    <row r="414" ht="12.75" customHeight="1">
      <c r="A414" s="1" t="s">
        <v>72</v>
      </c>
      <c r="B414" s="1" t="s">
        <v>4230</v>
      </c>
      <c r="C414" s="1" t="s">
        <v>74</v>
      </c>
      <c r="D414" s="1" t="s">
        <v>74</v>
      </c>
      <c r="E414" s="1" t="s">
        <v>74</v>
      </c>
      <c r="F414" s="1" t="s">
        <v>4230</v>
      </c>
      <c r="G414" s="1" t="s">
        <v>74</v>
      </c>
      <c r="H414" s="1" t="s">
        <v>74</v>
      </c>
      <c r="I414" s="1" t="s">
        <v>4231</v>
      </c>
      <c r="J414" s="1" t="s">
        <v>4232</v>
      </c>
      <c r="K414" s="1" t="s">
        <v>74</v>
      </c>
      <c r="L414" s="1" t="s">
        <v>74</v>
      </c>
      <c r="M414" s="1" t="s">
        <v>74</v>
      </c>
      <c r="N414" s="1" t="s">
        <v>74</v>
      </c>
      <c r="O414" s="1" t="s">
        <v>74</v>
      </c>
      <c r="P414" s="1" t="s">
        <v>74</v>
      </c>
      <c r="Q414" s="1" t="s">
        <v>74</v>
      </c>
      <c r="R414" s="1" t="s">
        <v>74</v>
      </c>
      <c r="S414" s="1" t="s">
        <v>74</v>
      </c>
      <c r="T414" s="1" t="s">
        <v>74</v>
      </c>
      <c r="U414" s="1" t="s">
        <v>74</v>
      </c>
      <c r="V414" s="1" t="s">
        <v>4233</v>
      </c>
      <c r="W414" s="1" t="s">
        <v>74</v>
      </c>
      <c r="X414" s="1" t="s">
        <v>74</v>
      </c>
      <c r="Y414" s="1" t="s">
        <v>74</v>
      </c>
      <c r="Z414" s="1" t="s">
        <v>74</v>
      </c>
      <c r="AA414" s="1" t="s">
        <v>4234</v>
      </c>
      <c r="AB414" s="1" t="s">
        <v>4235</v>
      </c>
      <c r="AC414" s="1" t="s">
        <v>74</v>
      </c>
      <c r="AD414" s="1" t="s">
        <v>74</v>
      </c>
      <c r="AE414" s="1" t="s">
        <v>74</v>
      </c>
      <c r="AF414" s="1" t="s">
        <v>74</v>
      </c>
      <c r="AG414" s="1" t="s">
        <v>74</v>
      </c>
      <c r="AH414" s="1" t="s">
        <v>74</v>
      </c>
      <c r="AI414" s="1" t="s">
        <v>74</v>
      </c>
      <c r="AJ414" s="1" t="s">
        <v>74</v>
      </c>
      <c r="AK414" s="1" t="s">
        <v>74</v>
      </c>
      <c r="AL414" s="1" t="s">
        <v>74</v>
      </c>
      <c r="AM414" s="1" t="s">
        <v>74</v>
      </c>
      <c r="AN414" s="1" t="s">
        <v>74</v>
      </c>
      <c r="AO414" s="1" t="s">
        <v>4236</v>
      </c>
      <c r="AP414" s="1" t="s">
        <v>74</v>
      </c>
      <c r="AQ414" s="1" t="s">
        <v>74</v>
      </c>
      <c r="AR414" s="1" t="s">
        <v>74</v>
      </c>
      <c r="AS414" s="1" t="s">
        <v>74</v>
      </c>
      <c r="AT414" s="1" t="s">
        <v>4237</v>
      </c>
      <c r="AU414" s="1">
        <v>2005.0</v>
      </c>
      <c r="AV414" s="1">
        <v>757.0</v>
      </c>
      <c r="AW414" s="1" t="s">
        <v>4238</v>
      </c>
      <c r="AX414" s="1" t="s">
        <v>74</v>
      </c>
      <c r="AY414" s="1" t="s">
        <v>74</v>
      </c>
      <c r="AZ414" s="1" t="s">
        <v>74</v>
      </c>
      <c r="BA414" s="1" t="s">
        <v>74</v>
      </c>
      <c r="BB414" s="1">
        <v>1.0</v>
      </c>
      <c r="BC414" s="1">
        <v>7.0</v>
      </c>
      <c r="BD414" s="1" t="s">
        <v>74</v>
      </c>
      <c r="BE414" s="1" t="s">
        <v>4239</v>
      </c>
      <c r="BF414" s="2" t="str">
        <f>HYPERLINK("http://dx.doi.org/10.1016/j.theochem.2005.05.018","http://dx.doi.org/10.1016/j.theochem.2005.05.018")</f>
        <v>http://dx.doi.org/10.1016/j.theochem.2005.05.018</v>
      </c>
      <c r="BG414" s="1" t="s">
        <v>74</v>
      </c>
      <c r="BH414" s="1" t="s">
        <v>74</v>
      </c>
      <c r="BI414" s="1" t="s">
        <v>74</v>
      </c>
      <c r="BJ414" s="1" t="s">
        <v>74</v>
      </c>
      <c r="BK414" s="1" t="s">
        <v>74</v>
      </c>
      <c r="BL414" s="1" t="s">
        <v>74</v>
      </c>
      <c r="BM414" s="1" t="s">
        <v>74</v>
      </c>
      <c r="BN414" s="1" t="s">
        <v>74</v>
      </c>
      <c r="BO414" s="1" t="s">
        <v>74</v>
      </c>
      <c r="BP414" s="1" t="s">
        <v>74</v>
      </c>
      <c r="BQ414" s="1" t="s">
        <v>74</v>
      </c>
      <c r="BR414" s="1" t="s">
        <v>74</v>
      </c>
      <c r="BS414" s="1" t="s">
        <v>4240</v>
      </c>
      <c r="BT414" s="1" t="str">
        <f>HYPERLINK("https%3A%2F%2Fwww.webofscience.com%2Fwos%2Fwoscc%2Ffull-record%2FWOS:000234302100001","View Full Record in Web of Science")</f>
        <v>View Full Record in Web of Science</v>
      </c>
    </row>
    <row r="415" ht="12.75" customHeight="1">
      <c r="A415" s="1" t="s">
        <v>72</v>
      </c>
      <c r="B415" s="1" t="s">
        <v>4241</v>
      </c>
      <c r="C415" s="1" t="s">
        <v>74</v>
      </c>
      <c r="D415" s="1" t="s">
        <v>74</v>
      </c>
      <c r="E415" s="1" t="s">
        <v>74</v>
      </c>
      <c r="F415" s="1" t="s">
        <v>4241</v>
      </c>
      <c r="G415" s="1" t="s">
        <v>74</v>
      </c>
      <c r="H415" s="1" t="s">
        <v>74</v>
      </c>
      <c r="I415" s="1" t="s">
        <v>4242</v>
      </c>
      <c r="J415" s="1" t="s">
        <v>4243</v>
      </c>
      <c r="K415" s="1" t="s">
        <v>74</v>
      </c>
      <c r="L415" s="1" t="s">
        <v>74</v>
      </c>
      <c r="M415" s="1" t="s">
        <v>74</v>
      </c>
      <c r="N415" s="1" t="s">
        <v>74</v>
      </c>
      <c r="O415" s="1" t="s">
        <v>74</v>
      </c>
      <c r="P415" s="1" t="s">
        <v>74</v>
      </c>
      <c r="Q415" s="1" t="s">
        <v>74</v>
      </c>
      <c r="R415" s="1" t="s">
        <v>74</v>
      </c>
      <c r="S415" s="1" t="s">
        <v>74</v>
      </c>
      <c r="T415" s="1" t="s">
        <v>74</v>
      </c>
      <c r="U415" s="1" t="s">
        <v>74</v>
      </c>
      <c r="V415" s="1" t="s">
        <v>4244</v>
      </c>
      <c r="W415" s="1" t="s">
        <v>74</v>
      </c>
      <c r="X415" s="1" t="s">
        <v>74</v>
      </c>
      <c r="Y415" s="1" t="s">
        <v>74</v>
      </c>
      <c r="Z415" s="1" t="s">
        <v>74</v>
      </c>
      <c r="AA415" s="1" t="s">
        <v>727</v>
      </c>
      <c r="AB415" s="1" t="s">
        <v>4245</v>
      </c>
      <c r="AC415" s="1" t="s">
        <v>74</v>
      </c>
      <c r="AD415" s="1" t="s">
        <v>74</v>
      </c>
      <c r="AE415" s="1" t="s">
        <v>74</v>
      </c>
      <c r="AF415" s="1" t="s">
        <v>74</v>
      </c>
      <c r="AG415" s="1" t="s">
        <v>74</v>
      </c>
      <c r="AH415" s="1" t="s">
        <v>74</v>
      </c>
      <c r="AI415" s="1" t="s">
        <v>74</v>
      </c>
      <c r="AJ415" s="1" t="s">
        <v>74</v>
      </c>
      <c r="AK415" s="1" t="s">
        <v>74</v>
      </c>
      <c r="AL415" s="1" t="s">
        <v>74</v>
      </c>
      <c r="AM415" s="1" t="s">
        <v>74</v>
      </c>
      <c r="AN415" s="1" t="s">
        <v>74</v>
      </c>
      <c r="AO415" s="1" t="s">
        <v>4246</v>
      </c>
      <c r="AP415" s="1" t="s">
        <v>4247</v>
      </c>
      <c r="AQ415" s="1" t="s">
        <v>74</v>
      </c>
      <c r="AR415" s="1" t="s">
        <v>74</v>
      </c>
      <c r="AS415" s="1" t="s">
        <v>74</v>
      </c>
      <c r="AT415" s="1" t="s">
        <v>617</v>
      </c>
      <c r="AU415" s="1">
        <v>2005.0</v>
      </c>
      <c r="AV415" s="1">
        <v>77.0</v>
      </c>
      <c r="AW415" s="1">
        <v>21.0</v>
      </c>
      <c r="AX415" s="1" t="s">
        <v>74</v>
      </c>
      <c r="AY415" s="1" t="s">
        <v>74</v>
      </c>
      <c r="AZ415" s="1" t="s">
        <v>74</v>
      </c>
      <c r="BA415" s="1" t="s">
        <v>74</v>
      </c>
      <c r="BB415" s="1">
        <v>6942.0</v>
      </c>
      <c r="BC415" s="1">
        <v>6946.0</v>
      </c>
      <c r="BD415" s="1" t="s">
        <v>74</v>
      </c>
      <c r="BE415" s="1" t="s">
        <v>4248</v>
      </c>
      <c r="BF415" s="2" t="str">
        <f>HYPERLINK("http://dx.doi.org/10.1021/ac051066l","http://dx.doi.org/10.1021/ac051066l")</f>
        <v>http://dx.doi.org/10.1021/ac051066l</v>
      </c>
      <c r="BG415" s="1" t="s">
        <v>74</v>
      </c>
      <c r="BH415" s="1" t="s">
        <v>74</v>
      </c>
      <c r="BI415" s="1" t="s">
        <v>74</v>
      </c>
      <c r="BJ415" s="1" t="s">
        <v>74</v>
      </c>
      <c r="BK415" s="1" t="s">
        <v>74</v>
      </c>
      <c r="BL415" s="1" t="s">
        <v>74</v>
      </c>
      <c r="BM415" s="1" t="s">
        <v>74</v>
      </c>
      <c r="BN415" s="1">
        <v>1.6255593E7</v>
      </c>
      <c r="BO415" s="1" t="s">
        <v>74</v>
      </c>
      <c r="BP415" s="1" t="s">
        <v>74</v>
      </c>
      <c r="BQ415" s="1" t="s">
        <v>74</v>
      </c>
      <c r="BR415" s="1" t="s">
        <v>74</v>
      </c>
      <c r="BS415" s="1" t="s">
        <v>4249</v>
      </c>
      <c r="BT415" s="1" t="str">
        <f>HYPERLINK("https%3A%2F%2Fwww.webofscience.com%2Fwos%2Fwoscc%2Ffull-record%2FWOS:000233125400034","View Full Record in Web of Science")</f>
        <v>View Full Record in Web of Science</v>
      </c>
    </row>
    <row r="416" ht="12.75" customHeight="1">
      <c r="A416" s="1" t="s">
        <v>72</v>
      </c>
      <c r="B416" s="1" t="s">
        <v>4250</v>
      </c>
      <c r="C416" s="1" t="s">
        <v>74</v>
      </c>
      <c r="D416" s="1" t="s">
        <v>74</v>
      </c>
      <c r="E416" s="1" t="s">
        <v>74</v>
      </c>
      <c r="F416" s="1" t="s">
        <v>4250</v>
      </c>
      <c r="G416" s="1" t="s">
        <v>74</v>
      </c>
      <c r="H416" s="1" t="s">
        <v>74</v>
      </c>
      <c r="I416" s="1" t="s">
        <v>4251</v>
      </c>
      <c r="J416" s="1" t="s">
        <v>4252</v>
      </c>
      <c r="K416" s="1" t="s">
        <v>74</v>
      </c>
      <c r="L416" s="1" t="s">
        <v>74</v>
      </c>
      <c r="M416" s="1" t="s">
        <v>74</v>
      </c>
      <c r="N416" s="1" t="s">
        <v>74</v>
      </c>
      <c r="O416" s="1" t="s">
        <v>74</v>
      </c>
      <c r="P416" s="1" t="s">
        <v>74</v>
      </c>
      <c r="Q416" s="1" t="s">
        <v>74</v>
      </c>
      <c r="R416" s="1" t="s">
        <v>74</v>
      </c>
      <c r="S416" s="1" t="s">
        <v>74</v>
      </c>
      <c r="T416" s="1" t="s">
        <v>74</v>
      </c>
      <c r="U416" s="1" t="s">
        <v>74</v>
      </c>
      <c r="V416" s="1" t="s">
        <v>4253</v>
      </c>
      <c r="W416" s="1" t="s">
        <v>74</v>
      </c>
      <c r="X416" s="1" t="s">
        <v>74</v>
      </c>
      <c r="Y416" s="1" t="s">
        <v>74</v>
      </c>
      <c r="Z416" s="1" t="s">
        <v>74</v>
      </c>
      <c r="AA416" s="1" t="s">
        <v>684</v>
      </c>
      <c r="AB416" s="1" t="s">
        <v>685</v>
      </c>
      <c r="AC416" s="1" t="s">
        <v>74</v>
      </c>
      <c r="AD416" s="1" t="s">
        <v>74</v>
      </c>
      <c r="AE416" s="1" t="s">
        <v>74</v>
      </c>
      <c r="AF416" s="1" t="s">
        <v>74</v>
      </c>
      <c r="AG416" s="1" t="s">
        <v>74</v>
      </c>
      <c r="AH416" s="1" t="s">
        <v>74</v>
      </c>
      <c r="AI416" s="1" t="s">
        <v>74</v>
      </c>
      <c r="AJ416" s="1" t="s">
        <v>74</v>
      </c>
      <c r="AK416" s="1" t="s">
        <v>74</v>
      </c>
      <c r="AL416" s="1" t="s">
        <v>74</v>
      </c>
      <c r="AM416" s="1" t="s">
        <v>74</v>
      </c>
      <c r="AN416" s="1" t="s">
        <v>74</v>
      </c>
      <c r="AO416" s="1" t="s">
        <v>4254</v>
      </c>
      <c r="AP416" s="1" t="s">
        <v>4255</v>
      </c>
      <c r="AQ416" s="1" t="s">
        <v>74</v>
      </c>
      <c r="AR416" s="1" t="s">
        <v>74</v>
      </c>
      <c r="AS416" s="1" t="s">
        <v>74</v>
      </c>
      <c r="AT416" s="1" t="s">
        <v>74</v>
      </c>
      <c r="AU416" s="1">
        <v>1999.0</v>
      </c>
      <c r="AV416" s="1">
        <v>29.0</v>
      </c>
      <c r="AW416" s="1">
        <v>5.0</v>
      </c>
      <c r="AX416" s="1" t="s">
        <v>74</v>
      </c>
      <c r="AY416" s="1" t="s">
        <v>74</v>
      </c>
      <c r="AZ416" s="1" t="s">
        <v>74</v>
      </c>
      <c r="BA416" s="1" t="s">
        <v>74</v>
      </c>
      <c r="BB416" s="1">
        <v>809.0</v>
      </c>
      <c r="BC416" s="1">
        <v>814.0</v>
      </c>
      <c r="BD416" s="1" t="s">
        <v>74</v>
      </c>
      <c r="BE416" s="1" t="s">
        <v>4256</v>
      </c>
      <c r="BF416" s="2" t="str">
        <f>HYPERLINK("http://dx.doi.org/10.1080/00397919908086037","http://dx.doi.org/10.1080/00397919908086037")</f>
        <v>http://dx.doi.org/10.1080/00397919908086037</v>
      </c>
      <c r="BG416" s="1" t="s">
        <v>74</v>
      </c>
      <c r="BH416" s="1" t="s">
        <v>74</v>
      </c>
      <c r="BI416" s="1" t="s">
        <v>74</v>
      </c>
      <c r="BJ416" s="1" t="s">
        <v>74</v>
      </c>
      <c r="BK416" s="1" t="s">
        <v>74</v>
      </c>
      <c r="BL416" s="1" t="s">
        <v>74</v>
      </c>
      <c r="BM416" s="1" t="s">
        <v>74</v>
      </c>
      <c r="BN416" s="1" t="s">
        <v>74</v>
      </c>
      <c r="BO416" s="1" t="s">
        <v>74</v>
      </c>
      <c r="BP416" s="1" t="s">
        <v>74</v>
      </c>
      <c r="BQ416" s="1" t="s">
        <v>74</v>
      </c>
      <c r="BR416" s="1" t="s">
        <v>74</v>
      </c>
      <c r="BS416" s="1" t="s">
        <v>4257</v>
      </c>
      <c r="BT416" s="1" t="str">
        <f>HYPERLINK("https%3A%2F%2Fwww.webofscience.com%2Fwos%2Fwoscc%2Ffull-record%2FWOS:000078912500011","View Full Record in Web of Science")</f>
        <v>View Full Record in Web of Science</v>
      </c>
    </row>
    <row r="417" ht="12.75" customHeight="1">
      <c r="A417" s="1" t="s">
        <v>72</v>
      </c>
      <c r="B417" s="1" t="s">
        <v>4258</v>
      </c>
      <c r="C417" s="1" t="s">
        <v>74</v>
      </c>
      <c r="D417" s="1" t="s">
        <v>74</v>
      </c>
      <c r="E417" s="1" t="s">
        <v>74</v>
      </c>
      <c r="F417" s="1" t="s">
        <v>4258</v>
      </c>
      <c r="G417" s="1" t="s">
        <v>74</v>
      </c>
      <c r="H417" s="1" t="s">
        <v>74</v>
      </c>
      <c r="I417" s="1" t="s">
        <v>4259</v>
      </c>
      <c r="J417" s="1" t="s">
        <v>1717</v>
      </c>
      <c r="K417" s="1" t="s">
        <v>74</v>
      </c>
      <c r="L417" s="1" t="s">
        <v>74</v>
      </c>
      <c r="M417" s="1" t="s">
        <v>74</v>
      </c>
      <c r="N417" s="1" t="s">
        <v>74</v>
      </c>
      <c r="O417" s="1" t="s">
        <v>74</v>
      </c>
      <c r="P417" s="1" t="s">
        <v>74</v>
      </c>
      <c r="Q417" s="1" t="s">
        <v>74</v>
      </c>
      <c r="R417" s="1" t="s">
        <v>74</v>
      </c>
      <c r="S417" s="1" t="s">
        <v>74</v>
      </c>
      <c r="T417" s="1" t="s">
        <v>74</v>
      </c>
      <c r="U417" s="1" t="s">
        <v>74</v>
      </c>
      <c r="V417" s="1" t="s">
        <v>4260</v>
      </c>
      <c r="W417" s="1" t="s">
        <v>74</v>
      </c>
      <c r="X417" s="1" t="s">
        <v>74</v>
      </c>
      <c r="Y417" s="1" t="s">
        <v>74</v>
      </c>
      <c r="Z417" s="1" t="s">
        <v>74</v>
      </c>
      <c r="AA417" s="1" t="s">
        <v>74</v>
      </c>
      <c r="AB417" s="1" t="s">
        <v>74</v>
      </c>
      <c r="AC417" s="1" t="s">
        <v>74</v>
      </c>
      <c r="AD417" s="1" t="s">
        <v>74</v>
      </c>
      <c r="AE417" s="1" t="s">
        <v>74</v>
      </c>
      <c r="AF417" s="1" t="s">
        <v>74</v>
      </c>
      <c r="AG417" s="1" t="s">
        <v>74</v>
      </c>
      <c r="AH417" s="1" t="s">
        <v>74</v>
      </c>
      <c r="AI417" s="1" t="s">
        <v>74</v>
      </c>
      <c r="AJ417" s="1" t="s">
        <v>74</v>
      </c>
      <c r="AK417" s="1" t="s">
        <v>74</v>
      </c>
      <c r="AL417" s="1" t="s">
        <v>74</v>
      </c>
      <c r="AM417" s="1" t="s">
        <v>74</v>
      </c>
      <c r="AN417" s="1" t="s">
        <v>74</v>
      </c>
      <c r="AO417" s="1" t="s">
        <v>1721</v>
      </c>
      <c r="AP417" s="1" t="s">
        <v>1722</v>
      </c>
      <c r="AQ417" s="1" t="s">
        <v>74</v>
      </c>
      <c r="AR417" s="1" t="s">
        <v>74</v>
      </c>
      <c r="AS417" s="1" t="s">
        <v>74</v>
      </c>
      <c r="AT417" s="1" t="s">
        <v>74</v>
      </c>
      <c r="AU417" s="1">
        <v>1981.0</v>
      </c>
      <c r="AV417" s="1">
        <v>97.0</v>
      </c>
      <c r="AW417" s="1">
        <v>1.0</v>
      </c>
      <c r="AX417" s="1" t="s">
        <v>74</v>
      </c>
      <c r="AY417" s="1" t="s">
        <v>74</v>
      </c>
      <c r="AZ417" s="1" t="s">
        <v>74</v>
      </c>
      <c r="BA417" s="1" t="s">
        <v>74</v>
      </c>
      <c r="BB417" s="1">
        <v>11.0</v>
      </c>
      <c r="BC417" s="1">
        <v>18.0</v>
      </c>
      <c r="BD417" s="1" t="s">
        <v>74</v>
      </c>
      <c r="BE417" s="1" t="s">
        <v>4261</v>
      </c>
      <c r="BF417" s="2" t="str">
        <f>HYPERLINK("http://dx.doi.org/10.1016/S0008-6215(00)80521-2","http://dx.doi.org/10.1016/S0008-6215(00)80521-2")</f>
        <v>http://dx.doi.org/10.1016/S0008-6215(00)80521-2</v>
      </c>
      <c r="BG417" s="1" t="s">
        <v>74</v>
      </c>
      <c r="BH417" s="1" t="s">
        <v>74</v>
      </c>
      <c r="BI417" s="1" t="s">
        <v>74</v>
      </c>
      <c r="BJ417" s="1" t="s">
        <v>74</v>
      </c>
      <c r="BK417" s="1" t="s">
        <v>74</v>
      </c>
      <c r="BL417" s="1" t="s">
        <v>74</v>
      </c>
      <c r="BM417" s="1" t="s">
        <v>74</v>
      </c>
      <c r="BN417" s="1" t="s">
        <v>74</v>
      </c>
      <c r="BO417" s="1" t="s">
        <v>74</v>
      </c>
      <c r="BP417" s="1" t="s">
        <v>74</v>
      </c>
      <c r="BQ417" s="1" t="s">
        <v>74</v>
      </c>
      <c r="BR417" s="1" t="s">
        <v>74</v>
      </c>
      <c r="BS417" s="1" t="s">
        <v>4262</v>
      </c>
      <c r="BT417" s="1" t="str">
        <f>HYPERLINK("https%3A%2F%2Fwww.webofscience.com%2Fwos%2Fwoscc%2Ffull-record%2FWOS:A1981MS39100002","View Full Record in Web of Science")</f>
        <v>View Full Record in Web of Science</v>
      </c>
    </row>
    <row r="418" ht="12.75" customHeight="1">
      <c r="A418" s="1" t="s">
        <v>72</v>
      </c>
      <c r="B418" s="1" t="s">
        <v>4263</v>
      </c>
      <c r="C418" s="1" t="s">
        <v>74</v>
      </c>
      <c r="D418" s="1" t="s">
        <v>74</v>
      </c>
      <c r="E418" s="1" t="s">
        <v>74</v>
      </c>
      <c r="F418" s="1" t="s">
        <v>4264</v>
      </c>
      <c r="G418" s="1" t="s">
        <v>74</v>
      </c>
      <c r="H418" s="1" t="s">
        <v>74</v>
      </c>
      <c r="I418" s="1" t="s">
        <v>4265</v>
      </c>
      <c r="J418" s="1" t="s">
        <v>4266</v>
      </c>
      <c r="K418" s="1" t="s">
        <v>74</v>
      </c>
      <c r="L418" s="1" t="s">
        <v>74</v>
      </c>
      <c r="M418" s="1" t="s">
        <v>74</v>
      </c>
      <c r="N418" s="1" t="s">
        <v>74</v>
      </c>
      <c r="O418" s="1" t="s">
        <v>74</v>
      </c>
      <c r="P418" s="1" t="s">
        <v>74</v>
      </c>
      <c r="Q418" s="1" t="s">
        <v>74</v>
      </c>
      <c r="R418" s="1" t="s">
        <v>74</v>
      </c>
      <c r="S418" s="1" t="s">
        <v>74</v>
      </c>
      <c r="T418" s="1" t="s">
        <v>74</v>
      </c>
      <c r="U418" s="1" t="s">
        <v>74</v>
      </c>
      <c r="V418" s="1" t="s">
        <v>4267</v>
      </c>
      <c r="W418" s="1" t="s">
        <v>74</v>
      </c>
      <c r="X418" s="1" t="s">
        <v>74</v>
      </c>
      <c r="Y418" s="1" t="s">
        <v>74</v>
      </c>
      <c r="Z418" s="1" t="s">
        <v>74</v>
      </c>
      <c r="AA418" s="1" t="s">
        <v>4268</v>
      </c>
      <c r="AB418" s="1" t="s">
        <v>4269</v>
      </c>
      <c r="AC418" s="1" t="s">
        <v>74</v>
      </c>
      <c r="AD418" s="1" t="s">
        <v>74</v>
      </c>
      <c r="AE418" s="1" t="s">
        <v>74</v>
      </c>
      <c r="AF418" s="1" t="s">
        <v>74</v>
      </c>
      <c r="AG418" s="1" t="s">
        <v>74</v>
      </c>
      <c r="AH418" s="1" t="s">
        <v>74</v>
      </c>
      <c r="AI418" s="1" t="s">
        <v>74</v>
      </c>
      <c r="AJ418" s="1" t="s">
        <v>74</v>
      </c>
      <c r="AK418" s="1" t="s">
        <v>74</v>
      </c>
      <c r="AL418" s="1" t="s">
        <v>74</v>
      </c>
      <c r="AM418" s="1" t="s">
        <v>74</v>
      </c>
      <c r="AN418" s="1" t="s">
        <v>74</v>
      </c>
      <c r="AO418" s="1" t="s">
        <v>74</v>
      </c>
      <c r="AP418" s="1" t="s">
        <v>4270</v>
      </c>
      <c r="AQ418" s="1" t="s">
        <v>74</v>
      </c>
      <c r="AR418" s="1" t="s">
        <v>74</v>
      </c>
      <c r="AS418" s="1" t="s">
        <v>74</v>
      </c>
      <c r="AT418" s="1" t="s">
        <v>235</v>
      </c>
      <c r="AU418" s="1">
        <v>2025.0</v>
      </c>
      <c r="AV418" s="1">
        <v>11.0</v>
      </c>
      <c r="AW418" s="1">
        <v>2.0</v>
      </c>
      <c r="AX418" s="1" t="s">
        <v>74</v>
      </c>
      <c r="AY418" s="1" t="s">
        <v>74</v>
      </c>
      <c r="AZ418" s="1" t="s">
        <v>74</v>
      </c>
      <c r="BA418" s="1" t="s">
        <v>74</v>
      </c>
      <c r="BB418" s="1" t="s">
        <v>74</v>
      </c>
      <c r="BC418" s="1" t="s">
        <v>74</v>
      </c>
      <c r="BD418" s="1">
        <v>90.0</v>
      </c>
      <c r="BE418" s="1" t="s">
        <v>4271</v>
      </c>
      <c r="BF418" s="2" t="str">
        <f>HYPERLINK("http://dx.doi.org/10.3390/gels11020090","http://dx.doi.org/10.3390/gels11020090")</f>
        <v>http://dx.doi.org/10.3390/gels11020090</v>
      </c>
      <c r="BG418" s="1" t="s">
        <v>74</v>
      </c>
      <c r="BH418" s="1" t="s">
        <v>74</v>
      </c>
      <c r="BI418" s="1" t="s">
        <v>74</v>
      </c>
      <c r="BJ418" s="1" t="s">
        <v>74</v>
      </c>
      <c r="BK418" s="1" t="s">
        <v>74</v>
      </c>
      <c r="BL418" s="1" t="s">
        <v>74</v>
      </c>
      <c r="BM418" s="1" t="s">
        <v>74</v>
      </c>
      <c r="BN418" s="1">
        <v>3.9996633E7</v>
      </c>
      <c r="BO418" s="1" t="s">
        <v>74</v>
      </c>
      <c r="BP418" s="1" t="s">
        <v>74</v>
      </c>
      <c r="BQ418" s="1" t="s">
        <v>74</v>
      </c>
      <c r="BR418" s="1" t="s">
        <v>74</v>
      </c>
      <c r="BS418" s="1" t="s">
        <v>4272</v>
      </c>
      <c r="BT418" s="1" t="str">
        <f>HYPERLINK("https%3A%2F%2Fwww.webofscience.com%2Fwos%2Fwoscc%2Ffull-record%2FWOS:001431978100001","View Full Record in Web of Science")</f>
        <v>View Full Record in Web of Science</v>
      </c>
    </row>
    <row r="419" ht="12.75" customHeight="1">
      <c r="A419" s="1" t="s">
        <v>72</v>
      </c>
      <c r="B419" s="1" t="s">
        <v>4273</v>
      </c>
      <c r="C419" s="1" t="s">
        <v>74</v>
      </c>
      <c r="D419" s="1" t="s">
        <v>74</v>
      </c>
      <c r="E419" s="1" t="s">
        <v>74</v>
      </c>
      <c r="F419" s="1" t="s">
        <v>4274</v>
      </c>
      <c r="G419" s="1" t="s">
        <v>74</v>
      </c>
      <c r="H419" s="1" t="s">
        <v>74</v>
      </c>
      <c r="I419" s="1" t="s">
        <v>4275</v>
      </c>
      <c r="J419" s="1" t="s">
        <v>4163</v>
      </c>
      <c r="K419" s="1" t="s">
        <v>74</v>
      </c>
      <c r="L419" s="1" t="s">
        <v>74</v>
      </c>
      <c r="M419" s="1" t="s">
        <v>74</v>
      </c>
      <c r="N419" s="1" t="s">
        <v>74</v>
      </c>
      <c r="O419" s="1" t="s">
        <v>74</v>
      </c>
      <c r="P419" s="1" t="s">
        <v>74</v>
      </c>
      <c r="Q419" s="1" t="s">
        <v>74</v>
      </c>
      <c r="R419" s="1" t="s">
        <v>74</v>
      </c>
      <c r="S419" s="1" t="s">
        <v>74</v>
      </c>
      <c r="T419" s="1" t="s">
        <v>74</v>
      </c>
      <c r="U419" s="1" t="s">
        <v>74</v>
      </c>
      <c r="V419" s="1" t="s">
        <v>4276</v>
      </c>
      <c r="W419" s="1" t="s">
        <v>74</v>
      </c>
      <c r="X419" s="1" t="s">
        <v>74</v>
      </c>
      <c r="Y419" s="1" t="s">
        <v>74</v>
      </c>
      <c r="Z419" s="1" t="s">
        <v>74</v>
      </c>
      <c r="AA419" s="1" t="s">
        <v>4277</v>
      </c>
      <c r="AB419" s="1" t="s">
        <v>4278</v>
      </c>
      <c r="AC419" s="1" t="s">
        <v>74</v>
      </c>
      <c r="AD419" s="1" t="s">
        <v>74</v>
      </c>
      <c r="AE419" s="1" t="s">
        <v>74</v>
      </c>
      <c r="AF419" s="1" t="s">
        <v>74</v>
      </c>
      <c r="AG419" s="1" t="s">
        <v>74</v>
      </c>
      <c r="AH419" s="1" t="s">
        <v>74</v>
      </c>
      <c r="AI419" s="1" t="s">
        <v>74</v>
      </c>
      <c r="AJ419" s="1" t="s">
        <v>74</v>
      </c>
      <c r="AK419" s="1" t="s">
        <v>74</v>
      </c>
      <c r="AL419" s="1" t="s">
        <v>74</v>
      </c>
      <c r="AM419" s="1" t="s">
        <v>74</v>
      </c>
      <c r="AN419" s="1" t="s">
        <v>74</v>
      </c>
      <c r="AO419" s="1" t="s">
        <v>74</v>
      </c>
      <c r="AP419" s="1" t="s">
        <v>4167</v>
      </c>
      <c r="AQ419" s="1" t="s">
        <v>74</v>
      </c>
      <c r="AR419" s="1" t="s">
        <v>74</v>
      </c>
      <c r="AS419" s="1" t="s">
        <v>74</v>
      </c>
      <c r="AT419" s="1" t="s">
        <v>339</v>
      </c>
      <c r="AU419" s="1">
        <v>2024.0</v>
      </c>
      <c r="AV419" s="1">
        <v>29.0</v>
      </c>
      <c r="AW419" s="1">
        <v>17.0</v>
      </c>
      <c r="AX419" s="1" t="s">
        <v>74</v>
      </c>
      <c r="AY419" s="1" t="s">
        <v>74</v>
      </c>
      <c r="AZ419" s="1" t="s">
        <v>74</v>
      </c>
      <c r="BA419" s="1" t="s">
        <v>74</v>
      </c>
      <c r="BB419" s="1" t="s">
        <v>74</v>
      </c>
      <c r="BC419" s="1" t="s">
        <v>74</v>
      </c>
      <c r="BD419" s="1">
        <v>4103.0</v>
      </c>
      <c r="BE419" s="1" t="s">
        <v>4279</v>
      </c>
      <c r="BF419" s="2" t="str">
        <f>HYPERLINK("http://dx.doi.org/10.3390/molecules29174103","http://dx.doi.org/10.3390/molecules29174103")</f>
        <v>http://dx.doi.org/10.3390/molecules29174103</v>
      </c>
      <c r="BG419" s="1" t="s">
        <v>74</v>
      </c>
      <c r="BH419" s="1" t="s">
        <v>74</v>
      </c>
      <c r="BI419" s="1" t="s">
        <v>74</v>
      </c>
      <c r="BJ419" s="1" t="s">
        <v>74</v>
      </c>
      <c r="BK419" s="1" t="s">
        <v>74</v>
      </c>
      <c r="BL419" s="1" t="s">
        <v>74</v>
      </c>
      <c r="BM419" s="1" t="s">
        <v>74</v>
      </c>
      <c r="BN419" s="1">
        <v>3.927495E7</v>
      </c>
      <c r="BO419" s="1" t="s">
        <v>74</v>
      </c>
      <c r="BP419" s="1" t="s">
        <v>74</v>
      </c>
      <c r="BQ419" s="1" t="s">
        <v>74</v>
      </c>
      <c r="BR419" s="1" t="s">
        <v>74</v>
      </c>
      <c r="BS419" s="1" t="s">
        <v>4280</v>
      </c>
      <c r="BT419" s="1" t="str">
        <f>HYPERLINK("https%3A%2F%2Fwww.webofscience.com%2Fwos%2Fwoscc%2Ffull-record%2FWOS:001310995400001","View Full Record in Web of Science")</f>
        <v>View Full Record in Web of Science</v>
      </c>
    </row>
    <row r="420" ht="12.75" customHeight="1">
      <c r="A420" s="1" t="s">
        <v>72</v>
      </c>
      <c r="B420" s="1" t="s">
        <v>4281</v>
      </c>
      <c r="C420" s="1" t="s">
        <v>74</v>
      </c>
      <c r="D420" s="1" t="s">
        <v>74</v>
      </c>
      <c r="E420" s="1" t="s">
        <v>74</v>
      </c>
      <c r="F420" s="1" t="s">
        <v>4282</v>
      </c>
      <c r="G420" s="1" t="s">
        <v>74</v>
      </c>
      <c r="H420" s="1" t="s">
        <v>74</v>
      </c>
      <c r="I420" s="1" t="s">
        <v>4283</v>
      </c>
      <c r="J420" s="1" t="s">
        <v>4284</v>
      </c>
      <c r="K420" s="1" t="s">
        <v>74</v>
      </c>
      <c r="L420" s="1" t="s">
        <v>74</v>
      </c>
      <c r="M420" s="1" t="s">
        <v>74</v>
      </c>
      <c r="N420" s="1" t="s">
        <v>74</v>
      </c>
      <c r="O420" s="1" t="s">
        <v>74</v>
      </c>
      <c r="P420" s="1" t="s">
        <v>74</v>
      </c>
      <c r="Q420" s="1" t="s">
        <v>74</v>
      </c>
      <c r="R420" s="1" t="s">
        <v>74</v>
      </c>
      <c r="S420" s="1" t="s">
        <v>74</v>
      </c>
      <c r="T420" s="1" t="s">
        <v>74</v>
      </c>
      <c r="U420" s="1" t="s">
        <v>74</v>
      </c>
      <c r="V420" s="1" t="s">
        <v>4285</v>
      </c>
      <c r="W420" s="1" t="s">
        <v>74</v>
      </c>
      <c r="X420" s="1" t="s">
        <v>74</v>
      </c>
      <c r="Y420" s="1" t="s">
        <v>74</v>
      </c>
      <c r="Z420" s="1" t="s">
        <v>74</v>
      </c>
      <c r="AA420" s="1" t="s">
        <v>4286</v>
      </c>
      <c r="AB420" s="1" t="s">
        <v>74</v>
      </c>
      <c r="AC420" s="1" t="s">
        <v>74</v>
      </c>
      <c r="AD420" s="1" t="s">
        <v>74</v>
      </c>
      <c r="AE420" s="1" t="s">
        <v>74</v>
      </c>
      <c r="AF420" s="1" t="s">
        <v>74</v>
      </c>
      <c r="AG420" s="1" t="s">
        <v>74</v>
      </c>
      <c r="AH420" s="1" t="s">
        <v>74</v>
      </c>
      <c r="AI420" s="1" t="s">
        <v>74</v>
      </c>
      <c r="AJ420" s="1" t="s">
        <v>74</v>
      </c>
      <c r="AK420" s="1" t="s">
        <v>74</v>
      </c>
      <c r="AL420" s="1" t="s">
        <v>74</v>
      </c>
      <c r="AM420" s="1" t="s">
        <v>74</v>
      </c>
      <c r="AN420" s="1" t="s">
        <v>74</v>
      </c>
      <c r="AO420" s="1" t="s">
        <v>74</v>
      </c>
      <c r="AP420" s="1" t="s">
        <v>4287</v>
      </c>
      <c r="AQ420" s="1" t="s">
        <v>74</v>
      </c>
      <c r="AR420" s="1" t="s">
        <v>74</v>
      </c>
      <c r="AS420" s="1" t="s">
        <v>74</v>
      </c>
      <c r="AT420" s="1" t="s">
        <v>4288</v>
      </c>
      <c r="AU420" s="1">
        <v>2024.0</v>
      </c>
      <c r="AV420" s="1">
        <v>15.0</v>
      </c>
      <c r="AW420" s="1" t="s">
        <v>74</v>
      </c>
      <c r="AX420" s="1" t="s">
        <v>74</v>
      </c>
      <c r="AY420" s="1" t="s">
        <v>74</v>
      </c>
      <c r="AZ420" s="1" t="s">
        <v>74</v>
      </c>
      <c r="BA420" s="1" t="s">
        <v>74</v>
      </c>
      <c r="BB420" s="1" t="s">
        <v>74</v>
      </c>
      <c r="BC420" s="1" t="s">
        <v>74</v>
      </c>
      <c r="BD420" s="1">
        <v>1411927.0</v>
      </c>
      <c r="BE420" s="1" t="s">
        <v>4289</v>
      </c>
      <c r="BF420" s="2" t="str">
        <f>HYPERLINK("http://dx.doi.org/10.3389/fphar.2024.1411927","http://dx.doi.org/10.3389/fphar.2024.1411927")</f>
        <v>http://dx.doi.org/10.3389/fphar.2024.1411927</v>
      </c>
      <c r="BG420" s="1" t="s">
        <v>74</v>
      </c>
      <c r="BH420" s="1" t="s">
        <v>74</v>
      </c>
      <c r="BI420" s="1" t="s">
        <v>74</v>
      </c>
      <c r="BJ420" s="1" t="s">
        <v>74</v>
      </c>
      <c r="BK420" s="1" t="s">
        <v>74</v>
      </c>
      <c r="BL420" s="1" t="s">
        <v>74</v>
      </c>
      <c r="BM420" s="1" t="s">
        <v>74</v>
      </c>
      <c r="BN420" s="1">
        <v>3.913579E7</v>
      </c>
      <c r="BO420" s="1" t="s">
        <v>74</v>
      </c>
      <c r="BP420" s="1" t="s">
        <v>74</v>
      </c>
      <c r="BQ420" s="1" t="s">
        <v>74</v>
      </c>
      <c r="BR420" s="1" t="s">
        <v>74</v>
      </c>
      <c r="BS420" s="1" t="s">
        <v>4290</v>
      </c>
      <c r="BT420" s="1" t="str">
        <f>HYPERLINK("https%3A%2F%2Fwww.webofscience.com%2Fwos%2Fwoscc%2Ffull-record%2FWOS:001288862000001","View Full Record in Web of Science")</f>
        <v>View Full Record in Web of Science</v>
      </c>
    </row>
    <row r="421" ht="12.75" customHeight="1">
      <c r="A421" s="1" t="s">
        <v>72</v>
      </c>
      <c r="B421" s="1" t="s">
        <v>4291</v>
      </c>
      <c r="C421" s="1" t="s">
        <v>74</v>
      </c>
      <c r="D421" s="1" t="s">
        <v>74</v>
      </c>
      <c r="E421" s="1" t="s">
        <v>74</v>
      </c>
      <c r="F421" s="1" t="s">
        <v>4292</v>
      </c>
      <c r="G421" s="1" t="s">
        <v>74</v>
      </c>
      <c r="H421" s="1" t="s">
        <v>74</v>
      </c>
      <c r="I421" s="1" t="s">
        <v>4293</v>
      </c>
      <c r="J421" s="1" t="s">
        <v>4294</v>
      </c>
      <c r="K421" s="1" t="s">
        <v>74</v>
      </c>
      <c r="L421" s="1" t="s">
        <v>74</v>
      </c>
      <c r="M421" s="1" t="s">
        <v>74</v>
      </c>
      <c r="N421" s="1" t="s">
        <v>74</v>
      </c>
      <c r="O421" s="1" t="s">
        <v>74</v>
      </c>
      <c r="P421" s="1" t="s">
        <v>74</v>
      </c>
      <c r="Q421" s="1" t="s">
        <v>74</v>
      </c>
      <c r="R421" s="1" t="s">
        <v>74</v>
      </c>
      <c r="S421" s="1" t="s">
        <v>74</v>
      </c>
      <c r="T421" s="1" t="s">
        <v>74</v>
      </c>
      <c r="U421" s="1" t="s">
        <v>74</v>
      </c>
      <c r="V421" s="1" t="s">
        <v>4295</v>
      </c>
      <c r="W421" s="1" t="s">
        <v>74</v>
      </c>
      <c r="X421" s="1" t="s">
        <v>74</v>
      </c>
      <c r="Y421" s="1" t="s">
        <v>74</v>
      </c>
      <c r="Z421" s="1" t="s">
        <v>74</v>
      </c>
      <c r="AA421" s="1" t="s">
        <v>3407</v>
      </c>
      <c r="AB421" s="1" t="s">
        <v>2822</v>
      </c>
      <c r="AC421" s="1" t="s">
        <v>74</v>
      </c>
      <c r="AD421" s="1" t="s">
        <v>74</v>
      </c>
      <c r="AE421" s="1" t="s">
        <v>74</v>
      </c>
      <c r="AF421" s="1" t="s">
        <v>74</v>
      </c>
      <c r="AG421" s="1" t="s">
        <v>74</v>
      </c>
      <c r="AH421" s="1" t="s">
        <v>74</v>
      </c>
      <c r="AI421" s="1" t="s">
        <v>74</v>
      </c>
      <c r="AJ421" s="1" t="s">
        <v>74</v>
      </c>
      <c r="AK421" s="1" t="s">
        <v>74</v>
      </c>
      <c r="AL421" s="1" t="s">
        <v>74</v>
      </c>
      <c r="AM421" s="1" t="s">
        <v>74</v>
      </c>
      <c r="AN421" s="1" t="s">
        <v>74</v>
      </c>
      <c r="AO421" s="1" t="s">
        <v>4296</v>
      </c>
      <c r="AP421" s="1" t="s">
        <v>74</v>
      </c>
      <c r="AQ421" s="1" t="s">
        <v>74</v>
      </c>
      <c r="AR421" s="1" t="s">
        <v>74</v>
      </c>
      <c r="AS421" s="1" t="s">
        <v>74</v>
      </c>
      <c r="AT421" s="1" t="s">
        <v>350</v>
      </c>
      <c r="AU421" s="1">
        <v>2024.0</v>
      </c>
      <c r="AV421" s="1">
        <v>17.0</v>
      </c>
      <c r="AW421" s="1">
        <v>2.0</v>
      </c>
      <c r="AX421" s="1" t="s">
        <v>74</v>
      </c>
      <c r="AY421" s="1" t="s">
        <v>74</v>
      </c>
      <c r="AZ421" s="1" t="s">
        <v>74</v>
      </c>
      <c r="BA421" s="1" t="s">
        <v>74</v>
      </c>
      <c r="BB421" s="1">
        <v>135.0</v>
      </c>
      <c r="BC421" s="1">
        <v>154.0</v>
      </c>
      <c r="BD421" s="1" t="s">
        <v>74</v>
      </c>
      <c r="BE421" s="1" t="s">
        <v>4297</v>
      </c>
      <c r="BF421" s="2" t="str">
        <f>HYPERLINK("http://dx.doi.org/10.1332/14786737Y2024D000000023","http://dx.doi.org/10.1332/14786737Y2024D000000023")</f>
        <v>http://dx.doi.org/10.1332/14786737Y2024D000000023</v>
      </c>
      <c r="BG421" s="1" t="s">
        <v>74</v>
      </c>
      <c r="BH421" s="1" t="s">
        <v>4298</v>
      </c>
      <c r="BI421" s="1" t="s">
        <v>74</v>
      </c>
      <c r="BJ421" s="1" t="s">
        <v>74</v>
      </c>
      <c r="BK421" s="1" t="s">
        <v>74</v>
      </c>
      <c r="BL421" s="1" t="s">
        <v>74</v>
      </c>
      <c r="BM421" s="1" t="s">
        <v>74</v>
      </c>
      <c r="BN421" s="1" t="s">
        <v>74</v>
      </c>
      <c r="BO421" s="1" t="s">
        <v>74</v>
      </c>
      <c r="BP421" s="1" t="s">
        <v>74</v>
      </c>
      <c r="BQ421" s="1" t="s">
        <v>74</v>
      </c>
      <c r="BR421" s="1" t="s">
        <v>74</v>
      </c>
      <c r="BS421" s="1" t="s">
        <v>4299</v>
      </c>
      <c r="BT421" s="1" t="str">
        <f>HYPERLINK("https%3A%2F%2Fwww.webofscience.com%2Fwos%2Fwoscc%2Ffull-record%2FWOS:001265664300001","View Full Record in Web of Science")</f>
        <v>View Full Record in Web of Science</v>
      </c>
    </row>
    <row r="422" ht="12.75" customHeight="1">
      <c r="A422" s="1" t="s">
        <v>72</v>
      </c>
      <c r="B422" s="1" t="s">
        <v>4300</v>
      </c>
      <c r="C422" s="1" t="s">
        <v>74</v>
      </c>
      <c r="D422" s="1" t="s">
        <v>74</v>
      </c>
      <c r="E422" s="1" t="s">
        <v>74</v>
      </c>
      <c r="F422" s="1" t="s">
        <v>4301</v>
      </c>
      <c r="G422" s="1" t="s">
        <v>74</v>
      </c>
      <c r="H422" s="1" t="s">
        <v>74</v>
      </c>
      <c r="I422" s="1" t="s">
        <v>4302</v>
      </c>
      <c r="J422" s="1" t="s">
        <v>4303</v>
      </c>
      <c r="K422" s="1" t="s">
        <v>74</v>
      </c>
      <c r="L422" s="1" t="s">
        <v>74</v>
      </c>
      <c r="M422" s="1" t="s">
        <v>74</v>
      </c>
      <c r="N422" s="1" t="s">
        <v>74</v>
      </c>
      <c r="O422" s="1" t="s">
        <v>74</v>
      </c>
      <c r="P422" s="1" t="s">
        <v>74</v>
      </c>
      <c r="Q422" s="1" t="s">
        <v>74</v>
      </c>
      <c r="R422" s="1" t="s">
        <v>74</v>
      </c>
      <c r="S422" s="1" t="s">
        <v>74</v>
      </c>
      <c r="T422" s="1" t="s">
        <v>74</v>
      </c>
      <c r="U422" s="1" t="s">
        <v>74</v>
      </c>
      <c r="V422" s="1" t="s">
        <v>4304</v>
      </c>
      <c r="W422" s="1" t="s">
        <v>74</v>
      </c>
      <c r="X422" s="1" t="s">
        <v>74</v>
      </c>
      <c r="Y422" s="1" t="s">
        <v>74</v>
      </c>
      <c r="Z422" s="1" t="s">
        <v>74</v>
      </c>
      <c r="AA422" s="1" t="s">
        <v>4305</v>
      </c>
      <c r="AB422" s="1" t="s">
        <v>4306</v>
      </c>
      <c r="AC422" s="1" t="s">
        <v>74</v>
      </c>
      <c r="AD422" s="1" t="s">
        <v>74</v>
      </c>
      <c r="AE422" s="1" t="s">
        <v>74</v>
      </c>
      <c r="AF422" s="1" t="s">
        <v>74</v>
      </c>
      <c r="AG422" s="1" t="s">
        <v>74</v>
      </c>
      <c r="AH422" s="1" t="s">
        <v>74</v>
      </c>
      <c r="AI422" s="1" t="s">
        <v>74</v>
      </c>
      <c r="AJ422" s="1" t="s">
        <v>74</v>
      </c>
      <c r="AK422" s="1" t="s">
        <v>74</v>
      </c>
      <c r="AL422" s="1" t="s">
        <v>74</v>
      </c>
      <c r="AM422" s="1" t="s">
        <v>74</v>
      </c>
      <c r="AN422" s="1" t="s">
        <v>74</v>
      </c>
      <c r="AO422" s="1" t="s">
        <v>4307</v>
      </c>
      <c r="AP422" s="1" t="s">
        <v>4308</v>
      </c>
      <c r="AQ422" s="1" t="s">
        <v>74</v>
      </c>
      <c r="AR422" s="1" t="s">
        <v>74</v>
      </c>
      <c r="AS422" s="1" t="s">
        <v>74</v>
      </c>
      <c r="AT422" s="1" t="s">
        <v>4309</v>
      </c>
      <c r="AU422" s="1">
        <v>2023.0</v>
      </c>
      <c r="AV422" s="1">
        <v>32.0</v>
      </c>
      <c r="AW422" s="1">
        <v>5.0</v>
      </c>
      <c r="AX422" s="1" t="s">
        <v>74</v>
      </c>
      <c r="AY422" s="1" t="s">
        <v>74</v>
      </c>
      <c r="AZ422" s="1" t="s">
        <v>74</v>
      </c>
      <c r="BA422" s="1" t="s">
        <v>74</v>
      </c>
      <c r="BB422" s="1">
        <v>560.0</v>
      </c>
      <c r="BC422" s="1">
        <v>585.0</v>
      </c>
      <c r="BD422" s="1" t="s">
        <v>74</v>
      </c>
      <c r="BE422" s="1" t="s">
        <v>4310</v>
      </c>
      <c r="BF422" s="2" t="str">
        <f>HYPERLINK("http://dx.doi.org/10.1108/EJMBE-10-2022-0320","http://dx.doi.org/10.1108/EJMBE-10-2022-0320")</f>
        <v>http://dx.doi.org/10.1108/EJMBE-10-2022-0320</v>
      </c>
      <c r="BG422" s="1" t="s">
        <v>74</v>
      </c>
      <c r="BH422" s="1" t="s">
        <v>74</v>
      </c>
      <c r="BI422" s="1" t="s">
        <v>74</v>
      </c>
      <c r="BJ422" s="1" t="s">
        <v>74</v>
      </c>
      <c r="BK422" s="1" t="s">
        <v>74</v>
      </c>
      <c r="BL422" s="1" t="s">
        <v>74</v>
      </c>
      <c r="BM422" s="1" t="s">
        <v>74</v>
      </c>
      <c r="BN422" s="1" t="s">
        <v>74</v>
      </c>
      <c r="BO422" s="1" t="s">
        <v>74</v>
      </c>
      <c r="BP422" s="1" t="s">
        <v>74</v>
      </c>
      <c r="BQ422" s="1" t="s">
        <v>74</v>
      </c>
      <c r="BR422" s="1" t="s">
        <v>74</v>
      </c>
      <c r="BS422" s="1" t="s">
        <v>4311</v>
      </c>
      <c r="BT422" s="1" t="str">
        <f>HYPERLINK("https%3A%2F%2Fwww.webofscience.com%2Fwos%2Fwoscc%2Ffull-record%2FWOS:001118702500005","View Full Record in Web of Science")</f>
        <v>View Full Record in Web of Science</v>
      </c>
    </row>
    <row r="423" ht="12.75" customHeight="1">
      <c r="A423" s="1" t="s">
        <v>72</v>
      </c>
      <c r="B423" s="1" t="s">
        <v>4312</v>
      </c>
      <c r="C423" s="1" t="s">
        <v>74</v>
      </c>
      <c r="D423" s="1" t="s">
        <v>74</v>
      </c>
      <c r="E423" s="1" t="s">
        <v>74</v>
      </c>
      <c r="F423" s="1" t="s">
        <v>4313</v>
      </c>
      <c r="G423" s="1" t="s">
        <v>74</v>
      </c>
      <c r="H423" s="1" t="s">
        <v>74</v>
      </c>
      <c r="I423" s="1" t="s">
        <v>4314</v>
      </c>
      <c r="J423" s="1" t="s">
        <v>4315</v>
      </c>
      <c r="K423" s="1" t="s">
        <v>74</v>
      </c>
      <c r="L423" s="1" t="s">
        <v>74</v>
      </c>
      <c r="M423" s="1" t="s">
        <v>74</v>
      </c>
      <c r="N423" s="1" t="s">
        <v>74</v>
      </c>
      <c r="O423" s="1" t="s">
        <v>74</v>
      </c>
      <c r="P423" s="1" t="s">
        <v>74</v>
      </c>
      <c r="Q423" s="1" t="s">
        <v>74</v>
      </c>
      <c r="R423" s="1" t="s">
        <v>74</v>
      </c>
      <c r="S423" s="1" t="s">
        <v>74</v>
      </c>
      <c r="T423" s="1" t="s">
        <v>74</v>
      </c>
      <c r="U423" s="1" t="s">
        <v>74</v>
      </c>
      <c r="V423" s="1" t="s">
        <v>4316</v>
      </c>
      <c r="W423" s="1" t="s">
        <v>74</v>
      </c>
      <c r="X423" s="1" t="s">
        <v>74</v>
      </c>
      <c r="Y423" s="1" t="s">
        <v>74</v>
      </c>
      <c r="Z423" s="1" t="s">
        <v>74</v>
      </c>
      <c r="AA423" s="1" t="s">
        <v>4317</v>
      </c>
      <c r="AB423" s="1" t="s">
        <v>4318</v>
      </c>
      <c r="AC423" s="1" t="s">
        <v>74</v>
      </c>
      <c r="AD423" s="1" t="s">
        <v>74</v>
      </c>
      <c r="AE423" s="1" t="s">
        <v>74</v>
      </c>
      <c r="AF423" s="1" t="s">
        <v>74</v>
      </c>
      <c r="AG423" s="1" t="s">
        <v>74</v>
      </c>
      <c r="AH423" s="1" t="s">
        <v>74</v>
      </c>
      <c r="AI423" s="1" t="s">
        <v>74</v>
      </c>
      <c r="AJ423" s="1" t="s">
        <v>74</v>
      </c>
      <c r="AK423" s="1" t="s">
        <v>74</v>
      </c>
      <c r="AL423" s="1" t="s">
        <v>74</v>
      </c>
      <c r="AM423" s="1" t="s">
        <v>74</v>
      </c>
      <c r="AN423" s="1" t="s">
        <v>74</v>
      </c>
      <c r="AO423" s="1" t="s">
        <v>4319</v>
      </c>
      <c r="AP423" s="1" t="s">
        <v>4320</v>
      </c>
      <c r="AQ423" s="1" t="s">
        <v>74</v>
      </c>
      <c r="AR423" s="1" t="s">
        <v>74</v>
      </c>
      <c r="AS423" s="1" t="s">
        <v>74</v>
      </c>
      <c r="AT423" s="1" t="s">
        <v>180</v>
      </c>
      <c r="AU423" s="1">
        <v>2023.0</v>
      </c>
      <c r="AV423" s="1">
        <v>256.0</v>
      </c>
      <c r="AW423" s="1" t="s">
        <v>74</v>
      </c>
      <c r="AX423" s="1" t="s">
        <v>74</v>
      </c>
      <c r="AY423" s="1" t="s">
        <v>74</v>
      </c>
      <c r="AZ423" s="1" t="s">
        <v>74</v>
      </c>
      <c r="BA423" s="1" t="s">
        <v>74</v>
      </c>
      <c r="BB423" s="1" t="s">
        <v>74</v>
      </c>
      <c r="BC423" s="1" t="s">
        <v>74</v>
      </c>
      <c r="BD423" s="1">
        <v>114835.0</v>
      </c>
      <c r="BE423" s="1" t="s">
        <v>4321</v>
      </c>
      <c r="BF423" s="2" t="str">
        <f>HYPERLINK("http://dx.doi.org/10.1016/j.ecoenv.2023.114835","http://dx.doi.org/10.1016/j.ecoenv.2023.114835")</f>
        <v>http://dx.doi.org/10.1016/j.ecoenv.2023.114835</v>
      </c>
      <c r="BG423" s="1" t="s">
        <v>74</v>
      </c>
      <c r="BH423" s="1" t="s">
        <v>2861</v>
      </c>
      <c r="BI423" s="1" t="s">
        <v>74</v>
      </c>
      <c r="BJ423" s="1" t="s">
        <v>74</v>
      </c>
      <c r="BK423" s="1" t="s">
        <v>74</v>
      </c>
      <c r="BL423" s="1" t="s">
        <v>74</v>
      </c>
      <c r="BM423" s="1" t="s">
        <v>74</v>
      </c>
      <c r="BN423" s="1">
        <v>3.7003058E7</v>
      </c>
      <c r="BO423" s="1" t="s">
        <v>74</v>
      </c>
      <c r="BP423" s="1" t="s">
        <v>74</v>
      </c>
      <c r="BQ423" s="1" t="s">
        <v>74</v>
      </c>
      <c r="BR423" s="1" t="s">
        <v>74</v>
      </c>
      <c r="BS423" s="1" t="s">
        <v>4322</v>
      </c>
      <c r="BT423" s="1" t="str">
        <f>HYPERLINK("https%3A%2F%2Fwww.webofscience.com%2Fwos%2Fwoscc%2Ffull-record%2FWOS:000968806600001","View Full Record in Web of Science")</f>
        <v>View Full Record in Web of Science</v>
      </c>
    </row>
    <row r="424" ht="12.75" customHeight="1">
      <c r="A424" s="1" t="s">
        <v>72</v>
      </c>
      <c r="B424" s="1" t="s">
        <v>4323</v>
      </c>
      <c r="C424" s="1" t="s">
        <v>74</v>
      </c>
      <c r="D424" s="1" t="s">
        <v>74</v>
      </c>
      <c r="E424" s="1" t="s">
        <v>74</v>
      </c>
      <c r="F424" s="1" t="s">
        <v>4324</v>
      </c>
      <c r="G424" s="1" t="s">
        <v>74</v>
      </c>
      <c r="H424" s="1" t="s">
        <v>74</v>
      </c>
      <c r="I424" s="1" t="s">
        <v>4325</v>
      </c>
      <c r="J424" s="1" t="s">
        <v>4326</v>
      </c>
      <c r="K424" s="1" t="s">
        <v>74</v>
      </c>
      <c r="L424" s="1" t="s">
        <v>74</v>
      </c>
      <c r="M424" s="1" t="s">
        <v>74</v>
      </c>
      <c r="N424" s="1" t="s">
        <v>74</v>
      </c>
      <c r="O424" s="1" t="s">
        <v>74</v>
      </c>
      <c r="P424" s="1" t="s">
        <v>74</v>
      </c>
      <c r="Q424" s="1" t="s">
        <v>74</v>
      </c>
      <c r="R424" s="1" t="s">
        <v>74</v>
      </c>
      <c r="S424" s="1" t="s">
        <v>74</v>
      </c>
      <c r="T424" s="1" t="s">
        <v>74</v>
      </c>
      <c r="U424" s="1" t="s">
        <v>74</v>
      </c>
      <c r="V424" s="1" t="s">
        <v>4327</v>
      </c>
      <c r="W424" s="1" t="s">
        <v>74</v>
      </c>
      <c r="X424" s="1" t="s">
        <v>74</v>
      </c>
      <c r="Y424" s="1" t="s">
        <v>74</v>
      </c>
      <c r="Z424" s="1" t="s">
        <v>74</v>
      </c>
      <c r="AA424" s="1" t="s">
        <v>4328</v>
      </c>
      <c r="AB424" s="1" t="s">
        <v>74</v>
      </c>
      <c r="AC424" s="1" t="s">
        <v>74</v>
      </c>
      <c r="AD424" s="1" t="s">
        <v>74</v>
      </c>
      <c r="AE424" s="1" t="s">
        <v>74</v>
      </c>
      <c r="AF424" s="1" t="s">
        <v>74</v>
      </c>
      <c r="AG424" s="1" t="s">
        <v>74</v>
      </c>
      <c r="AH424" s="1" t="s">
        <v>74</v>
      </c>
      <c r="AI424" s="1" t="s">
        <v>74</v>
      </c>
      <c r="AJ424" s="1" t="s">
        <v>74</v>
      </c>
      <c r="AK424" s="1" t="s">
        <v>74</v>
      </c>
      <c r="AL424" s="1" t="s">
        <v>74</v>
      </c>
      <c r="AM424" s="1" t="s">
        <v>74</v>
      </c>
      <c r="AN424" s="1" t="s">
        <v>74</v>
      </c>
      <c r="AO424" s="1" t="s">
        <v>4329</v>
      </c>
      <c r="AP424" s="1" t="s">
        <v>74</v>
      </c>
      <c r="AQ424" s="1" t="s">
        <v>74</v>
      </c>
      <c r="AR424" s="1" t="s">
        <v>74</v>
      </c>
      <c r="AS424" s="1" t="s">
        <v>74</v>
      </c>
      <c r="AT424" s="1" t="s">
        <v>652</v>
      </c>
      <c r="AU424" s="1">
        <v>2022.0</v>
      </c>
      <c r="AV424" s="1">
        <v>18.0</v>
      </c>
      <c r="AW424" s="1">
        <v>1.0</v>
      </c>
      <c r="AX424" s="1" t="s">
        <v>74</v>
      </c>
      <c r="AY424" s="1" t="s">
        <v>74</v>
      </c>
      <c r="AZ424" s="1" t="s">
        <v>74</v>
      </c>
      <c r="BA424" s="1" t="s">
        <v>74</v>
      </c>
      <c r="BB424" s="1">
        <v>23.0</v>
      </c>
      <c r="BC424" s="1">
        <v>25.0</v>
      </c>
      <c r="BD424" s="1" t="s">
        <v>74</v>
      </c>
      <c r="BE424" s="1" t="s">
        <v>74</v>
      </c>
      <c r="BF424" s="1" t="s">
        <v>74</v>
      </c>
      <c r="BG424" s="1" t="s">
        <v>74</v>
      </c>
      <c r="BH424" s="1" t="s">
        <v>74</v>
      </c>
      <c r="BI424" s="1" t="s">
        <v>74</v>
      </c>
      <c r="BJ424" s="1" t="s">
        <v>74</v>
      </c>
      <c r="BK424" s="1" t="s">
        <v>74</v>
      </c>
      <c r="BL424" s="1" t="s">
        <v>74</v>
      </c>
      <c r="BM424" s="1" t="s">
        <v>74</v>
      </c>
      <c r="BN424" s="1" t="s">
        <v>74</v>
      </c>
      <c r="BO424" s="1" t="s">
        <v>74</v>
      </c>
      <c r="BP424" s="1" t="s">
        <v>74</v>
      </c>
      <c r="BQ424" s="1" t="s">
        <v>74</v>
      </c>
      <c r="BR424" s="1" t="s">
        <v>74</v>
      </c>
      <c r="BS424" s="1" t="s">
        <v>4330</v>
      </c>
      <c r="BT424" s="1" t="str">
        <f>HYPERLINK("https%3A%2F%2Fwww.webofscience.com%2Fwos%2Fwoscc%2Ffull-record%2FWOS:001001149700007","View Full Record in Web of Science")</f>
        <v>View Full Record in Web of Science</v>
      </c>
    </row>
    <row r="425" ht="12.75" customHeight="1">
      <c r="A425" s="1" t="s">
        <v>72</v>
      </c>
      <c r="B425" s="1" t="s">
        <v>4331</v>
      </c>
      <c r="C425" s="1" t="s">
        <v>74</v>
      </c>
      <c r="D425" s="1" t="s">
        <v>74</v>
      </c>
      <c r="E425" s="1" t="s">
        <v>74</v>
      </c>
      <c r="F425" s="1" t="s">
        <v>4332</v>
      </c>
      <c r="G425" s="1" t="s">
        <v>74</v>
      </c>
      <c r="H425" s="1" t="s">
        <v>74</v>
      </c>
      <c r="I425" s="1" t="s">
        <v>4333</v>
      </c>
      <c r="J425" s="1" t="s">
        <v>4334</v>
      </c>
      <c r="K425" s="1" t="s">
        <v>74</v>
      </c>
      <c r="L425" s="1" t="s">
        <v>74</v>
      </c>
      <c r="M425" s="1" t="s">
        <v>74</v>
      </c>
      <c r="N425" s="1" t="s">
        <v>74</v>
      </c>
      <c r="O425" s="1" t="s">
        <v>74</v>
      </c>
      <c r="P425" s="1" t="s">
        <v>74</v>
      </c>
      <c r="Q425" s="1" t="s">
        <v>74</v>
      </c>
      <c r="R425" s="1" t="s">
        <v>74</v>
      </c>
      <c r="S425" s="1" t="s">
        <v>74</v>
      </c>
      <c r="T425" s="1" t="s">
        <v>74</v>
      </c>
      <c r="U425" s="1" t="s">
        <v>74</v>
      </c>
      <c r="V425" s="1" t="s">
        <v>4335</v>
      </c>
      <c r="W425" s="1" t="s">
        <v>74</v>
      </c>
      <c r="X425" s="1" t="s">
        <v>74</v>
      </c>
      <c r="Y425" s="1" t="s">
        <v>74</v>
      </c>
      <c r="Z425" s="1" t="s">
        <v>74</v>
      </c>
      <c r="AA425" s="1" t="s">
        <v>4336</v>
      </c>
      <c r="AB425" s="1" t="s">
        <v>4337</v>
      </c>
      <c r="AC425" s="1" t="s">
        <v>74</v>
      </c>
      <c r="AD425" s="1" t="s">
        <v>74</v>
      </c>
      <c r="AE425" s="1" t="s">
        <v>74</v>
      </c>
      <c r="AF425" s="1" t="s">
        <v>74</v>
      </c>
      <c r="AG425" s="1" t="s">
        <v>74</v>
      </c>
      <c r="AH425" s="1" t="s">
        <v>74</v>
      </c>
      <c r="AI425" s="1" t="s">
        <v>74</v>
      </c>
      <c r="AJ425" s="1" t="s">
        <v>74</v>
      </c>
      <c r="AK425" s="1" t="s">
        <v>74</v>
      </c>
      <c r="AL425" s="1" t="s">
        <v>74</v>
      </c>
      <c r="AM425" s="1" t="s">
        <v>74</v>
      </c>
      <c r="AN425" s="1" t="s">
        <v>74</v>
      </c>
      <c r="AO425" s="1" t="s">
        <v>4338</v>
      </c>
      <c r="AP425" s="1" t="s">
        <v>74</v>
      </c>
      <c r="AQ425" s="1" t="s">
        <v>74</v>
      </c>
      <c r="AR425" s="1" t="s">
        <v>74</v>
      </c>
      <c r="AS425" s="1" t="s">
        <v>74</v>
      </c>
      <c r="AT425" s="1" t="s">
        <v>4339</v>
      </c>
      <c r="AU425" s="1">
        <v>2022.0</v>
      </c>
      <c r="AV425" s="1">
        <v>4.0</v>
      </c>
      <c r="AW425" s="1">
        <v>22.0</v>
      </c>
      <c r="AX425" s="1" t="s">
        <v>74</v>
      </c>
      <c r="AY425" s="1" t="s">
        <v>74</v>
      </c>
      <c r="AZ425" s="1" t="s">
        <v>74</v>
      </c>
      <c r="BA425" s="1" t="s">
        <v>74</v>
      </c>
      <c r="BB425" s="1">
        <v>4789.0</v>
      </c>
      <c r="BC425" s="1">
        <v>4797.0</v>
      </c>
      <c r="BD425" s="1" t="s">
        <v>74</v>
      </c>
      <c r="BE425" s="1" t="s">
        <v>4340</v>
      </c>
      <c r="BF425" s="2" t="str">
        <f>HYPERLINK("http://dx.doi.org/10.1039/d2na00539e","http://dx.doi.org/10.1039/d2na00539e")</f>
        <v>http://dx.doi.org/10.1039/d2na00539e</v>
      </c>
      <c r="BG425" s="1" t="s">
        <v>74</v>
      </c>
      <c r="BH425" s="1" t="s">
        <v>4341</v>
      </c>
      <c r="BI425" s="1" t="s">
        <v>74</v>
      </c>
      <c r="BJ425" s="1" t="s">
        <v>74</v>
      </c>
      <c r="BK425" s="1" t="s">
        <v>74</v>
      </c>
      <c r="BL425" s="1" t="s">
        <v>74</v>
      </c>
      <c r="BM425" s="1" t="s">
        <v>74</v>
      </c>
      <c r="BN425" s="1">
        <v>3.6381517E7</v>
      </c>
      <c r="BO425" s="1" t="s">
        <v>74</v>
      </c>
      <c r="BP425" s="1" t="s">
        <v>74</v>
      </c>
      <c r="BQ425" s="1" t="s">
        <v>74</v>
      </c>
      <c r="BR425" s="1" t="s">
        <v>74</v>
      </c>
      <c r="BS425" s="1" t="s">
        <v>4342</v>
      </c>
      <c r="BT425" s="1" t="str">
        <f>HYPERLINK("https%3A%2F%2Fwww.webofscience.com%2Fwos%2Fwoscc%2Ffull-record%2FWOS:000870197700001","View Full Record in Web of Science")</f>
        <v>View Full Record in Web of Science</v>
      </c>
    </row>
    <row r="426" ht="12.75" customHeight="1">
      <c r="A426" s="1" t="s">
        <v>72</v>
      </c>
      <c r="B426" s="1" t="s">
        <v>4343</v>
      </c>
      <c r="C426" s="1" t="s">
        <v>74</v>
      </c>
      <c r="D426" s="1" t="s">
        <v>74</v>
      </c>
      <c r="E426" s="1" t="s">
        <v>74</v>
      </c>
      <c r="F426" s="1" t="s">
        <v>4344</v>
      </c>
      <c r="G426" s="1" t="s">
        <v>74</v>
      </c>
      <c r="H426" s="1" t="s">
        <v>74</v>
      </c>
      <c r="I426" s="1" t="s">
        <v>4345</v>
      </c>
      <c r="J426" s="1" t="s">
        <v>4346</v>
      </c>
      <c r="K426" s="1" t="s">
        <v>74</v>
      </c>
      <c r="L426" s="1" t="s">
        <v>74</v>
      </c>
      <c r="M426" s="1" t="s">
        <v>74</v>
      </c>
      <c r="N426" s="1" t="s">
        <v>74</v>
      </c>
      <c r="O426" s="1" t="s">
        <v>74</v>
      </c>
      <c r="P426" s="1" t="s">
        <v>74</v>
      </c>
      <c r="Q426" s="1" t="s">
        <v>74</v>
      </c>
      <c r="R426" s="1" t="s">
        <v>74</v>
      </c>
      <c r="S426" s="1" t="s">
        <v>74</v>
      </c>
      <c r="T426" s="1" t="s">
        <v>74</v>
      </c>
      <c r="U426" s="1" t="s">
        <v>74</v>
      </c>
      <c r="V426" s="1" t="s">
        <v>4347</v>
      </c>
      <c r="W426" s="1" t="s">
        <v>74</v>
      </c>
      <c r="X426" s="1" t="s">
        <v>74</v>
      </c>
      <c r="Y426" s="1" t="s">
        <v>74</v>
      </c>
      <c r="Z426" s="1" t="s">
        <v>74</v>
      </c>
      <c r="AA426" s="1" t="s">
        <v>4348</v>
      </c>
      <c r="AB426" s="1" t="s">
        <v>4349</v>
      </c>
      <c r="AC426" s="1" t="s">
        <v>74</v>
      </c>
      <c r="AD426" s="1" t="s">
        <v>74</v>
      </c>
      <c r="AE426" s="1" t="s">
        <v>74</v>
      </c>
      <c r="AF426" s="1" t="s">
        <v>74</v>
      </c>
      <c r="AG426" s="1" t="s">
        <v>74</v>
      </c>
      <c r="AH426" s="1" t="s">
        <v>74</v>
      </c>
      <c r="AI426" s="1" t="s">
        <v>74</v>
      </c>
      <c r="AJ426" s="1" t="s">
        <v>74</v>
      </c>
      <c r="AK426" s="1" t="s">
        <v>74</v>
      </c>
      <c r="AL426" s="1" t="s">
        <v>74</v>
      </c>
      <c r="AM426" s="1" t="s">
        <v>74</v>
      </c>
      <c r="AN426" s="1" t="s">
        <v>74</v>
      </c>
      <c r="AO426" s="1" t="s">
        <v>4350</v>
      </c>
      <c r="AP426" s="1" t="s">
        <v>4351</v>
      </c>
      <c r="AQ426" s="1" t="s">
        <v>74</v>
      </c>
      <c r="AR426" s="1" t="s">
        <v>74</v>
      </c>
      <c r="AS426" s="1" t="s">
        <v>74</v>
      </c>
      <c r="AT426" s="1" t="s">
        <v>4352</v>
      </c>
      <c r="AU426" s="1">
        <v>2022.0</v>
      </c>
      <c r="AV426" s="1">
        <v>67.0</v>
      </c>
      <c r="AW426" s="1" t="s">
        <v>74</v>
      </c>
      <c r="AX426" s="1" t="s">
        <v>74</v>
      </c>
      <c r="AY426" s="1" t="s">
        <v>74</v>
      </c>
      <c r="AZ426" s="1" t="s">
        <v>74</v>
      </c>
      <c r="BA426" s="1" t="s">
        <v>74</v>
      </c>
      <c r="BB426" s="1" t="s">
        <v>74</v>
      </c>
      <c r="BC426" s="1" t="s">
        <v>74</v>
      </c>
      <c r="BD426" s="1">
        <v>1604591.0</v>
      </c>
      <c r="BE426" s="1" t="s">
        <v>4353</v>
      </c>
      <c r="BF426" s="2" t="str">
        <f>HYPERLINK("http://dx.doi.org/10.3389/ijph.2022.1604591","http://dx.doi.org/10.3389/ijph.2022.1604591")</f>
        <v>http://dx.doi.org/10.3389/ijph.2022.1604591</v>
      </c>
      <c r="BG426" s="1" t="s">
        <v>74</v>
      </c>
      <c r="BH426" s="1" t="s">
        <v>74</v>
      </c>
      <c r="BI426" s="1" t="s">
        <v>74</v>
      </c>
      <c r="BJ426" s="1" t="s">
        <v>74</v>
      </c>
      <c r="BK426" s="1" t="s">
        <v>74</v>
      </c>
      <c r="BL426" s="1" t="s">
        <v>74</v>
      </c>
      <c r="BM426" s="1" t="s">
        <v>74</v>
      </c>
      <c r="BN426" s="1">
        <v>3.6090842E7</v>
      </c>
      <c r="BO426" s="1" t="s">
        <v>74</v>
      </c>
      <c r="BP426" s="1" t="s">
        <v>74</v>
      </c>
      <c r="BQ426" s="1" t="s">
        <v>74</v>
      </c>
      <c r="BR426" s="1" t="s">
        <v>74</v>
      </c>
      <c r="BS426" s="1" t="s">
        <v>4354</v>
      </c>
      <c r="BT426" s="1" t="str">
        <f>HYPERLINK("https%3A%2F%2Fwww.webofscience.com%2Fwos%2Fwoscc%2Ffull-record%2FWOS:001027453600001","View Full Record in Web of Science")</f>
        <v>View Full Record in Web of Science</v>
      </c>
    </row>
    <row r="427" ht="12.75" customHeight="1">
      <c r="A427" s="1" t="s">
        <v>72</v>
      </c>
      <c r="B427" s="1" t="s">
        <v>4355</v>
      </c>
      <c r="C427" s="1" t="s">
        <v>74</v>
      </c>
      <c r="D427" s="1" t="s">
        <v>74</v>
      </c>
      <c r="E427" s="1" t="s">
        <v>74</v>
      </c>
      <c r="F427" s="1" t="s">
        <v>4356</v>
      </c>
      <c r="G427" s="1" t="s">
        <v>74</v>
      </c>
      <c r="H427" s="1" t="s">
        <v>74</v>
      </c>
      <c r="I427" s="1" t="s">
        <v>4357</v>
      </c>
      <c r="J427" s="1" t="s">
        <v>4358</v>
      </c>
      <c r="K427" s="1" t="s">
        <v>74</v>
      </c>
      <c r="L427" s="1" t="s">
        <v>74</v>
      </c>
      <c r="M427" s="1" t="s">
        <v>74</v>
      </c>
      <c r="N427" s="1" t="s">
        <v>74</v>
      </c>
      <c r="O427" s="1" t="s">
        <v>74</v>
      </c>
      <c r="P427" s="1" t="s">
        <v>74</v>
      </c>
      <c r="Q427" s="1" t="s">
        <v>74</v>
      </c>
      <c r="R427" s="1" t="s">
        <v>74</v>
      </c>
      <c r="S427" s="1" t="s">
        <v>74</v>
      </c>
      <c r="T427" s="1" t="s">
        <v>74</v>
      </c>
      <c r="U427" s="1" t="s">
        <v>74</v>
      </c>
      <c r="V427" s="1" t="s">
        <v>4359</v>
      </c>
      <c r="W427" s="1" t="s">
        <v>74</v>
      </c>
      <c r="X427" s="1" t="s">
        <v>74</v>
      </c>
      <c r="Y427" s="1" t="s">
        <v>74</v>
      </c>
      <c r="Z427" s="1" t="s">
        <v>74</v>
      </c>
      <c r="AA427" s="1" t="s">
        <v>4360</v>
      </c>
      <c r="AB427" s="1" t="s">
        <v>4361</v>
      </c>
      <c r="AC427" s="1" t="s">
        <v>74</v>
      </c>
      <c r="AD427" s="1" t="s">
        <v>74</v>
      </c>
      <c r="AE427" s="1" t="s">
        <v>74</v>
      </c>
      <c r="AF427" s="1" t="s">
        <v>74</v>
      </c>
      <c r="AG427" s="1" t="s">
        <v>74</v>
      </c>
      <c r="AH427" s="1" t="s">
        <v>74</v>
      </c>
      <c r="AI427" s="1" t="s">
        <v>74</v>
      </c>
      <c r="AJ427" s="1" t="s">
        <v>74</v>
      </c>
      <c r="AK427" s="1" t="s">
        <v>74</v>
      </c>
      <c r="AL427" s="1" t="s">
        <v>74</v>
      </c>
      <c r="AM427" s="1" t="s">
        <v>74</v>
      </c>
      <c r="AN427" s="1" t="s">
        <v>74</v>
      </c>
      <c r="AO427" s="1" t="s">
        <v>74</v>
      </c>
      <c r="AP427" s="1" t="s">
        <v>4362</v>
      </c>
      <c r="AQ427" s="1" t="s">
        <v>74</v>
      </c>
      <c r="AR427" s="1" t="s">
        <v>74</v>
      </c>
      <c r="AS427" s="1" t="s">
        <v>74</v>
      </c>
      <c r="AT427" s="1" t="s">
        <v>350</v>
      </c>
      <c r="AU427" s="1">
        <v>2022.0</v>
      </c>
      <c r="AV427" s="1">
        <v>13.0</v>
      </c>
      <c r="AW427" s="1">
        <v>8.0</v>
      </c>
      <c r="AX427" s="1" t="s">
        <v>74</v>
      </c>
      <c r="AY427" s="1" t="s">
        <v>74</v>
      </c>
      <c r="AZ427" s="1" t="s">
        <v>74</v>
      </c>
      <c r="BA427" s="1" t="s">
        <v>74</v>
      </c>
      <c r="BB427" s="1" t="s">
        <v>74</v>
      </c>
      <c r="BC427" s="1" t="s">
        <v>74</v>
      </c>
      <c r="BD427" s="1">
        <v>1226.0</v>
      </c>
      <c r="BE427" s="1" t="s">
        <v>4363</v>
      </c>
      <c r="BF427" s="2" t="str">
        <f>HYPERLINK("http://dx.doi.org/10.3390/atmos13081226","http://dx.doi.org/10.3390/atmos13081226")</f>
        <v>http://dx.doi.org/10.3390/atmos13081226</v>
      </c>
      <c r="BG427" s="1" t="s">
        <v>74</v>
      </c>
      <c r="BH427" s="1" t="s">
        <v>74</v>
      </c>
      <c r="BI427" s="1" t="s">
        <v>74</v>
      </c>
      <c r="BJ427" s="1" t="s">
        <v>74</v>
      </c>
      <c r="BK427" s="1" t="s">
        <v>74</v>
      </c>
      <c r="BL427" s="1" t="s">
        <v>74</v>
      </c>
      <c r="BM427" s="1" t="s">
        <v>74</v>
      </c>
      <c r="BN427" s="1" t="s">
        <v>74</v>
      </c>
      <c r="BO427" s="1" t="s">
        <v>74</v>
      </c>
      <c r="BP427" s="1" t="s">
        <v>74</v>
      </c>
      <c r="BQ427" s="1" t="s">
        <v>74</v>
      </c>
      <c r="BR427" s="1" t="s">
        <v>74</v>
      </c>
      <c r="BS427" s="1" t="s">
        <v>4364</v>
      </c>
      <c r="BT427" s="1" t="str">
        <f>HYPERLINK("https%3A%2F%2Fwww.webofscience.com%2Fwos%2Fwoscc%2Ffull-record%2FWOS:000846155900001","View Full Record in Web of Science")</f>
        <v>View Full Record in Web of Science</v>
      </c>
    </row>
    <row r="428" ht="12.75" customHeight="1">
      <c r="A428" s="1" t="s">
        <v>72</v>
      </c>
      <c r="B428" s="1" t="s">
        <v>4365</v>
      </c>
      <c r="C428" s="1" t="s">
        <v>74</v>
      </c>
      <c r="D428" s="1" t="s">
        <v>74</v>
      </c>
      <c r="E428" s="1" t="s">
        <v>74</v>
      </c>
      <c r="F428" s="1" t="s">
        <v>4366</v>
      </c>
      <c r="G428" s="1" t="s">
        <v>74</v>
      </c>
      <c r="H428" s="1" t="s">
        <v>74</v>
      </c>
      <c r="I428" s="1" t="s">
        <v>4367</v>
      </c>
      <c r="J428" s="1" t="s">
        <v>4368</v>
      </c>
      <c r="K428" s="1" t="s">
        <v>74</v>
      </c>
      <c r="L428" s="1" t="s">
        <v>74</v>
      </c>
      <c r="M428" s="1" t="s">
        <v>74</v>
      </c>
      <c r="N428" s="1" t="s">
        <v>74</v>
      </c>
      <c r="O428" s="1" t="s">
        <v>74</v>
      </c>
      <c r="P428" s="1" t="s">
        <v>74</v>
      </c>
      <c r="Q428" s="1" t="s">
        <v>74</v>
      </c>
      <c r="R428" s="1" t="s">
        <v>74</v>
      </c>
      <c r="S428" s="1" t="s">
        <v>74</v>
      </c>
      <c r="T428" s="1" t="s">
        <v>74</v>
      </c>
      <c r="U428" s="1" t="s">
        <v>74</v>
      </c>
      <c r="V428" s="1" t="s">
        <v>74</v>
      </c>
      <c r="W428" s="1" t="s">
        <v>74</v>
      </c>
      <c r="X428" s="1" t="s">
        <v>74</v>
      </c>
      <c r="Y428" s="1" t="s">
        <v>74</v>
      </c>
      <c r="Z428" s="1" t="s">
        <v>74</v>
      </c>
      <c r="AA428" s="1" t="s">
        <v>74</v>
      </c>
      <c r="AB428" s="1" t="s">
        <v>74</v>
      </c>
      <c r="AC428" s="1" t="s">
        <v>74</v>
      </c>
      <c r="AD428" s="1" t="s">
        <v>74</v>
      </c>
      <c r="AE428" s="1" t="s">
        <v>74</v>
      </c>
      <c r="AF428" s="1" t="s">
        <v>74</v>
      </c>
      <c r="AG428" s="1" t="s">
        <v>74</v>
      </c>
      <c r="AH428" s="1" t="s">
        <v>74</v>
      </c>
      <c r="AI428" s="1" t="s">
        <v>74</v>
      </c>
      <c r="AJ428" s="1" t="s">
        <v>74</v>
      </c>
      <c r="AK428" s="1" t="s">
        <v>74</v>
      </c>
      <c r="AL428" s="1" t="s">
        <v>74</v>
      </c>
      <c r="AM428" s="1" t="s">
        <v>74</v>
      </c>
      <c r="AN428" s="1" t="s">
        <v>74</v>
      </c>
      <c r="AO428" s="1" t="s">
        <v>4369</v>
      </c>
      <c r="AP428" s="1" t="s">
        <v>4370</v>
      </c>
      <c r="AQ428" s="1" t="s">
        <v>74</v>
      </c>
      <c r="AR428" s="1" t="s">
        <v>74</v>
      </c>
      <c r="AS428" s="1" t="s">
        <v>74</v>
      </c>
      <c r="AT428" s="1" t="s">
        <v>158</v>
      </c>
      <c r="AU428" s="1">
        <v>2022.0</v>
      </c>
      <c r="AV428" s="1">
        <v>41.0</v>
      </c>
      <c r="AW428" s="1">
        <v>3.0</v>
      </c>
      <c r="AX428" s="1" t="s">
        <v>74</v>
      </c>
      <c r="AY428" s="1" t="s">
        <v>74</v>
      </c>
      <c r="AZ428" s="1" t="s">
        <v>74</v>
      </c>
      <c r="BA428" s="1" t="s">
        <v>74</v>
      </c>
      <c r="BB428" s="1">
        <v>483.0</v>
      </c>
      <c r="BC428" s="1">
        <v>484.0</v>
      </c>
      <c r="BD428" s="1" t="s">
        <v>74</v>
      </c>
      <c r="BE428" s="1" t="s">
        <v>4371</v>
      </c>
      <c r="BF428" s="2" t="str">
        <f>HYPERLINK("http://dx.doi.org/10.1111/blar.13382","http://dx.doi.org/10.1111/blar.13382")</f>
        <v>http://dx.doi.org/10.1111/blar.13382</v>
      </c>
      <c r="BG428" s="1" t="s">
        <v>74</v>
      </c>
      <c r="BH428" s="1" t="s">
        <v>74</v>
      </c>
      <c r="BI428" s="1" t="s">
        <v>74</v>
      </c>
      <c r="BJ428" s="1" t="s">
        <v>74</v>
      </c>
      <c r="BK428" s="1" t="s">
        <v>74</v>
      </c>
      <c r="BL428" s="1" t="s">
        <v>74</v>
      </c>
      <c r="BM428" s="1" t="s">
        <v>74</v>
      </c>
      <c r="BN428" s="1" t="s">
        <v>74</v>
      </c>
      <c r="BO428" s="1" t="s">
        <v>74</v>
      </c>
      <c r="BP428" s="1" t="s">
        <v>74</v>
      </c>
      <c r="BQ428" s="1" t="s">
        <v>74</v>
      </c>
      <c r="BR428" s="1" t="s">
        <v>74</v>
      </c>
      <c r="BS428" s="1" t="s">
        <v>4372</v>
      </c>
      <c r="BT428" s="1" t="str">
        <f>HYPERLINK("https%3A%2F%2Fwww.webofscience.com%2Fwos%2Fwoscc%2Ffull-record%2FWOS:000830381700012","View Full Record in Web of Science")</f>
        <v>View Full Record in Web of Science</v>
      </c>
    </row>
    <row r="429" ht="12.75" customHeight="1">
      <c r="A429" s="1" t="s">
        <v>72</v>
      </c>
      <c r="B429" s="1" t="s">
        <v>4373</v>
      </c>
      <c r="C429" s="1" t="s">
        <v>74</v>
      </c>
      <c r="D429" s="1" t="s">
        <v>74</v>
      </c>
      <c r="E429" s="1" t="s">
        <v>74</v>
      </c>
      <c r="F429" s="1" t="s">
        <v>4374</v>
      </c>
      <c r="G429" s="1" t="s">
        <v>74</v>
      </c>
      <c r="H429" s="1" t="s">
        <v>74</v>
      </c>
      <c r="I429" s="1" t="s">
        <v>4375</v>
      </c>
      <c r="J429" s="1" t="s">
        <v>1189</v>
      </c>
      <c r="K429" s="1" t="s">
        <v>74</v>
      </c>
      <c r="L429" s="1" t="s">
        <v>74</v>
      </c>
      <c r="M429" s="1" t="s">
        <v>74</v>
      </c>
      <c r="N429" s="1" t="s">
        <v>74</v>
      </c>
      <c r="O429" s="1" t="s">
        <v>74</v>
      </c>
      <c r="P429" s="1" t="s">
        <v>74</v>
      </c>
      <c r="Q429" s="1" t="s">
        <v>74</v>
      </c>
      <c r="R429" s="1" t="s">
        <v>74</v>
      </c>
      <c r="S429" s="1" t="s">
        <v>74</v>
      </c>
      <c r="T429" s="1" t="s">
        <v>74</v>
      </c>
      <c r="U429" s="1" t="s">
        <v>74</v>
      </c>
      <c r="V429" s="1" t="s">
        <v>4376</v>
      </c>
      <c r="W429" s="1" t="s">
        <v>74</v>
      </c>
      <c r="X429" s="1" t="s">
        <v>74</v>
      </c>
      <c r="Y429" s="1" t="s">
        <v>74</v>
      </c>
      <c r="Z429" s="1" t="s">
        <v>74</v>
      </c>
      <c r="AA429" s="1" t="s">
        <v>4377</v>
      </c>
      <c r="AB429" s="1" t="s">
        <v>4378</v>
      </c>
      <c r="AC429" s="1" t="s">
        <v>74</v>
      </c>
      <c r="AD429" s="1" t="s">
        <v>74</v>
      </c>
      <c r="AE429" s="1" t="s">
        <v>74</v>
      </c>
      <c r="AF429" s="1" t="s">
        <v>74</v>
      </c>
      <c r="AG429" s="1" t="s">
        <v>74</v>
      </c>
      <c r="AH429" s="1" t="s">
        <v>74</v>
      </c>
      <c r="AI429" s="1" t="s">
        <v>74</v>
      </c>
      <c r="AJ429" s="1" t="s">
        <v>74</v>
      </c>
      <c r="AK429" s="1" t="s">
        <v>74</v>
      </c>
      <c r="AL429" s="1" t="s">
        <v>74</v>
      </c>
      <c r="AM429" s="1" t="s">
        <v>74</v>
      </c>
      <c r="AN429" s="1" t="s">
        <v>74</v>
      </c>
      <c r="AO429" s="1" t="s">
        <v>1192</v>
      </c>
      <c r="AP429" s="1" t="s">
        <v>1193</v>
      </c>
      <c r="AQ429" s="1" t="s">
        <v>74</v>
      </c>
      <c r="AR429" s="1" t="s">
        <v>74</v>
      </c>
      <c r="AS429" s="1" t="s">
        <v>74</v>
      </c>
      <c r="AT429" s="1" t="s">
        <v>4379</v>
      </c>
      <c r="AU429" s="1">
        <v>2022.0</v>
      </c>
      <c r="AV429" s="1">
        <v>55.0</v>
      </c>
      <c r="AW429" s="1">
        <v>1.0</v>
      </c>
      <c r="AX429" s="1" t="s">
        <v>74</v>
      </c>
      <c r="AY429" s="1" t="s">
        <v>74</v>
      </c>
      <c r="AZ429" s="1" t="s">
        <v>74</v>
      </c>
      <c r="BA429" s="1" t="s">
        <v>74</v>
      </c>
      <c r="BB429" s="1" t="s">
        <v>74</v>
      </c>
      <c r="BC429" s="1" t="s">
        <v>74</v>
      </c>
      <c r="BD429" s="1">
        <v>13.0</v>
      </c>
      <c r="BE429" s="1" t="s">
        <v>4380</v>
      </c>
      <c r="BF429" s="2" t="str">
        <f>HYPERLINK("http://dx.doi.org/10.1186/s40659-022-00383-5","http://dx.doi.org/10.1186/s40659-022-00383-5")</f>
        <v>http://dx.doi.org/10.1186/s40659-022-00383-5</v>
      </c>
      <c r="BG429" s="1" t="s">
        <v>74</v>
      </c>
      <c r="BH429" s="1" t="s">
        <v>74</v>
      </c>
      <c r="BI429" s="1" t="s">
        <v>74</v>
      </c>
      <c r="BJ429" s="1" t="s">
        <v>74</v>
      </c>
      <c r="BK429" s="1" t="s">
        <v>74</v>
      </c>
      <c r="BL429" s="1" t="s">
        <v>74</v>
      </c>
      <c r="BM429" s="1" t="s">
        <v>74</v>
      </c>
      <c r="BN429" s="1">
        <v>3.5313991E7</v>
      </c>
      <c r="BO429" s="1" t="s">
        <v>74</v>
      </c>
      <c r="BP429" s="1" t="s">
        <v>74</v>
      </c>
      <c r="BQ429" s="1" t="s">
        <v>74</v>
      </c>
      <c r="BR429" s="1" t="s">
        <v>74</v>
      </c>
      <c r="BS429" s="1" t="s">
        <v>4381</v>
      </c>
      <c r="BT429" s="1" t="str">
        <f>HYPERLINK("https%3A%2F%2Fwww.webofscience.com%2Fwos%2Fwoscc%2Ffull-record%2FWOS:000771449100001","View Full Record in Web of Science")</f>
        <v>View Full Record in Web of Science</v>
      </c>
    </row>
    <row r="430" ht="12.75" customHeight="1">
      <c r="A430" s="1" t="s">
        <v>72</v>
      </c>
      <c r="B430" s="1" t="s">
        <v>4382</v>
      </c>
      <c r="C430" s="1" t="s">
        <v>74</v>
      </c>
      <c r="D430" s="1" t="s">
        <v>74</v>
      </c>
      <c r="E430" s="1" t="s">
        <v>74</v>
      </c>
      <c r="F430" s="1" t="s">
        <v>4383</v>
      </c>
      <c r="G430" s="1" t="s">
        <v>74</v>
      </c>
      <c r="H430" s="1" t="s">
        <v>74</v>
      </c>
      <c r="I430" s="1" t="s">
        <v>4384</v>
      </c>
      <c r="J430" s="1" t="s">
        <v>321</v>
      </c>
      <c r="K430" s="1" t="s">
        <v>74</v>
      </c>
      <c r="L430" s="1" t="s">
        <v>74</v>
      </c>
      <c r="M430" s="1" t="s">
        <v>74</v>
      </c>
      <c r="N430" s="1" t="s">
        <v>74</v>
      </c>
      <c r="O430" s="1" t="s">
        <v>74</v>
      </c>
      <c r="P430" s="1" t="s">
        <v>74</v>
      </c>
      <c r="Q430" s="1" t="s">
        <v>74</v>
      </c>
      <c r="R430" s="1" t="s">
        <v>74</v>
      </c>
      <c r="S430" s="1" t="s">
        <v>74</v>
      </c>
      <c r="T430" s="1" t="s">
        <v>74</v>
      </c>
      <c r="U430" s="1" t="s">
        <v>74</v>
      </c>
      <c r="V430" s="1" t="s">
        <v>4385</v>
      </c>
      <c r="W430" s="1" t="s">
        <v>74</v>
      </c>
      <c r="X430" s="1" t="s">
        <v>74</v>
      </c>
      <c r="Y430" s="1" t="s">
        <v>74</v>
      </c>
      <c r="Z430" s="1" t="s">
        <v>74</v>
      </c>
      <c r="AA430" s="1" t="s">
        <v>4386</v>
      </c>
      <c r="AB430" s="1" t="s">
        <v>4387</v>
      </c>
      <c r="AC430" s="1" t="s">
        <v>74</v>
      </c>
      <c r="AD430" s="1" t="s">
        <v>74</v>
      </c>
      <c r="AE430" s="1" t="s">
        <v>74</v>
      </c>
      <c r="AF430" s="1" t="s">
        <v>74</v>
      </c>
      <c r="AG430" s="1" t="s">
        <v>74</v>
      </c>
      <c r="AH430" s="1" t="s">
        <v>74</v>
      </c>
      <c r="AI430" s="1" t="s">
        <v>74</v>
      </c>
      <c r="AJ430" s="1" t="s">
        <v>74</v>
      </c>
      <c r="AK430" s="1" t="s">
        <v>74</v>
      </c>
      <c r="AL430" s="1" t="s">
        <v>74</v>
      </c>
      <c r="AM430" s="1" t="s">
        <v>74</v>
      </c>
      <c r="AN430" s="1" t="s">
        <v>74</v>
      </c>
      <c r="AO430" s="1" t="s">
        <v>325</v>
      </c>
      <c r="AP430" s="1" t="s">
        <v>326</v>
      </c>
      <c r="AQ430" s="1" t="s">
        <v>74</v>
      </c>
      <c r="AR430" s="1" t="s">
        <v>74</v>
      </c>
      <c r="AS430" s="1" t="s">
        <v>74</v>
      </c>
      <c r="AT430" s="1" t="s">
        <v>2310</v>
      </c>
      <c r="AU430" s="1">
        <v>2022.0</v>
      </c>
      <c r="AV430" s="1">
        <v>828.0</v>
      </c>
      <c r="AW430" s="1" t="s">
        <v>74</v>
      </c>
      <c r="AX430" s="1" t="s">
        <v>74</v>
      </c>
      <c r="AY430" s="1" t="s">
        <v>74</v>
      </c>
      <c r="AZ430" s="1" t="s">
        <v>74</v>
      </c>
      <c r="BA430" s="1" t="s">
        <v>74</v>
      </c>
      <c r="BB430" s="1" t="s">
        <v>74</v>
      </c>
      <c r="BC430" s="1" t="s">
        <v>74</v>
      </c>
      <c r="BD430" s="1">
        <v>154474.0</v>
      </c>
      <c r="BE430" s="1" t="s">
        <v>4388</v>
      </c>
      <c r="BF430" s="2" t="str">
        <f>HYPERLINK("http://dx.doi.org/10.1016/j.scitotenv.2022.154474","http://dx.doi.org/10.1016/j.scitotenv.2022.154474")</f>
        <v>http://dx.doi.org/10.1016/j.scitotenv.2022.154474</v>
      </c>
      <c r="BG430" s="1" t="s">
        <v>74</v>
      </c>
      <c r="BH430" s="1" t="s">
        <v>3488</v>
      </c>
      <c r="BI430" s="1" t="s">
        <v>74</v>
      </c>
      <c r="BJ430" s="1" t="s">
        <v>74</v>
      </c>
      <c r="BK430" s="1" t="s">
        <v>74</v>
      </c>
      <c r="BL430" s="1" t="s">
        <v>74</v>
      </c>
      <c r="BM430" s="1" t="s">
        <v>74</v>
      </c>
      <c r="BN430" s="1">
        <v>3.5276176E7</v>
      </c>
      <c r="BO430" s="1" t="s">
        <v>74</v>
      </c>
      <c r="BP430" s="1" t="s">
        <v>74</v>
      </c>
      <c r="BQ430" s="1" t="s">
        <v>74</v>
      </c>
      <c r="BR430" s="1" t="s">
        <v>74</v>
      </c>
      <c r="BS430" s="1" t="s">
        <v>4389</v>
      </c>
      <c r="BT430" s="1" t="str">
        <f>HYPERLINK("https%3A%2F%2Fwww.webofscience.com%2Fwos%2Fwoscc%2Ffull-record%2FWOS:000797292700010","View Full Record in Web of Science")</f>
        <v>View Full Record in Web of Science</v>
      </c>
    </row>
    <row r="431" ht="12.75" customHeight="1">
      <c r="A431" s="1" t="s">
        <v>72</v>
      </c>
      <c r="B431" s="1" t="s">
        <v>4390</v>
      </c>
      <c r="C431" s="1" t="s">
        <v>74</v>
      </c>
      <c r="D431" s="1" t="s">
        <v>74</v>
      </c>
      <c r="E431" s="1" t="s">
        <v>74</v>
      </c>
      <c r="F431" s="1" t="s">
        <v>4391</v>
      </c>
      <c r="G431" s="1" t="s">
        <v>74</v>
      </c>
      <c r="H431" s="1" t="s">
        <v>74</v>
      </c>
      <c r="I431" s="1" t="s">
        <v>4392</v>
      </c>
      <c r="J431" s="1" t="s">
        <v>1325</v>
      </c>
      <c r="K431" s="1" t="s">
        <v>74</v>
      </c>
      <c r="L431" s="1" t="s">
        <v>74</v>
      </c>
      <c r="M431" s="1" t="s">
        <v>74</v>
      </c>
      <c r="N431" s="1" t="s">
        <v>74</v>
      </c>
      <c r="O431" s="1" t="s">
        <v>74</v>
      </c>
      <c r="P431" s="1" t="s">
        <v>74</v>
      </c>
      <c r="Q431" s="1" t="s">
        <v>74</v>
      </c>
      <c r="R431" s="1" t="s">
        <v>74</v>
      </c>
      <c r="S431" s="1" t="s">
        <v>74</v>
      </c>
      <c r="T431" s="1" t="s">
        <v>74</v>
      </c>
      <c r="U431" s="1" t="s">
        <v>74</v>
      </c>
      <c r="V431" s="1" t="s">
        <v>4393</v>
      </c>
      <c r="W431" s="1" t="s">
        <v>74</v>
      </c>
      <c r="X431" s="1" t="s">
        <v>74</v>
      </c>
      <c r="Y431" s="1" t="s">
        <v>74</v>
      </c>
      <c r="Z431" s="1" t="s">
        <v>74</v>
      </c>
      <c r="AA431" s="1" t="s">
        <v>4394</v>
      </c>
      <c r="AB431" s="1" t="s">
        <v>4395</v>
      </c>
      <c r="AC431" s="1" t="s">
        <v>74</v>
      </c>
      <c r="AD431" s="1" t="s">
        <v>74</v>
      </c>
      <c r="AE431" s="1" t="s">
        <v>74</v>
      </c>
      <c r="AF431" s="1" t="s">
        <v>74</v>
      </c>
      <c r="AG431" s="1" t="s">
        <v>74</v>
      </c>
      <c r="AH431" s="1" t="s">
        <v>74</v>
      </c>
      <c r="AI431" s="1" t="s">
        <v>74</v>
      </c>
      <c r="AJ431" s="1" t="s">
        <v>74</v>
      </c>
      <c r="AK431" s="1" t="s">
        <v>74</v>
      </c>
      <c r="AL431" s="1" t="s">
        <v>74</v>
      </c>
      <c r="AM431" s="1" t="s">
        <v>74</v>
      </c>
      <c r="AN431" s="1" t="s">
        <v>74</v>
      </c>
      <c r="AO431" s="1" t="s">
        <v>1329</v>
      </c>
      <c r="AP431" s="1" t="s">
        <v>1330</v>
      </c>
      <c r="AQ431" s="1" t="s">
        <v>74</v>
      </c>
      <c r="AR431" s="1" t="s">
        <v>74</v>
      </c>
      <c r="AS431" s="1" t="s">
        <v>74</v>
      </c>
      <c r="AT431" s="1" t="s">
        <v>678</v>
      </c>
      <c r="AU431" s="1">
        <v>2021.0</v>
      </c>
      <c r="AV431" s="1">
        <v>22.0</v>
      </c>
      <c r="AW431" s="1">
        <v>21.0</v>
      </c>
      <c r="AX431" s="1" t="s">
        <v>74</v>
      </c>
      <c r="AY431" s="1" t="s">
        <v>74</v>
      </c>
      <c r="AZ431" s="1" t="s">
        <v>74</v>
      </c>
      <c r="BA431" s="1" t="s">
        <v>74</v>
      </c>
      <c r="BB431" s="1" t="s">
        <v>74</v>
      </c>
      <c r="BC431" s="1" t="s">
        <v>74</v>
      </c>
      <c r="BD431" s="1">
        <v>12077.0</v>
      </c>
      <c r="BE431" s="1" t="s">
        <v>4396</v>
      </c>
      <c r="BF431" s="2" t="str">
        <f>HYPERLINK("http://dx.doi.org/10.3390/ijms222112077","http://dx.doi.org/10.3390/ijms222112077")</f>
        <v>http://dx.doi.org/10.3390/ijms222112077</v>
      </c>
      <c r="BG431" s="1" t="s">
        <v>74</v>
      </c>
      <c r="BH431" s="1" t="s">
        <v>74</v>
      </c>
      <c r="BI431" s="1" t="s">
        <v>74</v>
      </c>
      <c r="BJ431" s="1" t="s">
        <v>74</v>
      </c>
      <c r="BK431" s="1" t="s">
        <v>74</v>
      </c>
      <c r="BL431" s="1" t="s">
        <v>74</v>
      </c>
      <c r="BM431" s="1" t="s">
        <v>74</v>
      </c>
      <c r="BN431" s="1">
        <v>3.4769501E7</v>
      </c>
      <c r="BO431" s="1" t="s">
        <v>74</v>
      </c>
      <c r="BP431" s="1" t="s">
        <v>74</v>
      </c>
      <c r="BQ431" s="1" t="s">
        <v>74</v>
      </c>
      <c r="BR431" s="1" t="s">
        <v>74</v>
      </c>
      <c r="BS431" s="1" t="s">
        <v>4397</v>
      </c>
      <c r="BT431" s="1" t="str">
        <f>HYPERLINK("https%3A%2F%2Fwww.webofscience.com%2Fwos%2Fwoscc%2Ffull-record%2FWOS:000718708700001","View Full Record in Web of Science")</f>
        <v>View Full Record in Web of Science</v>
      </c>
    </row>
    <row r="432" ht="12.75" customHeight="1">
      <c r="A432" s="1" t="s">
        <v>72</v>
      </c>
      <c r="B432" s="1" t="s">
        <v>4398</v>
      </c>
      <c r="C432" s="1" t="s">
        <v>74</v>
      </c>
      <c r="D432" s="1" t="s">
        <v>74</v>
      </c>
      <c r="E432" s="1" t="s">
        <v>74</v>
      </c>
      <c r="F432" s="1" t="s">
        <v>4399</v>
      </c>
      <c r="G432" s="1" t="s">
        <v>74</v>
      </c>
      <c r="H432" s="1" t="s">
        <v>74</v>
      </c>
      <c r="I432" s="1" t="s">
        <v>4400</v>
      </c>
      <c r="J432" s="1" t="s">
        <v>4401</v>
      </c>
      <c r="K432" s="1" t="s">
        <v>74</v>
      </c>
      <c r="L432" s="1" t="s">
        <v>74</v>
      </c>
      <c r="M432" s="1" t="s">
        <v>74</v>
      </c>
      <c r="N432" s="1" t="s">
        <v>74</v>
      </c>
      <c r="O432" s="1" t="s">
        <v>74</v>
      </c>
      <c r="P432" s="1" t="s">
        <v>74</v>
      </c>
      <c r="Q432" s="1" t="s">
        <v>74</v>
      </c>
      <c r="R432" s="1" t="s">
        <v>74</v>
      </c>
      <c r="S432" s="1" t="s">
        <v>74</v>
      </c>
      <c r="T432" s="1" t="s">
        <v>74</v>
      </c>
      <c r="U432" s="1" t="s">
        <v>74</v>
      </c>
      <c r="V432" s="1" t="s">
        <v>4402</v>
      </c>
      <c r="W432" s="1" t="s">
        <v>74</v>
      </c>
      <c r="X432" s="1" t="s">
        <v>74</v>
      </c>
      <c r="Y432" s="1" t="s">
        <v>74</v>
      </c>
      <c r="Z432" s="1" t="s">
        <v>74</v>
      </c>
      <c r="AA432" s="1" t="s">
        <v>4403</v>
      </c>
      <c r="AB432" s="1" t="s">
        <v>4404</v>
      </c>
      <c r="AC432" s="1" t="s">
        <v>74</v>
      </c>
      <c r="AD432" s="1" t="s">
        <v>74</v>
      </c>
      <c r="AE432" s="1" t="s">
        <v>74</v>
      </c>
      <c r="AF432" s="1" t="s">
        <v>74</v>
      </c>
      <c r="AG432" s="1" t="s">
        <v>74</v>
      </c>
      <c r="AH432" s="1" t="s">
        <v>74</v>
      </c>
      <c r="AI432" s="1" t="s">
        <v>74</v>
      </c>
      <c r="AJ432" s="1" t="s">
        <v>74</v>
      </c>
      <c r="AK432" s="1" t="s">
        <v>74</v>
      </c>
      <c r="AL432" s="1" t="s">
        <v>74</v>
      </c>
      <c r="AM432" s="1" t="s">
        <v>74</v>
      </c>
      <c r="AN432" s="1" t="s">
        <v>74</v>
      </c>
      <c r="AO432" s="1" t="s">
        <v>4405</v>
      </c>
      <c r="AP432" s="1" t="s">
        <v>4406</v>
      </c>
      <c r="AQ432" s="1" t="s">
        <v>74</v>
      </c>
      <c r="AR432" s="1" t="s">
        <v>74</v>
      </c>
      <c r="AS432" s="1" t="s">
        <v>74</v>
      </c>
      <c r="AT432" s="1" t="s">
        <v>551</v>
      </c>
      <c r="AU432" s="1">
        <v>2021.0</v>
      </c>
      <c r="AV432" s="1">
        <v>781.0</v>
      </c>
      <c r="AW432" s="1" t="s">
        <v>74</v>
      </c>
      <c r="AX432" s="1" t="s">
        <v>74</v>
      </c>
      <c r="AY432" s="1" t="s">
        <v>74</v>
      </c>
      <c r="AZ432" s="1" t="s">
        <v>74</v>
      </c>
      <c r="BA432" s="1" t="s">
        <v>74</v>
      </c>
      <c r="BB432" s="1" t="s">
        <v>74</v>
      </c>
      <c r="BC432" s="1" t="s">
        <v>74</v>
      </c>
      <c r="BD432" s="1">
        <v>138973.0</v>
      </c>
      <c r="BE432" s="1" t="s">
        <v>4407</v>
      </c>
      <c r="BF432" s="2" t="str">
        <f>HYPERLINK("http://dx.doi.org/10.1016/j.cplett.2021.138973","http://dx.doi.org/10.1016/j.cplett.2021.138973")</f>
        <v>http://dx.doi.org/10.1016/j.cplett.2021.138973</v>
      </c>
      <c r="BG432" s="1" t="s">
        <v>74</v>
      </c>
      <c r="BH432" s="1" t="s">
        <v>3526</v>
      </c>
      <c r="BI432" s="1" t="s">
        <v>74</v>
      </c>
      <c r="BJ432" s="1" t="s">
        <v>74</v>
      </c>
      <c r="BK432" s="1" t="s">
        <v>74</v>
      </c>
      <c r="BL432" s="1" t="s">
        <v>74</v>
      </c>
      <c r="BM432" s="1" t="s">
        <v>74</v>
      </c>
      <c r="BN432" s="1" t="s">
        <v>74</v>
      </c>
      <c r="BO432" s="1" t="s">
        <v>74</v>
      </c>
      <c r="BP432" s="1" t="s">
        <v>74</v>
      </c>
      <c r="BQ432" s="1" t="s">
        <v>74</v>
      </c>
      <c r="BR432" s="1" t="s">
        <v>74</v>
      </c>
      <c r="BS432" s="1" t="s">
        <v>4408</v>
      </c>
      <c r="BT432" s="1" t="str">
        <f>HYPERLINK("https%3A%2F%2Fwww.webofscience.com%2Fwos%2Fwoscc%2Ffull-record%2FWOS:000702874800013","View Full Record in Web of Science")</f>
        <v>View Full Record in Web of Science</v>
      </c>
    </row>
    <row r="433" ht="12.75" customHeight="1">
      <c r="A433" s="1" t="s">
        <v>72</v>
      </c>
      <c r="B433" s="1" t="s">
        <v>4409</v>
      </c>
      <c r="C433" s="1" t="s">
        <v>74</v>
      </c>
      <c r="D433" s="1" t="s">
        <v>74</v>
      </c>
      <c r="E433" s="1" t="s">
        <v>74</v>
      </c>
      <c r="F433" s="1" t="s">
        <v>4410</v>
      </c>
      <c r="G433" s="1" t="s">
        <v>74</v>
      </c>
      <c r="H433" s="1" t="s">
        <v>74</v>
      </c>
      <c r="I433" s="1" t="s">
        <v>4411</v>
      </c>
      <c r="J433" s="1" t="s">
        <v>4412</v>
      </c>
      <c r="K433" s="1" t="s">
        <v>74</v>
      </c>
      <c r="L433" s="1" t="s">
        <v>74</v>
      </c>
      <c r="M433" s="1" t="s">
        <v>74</v>
      </c>
      <c r="N433" s="1" t="s">
        <v>74</v>
      </c>
      <c r="O433" s="1" t="s">
        <v>74</v>
      </c>
      <c r="P433" s="1" t="s">
        <v>74</v>
      </c>
      <c r="Q433" s="1" t="s">
        <v>74</v>
      </c>
      <c r="R433" s="1" t="s">
        <v>74</v>
      </c>
      <c r="S433" s="1" t="s">
        <v>74</v>
      </c>
      <c r="T433" s="1" t="s">
        <v>74</v>
      </c>
      <c r="U433" s="1" t="s">
        <v>74</v>
      </c>
      <c r="V433" s="1" t="s">
        <v>4413</v>
      </c>
      <c r="W433" s="1" t="s">
        <v>74</v>
      </c>
      <c r="X433" s="1" t="s">
        <v>74</v>
      </c>
      <c r="Y433" s="1" t="s">
        <v>74</v>
      </c>
      <c r="Z433" s="1" t="s">
        <v>74</v>
      </c>
      <c r="AA433" s="1" t="s">
        <v>4414</v>
      </c>
      <c r="AB433" s="1" t="s">
        <v>4415</v>
      </c>
      <c r="AC433" s="1" t="s">
        <v>74</v>
      </c>
      <c r="AD433" s="1" t="s">
        <v>74</v>
      </c>
      <c r="AE433" s="1" t="s">
        <v>74</v>
      </c>
      <c r="AF433" s="1" t="s">
        <v>74</v>
      </c>
      <c r="AG433" s="1" t="s">
        <v>74</v>
      </c>
      <c r="AH433" s="1" t="s">
        <v>74</v>
      </c>
      <c r="AI433" s="1" t="s">
        <v>74</v>
      </c>
      <c r="AJ433" s="1" t="s">
        <v>74</v>
      </c>
      <c r="AK433" s="1" t="s">
        <v>74</v>
      </c>
      <c r="AL433" s="1" t="s">
        <v>74</v>
      </c>
      <c r="AM433" s="1" t="s">
        <v>74</v>
      </c>
      <c r="AN433" s="1" t="s">
        <v>74</v>
      </c>
      <c r="AO433" s="1" t="s">
        <v>74</v>
      </c>
      <c r="AP433" s="1" t="s">
        <v>4416</v>
      </c>
      <c r="AQ433" s="1" t="s">
        <v>74</v>
      </c>
      <c r="AR433" s="1" t="s">
        <v>74</v>
      </c>
      <c r="AS433" s="1" t="s">
        <v>74</v>
      </c>
      <c r="AT433" s="1" t="s">
        <v>158</v>
      </c>
      <c r="AU433" s="1">
        <v>2021.0</v>
      </c>
      <c r="AV433" s="1">
        <v>18.0</v>
      </c>
      <c r="AW433" s="1">
        <v>13.0</v>
      </c>
      <c r="AX433" s="1" t="s">
        <v>74</v>
      </c>
      <c r="AY433" s="1" t="s">
        <v>74</v>
      </c>
      <c r="AZ433" s="1" t="s">
        <v>74</v>
      </c>
      <c r="BA433" s="1" t="s">
        <v>74</v>
      </c>
      <c r="BB433" s="1" t="s">
        <v>74</v>
      </c>
      <c r="BC433" s="1" t="s">
        <v>74</v>
      </c>
      <c r="BD433" s="1">
        <v>6920.0</v>
      </c>
      <c r="BE433" s="1" t="s">
        <v>4417</v>
      </c>
      <c r="BF433" s="2" t="str">
        <f>HYPERLINK("http://dx.doi.org/10.3390/ijerph18136920","http://dx.doi.org/10.3390/ijerph18136920")</f>
        <v>http://dx.doi.org/10.3390/ijerph18136920</v>
      </c>
      <c r="BG433" s="1" t="s">
        <v>74</v>
      </c>
      <c r="BH433" s="1" t="s">
        <v>74</v>
      </c>
      <c r="BI433" s="1" t="s">
        <v>74</v>
      </c>
      <c r="BJ433" s="1" t="s">
        <v>74</v>
      </c>
      <c r="BK433" s="1" t="s">
        <v>74</v>
      </c>
      <c r="BL433" s="1" t="s">
        <v>74</v>
      </c>
      <c r="BM433" s="1" t="s">
        <v>74</v>
      </c>
      <c r="BN433" s="1">
        <v>3.420328E7</v>
      </c>
      <c r="BO433" s="1" t="s">
        <v>74</v>
      </c>
      <c r="BP433" s="1" t="s">
        <v>74</v>
      </c>
      <c r="BQ433" s="1" t="s">
        <v>74</v>
      </c>
      <c r="BR433" s="1" t="s">
        <v>74</v>
      </c>
      <c r="BS433" s="1" t="s">
        <v>4418</v>
      </c>
      <c r="BT433" s="1" t="str">
        <f>HYPERLINK("https%3A%2F%2Fwww.webofscience.com%2Fwos%2Fwoscc%2Ffull-record%2FWOS:000671259800001","View Full Record in Web of Science")</f>
        <v>View Full Record in Web of Science</v>
      </c>
    </row>
    <row r="434" ht="12.75" customHeight="1">
      <c r="A434" s="1" t="s">
        <v>72</v>
      </c>
      <c r="B434" s="1" t="s">
        <v>4419</v>
      </c>
      <c r="C434" s="1" t="s">
        <v>74</v>
      </c>
      <c r="D434" s="1" t="s">
        <v>74</v>
      </c>
      <c r="E434" s="1" t="s">
        <v>74</v>
      </c>
      <c r="F434" s="1" t="s">
        <v>4420</v>
      </c>
      <c r="G434" s="1" t="s">
        <v>74</v>
      </c>
      <c r="H434" s="1" t="s">
        <v>74</v>
      </c>
      <c r="I434" s="1" t="s">
        <v>4421</v>
      </c>
      <c r="J434" s="1" t="s">
        <v>4422</v>
      </c>
      <c r="K434" s="1" t="s">
        <v>74</v>
      </c>
      <c r="L434" s="1" t="s">
        <v>74</v>
      </c>
      <c r="M434" s="1" t="s">
        <v>74</v>
      </c>
      <c r="N434" s="1" t="s">
        <v>74</v>
      </c>
      <c r="O434" s="1" t="s">
        <v>74</v>
      </c>
      <c r="P434" s="1" t="s">
        <v>74</v>
      </c>
      <c r="Q434" s="1" t="s">
        <v>74</v>
      </c>
      <c r="R434" s="1" t="s">
        <v>74</v>
      </c>
      <c r="S434" s="1" t="s">
        <v>74</v>
      </c>
      <c r="T434" s="1" t="s">
        <v>74</v>
      </c>
      <c r="U434" s="1" t="s">
        <v>74</v>
      </c>
      <c r="V434" s="1" t="s">
        <v>4423</v>
      </c>
      <c r="W434" s="1" t="s">
        <v>74</v>
      </c>
      <c r="X434" s="1" t="s">
        <v>74</v>
      </c>
      <c r="Y434" s="1" t="s">
        <v>74</v>
      </c>
      <c r="Z434" s="1" t="s">
        <v>74</v>
      </c>
      <c r="AA434" s="1" t="s">
        <v>4424</v>
      </c>
      <c r="AB434" s="1" t="s">
        <v>4425</v>
      </c>
      <c r="AC434" s="1" t="s">
        <v>74</v>
      </c>
      <c r="AD434" s="1" t="s">
        <v>74</v>
      </c>
      <c r="AE434" s="1" t="s">
        <v>74</v>
      </c>
      <c r="AF434" s="1" t="s">
        <v>74</v>
      </c>
      <c r="AG434" s="1" t="s">
        <v>74</v>
      </c>
      <c r="AH434" s="1" t="s">
        <v>74</v>
      </c>
      <c r="AI434" s="1" t="s">
        <v>74</v>
      </c>
      <c r="AJ434" s="1" t="s">
        <v>74</v>
      </c>
      <c r="AK434" s="1" t="s">
        <v>74</v>
      </c>
      <c r="AL434" s="1" t="s">
        <v>74</v>
      </c>
      <c r="AM434" s="1" t="s">
        <v>74</v>
      </c>
      <c r="AN434" s="1" t="s">
        <v>74</v>
      </c>
      <c r="AO434" s="1" t="s">
        <v>4426</v>
      </c>
      <c r="AP434" s="1" t="s">
        <v>74</v>
      </c>
      <c r="AQ434" s="1" t="s">
        <v>74</v>
      </c>
      <c r="AR434" s="1" t="s">
        <v>74</v>
      </c>
      <c r="AS434" s="1" t="s">
        <v>74</v>
      </c>
      <c r="AT434" s="1" t="s">
        <v>4427</v>
      </c>
      <c r="AU434" s="1">
        <v>2021.0</v>
      </c>
      <c r="AV434" s="1">
        <v>12.0</v>
      </c>
      <c r="AW434" s="1" t="s">
        <v>74</v>
      </c>
      <c r="AX434" s="1" t="s">
        <v>74</v>
      </c>
      <c r="AY434" s="1" t="s">
        <v>74</v>
      </c>
      <c r="AZ434" s="1" t="s">
        <v>74</v>
      </c>
      <c r="BA434" s="1" t="s">
        <v>74</v>
      </c>
      <c r="BB434" s="1" t="s">
        <v>74</v>
      </c>
      <c r="BC434" s="1" t="s">
        <v>74</v>
      </c>
      <c r="BD434" s="1">
        <v>696803.0</v>
      </c>
      <c r="BE434" s="1" t="s">
        <v>4428</v>
      </c>
      <c r="BF434" s="2" t="str">
        <f>HYPERLINK("http://dx.doi.org/10.3389/fimmu.2021.696803","http://dx.doi.org/10.3389/fimmu.2021.696803")</f>
        <v>http://dx.doi.org/10.3389/fimmu.2021.696803</v>
      </c>
      <c r="BG434" s="1" t="s">
        <v>74</v>
      </c>
      <c r="BH434" s="1" t="s">
        <v>74</v>
      </c>
      <c r="BI434" s="1" t="s">
        <v>74</v>
      </c>
      <c r="BJ434" s="1" t="s">
        <v>74</v>
      </c>
      <c r="BK434" s="1" t="s">
        <v>74</v>
      </c>
      <c r="BL434" s="1" t="s">
        <v>74</v>
      </c>
      <c r="BM434" s="1" t="s">
        <v>74</v>
      </c>
      <c r="BN434" s="1">
        <v>3.4248997E7</v>
      </c>
      <c r="BO434" s="1" t="s">
        <v>74</v>
      </c>
      <c r="BP434" s="1" t="s">
        <v>74</v>
      </c>
      <c r="BQ434" s="1" t="s">
        <v>74</v>
      </c>
      <c r="BR434" s="1" t="s">
        <v>74</v>
      </c>
      <c r="BS434" s="1" t="s">
        <v>4429</v>
      </c>
      <c r="BT434" s="1" t="str">
        <f>HYPERLINK("https%3A%2F%2Fwww.webofscience.com%2Fwos%2Fwoscc%2Ffull-record%2FWOS:000671320200001","View Full Record in Web of Science")</f>
        <v>View Full Record in Web of Science</v>
      </c>
    </row>
    <row r="435" ht="12.75" customHeight="1">
      <c r="A435" s="1" t="s">
        <v>72</v>
      </c>
      <c r="B435" s="1" t="s">
        <v>1394</v>
      </c>
      <c r="C435" s="1" t="s">
        <v>74</v>
      </c>
      <c r="D435" s="1" t="s">
        <v>74</v>
      </c>
      <c r="E435" s="1" t="s">
        <v>74</v>
      </c>
      <c r="F435" s="1" t="s">
        <v>1395</v>
      </c>
      <c r="G435" s="1" t="s">
        <v>74</v>
      </c>
      <c r="H435" s="1" t="s">
        <v>74</v>
      </c>
      <c r="I435" s="1" t="s">
        <v>4430</v>
      </c>
      <c r="J435" s="1" t="s">
        <v>1397</v>
      </c>
      <c r="K435" s="1" t="s">
        <v>74</v>
      </c>
      <c r="L435" s="1" t="s">
        <v>74</v>
      </c>
      <c r="M435" s="1" t="s">
        <v>74</v>
      </c>
      <c r="N435" s="1" t="s">
        <v>74</v>
      </c>
      <c r="O435" s="1" t="s">
        <v>74</v>
      </c>
      <c r="P435" s="1" t="s">
        <v>74</v>
      </c>
      <c r="Q435" s="1" t="s">
        <v>74</v>
      </c>
      <c r="R435" s="1" t="s">
        <v>74</v>
      </c>
      <c r="S435" s="1" t="s">
        <v>74</v>
      </c>
      <c r="T435" s="1" t="s">
        <v>74</v>
      </c>
      <c r="U435" s="1" t="s">
        <v>74</v>
      </c>
      <c r="V435" s="1" t="s">
        <v>4431</v>
      </c>
      <c r="W435" s="1" t="s">
        <v>74</v>
      </c>
      <c r="X435" s="1" t="s">
        <v>74</v>
      </c>
      <c r="Y435" s="1" t="s">
        <v>74</v>
      </c>
      <c r="Z435" s="1" t="s">
        <v>74</v>
      </c>
      <c r="AA435" s="1" t="s">
        <v>4432</v>
      </c>
      <c r="AB435" s="1" t="s">
        <v>4433</v>
      </c>
      <c r="AC435" s="1" t="s">
        <v>74</v>
      </c>
      <c r="AD435" s="1" t="s">
        <v>74</v>
      </c>
      <c r="AE435" s="1" t="s">
        <v>74</v>
      </c>
      <c r="AF435" s="1" t="s">
        <v>74</v>
      </c>
      <c r="AG435" s="1" t="s">
        <v>74</v>
      </c>
      <c r="AH435" s="1" t="s">
        <v>74</v>
      </c>
      <c r="AI435" s="1" t="s">
        <v>74</v>
      </c>
      <c r="AJ435" s="1" t="s">
        <v>74</v>
      </c>
      <c r="AK435" s="1" t="s">
        <v>74</v>
      </c>
      <c r="AL435" s="1" t="s">
        <v>74</v>
      </c>
      <c r="AM435" s="1" t="s">
        <v>74</v>
      </c>
      <c r="AN435" s="1" t="s">
        <v>74</v>
      </c>
      <c r="AO435" s="1" t="s">
        <v>1400</v>
      </c>
      <c r="AP435" s="1" t="s">
        <v>1401</v>
      </c>
      <c r="AQ435" s="1" t="s">
        <v>74</v>
      </c>
      <c r="AR435" s="1" t="s">
        <v>74</v>
      </c>
      <c r="AS435" s="1" t="s">
        <v>74</v>
      </c>
      <c r="AT435" s="1" t="s">
        <v>180</v>
      </c>
      <c r="AU435" s="1">
        <v>2021.0</v>
      </c>
      <c r="AV435" s="1">
        <v>81.0</v>
      </c>
      <c r="AW435" s="1">
        <v>5.0</v>
      </c>
      <c r="AX435" s="1" t="s">
        <v>74</v>
      </c>
      <c r="AY435" s="1" t="s">
        <v>74</v>
      </c>
      <c r="AZ435" s="1" t="s">
        <v>74</v>
      </c>
      <c r="BA435" s="1" t="s">
        <v>74</v>
      </c>
      <c r="BB435" s="1" t="s">
        <v>74</v>
      </c>
      <c r="BC435" s="1" t="s">
        <v>74</v>
      </c>
      <c r="BD435" s="1">
        <v>414.0</v>
      </c>
      <c r="BE435" s="1" t="s">
        <v>4434</v>
      </c>
      <c r="BF435" s="2" t="str">
        <f>HYPERLINK("http://dx.doi.org/10.1140/epjc/s10052-021-09185-7","http://dx.doi.org/10.1140/epjc/s10052-021-09185-7")</f>
        <v>http://dx.doi.org/10.1140/epjc/s10052-021-09185-7</v>
      </c>
      <c r="BG435" s="1" t="s">
        <v>74</v>
      </c>
      <c r="BH435" s="1" t="s">
        <v>74</v>
      </c>
      <c r="BI435" s="1" t="s">
        <v>74</v>
      </c>
      <c r="BJ435" s="1" t="s">
        <v>74</v>
      </c>
      <c r="BK435" s="1" t="s">
        <v>74</v>
      </c>
      <c r="BL435" s="1" t="s">
        <v>74</v>
      </c>
      <c r="BM435" s="1" t="s">
        <v>74</v>
      </c>
      <c r="BN435" s="1" t="s">
        <v>74</v>
      </c>
      <c r="BO435" s="1" t="s">
        <v>74</v>
      </c>
      <c r="BP435" s="1" t="s">
        <v>74</v>
      </c>
      <c r="BQ435" s="1" t="s">
        <v>74</v>
      </c>
      <c r="BR435" s="1" t="s">
        <v>74</v>
      </c>
      <c r="BS435" s="1" t="s">
        <v>4435</v>
      </c>
      <c r="BT435" s="1" t="str">
        <f>HYPERLINK("https%3A%2F%2Fwww.webofscience.com%2Fwos%2Fwoscc%2Ffull-record%2FWOS:000667202300001","View Full Record in Web of Science")</f>
        <v>View Full Record in Web of Science</v>
      </c>
    </row>
    <row r="436" ht="12.75" customHeight="1">
      <c r="A436" s="1" t="s">
        <v>72</v>
      </c>
      <c r="B436" s="1" t="s">
        <v>4436</v>
      </c>
      <c r="C436" s="1" t="s">
        <v>74</v>
      </c>
      <c r="D436" s="1" t="s">
        <v>74</v>
      </c>
      <c r="E436" s="1" t="s">
        <v>74</v>
      </c>
      <c r="F436" s="1" t="s">
        <v>4437</v>
      </c>
      <c r="G436" s="1" t="s">
        <v>74</v>
      </c>
      <c r="H436" s="1" t="s">
        <v>74</v>
      </c>
      <c r="I436" s="1" t="s">
        <v>4438</v>
      </c>
      <c r="J436" s="1" t="s">
        <v>4439</v>
      </c>
      <c r="K436" s="1" t="s">
        <v>74</v>
      </c>
      <c r="L436" s="1" t="s">
        <v>74</v>
      </c>
      <c r="M436" s="1" t="s">
        <v>74</v>
      </c>
      <c r="N436" s="1" t="s">
        <v>74</v>
      </c>
      <c r="O436" s="1" t="s">
        <v>74</v>
      </c>
      <c r="P436" s="1" t="s">
        <v>74</v>
      </c>
      <c r="Q436" s="1" t="s">
        <v>74</v>
      </c>
      <c r="R436" s="1" t="s">
        <v>74</v>
      </c>
      <c r="S436" s="1" t="s">
        <v>74</v>
      </c>
      <c r="T436" s="1" t="s">
        <v>74</v>
      </c>
      <c r="U436" s="1" t="s">
        <v>74</v>
      </c>
      <c r="V436" s="1" t="s">
        <v>4440</v>
      </c>
      <c r="W436" s="1" t="s">
        <v>74</v>
      </c>
      <c r="X436" s="1" t="s">
        <v>74</v>
      </c>
      <c r="Y436" s="1" t="s">
        <v>74</v>
      </c>
      <c r="Z436" s="1" t="s">
        <v>74</v>
      </c>
      <c r="AA436" s="1" t="s">
        <v>74</v>
      </c>
      <c r="AB436" s="1" t="s">
        <v>4441</v>
      </c>
      <c r="AC436" s="1" t="s">
        <v>74</v>
      </c>
      <c r="AD436" s="1" t="s">
        <v>74</v>
      </c>
      <c r="AE436" s="1" t="s">
        <v>74</v>
      </c>
      <c r="AF436" s="1" t="s">
        <v>74</v>
      </c>
      <c r="AG436" s="1" t="s">
        <v>74</v>
      </c>
      <c r="AH436" s="1" t="s">
        <v>74</v>
      </c>
      <c r="AI436" s="1" t="s">
        <v>74</v>
      </c>
      <c r="AJ436" s="1" t="s">
        <v>74</v>
      </c>
      <c r="AK436" s="1" t="s">
        <v>74</v>
      </c>
      <c r="AL436" s="1" t="s">
        <v>74</v>
      </c>
      <c r="AM436" s="1" t="s">
        <v>74</v>
      </c>
      <c r="AN436" s="1" t="s">
        <v>74</v>
      </c>
      <c r="AO436" s="1" t="s">
        <v>4442</v>
      </c>
      <c r="AP436" s="1" t="s">
        <v>74</v>
      </c>
      <c r="AQ436" s="1" t="s">
        <v>74</v>
      </c>
      <c r="AR436" s="1" t="s">
        <v>74</v>
      </c>
      <c r="AS436" s="1" t="s">
        <v>74</v>
      </c>
      <c r="AT436" s="1" t="s">
        <v>74</v>
      </c>
      <c r="AU436" s="1">
        <v>2021.0</v>
      </c>
      <c r="AV436" s="1">
        <v>28.0</v>
      </c>
      <c r="AW436" s="1">
        <v>2.0</v>
      </c>
      <c r="AX436" s="1" t="s">
        <v>74</v>
      </c>
      <c r="AY436" s="1" t="s">
        <v>74</v>
      </c>
      <c r="AZ436" s="1" t="s">
        <v>74</v>
      </c>
      <c r="BA436" s="1" t="s">
        <v>74</v>
      </c>
      <c r="BB436" s="1">
        <v>329.0</v>
      </c>
      <c r="BC436" s="1">
        <v>352.0</v>
      </c>
      <c r="BD436" s="1" t="s">
        <v>74</v>
      </c>
      <c r="BE436" s="1" t="s">
        <v>74</v>
      </c>
      <c r="BF436" s="1" t="s">
        <v>74</v>
      </c>
      <c r="BG436" s="1" t="s">
        <v>74</v>
      </c>
      <c r="BH436" s="1" t="s">
        <v>74</v>
      </c>
      <c r="BI436" s="1" t="s">
        <v>74</v>
      </c>
      <c r="BJ436" s="1" t="s">
        <v>74</v>
      </c>
      <c r="BK436" s="1" t="s">
        <v>74</v>
      </c>
      <c r="BL436" s="1" t="s">
        <v>74</v>
      </c>
      <c r="BM436" s="1" t="s">
        <v>74</v>
      </c>
      <c r="BN436" s="1" t="s">
        <v>74</v>
      </c>
      <c r="BO436" s="1" t="s">
        <v>74</v>
      </c>
      <c r="BP436" s="1" t="s">
        <v>74</v>
      </c>
      <c r="BQ436" s="1" t="s">
        <v>74</v>
      </c>
      <c r="BR436" s="1" t="s">
        <v>74</v>
      </c>
      <c r="BS436" s="1" t="s">
        <v>4443</v>
      </c>
      <c r="BT436" s="1" t="str">
        <f>HYPERLINK("https%3A%2F%2Fwww.webofscience.com%2Fwos%2Fwoscc%2Ffull-record%2FWOS:000661128900003","View Full Record in Web of Science")</f>
        <v>View Full Record in Web of Science</v>
      </c>
    </row>
    <row r="437" ht="12.75" customHeight="1">
      <c r="A437" s="1" t="s">
        <v>182</v>
      </c>
      <c r="B437" s="1" t="s">
        <v>4444</v>
      </c>
      <c r="C437" s="1" t="s">
        <v>74</v>
      </c>
      <c r="D437" s="1" t="s">
        <v>74</v>
      </c>
      <c r="E437" s="1" t="s">
        <v>184</v>
      </c>
      <c r="F437" s="1" t="s">
        <v>4445</v>
      </c>
      <c r="G437" s="1" t="s">
        <v>74</v>
      </c>
      <c r="H437" s="1" t="s">
        <v>74</v>
      </c>
      <c r="I437" s="1" t="s">
        <v>4446</v>
      </c>
      <c r="J437" s="1" t="s">
        <v>2270</v>
      </c>
      <c r="K437" s="1" t="s">
        <v>74</v>
      </c>
      <c r="L437" s="1" t="s">
        <v>74</v>
      </c>
      <c r="M437" s="1" t="s">
        <v>74</v>
      </c>
      <c r="N437" s="1" t="s">
        <v>74</v>
      </c>
      <c r="O437" s="1" t="s">
        <v>2271</v>
      </c>
      <c r="P437" s="1" t="s">
        <v>2272</v>
      </c>
      <c r="Q437" s="1" t="s">
        <v>2273</v>
      </c>
      <c r="R437" s="1" t="s">
        <v>2274</v>
      </c>
      <c r="S437" s="1" t="s">
        <v>74</v>
      </c>
      <c r="T437" s="1" t="s">
        <v>74</v>
      </c>
      <c r="U437" s="1" t="s">
        <v>74</v>
      </c>
      <c r="V437" s="1" t="s">
        <v>4447</v>
      </c>
      <c r="W437" s="1" t="s">
        <v>74</v>
      </c>
      <c r="X437" s="1" t="s">
        <v>74</v>
      </c>
      <c r="Y437" s="1" t="s">
        <v>74</v>
      </c>
      <c r="Z437" s="1" t="s">
        <v>74</v>
      </c>
      <c r="AA437" s="1" t="s">
        <v>74</v>
      </c>
      <c r="AB437" s="1" t="s">
        <v>4448</v>
      </c>
      <c r="AC437" s="1" t="s">
        <v>74</v>
      </c>
      <c r="AD437" s="1" t="s">
        <v>74</v>
      </c>
      <c r="AE437" s="1" t="s">
        <v>74</v>
      </c>
      <c r="AF437" s="1" t="s">
        <v>74</v>
      </c>
      <c r="AG437" s="1" t="s">
        <v>74</v>
      </c>
      <c r="AH437" s="1" t="s">
        <v>74</v>
      </c>
      <c r="AI437" s="1" t="s">
        <v>74</v>
      </c>
      <c r="AJ437" s="1" t="s">
        <v>74</v>
      </c>
      <c r="AK437" s="1" t="s">
        <v>74</v>
      </c>
      <c r="AL437" s="1" t="s">
        <v>74</v>
      </c>
      <c r="AM437" s="1" t="s">
        <v>74</v>
      </c>
      <c r="AN437" s="1" t="s">
        <v>74</v>
      </c>
      <c r="AO437" s="1" t="s">
        <v>74</v>
      </c>
      <c r="AP437" s="1" t="s">
        <v>74</v>
      </c>
      <c r="AQ437" s="1" t="s">
        <v>2278</v>
      </c>
      <c r="AR437" s="1" t="s">
        <v>74</v>
      </c>
      <c r="AS437" s="1" t="s">
        <v>74</v>
      </c>
      <c r="AT437" s="1" t="s">
        <v>74</v>
      </c>
      <c r="AU437" s="1">
        <v>2021.0</v>
      </c>
      <c r="AV437" s="1" t="s">
        <v>74</v>
      </c>
      <c r="AW437" s="1" t="s">
        <v>74</v>
      </c>
      <c r="AX437" s="1" t="s">
        <v>74</v>
      </c>
      <c r="AY437" s="1" t="s">
        <v>74</v>
      </c>
      <c r="AZ437" s="1" t="s">
        <v>74</v>
      </c>
      <c r="BA437" s="1" t="s">
        <v>74</v>
      </c>
      <c r="BB437" s="1">
        <v>84.0</v>
      </c>
      <c r="BC437" s="1">
        <v>89.0</v>
      </c>
      <c r="BD437" s="1" t="s">
        <v>74</v>
      </c>
      <c r="BE437" s="1" t="s">
        <v>4449</v>
      </c>
      <c r="BF437" s="2" t="str">
        <f>HYPERLINK("http://dx.doi.org/10.1109/SACVLC53127.2021.9652358","http://dx.doi.org/10.1109/SACVLC53127.2021.9652358")</f>
        <v>http://dx.doi.org/10.1109/SACVLC53127.2021.9652358</v>
      </c>
      <c r="BG437" s="1" t="s">
        <v>74</v>
      </c>
      <c r="BH437" s="1" t="s">
        <v>74</v>
      </c>
      <c r="BI437" s="1" t="s">
        <v>74</v>
      </c>
      <c r="BJ437" s="1" t="s">
        <v>74</v>
      </c>
      <c r="BK437" s="1" t="s">
        <v>74</v>
      </c>
      <c r="BL437" s="1" t="s">
        <v>74</v>
      </c>
      <c r="BM437" s="1" t="s">
        <v>74</v>
      </c>
      <c r="BN437" s="1" t="s">
        <v>74</v>
      </c>
      <c r="BO437" s="1" t="s">
        <v>74</v>
      </c>
      <c r="BP437" s="1" t="s">
        <v>74</v>
      </c>
      <c r="BQ437" s="1" t="s">
        <v>74</v>
      </c>
      <c r="BR437" s="1" t="s">
        <v>74</v>
      </c>
      <c r="BS437" s="1" t="s">
        <v>4450</v>
      </c>
      <c r="BT437" s="1" t="str">
        <f>HYPERLINK("https%3A%2F%2Fwww.webofscience.com%2Fwos%2Fwoscc%2Ffull-record%2FWOS:000760247000015","View Full Record in Web of Science")</f>
        <v>View Full Record in Web of Science</v>
      </c>
    </row>
    <row r="438" ht="12.75" customHeight="1">
      <c r="A438" s="1" t="s">
        <v>72</v>
      </c>
      <c r="B438" s="1" t="s">
        <v>4451</v>
      </c>
      <c r="C438" s="1" t="s">
        <v>74</v>
      </c>
      <c r="D438" s="1" t="s">
        <v>74</v>
      </c>
      <c r="E438" s="1" t="s">
        <v>74</v>
      </c>
      <c r="F438" s="1" t="s">
        <v>4452</v>
      </c>
      <c r="G438" s="1" t="s">
        <v>74</v>
      </c>
      <c r="H438" s="1" t="s">
        <v>74</v>
      </c>
      <c r="I438" s="1" t="s">
        <v>4453</v>
      </c>
      <c r="J438" s="1" t="s">
        <v>3587</v>
      </c>
      <c r="K438" s="1" t="s">
        <v>74</v>
      </c>
      <c r="L438" s="1" t="s">
        <v>74</v>
      </c>
      <c r="M438" s="1" t="s">
        <v>74</v>
      </c>
      <c r="N438" s="1" t="s">
        <v>74</v>
      </c>
      <c r="O438" s="1" t="s">
        <v>74</v>
      </c>
      <c r="P438" s="1" t="s">
        <v>74</v>
      </c>
      <c r="Q438" s="1" t="s">
        <v>74</v>
      </c>
      <c r="R438" s="1" t="s">
        <v>74</v>
      </c>
      <c r="S438" s="1" t="s">
        <v>74</v>
      </c>
      <c r="T438" s="1" t="s">
        <v>74</v>
      </c>
      <c r="U438" s="1" t="s">
        <v>74</v>
      </c>
      <c r="V438" s="1" t="s">
        <v>4454</v>
      </c>
      <c r="W438" s="1" t="s">
        <v>74</v>
      </c>
      <c r="X438" s="1" t="s">
        <v>74</v>
      </c>
      <c r="Y438" s="1" t="s">
        <v>74</v>
      </c>
      <c r="Z438" s="1" t="s">
        <v>74</v>
      </c>
      <c r="AA438" s="1" t="s">
        <v>4455</v>
      </c>
      <c r="AB438" s="1" t="s">
        <v>4456</v>
      </c>
      <c r="AC438" s="1" t="s">
        <v>74</v>
      </c>
      <c r="AD438" s="1" t="s">
        <v>74</v>
      </c>
      <c r="AE438" s="1" t="s">
        <v>74</v>
      </c>
      <c r="AF438" s="1" t="s">
        <v>74</v>
      </c>
      <c r="AG438" s="1" t="s">
        <v>74</v>
      </c>
      <c r="AH438" s="1" t="s">
        <v>74</v>
      </c>
      <c r="AI438" s="1" t="s">
        <v>74</v>
      </c>
      <c r="AJ438" s="1" t="s">
        <v>74</v>
      </c>
      <c r="AK438" s="1" t="s">
        <v>74</v>
      </c>
      <c r="AL438" s="1" t="s">
        <v>74</v>
      </c>
      <c r="AM438" s="1" t="s">
        <v>74</v>
      </c>
      <c r="AN438" s="1" t="s">
        <v>74</v>
      </c>
      <c r="AO438" s="1" t="s">
        <v>3591</v>
      </c>
      <c r="AP438" s="1" t="s">
        <v>3592</v>
      </c>
      <c r="AQ438" s="1" t="s">
        <v>74</v>
      </c>
      <c r="AR438" s="1" t="s">
        <v>74</v>
      </c>
      <c r="AS438" s="1" t="s">
        <v>74</v>
      </c>
      <c r="AT438" s="1" t="s">
        <v>652</v>
      </c>
      <c r="AU438" s="1">
        <v>2020.0</v>
      </c>
      <c r="AV438" s="1">
        <v>111.0</v>
      </c>
      <c r="AW438" s="1" t="s">
        <v>2031</v>
      </c>
      <c r="AX438" s="1" t="s">
        <v>74</v>
      </c>
      <c r="AY438" s="1" t="s">
        <v>74</v>
      </c>
      <c r="AZ438" s="1" t="s">
        <v>74</v>
      </c>
      <c r="BA438" s="1" t="s">
        <v>74</v>
      </c>
      <c r="BB438" s="1">
        <v>2243.0</v>
      </c>
      <c r="BC438" s="1">
        <v>2257.0</v>
      </c>
      <c r="BD438" s="1" t="s">
        <v>74</v>
      </c>
      <c r="BE438" s="1" t="s">
        <v>4457</v>
      </c>
      <c r="BF438" s="2" t="str">
        <f>HYPERLINK("http://dx.doi.org/10.1007/s00170-020-06228-3","http://dx.doi.org/10.1007/s00170-020-06228-3")</f>
        <v>http://dx.doi.org/10.1007/s00170-020-06228-3</v>
      </c>
      <c r="BG438" s="1" t="s">
        <v>74</v>
      </c>
      <c r="BH438" s="1" t="s">
        <v>4458</v>
      </c>
      <c r="BI438" s="1" t="s">
        <v>74</v>
      </c>
      <c r="BJ438" s="1" t="s">
        <v>74</v>
      </c>
      <c r="BK438" s="1" t="s">
        <v>74</v>
      </c>
      <c r="BL438" s="1" t="s">
        <v>74</v>
      </c>
      <c r="BM438" s="1" t="s">
        <v>74</v>
      </c>
      <c r="BN438" s="1" t="s">
        <v>74</v>
      </c>
      <c r="BO438" s="1" t="s">
        <v>74</v>
      </c>
      <c r="BP438" s="1" t="s">
        <v>74</v>
      </c>
      <c r="BQ438" s="1" t="s">
        <v>74</v>
      </c>
      <c r="BR438" s="1" t="s">
        <v>74</v>
      </c>
      <c r="BS438" s="1" t="s">
        <v>4459</v>
      </c>
      <c r="BT438" s="1" t="str">
        <f>HYPERLINK("https%3A%2F%2Fwww.webofscience.com%2Fwos%2Fwoscc%2Ffull-record%2FWOS:000582423300001","View Full Record in Web of Science")</f>
        <v>View Full Record in Web of Science</v>
      </c>
    </row>
    <row r="439" ht="12.75" customHeight="1">
      <c r="A439" s="1" t="s">
        <v>72</v>
      </c>
      <c r="B439" s="1" t="s">
        <v>4460</v>
      </c>
      <c r="C439" s="1" t="s">
        <v>74</v>
      </c>
      <c r="D439" s="1" t="s">
        <v>74</v>
      </c>
      <c r="E439" s="1" t="s">
        <v>74</v>
      </c>
      <c r="F439" s="1" t="s">
        <v>4461</v>
      </c>
      <c r="G439" s="1" t="s">
        <v>74</v>
      </c>
      <c r="H439" s="1" t="s">
        <v>74</v>
      </c>
      <c r="I439" s="1" t="s">
        <v>4462</v>
      </c>
      <c r="J439" s="1" t="s">
        <v>4463</v>
      </c>
      <c r="K439" s="1" t="s">
        <v>74</v>
      </c>
      <c r="L439" s="1" t="s">
        <v>74</v>
      </c>
      <c r="M439" s="1" t="s">
        <v>74</v>
      </c>
      <c r="N439" s="1" t="s">
        <v>74</v>
      </c>
      <c r="O439" s="1" t="s">
        <v>74</v>
      </c>
      <c r="P439" s="1" t="s">
        <v>74</v>
      </c>
      <c r="Q439" s="1" t="s">
        <v>74</v>
      </c>
      <c r="R439" s="1" t="s">
        <v>74</v>
      </c>
      <c r="S439" s="1" t="s">
        <v>74</v>
      </c>
      <c r="T439" s="1" t="s">
        <v>74</v>
      </c>
      <c r="U439" s="1" t="s">
        <v>74</v>
      </c>
      <c r="V439" s="1" t="s">
        <v>4464</v>
      </c>
      <c r="W439" s="1" t="s">
        <v>74</v>
      </c>
      <c r="X439" s="1" t="s">
        <v>74</v>
      </c>
      <c r="Y439" s="1" t="s">
        <v>74</v>
      </c>
      <c r="Z439" s="1" t="s">
        <v>74</v>
      </c>
      <c r="AA439" s="1" t="s">
        <v>4465</v>
      </c>
      <c r="AB439" s="1" t="s">
        <v>4466</v>
      </c>
      <c r="AC439" s="1" t="s">
        <v>74</v>
      </c>
      <c r="AD439" s="1" t="s">
        <v>74</v>
      </c>
      <c r="AE439" s="1" t="s">
        <v>74</v>
      </c>
      <c r="AF439" s="1" t="s">
        <v>74</v>
      </c>
      <c r="AG439" s="1" t="s">
        <v>74</v>
      </c>
      <c r="AH439" s="1" t="s">
        <v>74</v>
      </c>
      <c r="AI439" s="1" t="s">
        <v>74</v>
      </c>
      <c r="AJ439" s="1" t="s">
        <v>74</v>
      </c>
      <c r="AK439" s="1" t="s">
        <v>74</v>
      </c>
      <c r="AL439" s="1" t="s">
        <v>74</v>
      </c>
      <c r="AM439" s="1" t="s">
        <v>74</v>
      </c>
      <c r="AN439" s="1" t="s">
        <v>74</v>
      </c>
      <c r="AO439" s="1" t="s">
        <v>4467</v>
      </c>
      <c r="AP439" s="1" t="s">
        <v>4468</v>
      </c>
      <c r="AQ439" s="1" t="s">
        <v>74</v>
      </c>
      <c r="AR439" s="1" t="s">
        <v>74</v>
      </c>
      <c r="AS439" s="1" t="s">
        <v>74</v>
      </c>
      <c r="AT439" s="1" t="s">
        <v>606</v>
      </c>
      <c r="AU439" s="1">
        <v>2020.0</v>
      </c>
      <c r="AV439" s="1">
        <v>108.0</v>
      </c>
      <c r="AW439" s="1">
        <v>10.0</v>
      </c>
      <c r="AX439" s="1" t="s">
        <v>74</v>
      </c>
      <c r="AY439" s="1" t="s">
        <v>74</v>
      </c>
      <c r="AZ439" s="1" t="s">
        <v>74</v>
      </c>
      <c r="BA439" s="1" t="s">
        <v>74</v>
      </c>
      <c r="BB439" s="1">
        <v>2032.0</v>
      </c>
      <c r="BC439" s="1">
        <v>2043.0</v>
      </c>
      <c r="BD439" s="1" t="s">
        <v>74</v>
      </c>
      <c r="BE439" s="1" t="s">
        <v>4469</v>
      </c>
      <c r="BF439" s="2" t="str">
        <f>HYPERLINK("http://dx.doi.org/10.1002/jbm.a.36963","http://dx.doi.org/10.1002/jbm.a.36963")</f>
        <v>http://dx.doi.org/10.1002/jbm.a.36963</v>
      </c>
      <c r="BG439" s="1" t="s">
        <v>74</v>
      </c>
      <c r="BH439" s="1" t="s">
        <v>4470</v>
      </c>
      <c r="BI439" s="1" t="s">
        <v>74</v>
      </c>
      <c r="BJ439" s="1" t="s">
        <v>74</v>
      </c>
      <c r="BK439" s="1" t="s">
        <v>74</v>
      </c>
      <c r="BL439" s="1" t="s">
        <v>74</v>
      </c>
      <c r="BM439" s="1" t="s">
        <v>74</v>
      </c>
      <c r="BN439" s="1">
        <v>3.2333463E7</v>
      </c>
      <c r="BO439" s="1" t="s">
        <v>74</v>
      </c>
      <c r="BP439" s="1" t="s">
        <v>74</v>
      </c>
      <c r="BQ439" s="1" t="s">
        <v>74</v>
      </c>
      <c r="BR439" s="1" t="s">
        <v>74</v>
      </c>
      <c r="BS439" s="1" t="s">
        <v>4471</v>
      </c>
      <c r="BT439" s="1" t="str">
        <f>HYPERLINK("https%3A%2F%2Fwww.webofscience.com%2Fwos%2Fwoscc%2Ffull-record%2FWOS:000541261000001","View Full Record in Web of Science")</f>
        <v>View Full Record in Web of Science</v>
      </c>
    </row>
    <row r="440" ht="12.75" customHeight="1">
      <c r="A440" s="1" t="s">
        <v>72</v>
      </c>
      <c r="B440" s="1" t="s">
        <v>4472</v>
      </c>
      <c r="C440" s="1" t="s">
        <v>74</v>
      </c>
      <c r="D440" s="1" t="s">
        <v>74</v>
      </c>
      <c r="E440" s="1" t="s">
        <v>74</v>
      </c>
      <c r="F440" s="1" t="s">
        <v>4473</v>
      </c>
      <c r="G440" s="1" t="s">
        <v>74</v>
      </c>
      <c r="H440" s="1" t="s">
        <v>74</v>
      </c>
      <c r="I440" s="1" t="s">
        <v>4474</v>
      </c>
      <c r="J440" s="1" t="s">
        <v>4475</v>
      </c>
      <c r="K440" s="1" t="s">
        <v>74</v>
      </c>
      <c r="L440" s="1" t="s">
        <v>74</v>
      </c>
      <c r="M440" s="1" t="s">
        <v>74</v>
      </c>
      <c r="N440" s="1" t="s">
        <v>74</v>
      </c>
      <c r="O440" s="1" t="s">
        <v>74</v>
      </c>
      <c r="P440" s="1" t="s">
        <v>74</v>
      </c>
      <c r="Q440" s="1" t="s">
        <v>74</v>
      </c>
      <c r="R440" s="1" t="s">
        <v>74</v>
      </c>
      <c r="S440" s="1" t="s">
        <v>74</v>
      </c>
      <c r="T440" s="1" t="s">
        <v>74</v>
      </c>
      <c r="U440" s="1" t="s">
        <v>74</v>
      </c>
      <c r="V440" s="1" t="s">
        <v>4476</v>
      </c>
      <c r="W440" s="1" t="s">
        <v>74</v>
      </c>
      <c r="X440" s="1" t="s">
        <v>74</v>
      </c>
      <c r="Y440" s="1" t="s">
        <v>74</v>
      </c>
      <c r="Z440" s="1" t="s">
        <v>74</v>
      </c>
      <c r="AA440" s="1" t="s">
        <v>4477</v>
      </c>
      <c r="AB440" s="1" t="s">
        <v>4478</v>
      </c>
      <c r="AC440" s="1" t="s">
        <v>74</v>
      </c>
      <c r="AD440" s="1" t="s">
        <v>74</v>
      </c>
      <c r="AE440" s="1" t="s">
        <v>74</v>
      </c>
      <c r="AF440" s="1" t="s">
        <v>74</v>
      </c>
      <c r="AG440" s="1" t="s">
        <v>74</v>
      </c>
      <c r="AH440" s="1" t="s">
        <v>74</v>
      </c>
      <c r="AI440" s="1" t="s">
        <v>74</v>
      </c>
      <c r="AJ440" s="1" t="s">
        <v>74</v>
      </c>
      <c r="AK440" s="1" t="s">
        <v>74</v>
      </c>
      <c r="AL440" s="1" t="s">
        <v>74</v>
      </c>
      <c r="AM440" s="1" t="s">
        <v>74</v>
      </c>
      <c r="AN440" s="1" t="s">
        <v>74</v>
      </c>
      <c r="AO440" s="1" t="s">
        <v>4479</v>
      </c>
      <c r="AP440" s="1" t="s">
        <v>74</v>
      </c>
      <c r="AQ440" s="1" t="s">
        <v>74</v>
      </c>
      <c r="AR440" s="1" t="s">
        <v>74</v>
      </c>
      <c r="AS440" s="1" t="s">
        <v>74</v>
      </c>
      <c r="AT440" s="1" t="s">
        <v>4480</v>
      </c>
      <c r="AU440" s="1">
        <v>2020.0</v>
      </c>
      <c r="AV440" s="1">
        <v>8.0</v>
      </c>
      <c r="AW440" s="1" t="s">
        <v>74</v>
      </c>
      <c r="AX440" s="1" t="s">
        <v>74</v>
      </c>
      <c r="AY440" s="1" t="s">
        <v>74</v>
      </c>
      <c r="AZ440" s="1" t="s">
        <v>74</v>
      </c>
      <c r="BA440" s="1" t="s">
        <v>74</v>
      </c>
      <c r="BB440" s="1" t="s">
        <v>74</v>
      </c>
      <c r="BC440" s="1" t="s">
        <v>74</v>
      </c>
      <c r="BD440" s="1" t="s">
        <v>4481</v>
      </c>
      <c r="BE440" s="1" t="s">
        <v>4482</v>
      </c>
      <c r="BF440" s="2" t="str">
        <f>HYPERLINK("http://dx.doi.org/10.7717/peerj.8862","http://dx.doi.org/10.7717/peerj.8862")</f>
        <v>http://dx.doi.org/10.7717/peerj.8862</v>
      </c>
      <c r="BG440" s="1" t="s">
        <v>74</v>
      </c>
      <c r="BH440" s="1" t="s">
        <v>74</v>
      </c>
      <c r="BI440" s="1" t="s">
        <v>74</v>
      </c>
      <c r="BJ440" s="1" t="s">
        <v>74</v>
      </c>
      <c r="BK440" s="1" t="s">
        <v>74</v>
      </c>
      <c r="BL440" s="1" t="s">
        <v>74</v>
      </c>
      <c r="BM440" s="1" t="s">
        <v>74</v>
      </c>
      <c r="BN440" s="1">
        <v>3.2266122E7</v>
      </c>
      <c r="BO440" s="1" t="s">
        <v>74</v>
      </c>
      <c r="BP440" s="1" t="s">
        <v>74</v>
      </c>
      <c r="BQ440" s="1" t="s">
        <v>74</v>
      </c>
      <c r="BR440" s="1" t="s">
        <v>74</v>
      </c>
      <c r="BS440" s="1" t="s">
        <v>4483</v>
      </c>
      <c r="BT440" s="1" t="str">
        <f>HYPERLINK("https%3A%2F%2Fwww.webofscience.com%2Fwos%2Fwoscc%2Ffull-record%2FWOS:000522526500008","View Full Record in Web of Science")</f>
        <v>View Full Record in Web of Science</v>
      </c>
    </row>
    <row r="441" ht="12.75" customHeight="1">
      <c r="A441" s="1" t="s">
        <v>72</v>
      </c>
      <c r="B441" s="1" t="s">
        <v>4484</v>
      </c>
      <c r="C441" s="1" t="s">
        <v>74</v>
      </c>
      <c r="D441" s="1" t="s">
        <v>74</v>
      </c>
      <c r="E441" s="1" t="s">
        <v>74</v>
      </c>
      <c r="F441" s="1" t="s">
        <v>4485</v>
      </c>
      <c r="G441" s="1" t="s">
        <v>74</v>
      </c>
      <c r="H441" s="1" t="s">
        <v>74</v>
      </c>
      <c r="I441" s="1" t="s">
        <v>4486</v>
      </c>
      <c r="J441" s="1" t="s">
        <v>4487</v>
      </c>
      <c r="K441" s="1" t="s">
        <v>74</v>
      </c>
      <c r="L441" s="1" t="s">
        <v>74</v>
      </c>
      <c r="M441" s="1" t="s">
        <v>74</v>
      </c>
      <c r="N441" s="1" t="s">
        <v>74</v>
      </c>
      <c r="O441" s="1" t="s">
        <v>74</v>
      </c>
      <c r="P441" s="1" t="s">
        <v>74</v>
      </c>
      <c r="Q441" s="1" t="s">
        <v>74</v>
      </c>
      <c r="R441" s="1" t="s">
        <v>74</v>
      </c>
      <c r="S441" s="1" t="s">
        <v>74</v>
      </c>
      <c r="T441" s="1" t="s">
        <v>74</v>
      </c>
      <c r="U441" s="1" t="s">
        <v>74</v>
      </c>
      <c r="V441" s="1" t="s">
        <v>4488</v>
      </c>
      <c r="W441" s="1" t="s">
        <v>74</v>
      </c>
      <c r="X441" s="1" t="s">
        <v>74</v>
      </c>
      <c r="Y441" s="1" t="s">
        <v>74</v>
      </c>
      <c r="Z441" s="1" t="s">
        <v>74</v>
      </c>
      <c r="AA441" s="1" t="s">
        <v>4489</v>
      </c>
      <c r="AB441" s="1" t="s">
        <v>4490</v>
      </c>
      <c r="AC441" s="1" t="s">
        <v>74</v>
      </c>
      <c r="AD441" s="1" t="s">
        <v>74</v>
      </c>
      <c r="AE441" s="1" t="s">
        <v>74</v>
      </c>
      <c r="AF441" s="1" t="s">
        <v>74</v>
      </c>
      <c r="AG441" s="1" t="s">
        <v>74</v>
      </c>
      <c r="AH441" s="1" t="s">
        <v>74</v>
      </c>
      <c r="AI441" s="1" t="s">
        <v>74</v>
      </c>
      <c r="AJ441" s="1" t="s">
        <v>74</v>
      </c>
      <c r="AK441" s="1" t="s">
        <v>74</v>
      </c>
      <c r="AL441" s="1" t="s">
        <v>74</v>
      </c>
      <c r="AM441" s="1" t="s">
        <v>74</v>
      </c>
      <c r="AN441" s="1" t="s">
        <v>74</v>
      </c>
      <c r="AO441" s="1" t="s">
        <v>4491</v>
      </c>
      <c r="AP441" s="1" t="s">
        <v>4492</v>
      </c>
      <c r="AQ441" s="1" t="s">
        <v>74</v>
      </c>
      <c r="AR441" s="1" t="s">
        <v>74</v>
      </c>
      <c r="AS441" s="1" t="s">
        <v>74</v>
      </c>
      <c r="AT441" s="1" t="s">
        <v>257</v>
      </c>
      <c r="AU441" s="1">
        <v>2020.0</v>
      </c>
      <c r="AV441" s="1">
        <v>35.0</v>
      </c>
      <c r="AW441" s="1">
        <v>3.0</v>
      </c>
      <c r="AX441" s="1" t="s">
        <v>74</v>
      </c>
      <c r="AY441" s="1" t="s">
        <v>74</v>
      </c>
      <c r="AZ441" s="1" t="s">
        <v>74</v>
      </c>
      <c r="BA441" s="1" t="s">
        <v>74</v>
      </c>
      <c r="BB441" s="1">
        <v>621.0</v>
      </c>
      <c r="BC441" s="1">
        <v>638.0</v>
      </c>
      <c r="BD441" s="1" t="s">
        <v>74</v>
      </c>
      <c r="BE441" s="1" t="s">
        <v>4493</v>
      </c>
      <c r="BF441" s="2" t="str">
        <f>HYPERLINK("http://dx.doi.org/10.1007/s10980-019-00966-w","http://dx.doi.org/10.1007/s10980-019-00966-w")</f>
        <v>http://dx.doi.org/10.1007/s10980-019-00966-w</v>
      </c>
      <c r="BG441" s="1" t="s">
        <v>74</v>
      </c>
      <c r="BH441" s="1" t="s">
        <v>74</v>
      </c>
      <c r="BI441" s="1" t="s">
        <v>74</v>
      </c>
      <c r="BJ441" s="1" t="s">
        <v>74</v>
      </c>
      <c r="BK441" s="1" t="s">
        <v>74</v>
      </c>
      <c r="BL441" s="1" t="s">
        <v>74</v>
      </c>
      <c r="BM441" s="1" t="s">
        <v>74</v>
      </c>
      <c r="BN441" s="1" t="s">
        <v>74</v>
      </c>
      <c r="BO441" s="1" t="s">
        <v>74</v>
      </c>
      <c r="BP441" s="1" t="s">
        <v>74</v>
      </c>
      <c r="BQ441" s="1" t="s">
        <v>74</v>
      </c>
      <c r="BR441" s="1" t="s">
        <v>74</v>
      </c>
      <c r="BS441" s="1" t="s">
        <v>4494</v>
      </c>
      <c r="BT441" s="1" t="str">
        <f>HYPERLINK("https%3A%2F%2Fwww.webofscience.com%2Fwos%2Fwoscc%2Ffull-record%2FWOS:000519543400006","View Full Record in Web of Science")</f>
        <v>View Full Record in Web of Science</v>
      </c>
    </row>
    <row r="442" ht="12.75" customHeight="1">
      <c r="A442" s="1" t="s">
        <v>72</v>
      </c>
      <c r="B442" s="1" t="s">
        <v>4495</v>
      </c>
      <c r="C442" s="1" t="s">
        <v>74</v>
      </c>
      <c r="D442" s="1" t="s">
        <v>74</v>
      </c>
      <c r="E442" s="1" t="s">
        <v>74</v>
      </c>
      <c r="F442" s="1" t="s">
        <v>4496</v>
      </c>
      <c r="G442" s="1" t="s">
        <v>74</v>
      </c>
      <c r="H442" s="1" t="s">
        <v>74</v>
      </c>
      <c r="I442" s="1" t="s">
        <v>4497</v>
      </c>
      <c r="J442" s="1" t="s">
        <v>4163</v>
      </c>
      <c r="K442" s="1" t="s">
        <v>74</v>
      </c>
      <c r="L442" s="1" t="s">
        <v>74</v>
      </c>
      <c r="M442" s="1" t="s">
        <v>74</v>
      </c>
      <c r="N442" s="1" t="s">
        <v>74</v>
      </c>
      <c r="O442" s="1" t="s">
        <v>74</v>
      </c>
      <c r="P442" s="1" t="s">
        <v>74</v>
      </c>
      <c r="Q442" s="1" t="s">
        <v>74</v>
      </c>
      <c r="R442" s="1" t="s">
        <v>74</v>
      </c>
      <c r="S442" s="1" t="s">
        <v>74</v>
      </c>
      <c r="T442" s="1" t="s">
        <v>74</v>
      </c>
      <c r="U442" s="1" t="s">
        <v>74</v>
      </c>
      <c r="V442" s="1" t="s">
        <v>4498</v>
      </c>
      <c r="W442" s="1" t="s">
        <v>74</v>
      </c>
      <c r="X442" s="1" t="s">
        <v>74</v>
      </c>
      <c r="Y442" s="1" t="s">
        <v>74</v>
      </c>
      <c r="Z442" s="1" t="s">
        <v>74</v>
      </c>
      <c r="AA442" s="1" t="s">
        <v>4499</v>
      </c>
      <c r="AB442" s="1" t="s">
        <v>4500</v>
      </c>
      <c r="AC442" s="1" t="s">
        <v>74</v>
      </c>
      <c r="AD442" s="1" t="s">
        <v>74</v>
      </c>
      <c r="AE442" s="1" t="s">
        <v>74</v>
      </c>
      <c r="AF442" s="1" t="s">
        <v>74</v>
      </c>
      <c r="AG442" s="1" t="s">
        <v>74</v>
      </c>
      <c r="AH442" s="1" t="s">
        <v>74</v>
      </c>
      <c r="AI442" s="1" t="s">
        <v>74</v>
      </c>
      <c r="AJ442" s="1" t="s">
        <v>74</v>
      </c>
      <c r="AK442" s="1" t="s">
        <v>74</v>
      </c>
      <c r="AL442" s="1" t="s">
        <v>74</v>
      </c>
      <c r="AM442" s="1" t="s">
        <v>74</v>
      </c>
      <c r="AN442" s="1" t="s">
        <v>74</v>
      </c>
      <c r="AO442" s="1" t="s">
        <v>74</v>
      </c>
      <c r="AP442" s="1" t="s">
        <v>4167</v>
      </c>
      <c r="AQ442" s="1" t="s">
        <v>74</v>
      </c>
      <c r="AR442" s="1" t="s">
        <v>74</v>
      </c>
      <c r="AS442" s="1" t="s">
        <v>74</v>
      </c>
      <c r="AT442" s="1" t="s">
        <v>696</v>
      </c>
      <c r="AU442" s="1">
        <v>2020.0</v>
      </c>
      <c r="AV442" s="1">
        <v>25.0</v>
      </c>
      <c r="AW442" s="1">
        <v>1.0</v>
      </c>
      <c r="AX442" s="1" t="s">
        <v>74</v>
      </c>
      <c r="AY442" s="1" t="s">
        <v>74</v>
      </c>
      <c r="AZ442" s="1" t="s">
        <v>74</v>
      </c>
      <c r="BA442" s="1" t="s">
        <v>74</v>
      </c>
      <c r="BB442" s="1" t="s">
        <v>74</v>
      </c>
      <c r="BC442" s="1" t="s">
        <v>74</v>
      </c>
      <c r="BD442" s="1">
        <v>86.0</v>
      </c>
      <c r="BE442" s="1" t="s">
        <v>4501</v>
      </c>
      <c r="BF442" s="2" t="str">
        <f>HYPERLINK("http://dx.doi.org/10.3390/molecules25010086","http://dx.doi.org/10.3390/molecules25010086")</f>
        <v>http://dx.doi.org/10.3390/molecules25010086</v>
      </c>
      <c r="BG442" s="1" t="s">
        <v>74</v>
      </c>
      <c r="BH442" s="1" t="s">
        <v>74</v>
      </c>
      <c r="BI442" s="1" t="s">
        <v>74</v>
      </c>
      <c r="BJ442" s="1" t="s">
        <v>74</v>
      </c>
      <c r="BK442" s="1" t="s">
        <v>74</v>
      </c>
      <c r="BL442" s="1" t="s">
        <v>74</v>
      </c>
      <c r="BM442" s="1" t="s">
        <v>74</v>
      </c>
      <c r="BN442" s="1">
        <v>3.1881683E7</v>
      </c>
      <c r="BO442" s="1" t="s">
        <v>74</v>
      </c>
      <c r="BP442" s="1" t="s">
        <v>74</v>
      </c>
      <c r="BQ442" s="1" t="s">
        <v>74</v>
      </c>
      <c r="BR442" s="1" t="s">
        <v>74</v>
      </c>
      <c r="BS442" s="1" t="s">
        <v>4502</v>
      </c>
      <c r="BT442" s="1" t="str">
        <f>HYPERLINK("https%3A%2F%2Fwww.webofscience.com%2Fwos%2Fwoscc%2Ffull-record%2FWOS:000513770000086","View Full Record in Web of Science")</f>
        <v>View Full Record in Web of Science</v>
      </c>
    </row>
    <row r="443" ht="12.75" customHeight="1">
      <c r="A443" s="1" t="s">
        <v>72</v>
      </c>
      <c r="B443" s="1" t="s">
        <v>4503</v>
      </c>
      <c r="C443" s="1" t="s">
        <v>74</v>
      </c>
      <c r="D443" s="1" t="s">
        <v>74</v>
      </c>
      <c r="E443" s="1" t="s">
        <v>74</v>
      </c>
      <c r="F443" s="1" t="s">
        <v>4504</v>
      </c>
      <c r="G443" s="1" t="s">
        <v>74</v>
      </c>
      <c r="H443" s="1" t="s">
        <v>74</v>
      </c>
      <c r="I443" s="1" t="s">
        <v>4505</v>
      </c>
      <c r="J443" s="1" t="s">
        <v>4506</v>
      </c>
      <c r="K443" s="1" t="s">
        <v>74</v>
      </c>
      <c r="L443" s="1" t="s">
        <v>74</v>
      </c>
      <c r="M443" s="1" t="s">
        <v>74</v>
      </c>
      <c r="N443" s="1" t="s">
        <v>74</v>
      </c>
      <c r="O443" s="1" t="s">
        <v>74</v>
      </c>
      <c r="P443" s="1" t="s">
        <v>74</v>
      </c>
      <c r="Q443" s="1" t="s">
        <v>74</v>
      </c>
      <c r="R443" s="1" t="s">
        <v>74</v>
      </c>
      <c r="S443" s="1" t="s">
        <v>74</v>
      </c>
      <c r="T443" s="1" t="s">
        <v>74</v>
      </c>
      <c r="U443" s="1" t="s">
        <v>74</v>
      </c>
      <c r="V443" s="1" t="s">
        <v>4507</v>
      </c>
      <c r="W443" s="1" t="s">
        <v>74</v>
      </c>
      <c r="X443" s="1" t="s">
        <v>74</v>
      </c>
      <c r="Y443" s="1" t="s">
        <v>74</v>
      </c>
      <c r="Z443" s="1" t="s">
        <v>74</v>
      </c>
      <c r="AA443" s="1" t="s">
        <v>4508</v>
      </c>
      <c r="AB443" s="1" t="s">
        <v>4509</v>
      </c>
      <c r="AC443" s="1" t="s">
        <v>74</v>
      </c>
      <c r="AD443" s="1" t="s">
        <v>74</v>
      </c>
      <c r="AE443" s="1" t="s">
        <v>74</v>
      </c>
      <c r="AF443" s="1" t="s">
        <v>74</v>
      </c>
      <c r="AG443" s="1" t="s">
        <v>74</v>
      </c>
      <c r="AH443" s="1" t="s">
        <v>74</v>
      </c>
      <c r="AI443" s="1" t="s">
        <v>74</v>
      </c>
      <c r="AJ443" s="1" t="s">
        <v>74</v>
      </c>
      <c r="AK443" s="1" t="s">
        <v>74</v>
      </c>
      <c r="AL443" s="1" t="s">
        <v>74</v>
      </c>
      <c r="AM443" s="1" t="s">
        <v>74</v>
      </c>
      <c r="AN443" s="1" t="s">
        <v>74</v>
      </c>
      <c r="AO443" s="1" t="s">
        <v>74</v>
      </c>
      <c r="AP443" s="1" t="s">
        <v>4510</v>
      </c>
      <c r="AQ443" s="1" t="s">
        <v>74</v>
      </c>
      <c r="AR443" s="1" t="s">
        <v>74</v>
      </c>
      <c r="AS443" s="1" t="s">
        <v>74</v>
      </c>
      <c r="AT443" s="1" t="s">
        <v>2976</v>
      </c>
      <c r="AU443" s="1">
        <v>2019.0</v>
      </c>
      <c r="AV443" s="1" t="s">
        <v>74</v>
      </c>
      <c r="AW443" s="1" t="s">
        <v>74</v>
      </c>
      <c r="AX443" s="1" t="s">
        <v>74</v>
      </c>
      <c r="AY443" s="1" t="s">
        <v>74</v>
      </c>
      <c r="AZ443" s="1" t="s">
        <v>74</v>
      </c>
      <c r="BA443" s="1" t="s">
        <v>74</v>
      </c>
      <c r="BB443" s="1" t="s">
        <v>74</v>
      </c>
      <c r="BC443" s="1" t="s">
        <v>74</v>
      </c>
      <c r="BD443" s="1">
        <v>20.0</v>
      </c>
      <c r="BE443" s="1" t="s">
        <v>4511</v>
      </c>
      <c r="BF443" s="2" t="str">
        <f>HYPERLINK("http://dx.doi.org/10.19086/da.11151","http://dx.doi.org/10.19086/da.11151")</f>
        <v>http://dx.doi.org/10.19086/da.11151</v>
      </c>
      <c r="BG443" s="1" t="s">
        <v>74</v>
      </c>
      <c r="BH443" s="1" t="s">
        <v>74</v>
      </c>
      <c r="BI443" s="1" t="s">
        <v>74</v>
      </c>
      <c r="BJ443" s="1" t="s">
        <v>74</v>
      </c>
      <c r="BK443" s="1" t="s">
        <v>74</v>
      </c>
      <c r="BL443" s="1" t="s">
        <v>74</v>
      </c>
      <c r="BM443" s="1" t="s">
        <v>74</v>
      </c>
      <c r="BN443" s="1" t="s">
        <v>74</v>
      </c>
      <c r="BO443" s="1" t="s">
        <v>74</v>
      </c>
      <c r="BP443" s="1" t="s">
        <v>74</v>
      </c>
      <c r="BQ443" s="1" t="s">
        <v>74</v>
      </c>
      <c r="BR443" s="1" t="s">
        <v>74</v>
      </c>
      <c r="BS443" s="1" t="s">
        <v>4512</v>
      </c>
      <c r="BT443" s="1" t="str">
        <f>HYPERLINK("https%3A%2F%2Fwww.webofscience.com%2Fwos%2Fwoscc%2Ffull-record%2FWOS:000508368300001","View Full Record in Web of Science")</f>
        <v>View Full Record in Web of Science</v>
      </c>
    </row>
    <row r="444" ht="12.75" customHeight="1">
      <c r="A444" s="1" t="s">
        <v>72</v>
      </c>
      <c r="B444" s="1" t="s">
        <v>4513</v>
      </c>
      <c r="C444" s="1" t="s">
        <v>74</v>
      </c>
      <c r="D444" s="1" t="s">
        <v>74</v>
      </c>
      <c r="E444" s="1" t="s">
        <v>74</v>
      </c>
      <c r="F444" s="1" t="s">
        <v>4514</v>
      </c>
      <c r="G444" s="1" t="s">
        <v>74</v>
      </c>
      <c r="H444" s="1" t="s">
        <v>74</v>
      </c>
      <c r="I444" s="1" t="s">
        <v>4515</v>
      </c>
      <c r="J444" s="1" t="s">
        <v>4516</v>
      </c>
      <c r="K444" s="1" t="s">
        <v>74</v>
      </c>
      <c r="L444" s="1" t="s">
        <v>74</v>
      </c>
      <c r="M444" s="1" t="s">
        <v>74</v>
      </c>
      <c r="N444" s="1" t="s">
        <v>74</v>
      </c>
      <c r="O444" s="1" t="s">
        <v>74</v>
      </c>
      <c r="P444" s="1" t="s">
        <v>74</v>
      </c>
      <c r="Q444" s="1" t="s">
        <v>74</v>
      </c>
      <c r="R444" s="1" t="s">
        <v>74</v>
      </c>
      <c r="S444" s="1" t="s">
        <v>74</v>
      </c>
      <c r="T444" s="1" t="s">
        <v>74</v>
      </c>
      <c r="U444" s="1" t="s">
        <v>74</v>
      </c>
      <c r="V444" s="1" t="s">
        <v>4517</v>
      </c>
      <c r="W444" s="1" t="s">
        <v>74</v>
      </c>
      <c r="X444" s="1" t="s">
        <v>74</v>
      </c>
      <c r="Y444" s="1" t="s">
        <v>74</v>
      </c>
      <c r="Z444" s="1" t="s">
        <v>74</v>
      </c>
      <c r="AA444" s="1" t="s">
        <v>4518</v>
      </c>
      <c r="AB444" s="1" t="s">
        <v>4519</v>
      </c>
      <c r="AC444" s="1" t="s">
        <v>74</v>
      </c>
      <c r="AD444" s="1" t="s">
        <v>74</v>
      </c>
      <c r="AE444" s="1" t="s">
        <v>74</v>
      </c>
      <c r="AF444" s="1" t="s">
        <v>74</v>
      </c>
      <c r="AG444" s="1" t="s">
        <v>74</v>
      </c>
      <c r="AH444" s="1" t="s">
        <v>74</v>
      </c>
      <c r="AI444" s="1" t="s">
        <v>74</v>
      </c>
      <c r="AJ444" s="1" t="s">
        <v>74</v>
      </c>
      <c r="AK444" s="1" t="s">
        <v>74</v>
      </c>
      <c r="AL444" s="1" t="s">
        <v>74</v>
      </c>
      <c r="AM444" s="1" t="s">
        <v>74</v>
      </c>
      <c r="AN444" s="1" t="s">
        <v>74</v>
      </c>
      <c r="AO444" s="1" t="s">
        <v>4520</v>
      </c>
      <c r="AP444" s="1" t="s">
        <v>4521</v>
      </c>
      <c r="AQ444" s="1" t="s">
        <v>74</v>
      </c>
      <c r="AR444" s="1" t="s">
        <v>74</v>
      </c>
      <c r="AS444" s="1" t="s">
        <v>74</v>
      </c>
      <c r="AT444" s="1" t="s">
        <v>652</v>
      </c>
      <c r="AU444" s="1">
        <v>2019.0</v>
      </c>
      <c r="AV444" s="1">
        <v>106.0</v>
      </c>
      <c r="AW444" s="1" t="s">
        <v>74</v>
      </c>
      <c r="AX444" s="1" t="s">
        <v>74</v>
      </c>
      <c r="AY444" s="1" t="s">
        <v>74</v>
      </c>
      <c r="AZ444" s="1" t="s">
        <v>74</v>
      </c>
      <c r="BA444" s="1" t="s">
        <v>74</v>
      </c>
      <c r="BB444" s="1" t="s">
        <v>74</v>
      </c>
      <c r="BC444" s="1" t="s">
        <v>74</v>
      </c>
      <c r="BD444" s="1">
        <v>106685.0</v>
      </c>
      <c r="BE444" s="1" t="s">
        <v>4522</v>
      </c>
      <c r="BF444" s="2" t="str">
        <f>HYPERLINK("http://dx.doi.org/10.1016/j.foodcont.2019.06.011","http://dx.doi.org/10.1016/j.foodcont.2019.06.011")</f>
        <v>http://dx.doi.org/10.1016/j.foodcont.2019.06.011</v>
      </c>
      <c r="BG444" s="1" t="s">
        <v>74</v>
      </c>
      <c r="BH444" s="1" t="s">
        <v>74</v>
      </c>
      <c r="BI444" s="1" t="s">
        <v>74</v>
      </c>
      <c r="BJ444" s="1" t="s">
        <v>74</v>
      </c>
      <c r="BK444" s="1" t="s">
        <v>74</v>
      </c>
      <c r="BL444" s="1" t="s">
        <v>74</v>
      </c>
      <c r="BM444" s="1" t="s">
        <v>74</v>
      </c>
      <c r="BN444" s="1" t="s">
        <v>74</v>
      </c>
      <c r="BO444" s="1" t="s">
        <v>74</v>
      </c>
      <c r="BP444" s="1" t="s">
        <v>74</v>
      </c>
      <c r="BQ444" s="1" t="s">
        <v>74</v>
      </c>
      <c r="BR444" s="1" t="s">
        <v>74</v>
      </c>
      <c r="BS444" s="1" t="s">
        <v>4523</v>
      </c>
      <c r="BT444" s="1" t="str">
        <f>HYPERLINK("https%3A%2F%2Fwww.webofscience.com%2Fwos%2Fwoscc%2Ffull-record%2FWOS:000482506700004","View Full Record in Web of Science")</f>
        <v>View Full Record in Web of Science</v>
      </c>
    </row>
    <row r="445" ht="12.75" customHeight="1">
      <c r="A445" s="1" t="s">
        <v>72</v>
      </c>
      <c r="B445" s="1" t="s">
        <v>1535</v>
      </c>
      <c r="C445" s="1" t="s">
        <v>74</v>
      </c>
      <c r="D445" s="1" t="s">
        <v>74</v>
      </c>
      <c r="E445" s="1" t="s">
        <v>74</v>
      </c>
      <c r="F445" s="1" t="s">
        <v>1536</v>
      </c>
      <c r="G445" s="1" t="s">
        <v>74</v>
      </c>
      <c r="H445" s="1" t="s">
        <v>74</v>
      </c>
      <c r="I445" s="1" t="s">
        <v>4524</v>
      </c>
      <c r="J445" s="1" t="s">
        <v>4525</v>
      </c>
      <c r="K445" s="1" t="s">
        <v>74</v>
      </c>
      <c r="L445" s="1" t="s">
        <v>74</v>
      </c>
      <c r="M445" s="1" t="s">
        <v>74</v>
      </c>
      <c r="N445" s="1" t="s">
        <v>74</v>
      </c>
      <c r="O445" s="1" t="s">
        <v>74</v>
      </c>
      <c r="P445" s="1" t="s">
        <v>74</v>
      </c>
      <c r="Q445" s="1" t="s">
        <v>74</v>
      </c>
      <c r="R445" s="1" t="s">
        <v>74</v>
      </c>
      <c r="S445" s="1" t="s">
        <v>74</v>
      </c>
      <c r="T445" s="1" t="s">
        <v>74</v>
      </c>
      <c r="U445" s="1" t="s">
        <v>74</v>
      </c>
      <c r="V445" s="1" t="s">
        <v>4526</v>
      </c>
      <c r="W445" s="1" t="s">
        <v>74</v>
      </c>
      <c r="X445" s="1" t="s">
        <v>74</v>
      </c>
      <c r="Y445" s="1" t="s">
        <v>74</v>
      </c>
      <c r="Z445" s="1" t="s">
        <v>74</v>
      </c>
      <c r="AA445" s="1" t="s">
        <v>4527</v>
      </c>
      <c r="AB445" s="1" t="s">
        <v>4528</v>
      </c>
      <c r="AC445" s="1" t="s">
        <v>74</v>
      </c>
      <c r="AD445" s="1" t="s">
        <v>74</v>
      </c>
      <c r="AE445" s="1" t="s">
        <v>74</v>
      </c>
      <c r="AF445" s="1" t="s">
        <v>74</v>
      </c>
      <c r="AG445" s="1" t="s">
        <v>74</v>
      </c>
      <c r="AH445" s="1" t="s">
        <v>74</v>
      </c>
      <c r="AI445" s="1" t="s">
        <v>74</v>
      </c>
      <c r="AJ445" s="1" t="s">
        <v>74</v>
      </c>
      <c r="AK445" s="1" t="s">
        <v>74</v>
      </c>
      <c r="AL445" s="1" t="s">
        <v>74</v>
      </c>
      <c r="AM445" s="1" t="s">
        <v>74</v>
      </c>
      <c r="AN445" s="1" t="s">
        <v>74</v>
      </c>
      <c r="AO445" s="1" t="s">
        <v>4529</v>
      </c>
      <c r="AP445" s="1" t="s">
        <v>4530</v>
      </c>
      <c r="AQ445" s="1" t="s">
        <v>74</v>
      </c>
      <c r="AR445" s="1" t="s">
        <v>74</v>
      </c>
      <c r="AS445" s="1" t="s">
        <v>74</v>
      </c>
      <c r="AT445" s="1" t="s">
        <v>678</v>
      </c>
      <c r="AU445" s="1">
        <v>2019.0</v>
      </c>
      <c r="AV445" s="1">
        <v>145.0</v>
      </c>
      <c r="AW445" s="1" t="s">
        <v>74</v>
      </c>
      <c r="AX445" s="1" t="s">
        <v>74</v>
      </c>
      <c r="AY445" s="1" t="s">
        <v>74</v>
      </c>
      <c r="AZ445" s="1" t="s">
        <v>74</v>
      </c>
      <c r="BA445" s="1" t="s">
        <v>74</v>
      </c>
      <c r="BB445" s="1" t="s">
        <v>74</v>
      </c>
      <c r="BC445" s="1" t="s">
        <v>74</v>
      </c>
      <c r="BD445" s="1">
        <v>106022.0</v>
      </c>
      <c r="BE445" s="1" t="s">
        <v>4531</v>
      </c>
      <c r="BF445" s="2" t="str">
        <f>HYPERLINK("http://dx.doi.org/10.1016/j.ijthermalsci.2019.106022","http://dx.doi.org/10.1016/j.ijthermalsci.2019.106022")</f>
        <v>http://dx.doi.org/10.1016/j.ijthermalsci.2019.106022</v>
      </c>
      <c r="BG445" s="1" t="s">
        <v>74</v>
      </c>
      <c r="BH445" s="1" t="s">
        <v>74</v>
      </c>
      <c r="BI445" s="1" t="s">
        <v>74</v>
      </c>
      <c r="BJ445" s="1" t="s">
        <v>74</v>
      </c>
      <c r="BK445" s="1" t="s">
        <v>74</v>
      </c>
      <c r="BL445" s="1" t="s">
        <v>74</v>
      </c>
      <c r="BM445" s="1" t="s">
        <v>74</v>
      </c>
      <c r="BN445" s="1" t="s">
        <v>74</v>
      </c>
      <c r="BO445" s="1" t="s">
        <v>74</v>
      </c>
      <c r="BP445" s="1" t="s">
        <v>74</v>
      </c>
      <c r="BQ445" s="1" t="s">
        <v>74</v>
      </c>
      <c r="BR445" s="1" t="s">
        <v>74</v>
      </c>
      <c r="BS445" s="1" t="s">
        <v>4532</v>
      </c>
      <c r="BT445" s="1" t="str">
        <f>HYPERLINK("https%3A%2F%2Fwww.webofscience.com%2Fwos%2Fwoscc%2Ffull-record%2FWOS:000487647600053","View Full Record in Web of Science")</f>
        <v>View Full Record in Web of Science</v>
      </c>
    </row>
    <row r="446" ht="12.75" customHeight="1">
      <c r="A446" s="1" t="s">
        <v>72</v>
      </c>
      <c r="B446" s="1" t="s">
        <v>4533</v>
      </c>
      <c r="C446" s="1" t="s">
        <v>74</v>
      </c>
      <c r="D446" s="1" t="s">
        <v>74</v>
      </c>
      <c r="E446" s="1" t="s">
        <v>74</v>
      </c>
      <c r="F446" s="1" t="s">
        <v>4534</v>
      </c>
      <c r="G446" s="1" t="s">
        <v>74</v>
      </c>
      <c r="H446" s="1" t="s">
        <v>74</v>
      </c>
      <c r="I446" s="1" t="s">
        <v>4535</v>
      </c>
      <c r="J446" s="1" t="s">
        <v>4536</v>
      </c>
      <c r="K446" s="1" t="s">
        <v>74</v>
      </c>
      <c r="L446" s="1" t="s">
        <v>74</v>
      </c>
      <c r="M446" s="1" t="s">
        <v>74</v>
      </c>
      <c r="N446" s="1" t="s">
        <v>74</v>
      </c>
      <c r="O446" s="1" t="s">
        <v>74</v>
      </c>
      <c r="P446" s="1" t="s">
        <v>74</v>
      </c>
      <c r="Q446" s="1" t="s">
        <v>74</v>
      </c>
      <c r="R446" s="1" t="s">
        <v>74</v>
      </c>
      <c r="S446" s="1" t="s">
        <v>74</v>
      </c>
      <c r="T446" s="1" t="s">
        <v>74</v>
      </c>
      <c r="U446" s="1" t="s">
        <v>74</v>
      </c>
      <c r="V446" s="1" t="s">
        <v>4537</v>
      </c>
      <c r="W446" s="1" t="s">
        <v>74</v>
      </c>
      <c r="X446" s="1" t="s">
        <v>74</v>
      </c>
      <c r="Y446" s="1" t="s">
        <v>74</v>
      </c>
      <c r="Z446" s="1" t="s">
        <v>74</v>
      </c>
      <c r="AA446" s="1" t="s">
        <v>4538</v>
      </c>
      <c r="AB446" s="1" t="s">
        <v>4539</v>
      </c>
      <c r="AC446" s="1" t="s">
        <v>74</v>
      </c>
      <c r="AD446" s="1" t="s">
        <v>74</v>
      </c>
      <c r="AE446" s="1" t="s">
        <v>74</v>
      </c>
      <c r="AF446" s="1" t="s">
        <v>74</v>
      </c>
      <c r="AG446" s="1" t="s">
        <v>74</v>
      </c>
      <c r="AH446" s="1" t="s">
        <v>74</v>
      </c>
      <c r="AI446" s="1" t="s">
        <v>74</v>
      </c>
      <c r="AJ446" s="1" t="s">
        <v>74</v>
      </c>
      <c r="AK446" s="1" t="s">
        <v>74</v>
      </c>
      <c r="AL446" s="1" t="s">
        <v>74</v>
      </c>
      <c r="AM446" s="1" t="s">
        <v>74</v>
      </c>
      <c r="AN446" s="1" t="s">
        <v>74</v>
      </c>
      <c r="AO446" s="1" t="s">
        <v>4540</v>
      </c>
      <c r="AP446" s="1" t="s">
        <v>4541</v>
      </c>
      <c r="AQ446" s="1" t="s">
        <v>74</v>
      </c>
      <c r="AR446" s="1" t="s">
        <v>74</v>
      </c>
      <c r="AS446" s="1" t="s">
        <v>74</v>
      </c>
      <c r="AT446" s="1" t="s">
        <v>606</v>
      </c>
      <c r="AU446" s="1">
        <v>2019.0</v>
      </c>
      <c r="AV446" s="1">
        <v>97.0</v>
      </c>
      <c r="AW446" s="1">
        <v>10.0</v>
      </c>
      <c r="AX446" s="1" t="s">
        <v>74</v>
      </c>
      <c r="AY446" s="1" t="s">
        <v>74</v>
      </c>
      <c r="AZ446" s="1" t="s">
        <v>74</v>
      </c>
      <c r="BA446" s="1" t="s">
        <v>74</v>
      </c>
      <c r="BB446" s="1">
        <v>1049.0</v>
      </c>
      <c r="BC446" s="1">
        <v>1063.0</v>
      </c>
      <c r="BD446" s="1" t="s">
        <v>74</v>
      </c>
      <c r="BE446" s="1" t="s">
        <v>4542</v>
      </c>
      <c r="BF446" s="2" t="str">
        <f>HYPERLINK("http://dx.doi.org/10.1139/cjp-2018-0788","http://dx.doi.org/10.1139/cjp-2018-0788")</f>
        <v>http://dx.doi.org/10.1139/cjp-2018-0788</v>
      </c>
      <c r="BG446" s="1" t="s">
        <v>74</v>
      </c>
      <c r="BH446" s="1" t="s">
        <v>74</v>
      </c>
      <c r="BI446" s="1" t="s">
        <v>74</v>
      </c>
      <c r="BJ446" s="1" t="s">
        <v>74</v>
      </c>
      <c r="BK446" s="1" t="s">
        <v>74</v>
      </c>
      <c r="BL446" s="1" t="s">
        <v>74</v>
      </c>
      <c r="BM446" s="1" t="s">
        <v>74</v>
      </c>
      <c r="BN446" s="1" t="s">
        <v>74</v>
      </c>
      <c r="BO446" s="1" t="s">
        <v>74</v>
      </c>
      <c r="BP446" s="1" t="s">
        <v>74</v>
      </c>
      <c r="BQ446" s="1" t="s">
        <v>74</v>
      </c>
      <c r="BR446" s="1" t="s">
        <v>74</v>
      </c>
      <c r="BS446" s="1" t="s">
        <v>4543</v>
      </c>
      <c r="BT446" s="1" t="str">
        <f>HYPERLINK("https%3A%2F%2Fwww.webofscience.com%2Fwos%2Fwoscc%2Ffull-record%2FWOS:000488804500002","View Full Record in Web of Science")</f>
        <v>View Full Record in Web of Science</v>
      </c>
    </row>
    <row r="447" ht="12.75" customHeight="1">
      <c r="A447" s="1" t="s">
        <v>72</v>
      </c>
      <c r="B447" s="1" t="s">
        <v>4544</v>
      </c>
      <c r="C447" s="1" t="s">
        <v>74</v>
      </c>
      <c r="D447" s="1" t="s">
        <v>74</v>
      </c>
      <c r="E447" s="1" t="s">
        <v>74</v>
      </c>
      <c r="F447" s="1" t="s">
        <v>4545</v>
      </c>
      <c r="G447" s="1" t="s">
        <v>74</v>
      </c>
      <c r="H447" s="1" t="s">
        <v>74</v>
      </c>
      <c r="I447" s="1" t="s">
        <v>4546</v>
      </c>
      <c r="J447" s="1" t="s">
        <v>4547</v>
      </c>
      <c r="K447" s="1" t="s">
        <v>74</v>
      </c>
      <c r="L447" s="1" t="s">
        <v>74</v>
      </c>
      <c r="M447" s="1" t="s">
        <v>74</v>
      </c>
      <c r="N447" s="1" t="s">
        <v>74</v>
      </c>
      <c r="O447" s="1" t="s">
        <v>74</v>
      </c>
      <c r="P447" s="1" t="s">
        <v>74</v>
      </c>
      <c r="Q447" s="1" t="s">
        <v>74</v>
      </c>
      <c r="R447" s="1" t="s">
        <v>74</v>
      </c>
      <c r="S447" s="1" t="s">
        <v>74</v>
      </c>
      <c r="T447" s="1" t="s">
        <v>74</v>
      </c>
      <c r="U447" s="1" t="s">
        <v>74</v>
      </c>
      <c r="V447" s="1" t="s">
        <v>4548</v>
      </c>
      <c r="W447" s="1" t="s">
        <v>74</v>
      </c>
      <c r="X447" s="1" t="s">
        <v>74</v>
      </c>
      <c r="Y447" s="1" t="s">
        <v>74</v>
      </c>
      <c r="Z447" s="1" t="s">
        <v>74</v>
      </c>
      <c r="AA447" s="1" t="s">
        <v>4549</v>
      </c>
      <c r="AB447" s="1" t="s">
        <v>4550</v>
      </c>
      <c r="AC447" s="1" t="s">
        <v>74</v>
      </c>
      <c r="AD447" s="1" t="s">
        <v>74</v>
      </c>
      <c r="AE447" s="1" t="s">
        <v>74</v>
      </c>
      <c r="AF447" s="1" t="s">
        <v>74</v>
      </c>
      <c r="AG447" s="1" t="s">
        <v>74</v>
      </c>
      <c r="AH447" s="1" t="s">
        <v>74</v>
      </c>
      <c r="AI447" s="1" t="s">
        <v>74</v>
      </c>
      <c r="AJ447" s="1" t="s">
        <v>74</v>
      </c>
      <c r="AK447" s="1" t="s">
        <v>74</v>
      </c>
      <c r="AL447" s="1" t="s">
        <v>74</v>
      </c>
      <c r="AM447" s="1" t="s">
        <v>74</v>
      </c>
      <c r="AN447" s="1" t="s">
        <v>74</v>
      </c>
      <c r="AO447" s="1" t="s">
        <v>4551</v>
      </c>
      <c r="AP447" s="1" t="s">
        <v>4552</v>
      </c>
      <c r="AQ447" s="1" t="s">
        <v>74</v>
      </c>
      <c r="AR447" s="1" t="s">
        <v>74</v>
      </c>
      <c r="AS447" s="1" t="s">
        <v>74</v>
      </c>
      <c r="AT447" s="1" t="s">
        <v>339</v>
      </c>
      <c r="AU447" s="1">
        <v>2019.0</v>
      </c>
      <c r="AV447" s="1">
        <v>13.0</v>
      </c>
      <c r="AW447" s="1">
        <v>5.0</v>
      </c>
      <c r="AX447" s="1" t="s">
        <v>74</v>
      </c>
      <c r="AY447" s="1" t="s">
        <v>74</v>
      </c>
      <c r="AZ447" s="1" t="s">
        <v>74</v>
      </c>
      <c r="BA447" s="1" t="s">
        <v>74</v>
      </c>
      <c r="BB447" s="1">
        <v>1321.0</v>
      </c>
      <c r="BC447" s="1">
        <v>1332.0</v>
      </c>
      <c r="BD447" s="1" t="s">
        <v>74</v>
      </c>
      <c r="BE447" s="1" t="s">
        <v>4553</v>
      </c>
      <c r="BF447" s="2" t="str">
        <f>HYPERLINK("http://dx.doi.org/10.1002/bbb.2036","http://dx.doi.org/10.1002/bbb.2036")</f>
        <v>http://dx.doi.org/10.1002/bbb.2036</v>
      </c>
      <c r="BG447" s="1" t="s">
        <v>74</v>
      </c>
      <c r="BH447" s="1" t="s">
        <v>74</v>
      </c>
      <c r="BI447" s="1" t="s">
        <v>74</v>
      </c>
      <c r="BJ447" s="1" t="s">
        <v>74</v>
      </c>
      <c r="BK447" s="1" t="s">
        <v>74</v>
      </c>
      <c r="BL447" s="1" t="s">
        <v>74</v>
      </c>
      <c r="BM447" s="1" t="s">
        <v>74</v>
      </c>
      <c r="BN447" s="1" t="s">
        <v>74</v>
      </c>
      <c r="BO447" s="1" t="s">
        <v>74</v>
      </c>
      <c r="BP447" s="1" t="s">
        <v>74</v>
      </c>
      <c r="BQ447" s="1" t="s">
        <v>74</v>
      </c>
      <c r="BR447" s="1" t="s">
        <v>74</v>
      </c>
      <c r="BS447" s="1" t="s">
        <v>4554</v>
      </c>
      <c r="BT447" s="1" t="str">
        <f>HYPERLINK("https%3A%2F%2Fwww.webofscience.com%2Fwos%2Fwoscc%2Ffull-record%2FWOS:000485982700016","View Full Record in Web of Science")</f>
        <v>View Full Record in Web of Science</v>
      </c>
    </row>
    <row r="448" ht="12.75" customHeight="1">
      <c r="A448" s="1" t="s">
        <v>72</v>
      </c>
      <c r="B448" s="1" t="s">
        <v>4555</v>
      </c>
      <c r="C448" s="1" t="s">
        <v>74</v>
      </c>
      <c r="D448" s="1" t="s">
        <v>74</v>
      </c>
      <c r="E448" s="1" t="s">
        <v>74</v>
      </c>
      <c r="F448" s="1" t="s">
        <v>4556</v>
      </c>
      <c r="G448" s="1" t="s">
        <v>74</v>
      </c>
      <c r="H448" s="1" t="s">
        <v>74</v>
      </c>
      <c r="I448" s="1" t="s">
        <v>4557</v>
      </c>
      <c r="J448" s="1" t="s">
        <v>4558</v>
      </c>
      <c r="K448" s="1" t="s">
        <v>74</v>
      </c>
      <c r="L448" s="1" t="s">
        <v>74</v>
      </c>
      <c r="M448" s="1" t="s">
        <v>74</v>
      </c>
      <c r="N448" s="1" t="s">
        <v>74</v>
      </c>
      <c r="O448" s="1" t="s">
        <v>74</v>
      </c>
      <c r="P448" s="1" t="s">
        <v>74</v>
      </c>
      <c r="Q448" s="1" t="s">
        <v>74</v>
      </c>
      <c r="R448" s="1" t="s">
        <v>74</v>
      </c>
      <c r="S448" s="1" t="s">
        <v>74</v>
      </c>
      <c r="T448" s="1" t="s">
        <v>74</v>
      </c>
      <c r="U448" s="1" t="s">
        <v>74</v>
      </c>
      <c r="V448" s="1" t="s">
        <v>4559</v>
      </c>
      <c r="W448" s="1" t="s">
        <v>74</v>
      </c>
      <c r="X448" s="1" t="s">
        <v>74</v>
      </c>
      <c r="Y448" s="1" t="s">
        <v>74</v>
      </c>
      <c r="Z448" s="1" t="s">
        <v>74</v>
      </c>
      <c r="AA448" s="1" t="s">
        <v>4560</v>
      </c>
      <c r="AB448" s="1" t="s">
        <v>4561</v>
      </c>
      <c r="AC448" s="1" t="s">
        <v>74</v>
      </c>
      <c r="AD448" s="1" t="s">
        <v>74</v>
      </c>
      <c r="AE448" s="1" t="s">
        <v>74</v>
      </c>
      <c r="AF448" s="1" t="s">
        <v>74</v>
      </c>
      <c r="AG448" s="1" t="s">
        <v>74</v>
      </c>
      <c r="AH448" s="1" t="s">
        <v>74</v>
      </c>
      <c r="AI448" s="1" t="s">
        <v>74</v>
      </c>
      <c r="AJ448" s="1" t="s">
        <v>74</v>
      </c>
      <c r="AK448" s="1" t="s">
        <v>74</v>
      </c>
      <c r="AL448" s="1" t="s">
        <v>74</v>
      </c>
      <c r="AM448" s="1" t="s">
        <v>74</v>
      </c>
      <c r="AN448" s="1" t="s">
        <v>74</v>
      </c>
      <c r="AO448" s="1" t="s">
        <v>4562</v>
      </c>
      <c r="AP448" s="1" t="s">
        <v>4563</v>
      </c>
      <c r="AQ448" s="1" t="s">
        <v>74</v>
      </c>
      <c r="AR448" s="1" t="s">
        <v>74</v>
      </c>
      <c r="AS448" s="1" t="s">
        <v>74</v>
      </c>
      <c r="AT448" s="1" t="s">
        <v>350</v>
      </c>
      <c r="AU448" s="1">
        <v>2019.0</v>
      </c>
      <c r="AV448" s="1">
        <v>43.0</v>
      </c>
      <c r="AW448" s="1">
        <v>8.0</v>
      </c>
      <c r="AX448" s="1" t="s">
        <v>74</v>
      </c>
      <c r="AY448" s="1" t="s">
        <v>74</v>
      </c>
      <c r="AZ448" s="1" t="s">
        <v>74</v>
      </c>
      <c r="BA448" s="1" t="s">
        <v>74</v>
      </c>
      <c r="BB448" s="1" t="s">
        <v>74</v>
      </c>
      <c r="BC448" s="1" t="s">
        <v>74</v>
      </c>
      <c r="BD448" s="1" t="s">
        <v>4564</v>
      </c>
      <c r="BE448" s="1" t="s">
        <v>4565</v>
      </c>
      <c r="BF448" s="2" t="str">
        <f>HYPERLINK("http://dx.doi.org/10.1111/jfpp.14044","http://dx.doi.org/10.1111/jfpp.14044")</f>
        <v>http://dx.doi.org/10.1111/jfpp.14044</v>
      </c>
      <c r="BG448" s="1" t="s">
        <v>74</v>
      </c>
      <c r="BH448" s="1" t="s">
        <v>74</v>
      </c>
      <c r="BI448" s="1" t="s">
        <v>74</v>
      </c>
      <c r="BJ448" s="1" t="s">
        <v>74</v>
      </c>
      <c r="BK448" s="1" t="s">
        <v>74</v>
      </c>
      <c r="BL448" s="1" t="s">
        <v>74</v>
      </c>
      <c r="BM448" s="1" t="s">
        <v>74</v>
      </c>
      <c r="BN448" s="1" t="s">
        <v>74</v>
      </c>
      <c r="BO448" s="1" t="s">
        <v>74</v>
      </c>
      <c r="BP448" s="1" t="s">
        <v>74</v>
      </c>
      <c r="BQ448" s="1" t="s">
        <v>74</v>
      </c>
      <c r="BR448" s="1" t="s">
        <v>74</v>
      </c>
      <c r="BS448" s="1" t="s">
        <v>4566</v>
      </c>
      <c r="BT448" s="1" t="str">
        <f>HYPERLINK("https%3A%2F%2Fwww.webofscience.com%2Fwos%2Fwoscc%2Ffull-record%2FWOS:000479276800024","View Full Record in Web of Science")</f>
        <v>View Full Record in Web of Science</v>
      </c>
    </row>
    <row r="449" ht="12.75" customHeight="1">
      <c r="A449" s="1" t="s">
        <v>72</v>
      </c>
      <c r="B449" s="1" t="s">
        <v>4567</v>
      </c>
      <c r="C449" s="1" t="s">
        <v>74</v>
      </c>
      <c r="D449" s="1" t="s">
        <v>74</v>
      </c>
      <c r="E449" s="1" t="s">
        <v>74</v>
      </c>
      <c r="F449" s="1" t="s">
        <v>4568</v>
      </c>
      <c r="G449" s="1" t="s">
        <v>74</v>
      </c>
      <c r="H449" s="1" t="s">
        <v>74</v>
      </c>
      <c r="I449" s="1" t="s">
        <v>4569</v>
      </c>
      <c r="J449" s="1" t="s">
        <v>4570</v>
      </c>
      <c r="K449" s="1" t="s">
        <v>74</v>
      </c>
      <c r="L449" s="1" t="s">
        <v>74</v>
      </c>
      <c r="M449" s="1" t="s">
        <v>74</v>
      </c>
      <c r="N449" s="1" t="s">
        <v>74</v>
      </c>
      <c r="O449" s="1" t="s">
        <v>4571</v>
      </c>
      <c r="P449" s="1" t="s">
        <v>4572</v>
      </c>
      <c r="Q449" s="1" t="s">
        <v>4573</v>
      </c>
      <c r="R449" s="1" t="s">
        <v>74</v>
      </c>
      <c r="S449" s="1" t="s">
        <v>74</v>
      </c>
      <c r="T449" s="1" t="s">
        <v>74</v>
      </c>
      <c r="U449" s="1" t="s">
        <v>74</v>
      </c>
      <c r="V449" s="1" t="s">
        <v>74</v>
      </c>
      <c r="W449" s="1" t="s">
        <v>74</v>
      </c>
      <c r="X449" s="1" t="s">
        <v>74</v>
      </c>
      <c r="Y449" s="1" t="s">
        <v>74</v>
      </c>
      <c r="Z449" s="1" t="s">
        <v>74</v>
      </c>
      <c r="AA449" s="1" t="s">
        <v>4574</v>
      </c>
      <c r="AB449" s="1" t="s">
        <v>74</v>
      </c>
      <c r="AC449" s="1" t="s">
        <v>74</v>
      </c>
      <c r="AD449" s="1" t="s">
        <v>74</v>
      </c>
      <c r="AE449" s="1" t="s">
        <v>74</v>
      </c>
      <c r="AF449" s="1" t="s">
        <v>74</v>
      </c>
      <c r="AG449" s="1" t="s">
        <v>74</v>
      </c>
      <c r="AH449" s="1" t="s">
        <v>74</v>
      </c>
      <c r="AI449" s="1" t="s">
        <v>74</v>
      </c>
      <c r="AJ449" s="1" t="s">
        <v>74</v>
      </c>
      <c r="AK449" s="1" t="s">
        <v>74</v>
      </c>
      <c r="AL449" s="1" t="s">
        <v>74</v>
      </c>
      <c r="AM449" s="1" t="s">
        <v>74</v>
      </c>
      <c r="AN449" s="1" t="s">
        <v>74</v>
      </c>
      <c r="AO449" s="1" t="s">
        <v>4575</v>
      </c>
      <c r="AP449" s="1" t="s">
        <v>4576</v>
      </c>
      <c r="AQ449" s="1" t="s">
        <v>74</v>
      </c>
      <c r="AR449" s="1" t="s">
        <v>74</v>
      </c>
      <c r="AS449" s="1" t="s">
        <v>74</v>
      </c>
      <c r="AT449" s="1" t="s">
        <v>158</v>
      </c>
      <c r="AU449" s="1">
        <v>2019.0</v>
      </c>
      <c r="AV449" s="1">
        <v>67.0</v>
      </c>
      <c r="AW449" s="1" t="s">
        <v>74</v>
      </c>
      <c r="AX449" s="1" t="s">
        <v>74</v>
      </c>
      <c r="AY449" s="1" t="s">
        <v>4577</v>
      </c>
      <c r="AZ449" s="1" t="s">
        <v>74</v>
      </c>
      <c r="BA449" s="1" t="s">
        <v>4578</v>
      </c>
      <c r="BB449" s="1" t="s">
        <v>4579</v>
      </c>
      <c r="BC449" s="1" t="s">
        <v>4580</v>
      </c>
      <c r="BD449" s="1" t="s">
        <v>74</v>
      </c>
      <c r="BE449" s="1" t="s">
        <v>74</v>
      </c>
      <c r="BF449" s="1" t="s">
        <v>74</v>
      </c>
      <c r="BG449" s="1" t="s">
        <v>74</v>
      </c>
      <c r="BH449" s="1" t="s">
        <v>74</v>
      </c>
      <c r="BI449" s="1" t="s">
        <v>74</v>
      </c>
      <c r="BJ449" s="1" t="s">
        <v>74</v>
      </c>
      <c r="BK449" s="1" t="s">
        <v>74</v>
      </c>
      <c r="BL449" s="1" t="s">
        <v>74</v>
      </c>
      <c r="BM449" s="1" t="s">
        <v>74</v>
      </c>
      <c r="BN449" s="1" t="s">
        <v>74</v>
      </c>
      <c r="BO449" s="1" t="s">
        <v>74</v>
      </c>
      <c r="BP449" s="1" t="s">
        <v>74</v>
      </c>
      <c r="BQ449" s="1" t="s">
        <v>74</v>
      </c>
      <c r="BR449" s="1" t="s">
        <v>74</v>
      </c>
      <c r="BS449" s="1" t="s">
        <v>4581</v>
      </c>
      <c r="BT449" s="1" t="str">
        <f>HYPERLINK("https%3A%2F%2Fwww.webofscience.com%2Fwos%2Fwoscc%2Ffull-record%2FWOS:000502867403077","View Full Record in Web of Science")</f>
        <v>View Full Record in Web of Science</v>
      </c>
    </row>
    <row r="450" ht="12.75" customHeight="1">
      <c r="A450" s="1" t="s">
        <v>72</v>
      </c>
      <c r="B450" s="1" t="s">
        <v>4582</v>
      </c>
      <c r="C450" s="1" t="s">
        <v>74</v>
      </c>
      <c r="D450" s="1" t="s">
        <v>74</v>
      </c>
      <c r="E450" s="1" t="s">
        <v>74</v>
      </c>
      <c r="F450" s="1" t="s">
        <v>4583</v>
      </c>
      <c r="G450" s="1" t="s">
        <v>74</v>
      </c>
      <c r="H450" s="1" t="s">
        <v>74</v>
      </c>
      <c r="I450" s="1" t="s">
        <v>4584</v>
      </c>
      <c r="J450" s="1" t="s">
        <v>861</v>
      </c>
      <c r="K450" s="1" t="s">
        <v>74</v>
      </c>
      <c r="L450" s="1" t="s">
        <v>74</v>
      </c>
      <c r="M450" s="1" t="s">
        <v>74</v>
      </c>
      <c r="N450" s="1" t="s">
        <v>74</v>
      </c>
      <c r="O450" s="1" t="s">
        <v>74</v>
      </c>
      <c r="P450" s="1" t="s">
        <v>74</v>
      </c>
      <c r="Q450" s="1" t="s">
        <v>74</v>
      </c>
      <c r="R450" s="1" t="s">
        <v>74</v>
      </c>
      <c r="S450" s="1" t="s">
        <v>74</v>
      </c>
      <c r="T450" s="1" t="s">
        <v>74</v>
      </c>
      <c r="U450" s="1" t="s">
        <v>74</v>
      </c>
      <c r="V450" s="1" t="s">
        <v>4585</v>
      </c>
      <c r="W450" s="1" t="s">
        <v>74</v>
      </c>
      <c r="X450" s="1" t="s">
        <v>74</v>
      </c>
      <c r="Y450" s="1" t="s">
        <v>74</v>
      </c>
      <c r="Z450" s="1" t="s">
        <v>74</v>
      </c>
      <c r="AA450" s="1" t="s">
        <v>4586</v>
      </c>
      <c r="AB450" s="1" t="s">
        <v>4587</v>
      </c>
      <c r="AC450" s="1" t="s">
        <v>74</v>
      </c>
      <c r="AD450" s="1" t="s">
        <v>74</v>
      </c>
      <c r="AE450" s="1" t="s">
        <v>74</v>
      </c>
      <c r="AF450" s="1" t="s">
        <v>74</v>
      </c>
      <c r="AG450" s="1" t="s">
        <v>74</v>
      </c>
      <c r="AH450" s="1" t="s">
        <v>74</v>
      </c>
      <c r="AI450" s="1" t="s">
        <v>74</v>
      </c>
      <c r="AJ450" s="1" t="s">
        <v>74</v>
      </c>
      <c r="AK450" s="1" t="s">
        <v>74</v>
      </c>
      <c r="AL450" s="1" t="s">
        <v>74</v>
      </c>
      <c r="AM450" s="1" t="s">
        <v>74</v>
      </c>
      <c r="AN450" s="1" t="s">
        <v>74</v>
      </c>
      <c r="AO450" s="1" t="s">
        <v>865</v>
      </c>
      <c r="AP450" s="1" t="s">
        <v>866</v>
      </c>
      <c r="AQ450" s="1" t="s">
        <v>74</v>
      </c>
      <c r="AR450" s="1" t="s">
        <v>74</v>
      </c>
      <c r="AS450" s="1" t="s">
        <v>74</v>
      </c>
      <c r="AT450" s="1" t="s">
        <v>180</v>
      </c>
      <c r="AU450" s="1">
        <v>2019.0</v>
      </c>
      <c r="AV450" s="1">
        <v>39.0</v>
      </c>
      <c r="AW450" s="1">
        <v>5.0</v>
      </c>
      <c r="AX450" s="1" t="s">
        <v>74</v>
      </c>
      <c r="AY450" s="1" t="s">
        <v>74</v>
      </c>
      <c r="AZ450" s="1" t="s">
        <v>74</v>
      </c>
      <c r="BA450" s="1" t="s">
        <v>74</v>
      </c>
      <c r="BB450" s="1">
        <v>2679.0</v>
      </c>
      <c r="BC450" s="1">
        <v>2708.0</v>
      </c>
      <c r="BD450" s="1" t="s">
        <v>74</v>
      </c>
      <c r="BE450" s="1" t="s">
        <v>4588</v>
      </c>
      <c r="BF450" s="2" t="str">
        <f>HYPERLINK("http://dx.doi.org/10.3934/dcds.2019112","http://dx.doi.org/10.3934/dcds.2019112")</f>
        <v>http://dx.doi.org/10.3934/dcds.2019112</v>
      </c>
      <c r="BG450" s="1" t="s">
        <v>74</v>
      </c>
      <c r="BH450" s="1" t="s">
        <v>74</v>
      </c>
      <c r="BI450" s="1" t="s">
        <v>74</v>
      </c>
      <c r="BJ450" s="1" t="s">
        <v>74</v>
      </c>
      <c r="BK450" s="1" t="s">
        <v>74</v>
      </c>
      <c r="BL450" s="1" t="s">
        <v>74</v>
      </c>
      <c r="BM450" s="1" t="s">
        <v>74</v>
      </c>
      <c r="BN450" s="1" t="s">
        <v>74</v>
      </c>
      <c r="BO450" s="1" t="s">
        <v>74</v>
      </c>
      <c r="BP450" s="1" t="s">
        <v>74</v>
      </c>
      <c r="BQ450" s="1" t="s">
        <v>74</v>
      </c>
      <c r="BR450" s="1" t="s">
        <v>74</v>
      </c>
      <c r="BS450" s="1" t="s">
        <v>4589</v>
      </c>
      <c r="BT450" s="1" t="str">
        <f>HYPERLINK("https%3A%2F%2Fwww.webofscience.com%2Fwos%2Fwoscc%2Ffull-record%2FWOS:000456087700015","View Full Record in Web of Science")</f>
        <v>View Full Record in Web of Science</v>
      </c>
    </row>
    <row r="451" ht="12.75" customHeight="1">
      <c r="A451" s="1" t="s">
        <v>72</v>
      </c>
      <c r="B451" s="1" t="s">
        <v>4590</v>
      </c>
      <c r="C451" s="1" t="s">
        <v>74</v>
      </c>
      <c r="D451" s="1" t="s">
        <v>74</v>
      </c>
      <c r="E451" s="1" t="s">
        <v>74</v>
      </c>
      <c r="F451" s="1" t="s">
        <v>4591</v>
      </c>
      <c r="G451" s="1" t="s">
        <v>74</v>
      </c>
      <c r="H451" s="1" t="s">
        <v>74</v>
      </c>
      <c r="I451" s="1" t="s">
        <v>4592</v>
      </c>
      <c r="J451" s="1" t="s">
        <v>4593</v>
      </c>
      <c r="K451" s="1" t="s">
        <v>74</v>
      </c>
      <c r="L451" s="1" t="s">
        <v>74</v>
      </c>
      <c r="M451" s="1" t="s">
        <v>74</v>
      </c>
      <c r="N451" s="1" t="s">
        <v>74</v>
      </c>
      <c r="O451" s="1" t="s">
        <v>74</v>
      </c>
      <c r="P451" s="1" t="s">
        <v>74</v>
      </c>
      <c r="Q451" s="1" t="s">
        <v>74</v>
      </c>
      <c r="R451" s="1" t="s">
        <v>74</v>
      </c>
      <c r="S451" s="1" t="s">
        <v>74</v>
      </c>
      <c r="T451" s="1" t="s">
        <v>74</v>
      </c>
      <c r="U451" s="1" t="s">
        <v>74</v>
      </c>
      <c r="V451" s="1" t="s">
        <v>4594</v>
      </c>
      <c r="W451" s="1" t="s">
        <v>74</v>
      </c>
      <c r="X451" s="1" t="s">
        <v>74</v>
      </c>
      <c r="Y451" s="1" t="s">
        <v>74</v>
      </c>
      <c r="Z451" s="1" t="s">
        <v>74</v>
      </c>
      <c r="AA451" s="1" t="s">
        <v>4595</v>
      </c>
      <c r="AB451" s="1" t="s">
        <v>4596</v>
      </c>
      <c r="AC451" s="1" t="s">
        <v>74</v>
      </c>
      <c r="AD451" s="1" t="s">
        <v>74</v>
      </c>
      <c r="AE451" s="1" t="s">
        <v>74</v>
      </c>
      <c r="AF451" s="1" t="s">
        <v>74</v>
      </c>
      <c r="AG451" s="1" t="s">
        <v>74</v>
      </c>
      <c r="AH451" s="1" t="s">
        <v>74</v>
      </c>
      <c r="AI451" s="1" t="s">
        <v>74</v>
      </c>
      <c r="AJ451" s="1" t="s">
        <v>74</v>
      </c>
      <c r="AK451" s="1" t="s">
        <v>74</v>
      </c>
      <c r="AL451" s="1" t="s">
        <v>74</v>
      </c>
      <c r="AM451" s="1" t="s">
        <v>74</v>
      </c>
      <c r="AN451" s="1" t="s">
        <v>74</v>
      </c>
      <c r="AO451" s="1" t="s">
        <v>4597</v>
      </c>
      <c r="AP451" s="1" t="s">
        <v>4598</v>
      </c>
      <c r="AQ451" s="1" t="s">
        <v>74</v>
      </c>
      <c r="AR451" s="1" t="s">
        <v>74</v>
      </c>
      <c r="AS451" s="1" t="s">
        <v>74</v>
      </c>
      <c r="AT451" s="1" t="s">
        <v>4094</v>
      </c>
      <c r="AU451" s="1">
        <v>2019.0</v>
      </c>
      <c r="AV451" s="1">
        <v>54.0</v>
      </c>
      <c r="AW451" s="1">
        <v>8.0</v>
      </c>
      <c r="AX451" s="1" t="s">
        <v>74</v>
      </c>
      <c r="AY451" s="1" t="s">
        <v>74</v>
      </c>
      <c r="AZ451" s="1" t="s">
        <v>74</v>
      </c>
      <c r="BA451" s="1" t="s">
        <v>74</v>
      </c>
      <c r="BB451" s="1">
        <v>721.0</v>
      </c>
      <c r="BC451" s="1">
        <v>727.0</v>
      </c>
      <c r="BD451" s="1" t="s">
        <v>74</v>
      </c>
      <c r="BE451" s="1" t="s">
        <v>4599</v>
      </c>
      <c r="BF451" s="2" t="str">
        <f>HYPERLINK("http://dx.doi.org/10.1080/10934529.2019.1592526","http://dx.doi.org/10.1080/10934529.2019.1592526")</f>
        <v>http://dx.doi.org/10.1080/10934529.2019.1592526</v>
      </c>
      <c r="BG451" s="1" t="s">
        <v>74</v>
      </c>
      <c r="BH451" s="1" t="s">
        <v>2391</v>
      </c>
      <c r="BI451" s="1" t="s">
        <v>74</v>
      </c>
      <c r="BJ451" s="1" t="s">
        <v>74</v>
      </c>
      <c r="BK451" s="1" t="s">
        <v>74</v>
      </c>
      <c r="BL451" s="1" t="s">
        <v>74</v>
      </c>
      <c r="BM451" s="1" t="s">
        <v>74</v>
      </c>
      <c r="BN451" s="1">
        <v>3.0929568E7</v>
      </c>
      <c r="BO451" s="1" t="s">
        <v>74</v>
      </c>
      <c r="BP451" s="1" t="s">
        <v>74</v>
      </c>
      <c r="BQ451" s="1" t="s">
        <v>74</v>
      </c>
      <c r="BR451" s="1" t="s">
        <v>74</v>
      </c>
      <c r="BS451" s="1" t="s">
        <v>4600</v>
      </c>
      <c r="BT451" s="1" t="str">
        <f>HYPERLINK("https%3A%2F%2Fwww.webofscience.com%2Fwos%2Fwoscc%2Ffull-record%2FWOS:000469100400001","View Full Record in Web of Science")</f>
        <v>View Full Record in Web of Science</v>
      </c>
    </row>
    <row r="452" ht="12.75" customHeight="1">
      <c r="A452" s="1" t="s">
        <v>72</v>
      </c>
      <c r="B452" s="1" t="s">
        <v>4601</v>
      </c>
      <c r="C452" s="1" t="s">
        <v>74</v>
      </c>
      <c r="D452" s="1" t="s">
        <v>74</v>
      </c>
      <c r="E452" s="1" t="s">
        <v>74</v>
      </c>
      <c r="F452" s="1" t="s">
        <v>4602</v>
      </c>
      <c r="G452" s="1" t="s">
        <v>74</v>
      </c>
      <c r="H452" s="1" t="s">
        <v>74</v>
      </c>
      <c r="I452" s="1" t="s">
        <v>4603</v>
      </c>
      <c r="J452" s="1" t="s">
        <v>4163</v>
      </c>
      <c r="K452" s="1" t="s">
        <v>74</v>
      </c>
      <c r="L452" s="1" t="s">
        <v>74</v>
      </c>
      <c r="M452" s="1" t="s">
        <v>74</v>
      </c>
      <c r="N452" s="1" t="s">
        <v>74</v>
      </c>
      <c r="O452" s="1" t="s">
        <v>74</v>
      </c>
      <c r="P452" s="1" t="s">
        <v>74</v>
      </c>
      <c r="Q452" s="1" t="s">
        <v>74</v>
      </c>
      <c r="R452" s="1" t="s">
        <v>74</v>
      </c>
      <c r="S452" s="1" t="s">
        <v>74</v>
      </c>
      <c r="T452" s="1" t="s">
        <v>74</v>
      </c>
      <c r="U452" s="1" t="s">
        <v>74</v>
      </c>
      <c r="V452" s="1" t="s">
        <v>4604</v>
      </c>
      <c r="W452" s="1" t="s">
        <v>74</v>
      </c>
      <c r="X452" s="1" t="s">
        <v>74</v>
      </c>
      <c r="Y452" s="1" t="s">
        <v>74</v>
      </c>
      <c r="Z452" s="1" t="s">
        <v>74</v>
      </c>
      <c r="AA452" s="1" t="s">
        <v>4605</v>
      </c>
      <c r="AB452" s="1" t="s">
        <v>4606</v>
      </c>
      <c r="AC452" s="1" t="s">
        <v>74</v>
      </c>
      <c r="AD452" s="1" t="s">
        <v>74</v>
      </c>
      <c r="AE452" s="1" t="s">
        <v>74</v>
      </c>
      <c r="AF452" s="1" t="s">
        <v>74</v>
      </c>
      <c r="AG452" s="1" t="s">
        <v>74</v>
      </c>
      <c r="AH452" s="1" t="s">
        <v>74</v>
      </c>
      <c r="AI452" s="1" t="s">
        <v>74</v>
      </c>
      <c r="AJ452" s="1" t="s">
        <v>74</v>
      </c>
      <c r="AK452" s="1" t="s">
        <v>74</v>
      </c>
      <c r="AL452" s="1" t="s">
        <v>74</v>
      </c>
      <c r="AM452" s="1" t="s">
        <v>74</v>
      </c>
      <c r="AN452" s="1" t="s">
        <v>74</v>
      </c>
      <c r="AO452" s="1" t="s">
        <v>4167</v>
      </c>
      <c r="AP452" s="1" t="s">
        <v>74</v>
      </c>
      <c r="AQ452" s="1" t="s">
        <v>74</v>
      </c>
      <c r="AR452" s="1" t="s">
        <v>74</v>
      </c>
      <c r="AS452" s="1" t="s">
        <v>74</v>
      </c>
      <c r="AT452" s="1" t="s">
        <v>4607</v>
      </c>
      <c r="AU452" s="1">
        <v>2019.0</v>
      </c>
      <c r="AV452" s="1">
        <v>24.0</v>
      </c>
      <c r="AW452" s="1">
        <v>3.0</v>
      </c>
      <c r="AX452" s="1" t="s">
        <v>74</v>
      </c>
      <c r="AY452" s="1" t="s">
        <v>74</v>
      </c>
      <c r="AZ452" s="1" t="s">
        <v>74</v>
      </c>
      <c r="BA452" s="1" t="s">
        <v>74</v>
      </c>
      <c r="BB452" s="1" t="s">
        <v>74</v>
      </c>
      <c r="BC452" s="1" t="s">
        <v>74</v>
      </c>
      <c r="BD452" s="1">
        <v>544.0</v>
      </c>
      <c r="BE452" s="1" t="s">
        <v>4608</v>
      </c>
      <c r="BF452" s="2" t="str">
        <f>HYPERLINK("http://dx.doi.org/10.3390/molecules24030544","http://dx.doi.org/10.3390/molecules24030544")</f>
        <v>http://dx.doi.org/10.3390/molecules24030544</v>
      </c>
      <c r="BG452" s="1" t="s">
        <v>74</v>
      </c>
      <c r="BH452" s="1" t="s">
        <v>74</v>
      </c>
      <c r="BI452" s="1" t="s">
        <v>74</v>
      </c>
      <c r="BJ452" s="1" t="s">
        <v>74</v>
      </c>
      <c r="BK452" s="1" t="s">
        <v>74</v>
      </c>
      <c r="BL452" s="1" t="s">
        <v>74</v>
      </c>
      <c r="BM452" s="1" t="s">
        <v>74</v>
      </c>
      <c r="BN452" s="1">
        <v>3.0717324E7</v>
      </c>
      <c r="BO452" s="1" t="s">
        <v>74</v>
      </c>
      <c r="BP452" s="1" t="s">
        <v>74</v>
      </c>
      <c r="BQ452" s="1" t="s">
        <v>74</v>
      </c>
      <c r="BR452" s="1" t="s">
        <v>74</v>
      </c>
      <c r="BS452" s="1" t="s">
        <v>4609</v>
      </c>
      <c r="BT452" s="1" t="str">
        <f>HYPERLINK("https%3A%2F%2Fwww.webofscience.com%2Fwos%2Fwoscc%2Ffull-record%2FWOS:000458934000168","View Full Record in Web of Science")</f>
        <v>View Full Record in Web of Science</v>
      </c>
    </row>
    <row r="453" ht="12.75" customHeight="1">
      <c r="A453" s="1" t="s">
        <v>72</v>
      </c>
      <c r="B453" s="1" t="s">
        <v>4610</v>
      </c>
      <c r="C453" s="1" t="s">
        <v>74</v>
      </c>
      <c r="D453" s="1" t="s">
        <v>74</v>
      </c>
      <c r="E453" s="1" t="s">
        <v>74</v>
      </c>
      <c r="F453" s="1" t="s">
        <v>4611</v>
      </c>
      <c r="G453" s="1" t="s">
        <v>74</v>
      </c>
      <c r="H453" s="1" t="s">
        <v>74</v>
      </c>
      <c r="I453" s="1" t="s">
        <v>4612</v>
      </c>
      <c r="J453" s="1" t="s">
        <v>4613</v>
      </c>
      <c r="K453" s="1" t="s">
        <v>74</v>
      </c>
      <c r="L453" s="1" t="s">
        <v>74</v>
      </c>
      <c r="M453" s="1" t="s">
        <v>74</v>
      </c>
      <c r="N453" s="1" t="s">
        <v>74</v>
      </c>
      <c r="O453" s="1" t="s">
        <v>74</v>
      </c>
      <c r="P453" s="1" t="s">
        <v>74</v>
      </c>
      <c r="Q453" s="1" t="s">
        <v>74</v>
      </c>
      <c r="R453" s="1" t="s">
        <v>74</v>
      </c>
      <c r="S453" s="1" t="s">
        <v>74</v>
      </c>
      <c r="T453" s="1" t="s">
        <v>74</v>
      </c>
      <c r="U453" s="1" t="s">
        <v>74</v>
      </c>
      <c r="V453" s="1" t="s">
        <v>4614</v>
      </c>
      <c r="W453" s="1" t="s">
        <v>74</v>
      </c>
      <c r="X453" s="1" t="s">
        <v>74</v>
      </c>
      <c r="Y453" s="1" t="s">
        <v>74</v>
      </c>
      <c r="Z453" s="1" t="s">
        <v>74</v>
      </c>
      <c r="AA453" s="1" t="s">
        <v>4615</v>
      </c>
      <c r="AB453" s="1" t="s">
        <v>4616</v>
      </c>
      <c r="AC453" s="1" t="s">
        <v>74</v>
      </c>
      <c r="AD453" s="1" t="s">
        <v>74</v>
      </c>
      <c r="AE453" s="1" t="s">
        <v>74</v>
      </c>
      <c r="AF453" s="1" t="s">
        <v>74</v>
      </c>
      <c r="AG453" s="1" t="s">
        <v>74</v>
      </c>
      <c r="AH453" s="1" t="s">
        <v>74</v>
      </c>
      <c r="AI453" s="1" t="s">
        <v>74</v>
      </c>
      <c r="AJ453" s="1" t="s">
        <v>74</v>
      </c>
      <c r="AK453" s="1" t="s">
        <v>74</v>
      </c>
      <c r="AL453" s="1" t="s">
        <v>74</v>
      </c>
      <c r="AM453" s="1" t="s">
        <v>74</v>
      </c>
      <c r="AN453" s="1" t="s">
        <v>74</v>
      </c>
      <c r="AO453" s="1" t="s">
        <v>4617</v>
      </c>
      <c r="AP453" s="1" t="s">
        <v>4618</v>
      </c>
      <c r="AQ453" s="1" t="s">
        <v>74</v>
      </c>
      <c r="AR453" s="1" t="s">
        <v>74</v>
      </c>
      <c r="AS453" s="1" t="s">
        <v>74</v>
      </c>
      <c r="AT453" s="1" t="s">
        <v>678</v>
      </c>
      <c r="AU453" s="1">
        <v>2018.0</v>
      </c>
      <c r="AV453" s="1">
        <v>116.0</v>
      </c>
      <c r="AW453" s="1" t="s">
        <v>74</v>
      </c>
      <c r="AX453" s="1" t="s">
        <v>74</v>
      </c>
      <c r="AY453" s="1" t="s">
        <v>74</v>
      </c>
      <c r="AZ453" s="1" t="s">
        <v>74</v>
      </c>
      <c r="BA453" s="1" t="s">
        <v>74</v>
      </c>
      <c r="BB453" s="1">
        <v>62.0</v>
      </c>
      <c r="BC453" s="1">
        <v>66.0</v>
      </c>
      <c r="BD453" s="1" t="s">
        <v>74</v>
      </c>
      <c r="BE453" s="1" t="s">
        <v>4619</v>
      </c>
      <c r="BF453" s="2" t="str">
        <f>HYPERLINK("http://dx.doi.org/10.1016/j.catcom.2018.08.007","http://dx.doi.org/10.1016/j.catcom.2018.08.007")</f>
        <v>http://dx.doi.org/10.1016/j.catcom.2018.08.007</v>
      </c>
      <c r="BG453" s="1" t="s">
        <v>74</v>
      </c>
      <c r="BH453" s="1" t="s">
        <v>74</v>
      </c>
      <c r="BI453" s="1" t="s">
        <v>74</v>
      </c>
      <c r="BJ453" s="1" t="s">
        <v>74</v>
      </c>
      <c r="BK453" s="1" t="s">
        <v>74</v>
      </c>
      <c r="BL453" s="1" t="s">
        <v>74</v>
      </c>
      <c r="BM453" s="1" t="s">
        <v>74</v>
      </c>
      <c r="BN453" s="1" t="s">
        <v>74</v>
      </c>
      <c r="BO453" s="1" t="s">
        <v>74</v>
      </c>
      <c r="BP453" s="1" t="s">
        <v>74</v>
      </c>
      <c r="BQ453" s="1" t="s">
        <v>74</v>
      </c>
      <c r="BR453" s="1" t="s">
        <v>74</v>
      </c>
      <c r="BS453" s="1" t="s">
        <v>4620</v>
      </c>
      <c r="BT453" s="1" t="str">
        <f>HYPERLINK("https%3A%2F%2Fwww.webofscience.com%2Fwos%2Fwoscc%2Ffull-record%2FWOS:000444933100013","View Full Record in Web of Science")</f>
        <v>View Full Record in Web of Science</v>
      </c>
    </row>
    <row r="454" ht="12.75" customHeight="1">
      <c r="A454" s="1" t="s">
        <v>72</v>
      </c>
      <c r="B454" s="1" t="s">
        <v>4621</v>
      </c>
      <c r="C454" s="1" t="s">
        <v>74</v>
      </c>
      <c r="D454" s="1" t="s">
        <v>74</v>
      </c>
      <c r="E454" s="1" t="s">
        <v>74</v>
      </c>
      <c r="F454" s="1" t="s">
        <v>4622</v>
      </c>
      <c r="G454" s="1" t="s">
        <v>74</v>
      </c>
      <c r="H454" s="1" t="s">
        <v>74</v>
      </c>
      <c r="I454" s="1" t="s">
        <v>4623</v>
      </c>
      <c r="J454" s="1" t="s">
        <v>4624</v>
      </c>
      <c r="K454" s="1" t="s">
        <v>74</v>
      </c>
      <c r="L454" s="1" t="s">
        <v>74</v>
      </c>
      <c r="M454" s="1" t="s">
        <v>74</v>
      </c>
      <c r="N454" s="1" t="s">
        <v>74</v>
      </c>
      <c r="O454" s="1" t="s">
        <v>74</v>
      </c>
      <c r="P454" s="1" t="s">
        <v>74</v>
      </c>
      <c r="Q454" s="1" t="s">
        <v>74</v>
      </c>
      <c r="R454" s="1" t="s">
        <v>74</v>
      </c>
      <c r="S454" s="1" t="s">
        <v>74</v>
      </c>
      <c r="T454" s="1" t="s">
        <v>74</v>
      </c>
      <c r="U454" s="1" t="s">
        <v>74</v>
      </c>
      <c r="V454" s="1" t="s">
        <v>4625</v>
      </c>
      <c r="W454" s="1" t="s">
        <v>74</v>
      </c>
      <c r="X454" s="1" t="s">
        <v>74</v>
      </c>
      <c r="Y454" s="1" t="s">
        <v>74</v>
      </c>
      <c r="Z454" s="1" t="s">
        <v>74</v>
      </c>
      <c r="AA454" s="1" t="s">
        <v>4626</v>
      </c>
      <c r="AB454" s="1" t="s">
        <v>4627</v>
      </c>
      <c r="AC454" s="1" t="s">
        <v>74</v>
      </c>
      <c r="AD454" s="1" t="s">
        <v>74</v>
      </c>
      <c r="AE454" s="1" t="s">
        <v>74</v>
      </c>
      <c r="AF454" s="1" t="s">
        <v>74</v>
      </c>
      <c r="AG454" s="1" t="s">
        <v>74</v>
      </c>
      <c r="AH454" s="1" t="s">
        <v>74</v>
      </c>
      <c r="AI454" s="1" t="s">
        <v>74</v>
      </c>
      <c r="AJ454" s="1" t="s">
        <v>74</v>
      </c>
      <c r="AK454" s="1" t="s">
        <v>74</v>
      </c>
      <c r="AL454" s="1" t="s">
        <v>74</v>
      </c>
      <c r="AM454" s="1" t="s">
        <v>74</v>
      </c>
      <c r="AN454" s="1" t="s">
        <v>74</v>
      </c>
      <c r="AO454" s="1" t="s">
        <v>4628</v>
      </c>
      <c r="AP454" s="1" t="s">
        <v>74</v>
      </c>
      <c r="AQ454" s="1" t="s">
        <v>74</v>
      </c>
      <c r="AR454" s="1" t="s">
        <v>74</v>
      </c>
      <c r="AS454" s="1" t="s">
        <v>74</v>
      </c>
      <c r="AT454" s="1" t="s">
        <v>339</v>
      </c>
      <c r="AU454" s="1">
        <v>2018.0</v>
      </c>
      <c r="AV454" s="1">
        <v>16.0</v>
      </c>
      <c r="AW454" s="1">
        <v>9.0</v>
      </c>
      <c r="AX454" s="1" t="s">
        <v>74</v>
      </c>
      <c r="AY454" s="1" t="s">
        <v>74</v>
      </c>
      <c r="AZ454" s="1" t="s">
        <v>74</v>
      </c>
      <c r="BA454" s="1" t="s">
        <v>74</v>
      </c>
      <c r="BB454" s="1">
        <v>2304.0</v>
      </c>
      <c r="BC454" s="1">
        <v>2308.0</v>
      </c>
      <c r="BD454" s="1" t="s">
        <v>74</v>
      </c>
      <c r="BE454" s="1" t="s">
        <v>74</v>
      </c>
      <c r="BF454" s="1" t="s">
        <v>74</v>
      </c>
      <c r="BG454" s="1" t="s">
        <v>74</v>
      </c>
      <c r="BH454" s="1" t="s">
        <v>74</v>
      </c>
      <c r="BI454" s="1" t="s">
        <v>74</v>
      </c>
      <c r="BJ454" s="1" t="s">
        <v>74</v>
      </c>
      <c r="BK454" s="1" t="s">
        <v>74</v>
      </c>
      <c r="BL454" s="1" t="s">
        <v>74</v>
      </c>
      <c r="BM454" s="1" t="s">
        <v>74</v>
      </c>
      <c r="BN454" s="1" t="s">
        <v>74</v>
      </c>
      <c r="BO454" s="1" t="s">
        <v>74</v>
      </c>
      <c r="BP454" s="1" t="s">
        <v>74</v>
      </c>
      <c r="BQ454" s="1" t="s">
        <v>74</v>
      </c>
      <c r="BR454" s="1" t="s">
        <v>74</v>
      </c>
      <c r="BS454" s="1" t="s">
        <v>4629</v>
      </c>
      <c r="BT454" s="1" t="str">
        <f>HYPERLINK("https%3A%2F%2Fwww.webofscience.com%2Fwos%2Fwoscc%2Ffull-record%2FWOS:000480361900001","View Full Record in Web of Science")</f>
        <v>View Full Record in Web of Science</v>
      </c>
    </row>
    <row r="455" ht="12.75" customHeight="1">
      <c r="A455" s="1" t="s">
        <v>72</v>
      </c>
      <c r="B455" s="1" t="s">
        <v>4630</v>
      </c>
      <c r="C455" s="1" t="s">
        <v>74</v>
      </c>
      <c r="D455" s="1" t="s">
        <v>74</v>
      </c>
      <c r="E455" s="1" t="s">
        <v>74</v>
      </c>
      <c r="F455" s="1" t="s">
        <v>4631</v>
      </c>
      <c r="G455" s="1" t="s">
        <v>74</v>
      </c>
      <c r="H455" s="1" t="s">
        <v>74</v>
      </c>
      <c r="I455" s="1" t="s">
        <v>4632</v>
      </c>
      <c r="J455" s="1" t="s">
        <v>635</v>
      </c>
      <c r="K455" s="1" t="s">
        <v>74</v>
      </c>
      <c r="L455" s="1" t="s">
        <v>74</v>
      </c>
      <c r="M455" s="1" t="s">
        <v>74</v>
      </c>
      <c r="N455" s="1" t="s">
        <v>74</v>
      </c>
      <c r="O455" s="1" t="s">
        <v>74</v>
      </c>
      <c r="P455" s="1" t="s">
        <v>74</v>
      </c>
      <c r="Q455" s="1" t="s">
        <v>74</v>
      </c>
      <c r="R455" s="1" t="s">
        <v>74</v>
      </c>
      <c r="S455" s="1" t="s">
        <v>74</v>
      </c>
      <c r="T455" s="1" t="s">
        <v>74</v>
      </c>
      <c r="U455" s="1" t="s">
        <v>74</v>
      </c>
      <c r="V455" s="1" t="s">
        <v>4633</v>
      </c>
      <c r="W455" s="1" t="s">
        <v>74</v>
      </c>
      <c r="X455" s="1" t="s">
        <v>74</v>
      </c>
      <c r="Y455" s="1" t="s">
        <v>74</v>
      </c>
      <c r="Z455" s="1" t="s">
        <v>74</v>
      </c>
      <c r="AA455" s="1" t="s">
        <v>4634</v>
      </c>
      <c r="AB455" s="1" t="s">
        <v>4635</v>
      </c>
      <c r="AC455" s="1" t="s">
        <v>74</v>
      </c>
      <c r="AD455" s="1" t="s">
        <v>74</v>
      </c>
      <c r="AE455" s="1" t="s">
        <v>74</v>
      </c>
      <c r="AF455" s="1" t="s">
        <v>74</v>
      </c>
      <c r="AG455" s="1" t="s">
        <v>74</v>
      </c>
      <c r="AH455" s="1" t="s">
        <v>74</v>
      </c>
      <c r="AI455" s="1" t="s">
        <v>74</v>
      </c>
      <c r="AJ455" s="1" t="s">
        <v>74</v>
      </c>
      <c r="AK455" s="1" t="s">
        <v>74</v>
      </c>
      <c r="AL455" s="1" t="s">
        <v>74</v>
      </c>
      <c r="AM455" s="1" t="s">
        <v>74</v>
      </c>
      <c r="AN455" s="1" t="s">
        <v>74</v>
      </c>
      <c r="AO455" s="1" t="s">
        <v>639</v>
      </c>
      <c r="AP455" s="1" t="s">
        <v>640</v>
      </c>
      <c r="AQ455" s="1" t="s">
        <v>74</v>
      </c>
      <c r="AR455" s="1" t="s">
        <v>74</v>
      </c>
      <c r="AS455" s="1" t="s">
        <v>74</v>
      </c>
      <c r="AT455" s="1" t="s">
        <v>4636</v>
      </c>
      <c r="AU455" s="1">
        <v>2017.0</v>
      </c>
      <c r="AV455" s="1">
        <v>258.0</v>
      </c>
      <c r="AW455" s="1" t="s">
        <v>74</v>
      </c>
      <c r="AX455" s="1" t="s">
        <v>74</v>
      </c>
      <c r="AY455" s="1" t="s">
        <v>74</v>
      </c>
      <c r="AZ455" s="1" t="s">
        <v>74</v>
      </c>
      <c r="BA455" s="1" t="s">
        <v>74</v>
      </c>
      <c r="BB455" s="1">
        <v>850.0</v>
      </c>
      <c r="BC455" s="1">
        <v>857.0</v>
      </c>
      <c r="BD455" s="1" t="s">
        <v>74</v>
      </c>
      <c r="BE455" s="1" t="s">
        <v>4637</v>
      </c>
      <c r="BF455" s="2" t="str">
        <f>HYPERLINK("http://dx.doi.org/10.1016/j.electacta.2017.11.135","http://dx.doi.org/10.1016/j.electacta.2017.11.135")</f>
        <v>http://dx.doi.org/10.1016/j.electacta.2017.11.135</v>
      </c>
      <c r="BG455" s="1" t="s">
        <v>74</v>
      </c>
      <c r="BH455" s="1" t="s">
        <v>74</v>
      </c>
      <c r="BI455" s="1" t="s">
        <v>74</v>
      </c>
      <c r="BJ455" s="1" t="s">
        <v>74</v>
      </c>
      <c r="BK455" s="1" t="s">
        <v>74</v>
      </c>
      <c r="BL455" s="1" t="s">
        <v>74</v>
      </c>
      <c r="BM455" s="1" t="s">
        <v>74</v>
      </c>
      <c r="BN455" s="1" t="s">
        <v>74</v>
      </c>
      <c r="BO455" s="1" t="s">
        <v>74</v>
      </c>
      <c r="BP455" s="1" t="s">
        <v>74</v>
      </c>
      <c r="BQ455" s="1" t="s">
        <v>74</v>
      </c>
      <c r="BR455" s="1" t="s">
        <v>74</v>
      </c>
      <c r="BS455" s="1" t="s">
        <v>4638</v>
      </c>
      <c r="BT455" s="1" t="str">
        <f>HYPERLINK("https%3A%2F%2Fwww.webofscience.com%2Fwos%2Fwoscc%2Ffull-record%2FWOS:000418324800096","View Full Record in Web of Science")</f>
        <v>View Full Record in Web of Science</v>
      </c>
    </row>
    <row r="456" ht="12.75" customHeight="1">
      <c r="A456" s="1" t="s">
        <v>72</v>
      </c>
      <c r="B456" s="1" t="s">
        <v>4639</v>
      </c>
      <c r="C456" s="1" t="s">
        <v>74</v>
      </c>
      <c r="D456" s="1" t="s">
        <v>74</v>
      </c>
      <c r="E456" s="1" t="s">
        <v>74</v>
      </c>
      <c r="F456" s="1" t="s">
        <v>4640</v>
      </c>
      <c r="G456" s="1" t="s">
        <v>74</v>
      </c>
      <c r="H456" s="1" t="s">
        <v>74</v>
      </c>
      <c r="I456" s="1" t="s">
        <v>4641</v>
      </c>
      <c r="J456" s="1" t="s">
        <v>4642</v>
      </c>
      <c r="K456" s="1" t="s">
        <v>74</v>
      </c>
      <c r="L456" s="1" t="s">
        <v>74</v>
      </c>
      <c r="M456" s="1" t="s">
        <v>74</v>
      </c>
      <c r="N456" s="1" t="s">
        <v>74</v>
      </c>
      <c r="O456" s="1" t="s">
        <v>74</v>
      </c>
      <c r="P456" s="1" t="s">
        <v>74</v>
      </c>
      <c r="Q456" s="1" t="s">
        <v>74</v>
      </c>
      <c r="R456" s="1" t="s">
        <v>74</v>
      </c>
      <c r="S456" s="1" t="s">
        <v>74</v>
      </c>
      <c r="T456" s="1" t="s">
        <v>74</v>
      </c>
      <c r="U456" s="1" t="s">
        <v>74</v>
      </c>
      <c r="V456" s="1" t="s">
        <v>4643</v>
      </c>
      <c r="W456" s="1" t="s">
        <v>74</v>
      </c>
      <c r="X456" s="1" t="s">
        <v>74</v>
      </c>
      <c r="Y456" s="1" t="s">
        <v>74</v>
      </c>
      <c r="Z456" s="1" t="s">
        <v>74</v>
      </c>
      <c r="AA456" s="1" t="s">
        <v>4644</v>
      </c>
      <c r="AB456" s="1" t="s">
        <v>4645</v>
      </c>
      <c r="AC456" s="1" t="s">
        <v>74</v>
      </c>
      <c r="AD456" s="1" t="s">
        <v>74</v>
      </c>
      <c r="AE456" s="1" t="s">
        <v>74</v>
      </c>
      <c r="AF456" s="1" t="s">
        <v>74</v>
      </c>
      <c r="AG456" s="1" t="s">
        <v>74</v>
      </c>
      <c r="AH456" s="1" t="s">
        <v>74</v>
      </c>
      <c r="AI456" s="1" t="s">
        <v>74</v>
      </c>
      <c r="AJ456" s="1" t="s">
        <v>74</v>
      </c>
      <c r="AK456" s="1" t="s">
        <v>74</v>
      </c>
      <c r="AL456" s="1" t="s">
        <v>74</v>
      </c>
      <c r="AM456" s="1" t="s">
        <v>74</v>
      </c>
      <c r="AN456" s="1" t="s">
        <v>74</v>
      </c>
      <c r="AO456" s="1" t="s">
        <v>4646</v>
      </c>
      <c r="AP456" s="1" t="s">
        <v>4647</v>
      </c>
      <c r="AQ456" s="1" t="s">
        <v>74</v>
      </c>
      <c r="AR456" s="1" t="s">
        <v>74</v>
      </c>
      <c r="AS456" s="1" t="s">
        <v>74</v>
      </c>
      <c r="AT456" s="1" t="s">
        <v>652</v>
      </c>
      <c r="AU456" s="1">
        <v>2017.0</v>
      </c>
      <c r="AV456" s="1">
        <v>6.0</v>
      </c>
      <c r="AW456" s="1">
        <v>4.0</v>
      </c>
      <c r="AX456" s="1" t="s">
        <v>74</v>
      </c>
      <c r="AY456" s="1" t="s">
        <v>74</v>
      </c>
      <c r="AZ456" s="1" t="s">
        <v>74</v>
      </c>
      <c r="BA456" s="1" t="s">
        <v>74</v>
      </c>
      <c r="BB456" s="1">
        <v>327.0</v>
      </c>
      <c r="BC456" s="1">
        <v>334.0</v>
      </c>
      <c r="BD456" s="1" t="s">
        <v>74</v>
      </c>
      <c r="BE456" s="1" t="s">
        <v>4648</v>
      </c>
      <c r="BF456" s="2" t="str">
        <f>HYPERLINK("http://dx.doi.org/10.1016/j.jdmm.2017.03.003","http://dx.doi.org/10.1016/j.jdmm.2017.03.003")</f>
        <v>http://dx.doi.org/10.1016/j.jdmm.2017.03.003</v>
      </c>
      <c r="BG456" s="1" t="s">
        <v>74</v>
      </c>
      <c r="BH456" s="1" t="s">
        <v>74</v>
      </c>
      <c r="BI456" s="1" t="s">
        <v>74</v>
      </c>
      <c r="BJ456" s="1" t="s">
        <v>74</v>
      </c>
      <c r="BK456" s="1" t="s">
        <v>74</v>
      </c>
      <c r="BL456" s="1" t="s">
        <v>74</v>
      </c>
      <c r="BM456" s="1" t="s">
        <v>74</v>
      </c>
      <c r="BN456" s="1" t="s">
        <v>74</v>
      </c>
      <c r="BO456" s="1" t="s">
        <v>74</v>
      </c>
      <c r="BP456" s="1" t="s">
        <v>74</v>
      </c>
      <c r="BQ456" s="1" t="s">
        <v>74</v>
      </c>
      <c r="BR456" s="1" t="s">
        <v>74</v>
      </c>
      <c r="BS456" s="1" t="s">
        <v>4649</v>
      </c>
      <c r="BT456" s="1" t="str">
        <f>HYPERLINK("https%3A%2F%2Fwww.webofscience.com%2Fwos%2Fwoscc%2Ffull-record%2FWOS:000419415200006","View Full Record in Web of Science")</f>
        <v>View Full Record in Web of Science</v>
      </c>
    </row>
    <row r="457" ht="12.75" customHeight="1">
      <c r="A457" s="1" t="s">
        <v>72</v>
      </c>
      <c r="B457" s="1" t="s">
        <v>4650</v>
      </c>
      <c r="C457" s="1" t="s">
        <v>74</v>
      </c>
      <c r="D457" s="1" t="s">
        <v>74</v>
      </c>
      <c r="E457" s="1" t="s">
        <v>74</v>
      </c>
      <c r="F457" s="1" t="s">
        <v>4651</v>
      </c>
      <c r="G457" s="1" t="s">
        <v>74</v>
      </c>
      <c r="H457" s="1" t="s">
        <v>74</v>
      </c>
      <c r="I457" s="1" t="s">
        <v>4652</v>
      </c>
      <c r="J457" s="1" t="s">
        <v>4653</v>
      </c>
      <c r="K457" s="1" t="s">
        <v>74</v>
      </c>
      <c r="L457" s="1" t="s">
        <v>74</v>
      </c>
      <c r="M457" s="1" t="s">
        <v>74</v>
      </c>
      <c r="N457" s="1" t="s">
        <v>74</v>
      </c>
      <c r="O457" s="1" t="s">
        <v>74</v>
      </c>
      <c r="P457" s="1" t="s">
        <v>74</v>
      </c>
      <c r="Q457" s="1" t="s">
        <v>74</v>
      </c>
      <c r="R457" s="1" t="s">
        <v>74</v>
      </c>
      <c r="S457" s="1" t="s">
        <v>74</v>
      </c>
      <c r="T457" s="1" t="s">
        <v>74</v>
      </c>
      <c r="U457" s="1" t="s">
        <v>74</v>
      </c>
      <c r="V457" s="1" t="s">
        <v>4654</v>
      </c>
      <c r="W457" s="1" t="s">
        <v>74</v>
      </c>
      <c r="X457" s="1" t="s">
        <v>74</v>
      </c>
      <c r="Y457" s="1" t="s">
        <v>74</v>
      </c>
      <c r="Z457" s="1" t="s">
        <v>74</v>
      </c>
      <c r="AA457" s="1" t="s">
        <v>74</v>
      </c>
      <c r="AB457" s="1" t="s">
        <v>74</v>
      </c>
      <c r="AC457" s="1" t="s">
        <v>74</v>
      </c>
      <c r="AD457" s="1" t="s">
        <v>74</v>
      </c>
      <c r="AE457" s="1" t="s">
        <v>74</v>
      </c>
      <c r="AF457" s="1" t="s">
        <v>74</v>
      </c>
      <c r="AG457" s="1" t="s">
        <v>74</v>
      </c>
      <c r="AH457" s="1" t="s">
        <v>74</v>
      </c>
      <c r="AI457" s="1" t="s">
        <v>74</v>
      </c>
      <c r="AJ457" s="1" t="s">
        <v>74</v>
      </c>
      <c r="AK457" s="1" t="s">
        <v>74</v>
      </c>
      <c r="AL457" s="1" t="s">
        <v>74</v>
      </c>
      <c r="AM457" s="1" t="s">
        <v>74</v>
      </c>
      <c r="AN457" s="1" t="s">
        <v>74</v>
      </c>
      <c r="AO457" s="1" t="s">
        <v>4655</v>
      </c>
      <c r="AP457" s="1" t="s">
        <v>4656</v>
      </c>
      <c r="AQ457" s="1" t="s">
        <v>74</v>
      </c>
      <c r="AR457" s="1" t="s">
        <v>74</v>
      </c>
      <c r="AS457" s="1" t="s">
        <v>74</v>
      </c>
      <c r="AT457" s="1" t="s">
        <v>652</v>
      </c>
      <c r="AU457" s="1">
        <v>2017.0</v>
      </c>
      <c r="AV457" s="1">
        <v>93.0</v>
      </c>
      <c r="AW457" s="1" t="s">
        <v>74</v>
      </c>
      <c r="AX457" s="1" t="s">
        <v>74</v>
      </c>
      <c r="AY457" s="1" t="s">
        <v>74</v>
      </c>
      <c r="AZ457" s="1" t="s">
        <v>74</v>
      </c>
      <c r="BA457" s="1" t="s">
        <v>74</v>
      </c>
      <c r="BB457" s="1">
        <v>15.0</v>
      </c>
      <c r="BC457" s="1">
        <v>29.0</v>
      </c>
      <c r="BD457" s="1" t="s">
        <v>74</v>
      </c>
      <c r="BE457" s="1" t="s">
        <v>4657</v>
      </c>
      <c r="BF457" s="2" t="str">
        <f>HYPERLINK("http://dx.doi.org/10.1016/j.ijepes.2017.05.013","http://dx.doi.org/10.1016/j.ijepes.2017.05.013")</f>
        <v>http://dx.doi.org/10.1016/j.ijepes.2017.05.013</v>
      </c>
      <c r="BG457" s="1" t="s">
        <v>74</v>
      </c>
      <c r="BH457" s="1" t="s">
        <v>74</v>
      </c>
      <c r="BI457" s="1" t="s">
        <v>74</v>
      </c>
      <c r="BJ457" s="1" t="s">
        <v>74</v>
      </c>
      <c r="BK457" s="1" t="s">
        <v>74</v>
      </c>
      <c r="BL457" s="1" t="s">
        <v>74</v>
      </c>
      <c r="BM457" s="1" t="s">
        <v>74</v>
      </c>
      <c r="BN457" s="1" t="s">
        <v>74</v>
      </c>
      <c r="BO457" s="1" t="s">
        <v>74</v>
      </c>
      <c r="BP457" s="1" t="s">
        <v>74</v>
      </c>
      <c r="BQ457" s="1" t="s">
        <v>74</v>
      </c>
      <c r="BR457" s="1" t="s">
        <v>74</v>
      </c>
      <c r="BS457" s="1" t="s">
        <v>4658</v>
      </c>
      <c r="BT457" s="1" t="str">
        <f>HYPERLINK("https%3A%2F%2Fwww.webofscience.com%2Fwos%2Fwoscc%2Ffull-record%2FWOS:000407526300002","View Full Record in Web of Science")</f>
        <v>View Full Record in Web of Science</v>
      </c>
    </row>
    <row r="458" ht="12.75" customHeight="1">
      <c r="A458" s="1" t="s">
        <v>72</v>
      </c>
      <c r="B458" s="1" t="s">
        <v>4659</v>
      </c>
      <c r="C458" s="1" t="s">
        <v>74</v>
      </c>
      <c r="D458" s="1" t="s">
        <v>74</v>
      </c>
      <c r="E458" s="1" t="s">
        <v>74</v>
      </c>
      <c r="F458" s="1" t="s">
        <v>4660</v>
      </c>
      <c r="G458" s="1" t="s">
        <v>74</v>
      </c>
      <c r="H458" s="1" t="s">
        <v>74</v>
      </c>
      <c r="I458" s="1" t="s">
        <v>4661</v>
      </c>
      <c r="J458" s="1" t="s">
        <v>1397</v>
      </c>
      <c r="K458" s="1" t="s">
        <v>74</v>
      </c>
      <c r="L458" s="1" t="s">
        <v>74</v>
      </c>
      <c r="M458" s="1" t="s">
        <v>74</v>
      </c>
      <c r="N458" s="1" t="s">
        <v>74</v>
      </c>
      <c r="O458" s="1" t="s">
        <v>74</v>
      </c>
      <c r="P458" s="1" t="s">
        <v>74</v>
      </c>
      <c r="Q458" s="1" t="s">
        <v>74</v>
      </c>
      <c r="R458" s="1" t="s">
        <v>74</v>
      </c>
      <c r="S458" s="1" t="s">
        <v>74</v>
      </c>
      <c r="T458" s="1" t="s">
        <v>74</v>
      </c>
      <c r="U458" s="1" t="s">
        <v>74</v>
      </c>
      <c r="V458" s="1" t="s">
        <v>4662</v>
      </c>
      <c r="W458" s="1" t="s">
        <v>74</v>
      </c>
      <c r="X458" s="1" t="s">
        <v>74</v>
      </c>
      <c r="Y458" s="1" t="s">
        <v>74</v>
      </c>
      <c r="Z458" s="1" t="s">
        <v>74</v>
      </c>
      <c r="AA458" s="1" t="s">
        <v>4663</v>
      </c>
      <c r="AB458" s="1" t="s">
        <v>74</v>
      </c>
      <c r="AC458" s="1" t="s">
        <v>74</v>
      </c>
      <c r="AD458" s="1" t="s">
        <v>74</v>
      </c>
      <c r="AE458" s="1" t="s">
        <v>74</v>
      </c>
      <c r="AF458" s="1" t="s">
        <v>74</v>
      </c>
      <c r="AG458" s="1" t="s">
        <v>74</v>
      </c>
      <c r="AH458" s="1" t="s">
        <v>74</v>
      </c>
      <c r="AI458" s="1" t="s">
        <v>74</v>
      </c>
      <c r="AJ458" s="1" t="s">
        <v>74</v>
      </c>
      <c r="AK458" s="1" t="s">
        <v>74</v>
      </c>
      <c r="AL458" s="1" t="s">
        <v>74</v>
      </c>
      <c r="AM458" s="1" t="s">
        <v>74</v>
      </c>
      <c r="AN458" s="1" t="s">
        <v>74</v>
      </c>
      <c r="AO458" s="1" t="s">
        <v>1400</v>
      </c>
      <c r="AP458" s="1" t="s">
        <v>1401</v>
      </c>
      <c r="AQ458" s="1" t="s">
        <v>74</v>
      </c>
      <c r="AR458" s="1" t="s">
        <v>74</v>
      </c>
      <c r="AS458" s="1" t="s">
        <v>74</v>
      </c>
      <c r="AT458" s="1" t="s">
        <v>4664</v>
      </c>
      <c r="AU458" s="1">
        <v>2017.0</v>
      </c>
      <c r="AV458" s="1">
        <v>77.0</v>
      </c>
      <c r="AW458" s="1">
        <v>2.0</v>
      </c>
      <c r="AX458" s="1" t="s">
        <v>74</v>
      </c>
      <c r="AY458" s="1" t="s">
        <v>74</v>
      </c>
      <c r="AZ458" s="1" t="s">
        <v>74</v>
      </c>
      <c r="BA458" s="1" t="s">
        <v>74</v>
      </c>
      <c r="BB458" s="1" t="s">
        <v>74</v>
      </c>
      <c r="BC458" s="1" t="s">
        <v>74</v>
      </c>
      <c r="BD458" s="1">
        <v>123.0</v>
      </c>
      <c r="BE458" s="1" t="s">
        <v>4665</v>
      </c>
      <c r="BF458" s="2" t="str">
        <f>HYPERLINK("http://dx.doi.org/10.1140/epjc/s10052-017-4670-7","http://dx.doi.org/10.1140/epjc/s10052-017-4670-7")</f>
        <v>http://dx.doi.org/10.1140/epjc/s10052-017-4670-7</v>
      </c>
      <c r="BG458" s="1" t="s">
        <v>74</v>
      </c>
      <c r="BH458" s="1" t="s">
        <v>74</v>
      </c>
      <c r="BI458" s="1" t="s">
        <v>74</v>
      </c>
      <c r="BJ458" s="1" t="s">
        <v>74</v>
      </c>
      <c r="BK458" s="1" t="s">
        <v>74</v>
      </c>
      <c r="BL458" s="1" t="s">
        <v>74</v>
      </c>
      <c r="BM458" s="1" t="s">
        <v>74</v>
      </c>
      <c r="BN458" s="1" t="s">
        <v>74</v>
      </c>
      <c r="BO458" s="1" t="s">
        <v>74</v>
      </c>
      <c r="BP458" s="1" t="s">
        <v>74</v>
      </c>
      <c r="BQ458" s="1" t="s">
        <v>74</v>
      </c>
      <c r="BR458" s="1" t="s">
        <v>74</v>
      </c>
      <c r="BS458" s="1" t="s">
        <v>4666</v>
      </c>
      <c r="BT458" s="1" t="str">
        <f>HYPERLINK("https%3A%2F%2Fwww.webofscience.com%2Fwos%2Fwoscc%2Ffull-record%2FWOS:000399999600002","View Full Record in Web of Science")</f>
        <v>View Full Record in Web of Science</v>
      </c>
    </row>
    <row r="459" ht="12.75" customHeight="1">
      <c r="A459" s="1" t="s">
        <v>72</v>
      </c>
      <c r="B459" s="1" t="s">
        <v>4667</v>
      </c>
      <c r="C459" s="1" t="s">
        <v>74</v>
      </c>
      <c r="D459" s="1" t="s">
        <v>74</v>
      </c>
      <c r="E459" s="1" t="s">
        <v>74</v>
      </c>
      <c r="F459" s="1" t="s">
        <v>4668</v>
      </c>
      <c r="G459" s="1" t="s">
        <v>74</v>
      </c>
      <c r="H459" s="1" t="s">
        <v>74</v>
      </c>
      <c r="I459" s="1" t="s">
        <v>4669</v>
      </c>
      <c r="J459" s="1" t="s">
        <v>2106</v>
      </c>
      <c r="K459" s="1" t="s">
        <v>74</v>
      </c>
      <c r="L459" s="1" t="s">
        <v>74</v>
      </c>
      <c r="M459" s="1" t="s">
        <v>74</v>
      </c>
      <c r="N459" s="1" t="s">
        <v>74</v>
      </c>
      <c r="O459" s="1" t="s">
        <v>74</v>
      </c>
      <c r="P459" s="1" t="s">
        <v>74</v>
      </c>
      <c r="Q459" s="1" t="s">
        <v>74</v>
      </c>
      <c r="R459" s="1" t="s">
        <v>74</v>
      </c>
      <c r="S459" s="1" t="s">
        <v>74</v>
      </c>
      <c r="T459" s="1" t="s">
        <v>74</v>
      </c>
      <c r="U459" s="1" t="s">
        <v>74</v>
      </c>
      <c r="V459" s="1" t="s">
        <v>4670</v>
      </c>
      <c r="W459" s="1" t="s">
        <v>74</v>
      </c>
      <c r="X459" s="1" t="s">
        <v>74</v>
      </c>
      <c r="Y459" s="1" t="s">
        <v>74</v>
      </c>
      <c r="Z459" s="1" t="s">
        <v>74</v>
      </c>
      <c r="AA459" s="1" t="s">
        <v>4671</v>
      </c>
      <c r="AB459" s="1" t="s">
        <v>4672</v>
      </c>
      <c r="AC459" s="1" t="s">
        <v>74</v>
      </c>
      <c r="AD459" s="1" t="s">
        <v>74</v>
      </c>
      <c r="AE459" s="1" t="s">
        <v>74</v>
      </c>
      <c r="AF459" s="1" t="s">
        <v>74</v>
      </c>
      <c r="AG459" s="1" t="s">
        <v>74</v>
      </c>
      <c r="AH459" s="1" t="s">
        <v>74</v>
      </c>
      <c r="AI459" s="1" t="s">
        <v>74</v>
      </c>
      <c r="AJ459" s="1" t="s">
        <v>74</v>
      </c>
      <c r="AK459" s="1" t="s">
        <v>74</v>
      </c>
      <c r="AL459" s="1" t="s">
        <v>74</v>
      </c>
      <c r="AM459" s="1" t="s">
        <v>74</v>
      </c>
      <c r="AN459" s="1" t="s">
        <v>74</v>
      </c>
      <c r="AO459" s="1" t="s">
        <v>2110</v>
      </c>
      <c r="AP459" s="1" t="s">
        <v>2111</v>
      </c>
      <c r="AQ459" s="1" t="s">
        <v>74</v>
      </c>
      <c r="AR459" s="1" t="s">
        <v>74</v>
      </c>
      <c r="AS459" s="1" t="s">
        <v>74</v>
      </c>
      <c r="AT459" s="1" t="s">
        <v>235</v>
      </c>
      <c r="AU459" s="1">
        <v>2017.0</v>
      </c>
      <c r="AV459" s="1">
        <v>59.0</v>
      </c>
      <c r="AW459" s="1">
        <v>2.0</v>
      </c>
      <c r="AX459" s="1" t="s">
        <v>74</v>
      </c>
      <c r="AY459" s="1" t="s">
        <v>74</v>
      </c>
      <c r="AZ459" s="1" t="s">
        <v>74</v>
      </c>
      <c r="BA459" s="1" t="s">
        <v>74</v>
      </c>
      <c r="BB459" s="1">
        <v>85.0</v>
      </c>
      <c r="BC459" s="1">
        <v>92.0</v>
      </c>
      <c r="BD459" s="1" t="s">
        <v>74</v>
      </c>
      <c r="BE459" s="1" t="s">
        <v>4673</v>
      </c>
      <c r="BF459" s="2" t="str">
        <f>HYPERLINK("http://dx.doi.org/10.1784/insi.2017.59.2.85","http://dx.doi.org/10.1784/insi.2017.59.2.85")</f>
        <v>http://dx.doi.org/10.1784/insi.2017.59.2.85</v>
      </c>
      <c r="BG459" s="1" t="s">
        <v>74</v>
      </c>
      <c r="BH459" s="1" t="s">
        <v>74</v>
      </c>
      <c r="BI459" s="1" t="s">
        <v>74</v>
      </c>
      <c r="BJ459" s="1" t="s">
        <v>74</v>
      </c>
      <c r="BK459" s="1" t="s">
        <v>74</v>
      </c>
      <c r="BL459" s="1" t="s">
        <v>74</v>
      </c>
      <c r="BM459" s="1" t="s">
        <v>74</v>
      </c>
      <c r="BN459" s="1" t="s">
        <v>74</v>
      </c>
      <c r="BO459" s="1" t="s">
        <v>74</v>
      </c>
      <c r="BP459" s="1" t="s">
        <v>74</v>
      </c>
      <c r="BQ459" s="1" t="s">
        <v>74</v>
      </c>
      <c r="BR459" s="1" t="s">
        <v>74</v>
      </c>
      <c r="BS459" s="1" t="s">
        <v>4674</v>
      </c>
      <c r="BT459" s="1" t="str">
        <f>HYPERLINK("https%3A%2F%2Fwww.webofscience.com%2Fwos%2Fwoscc%2Ffull-record%2FWOS:000397332500007","View Full Record in Web of Science")</f>
        <v>View Full Record in Web of Science</v>
      </c>
    </row>
    <row r="460" ht="12.75" customHeight="1">
      <c r="A460" s="1" t="s">
        <v>182</v>
      </c>
      <c r="B460" s="1" t="s">
        <v>4675</v>
      </c>
      <c r="C460" s="1" t="s">
        <v>74</v>
      </c>
      <c r="D460" s="1" t="s">
        <v>74</v>
      </c>
      <c r="E460" s="1" t="s">
        <v>184</v>
      </c>
      <c r="F460" s="1" t="s">
        <v>4676</v>
      </c>
      <c r="G460" s="1" t="s">
        <v>74</v>
      </c>
      <c r="H460" s="1" t="s">
        <v>74</v>
      </c>
      <c r="I460" s="1" t="s">
        <v>4677</v>
      </c>
      <c r="J460" s="1" t="s">
        <v>466</v>
      </c>
      <c r="K460" s="1" t="s">
        <v>74</v>
      </c>
      <c r="L460" s="1" t="s">
        <v>74</v>
      </c>
      <c r="M460" s="1" t="s">
        <v>74</v>
      </c>
      <c r="N460" s="1" t="s">
        <v>74</v>
      </c>
      <c r="O460" s="1" t="s">
        <v>467</v>
      </c>
      <c r="P460" s="1" t="s">
        <v>468</v>
      </c>
      <c r="Q460" s="1" t="s">
        <v>469</v>
      </c>
      <c r="R460" s="1" t="s">
        <v>470</v>
      </c>
      <c r="S460" s="1" t="s">
        <v>74</v>
      </c>
      <c r="T460" s="1" t="s">
        <v>74</v>
      </c>
      <c r="U460" s="1" t="s">
        <v>74</v>
      </c>
      <c r="V460" s="1" t="s">
        <v>4678</v>
      </c>
      <c r="W460" s="1" t="s">
        <v>74</v>
      </c>
      <c r="X460" s="1" t="s">
        <v>74</v>
      </c>
      <c r="Y460" s="1" t="s">
        <v>74</v>
      </c>
      <c r="Z460" s="1" t="s">
        <v>74</v>
      </c>
      <c r="AA460" s="1" t="s">
        <v>4679</v>
      </c>
      <c r="AB460" s="1" t="s">
        <v>74</v>
      </c>
      <c r="AC460" s="1" t="s">
        <v>74</v>
      </c>
      <c r="AD460" s="1" t="s">
        <v>74</v>
      </c>
      <c r="AE460" s="1" t="s">
        <v>74</v>
      </c>
      <c r="AF460" s="1" t="s">
        <v>74</v>
      </c>
      <c r="AG460" s="1" t="s">
        <v>74</v>
      </c>
      <c r="AH460" s="1" t="s">
        <v>74</v>
      </c>
      <c r="AI460" s="1" t="s">
        <v>74</v>
      </c>
      <c r="AJ460" s="1" t="s">
        <v>74</v>
      </c>
      <c r="AK460" s="1" t="s">
        <v>74</v>
      </c>
      <c r="AL460" s="1" t="s">
        <v>74</v>
      </c>
      <c r="AM460" s="1" t="s">
        <v>74</v>
      </c>
      <c r="AN460" s="1" t="s">
        <v>74</v>
      </c>
      <c r="AO460" s="1" t="s">
        <v>74</v>
      </c>
      <c r="AP460" s="1" t="s">
        <v>74</v>
      </c>
      <c r="AQ460" s="1" t="s">
        <v>74</v>
      </c>
      <c r="AR460" s="1" t="s">
        <v>74</v>
      </c>
      <c r="AS460" s="1" t="s">
        <v>74</v>
      </c>
      <c r="AT460" s="1" t="s">
        <v>74</v>
      </c>
      <c r="AU460" s="1">
        <v>2017.0</v>
      </c>
      <c r="AV460" s="1" t="s">
        <v>74</v>
      </c>
      <c r="AW460" s="1" t="s">
        <v>74</v>
      </c>
      <c r="AX460" s="1" t="s">
        <v>74</v>
      </c>
      <c r="AY460" s="1" t="s">
        <v>74</v>
      </c>
      <c r="AZ460" s="1" t="s">
        <v>74</v>
      </c>
      <c r="BA460" s="1" t="s">
        <v>74</v>
      </c>
      <c r="BB460" s="1">
        <v>242.0</v>
      </c>
      <c r="BC460" s="1">
        <v>247.0</v>
      </c>
      <c r="BD460" s="1" t="s">
        <v>74</v>
      </c>
      <c r="BE460" s="1" t="s">
        <v>74</v>
      </c>
      <c r="BF460" s="1" t="s">
        <v>74</v>
      </c>
      <c r="BG460" s="1" t="s">
        <v>74</v>
      </c>
      <c r="BH460" s="1" t="s">
        <v>74</v>
      </c>
      <c r="BI460" s="1" t="s">
        <v>74</v>
      </c>
      <c r="BJ460" s="1" t="s">
        <v>74</v>
      </c>
      <c r="BK460" s="1" t="s">
        <v>74</v>
      </c>
      <c r="BL460" s="1" t="s">
        <v>74</v>
      </c>
      <c r="BM460" s="1" t="s">
        <v>74</v>
      </c>
      <c r="BN460" s="1" t="s">
        <v>74</v>
      </c>
      <c r="BO460" s="1" t="s">
        <v>74</v>
      </c>
      <c r="BP460" s="1" t="s">
        <v>74</v>
      </c>
      <c r="BQ460" s="1" t="s">
        <v>74</v>
      </c>
      <c r="BR460" s="1" t="s">
        <v>74</v>
      </c>
      <c r="BS460" s="1" t="s">
        <v>4680</v>
      </c>
      <c r="BT460" s="1" t="str">
        <f>HYPERLINK("https%3A%2F%2Fwww.webofscience.com%2Fwos%2Fwoscc%2Ffull-record%2FWOS:000454362300041","View Full Record in Web of Science")</f>
        <v>View Full Record in Web of Science</v>
      </c>
    </row>
    <row r="461" ht="12.75" customHeight="1">
      <c r="A461" s="1" t="s">
        <v>72</v>
      </c>
      <c r="B461" s="1" t="s">
        <v>4681</v>
      </c>
      <c r="C461" s="1" t="s">
        <v>74</v>
      </c>
      <c r="D461" s="1" t="s">
        <v>74</v>
      </c>
      <c r="E461" s="1" t="s">
        <v>74</v>
      </c>
      <c r="F461" s="1" t="s">
        <v>4682</v>
      </c>
      <c r="G461" s="1" t="s">
        <v>74</v>
      </c>
      <c r="H461" s="1" t="s">
        <v>74</v>
      </c>
      <c r="I461" s="1" t="s">
        <v>4683</v>
      </c>
      <c r="J461" s="1" t="s">
        <v>4684</v>
      </c>
      <c r="K461" s="1" t="s">
        <v>74</v>
      </c>
      <c r="L461" s="1" t="s">
        <v>74</v>
      </c>
      <c r="M461" s="1" t="s">
        <v>74</v>
      </c>
      <c r="N461" s="1" t="s">
        <v>74</v>
      </c>
      <c r="O461" s="1" t="s">
        <v>74</v>
      </c>
      <c r="P461" s="1" t="s">
        <v>74</v>
      </c>
      <c r="Q461" s="1" t="s">
        <v>74</v>
      </c>
      <c r="R461" s="1" t="s">
        <v>74</v>
      </c>
      <c r="S461" s="1" t="s">
        <v>74</v>
      </c>
      <c r="T461" s="1" t="s">
        <v>74</v>
      </c>
      <c r="U461" s="1" t="s">
        <v>74</v>
      </c>
      <c r="V461" s="1" t="s">
        <v>4685</v>
      </c>
      <c r="W461" s="1" t="s">
        <v>74</v>
      </c>
      <c r="X461" s="1" t="s">
        <v>74</v>
      </c>
      <c r="Y461" s="1" t="s">
        <v>74</v>
      </c>
      <c r="Z461" s="1" t="s">
        <v>74</v>
      </c>
      <c r="AA461" s="1" t="s">
        <v>4686</v>
      </c>
      <c r="AB461" s="1" t="s">
        <v>4687</v>
      </c>
      <c r="AC461" s="1" t="s">
        <v>74</v>
      </c>
      <c r="AD461" s="1" t="s">
        <v>74</v>
      </c>
      <c r="AE461" s="1" t="s">
        <v>74</v>
      </c>
      <c r="AF461" s="1" t="s">
        <v>74</v>
      </c>
      <c r="AG461" s="1" t="s">
        <v>74</v>
      </c>
      <c r="AH461" s="1" t="s">
        <v>74</v>
      </c>
      <c r="AI461" s="1" t="s">
        <v>74</v>
      </c>
      <c r="AJ461" s="1" t="s">
        <v>74</v>
      </c>
      <c r="AK461" s="1" t="s">
        <v>74</v>
      </c>
      <c r="AL461" s="1" t="s">
        <v>74</v>
      </c>
      <c r="AM461" s="1" t="s">
        <v>74</v>
      </c>
      <c r="AN461" s="1" t="s">
        <v>74</v>
      </c>
      <c r="AO461" s="1" t="s">
        <v>74</v>
      </c>
      <c r="AP461" s="1" t="s">
        <v>4688</v>
      </c>
      <c r="AQ461" s="1" t="s">
        <v>74</v>
      </c>
      <c r="AR461" s="1" t="s">
        <v>74</v>
      </c>
      <c r="AS461" s="1" t="s">
        <v>74</v>
      </c>
      <c r="AT461" s="1" t="s">
        <v>652</v>
      </c>
      <c r="AU461" s="1">
        <v>2016.0</v>
      </c>
      <c r="AV461" s="1">
        <v>8.0</v>
      </c>
      <c r="AW461" s="1">
        <v>12.0</v>
      </c>
      <c r="AX461" s="1" t="s">
        <v>74</v>
      </c>
      <c r="AY461" s="1" t="s">
        <v>74</v>
      </c>
      <c r="AZ461" s="1" t="s">
        <v>74</v>
      </c>
      <c r="BA461" s="1" t="s">
        <v>74</v>
      </c>
      <c r="BB461" s="1" t="s">
        <v>74</v>
      </c>
      <c r="BC461" s="1" t="s">
        <v>74</v>
      </c>
      <c r="BD461" s="1">
        <v>737.0</v>
      </c>
      <c r="BE461" s="1" t="s">
        <v>4689</v>
      </c>
      <c r="BF461" s="2" t="str">
        <f>HYPERLINK("http://dx.doi.org/10.3390/nu8120737","http://dx.doi.org/10.3390/nu8120737")</f>
        <v>http://dx.doi.org/10.3390/nu8120737</v>
      </c>
      <c r="BG461" s="1" t="s">
        <v>74</v>
      </c>
      <c r="BH461" s="1" t="s">
        <v>74</v>
      </c>
      <c r="BI461" s="1" t="s">
        <v>74</v>
      </c>
      <c r="BJ461" s="1" t="s">
        <v>74</v>
      </c>
      <c r="BK461" s="1" t="s">
        <v>74</v>
      </c>
      <c r="BL461" s="1" t="s">
        <v>74</v>
      </c>
      <c r="BM461" s="1" t="s">
        <v>74</v>
      </c>
      <c r="BN461" s="1">
        <v>2.7916871E7</v>
      </c>
      <c r="BO461" s="1" t="s">
        <v>74</v>
      </c>
      <c r="BP461" s="1" t="s">
        <v>74</v>
      </c>
      <c r="BQ461" s="1" t="s">
        <v>74</v>
      </c>
      <c r="BR461" s="1" t="s">
        <v>74</v>
      </c>
      <c r="BS461" s="1" t="s">
        <v>4690</v>
      </c>
      <c r="BT461" s="1" t="str">
        <f>HYPERLINK("https%3A%2F%2Fwww.webofscience.com%2Fwos%2Fwoscc%2Ffull-record%2FWOS:000389144100002","View Full Record in Web of Science")</f>
        <v>View Full Record in Web of Science</v>
      </c>
    </row>
    <row r="462" ht="12.75" customHeight="1">
      <c r="A462" s="1" t="s">
        <v>72</v>
      </c>
      <c r="B462" s="1" t="s">
        <v>4691</v>
      </c>
      <c r="C462" s="1" t="s">
        <v>74</v>
      </c>
      <c r="D462" s="1" t="s">
        <v>74</v>
      </c>
      <c r="E462" s="1" t="s">
        <v>74</v>
      </c>
      <c r="F462" s="1" t="s">
        <v>4692</v>
      </c>
      <c r="G462" s="1" t="s">
        <v>74</v>
      </c>
      <c r="H462" s="1" t="s">
        <v>74</v>
      </c>
      <c r="I462" s="1" t="s">
        <v>4693</v>
      </c>
      <c r="J462" s="1" t="s">
        <v>4694</v>
      </c>
      <c r="K462" s="1" t="s">
        <v>74</v>
      </c>
      <c r="L462" s="1" t="s">
        <v>74</v>
      </c>
      <c r="M462" s="1" t="s">
        <v>74</v>
      </c>
      <c r="N462" s="1" t="s">
        <v>74</v>
      </c>
      <c r="O462" s="1" t="s">
        <v>74</v>
      </c>
      <c r="P462" s="1" t="s">
        <v>74</v>
      </c>
      <c r="Q462" s="1" t="s">
        <v>74</v>
      </c>
      <c r="R462" s="1" t="s">
        <v>74</v>
      </c>
      <c r="S462" s="1" t="s">
        <v>74</v>
      </c>
      <c r="T462" s="1" t="s">
        <v>74</v>
      </c>
      <c r="U462" s="1" t="s">
        <v>74</v>
      </c>
      <c r="V462" s="1" t="s">
        <v>4695</v>
      </c>
      <c r="W462" s="1" t="s">
        <v>74</v>
      </c>
      <c r="X462" s="1" t="s">
        <v>74</v>
      </c>
      <c r="Y462" s="1" t="s">
        <v>74</v>
      </c>
      <c r="Z462" s="1" t="s">
        <v>74</v>
      </c>
      <c r="AA462" s="1" t="s">
        <v>4696</v>
      </c>
      <c r="AB462" s="1" t="s">
        <v>4697</v>
      </c>
      <c r="AC462" s="1" t="s">
        <v>74</v>
      </c>
      <c r="AD462" s="1" t="s">
        <v>74</v>
      </c>
      <c r="AE462" s="1" t="s">
        <v>74</v>
      </c>
      <c r="AF462" s="1" t="s">
        <v>74</v>
      </c>
      <c r="AG462" s="1" t="s">
        <v>74</v>
      </c>
      <c r="AH462" s="1" t="s">
        <v>74</v>
      </c>
      <c r="AI462" s="1" t="s">
        <v>74</v>
      </c>
      <c r="AJ462" s="1" t="s">
        <v>74</v>
      </c>
      <c r="AK462" s="1" t="s">
        <v>74</v>
      </c>
      <c r="AL462" s="1" t="s">
        <v>74</v>
      </c>
      <c r="AM462" s="1" t="s">
        <v>74</v>
      </c>
      <c r="AN462" s="1" t="s">
        <v>74</v>
      </c>
      <c r="AO462" s="1" t="s">
        <v>4698</v>
      </c>
      <c r="AP462" s="1" t="s">
        <v>4699</v>
      </c>
      <c r="AQ462" s="1" t="s">
        <v>74</v>
      </c>
      <c r="AR462" s="1" t="s">
        <v>74</v>
      </c>
      <c r="AS462" s="1" t="s">
        <v>74</v>
      </c>
      <c r="AT462" s="1" t="s">
        <v>158</v>
      </c>
      <c r="AU462" s="1">
        <v>2016.0</v>
      </c>
      <c r="AV462" s="1">
        <v>29.0</v>
      </c>
      <c r="AW462" s="1">
        <v>3.0</v>
      </c>
      <c r="AX462" s="1" t="s">
        <v>74</v>
      </c>
      <c r="AY462" s="1" t="s">
        <v>74</v>
      </c>
      <c r="AZ462" s="1" t="s">
        <v>74</v>
      </c>
      <c r="BA462" s="1" t="s">
        <v>74</v>
      </c>
      <c r="BB462" s="1">
        <v>721.0</v>
      </c>
      <c r="BC462" s="1">
        <v>756.0</v>
      </c>
      <c r="BD462" s="1" t="s">
        <v>74</v>
      </c>
      <c r="BE462" s="1" t="s">
        <v>4700</v>
      </c>
      <c r="BF462" s="2" t="str">
        <f>HYPERLINK("http://dx.doi.org/10.1007/s00148-016-0585-0","http://dx.doi.org/10.1007/s00148-016-0585-0")</f>
        <v>http://dx.doi.org/10.1007/s00148-016-0585-0</v>
      </c>
      <c r="BG462" s="1" t="s">
        <v>74</v>
      </c>
      <c r="BH462" s="1" t="s">
        <v>74</v>
      </c>
      <c r="BI462" s="1" t="s">
        <v>74</v>
      </c>
      <c r="BJ462" s="1" t="s">
        <v>74</v>
      </c>
      <c r="BK462" s="1" t="s">
        <v>74</v>
      </c>
      <c r="BL462" s="1" t="s">
        <v>74</v>
      </c>
      <c r="BM462" s="1" t="s">
        <v>74</v>
      </c>
      <c r="BN462" s="1" t="s">
        <v>74</v>
      </c>
      <c r="BO462" s="1" t="s">
        <v>74</v>
      </c>
      <c r="BP462" s="1" t="s">
        <v>74</v>
      </c>
      <c r="BQ462" s="1" t="s">
        <v>74</v>
      </c>
      <c r="BR462" s="1" t="s">
        <v>74</v>
      </c>
      <c r="BS462" s="1" t="s">
        <v>4701</v>
      </c>
      <c r="BT462" s="1" t="str">
        <f>HYPERLINK("https%3A%2F%2Fwww.webofscience.com%2Fwos%2Fwoscc%2Ffull-record%2FWOS:000374709000003","View Full Record in Web of Science")</f>
        <v>View Full Record in Web of Science</v>
      </c>
    </row>
    <row r="463" ht="12.75" customHeight="1">
      <c r="A463" s="1" t="s">
        <v>72</v>
      </c>
      <c r="B463" s="1" t="s">
        <v>4702</v>
      </c>
      <c r="C463" s="1" t="s">
        <v>74</v>
      </c>
      <c r="D463" s="1" t="s">
        <v>74</v>
      </c>
      <c r="E463" s="1" t="s">
        <v>74</v>
      </c>
      <c r="F463" s="1" t="s">
        <v>4703</v>
      </c>
      <c r="G463" s="1" t="s">
        <v>74</v>
      </c>
      <c r="H463" s="1" t="s">
        <v>74</v>
      </c>
      <c r="I463" s="1" t="s">
        <v>4704</v>
      </c>
      <c r="J463" s="1" t="s">
        <v>4705</v>
      </c>
      <c r="K463" s="1" t="s">
        <v>74</v>
      </c>
      <c r="L463" s="1" t="s">
        <v>74</v>
      </c>
      <c r="M463" s="1" t="s">
        <v>74</v>
      </c>
      <c r="N463" s="1" t="s">
        <v>74</v>
      </c>
      <c r="O463" s="1" t="s">
        <v>74</v>
      </c>
      <c r="P463" s="1" t="s">
        <v>74</v>
      </c>
      <c r="Q463" s="1" t="s">
        <v>74</v>
      </c>
      <c r="R463" s="1" t="s">
        <v>74</v>
      </c>
      <c r="S463" s="1" t="s">
        <v>74</v>
      </c>
      <c r="T463" s="1" t="s">
        <v>74</v>
      </c>
      <c r="U463" s="1" t="s">
        <v>74</v>
      </c>
      <c r="V463" s="1" t="s">
        <v>4706</v>
      </c>
      <c r="W463" s="1" t="s">
        <v>74</v>
      </c>
      <c r="X463" s="1" t="s">
        <v>74</v>
      </c>
      <c r="Y463" s="1" t="s">
        <v>74</v>
      </c>
      <c r="Z463" s="1" t="s">
        <v>74</v>
      </c>
      <c r="AA463" s="1" t="s">
        <v>4707</v>
      </c>
      <c r="AB463" s="1" t="s">
        <v>74</v>
      </c>
      <c r="AC463" s="1" t="s">
        <v>74</v>
      </c>
      <c r="AD463" s="1" t="s">
        <v>74</v>
      </c>
      <c r="AE463" s="1" t="s">
        <v>74</v>
      </c>
      <c r="AF463" s="1" t="s">
        <v>74</v>
      </c>
      <c r="AG463" s="1" t="s">
        <v>74</v>
      </c>
      <c r="AH463" s="1" t="s">
        <v>74</v>
      </c>
      <c r="AI463" s="1" t="s">
        <v>74</v>
      </c>
      <c r="AJ463" s="1" t="s">
        <v>74</v>
      </c>
      <c r="AK463" s="1" t="s">
        <v>74</v>
      </c>
      <c r="AL463" s="1" t="s">
        <v>74</v>
      </c>
      <c r="AM463" s="1" t="s">
        <v>74</v>
      </c>
      <c r="AN463" s="1" t="s">
        <v>74</v>
      </c>
      <c r="AO463" s="1" t="s">
        <v>4708</v>
      </c>
      <c r="AP463" s="1" t="s">
        <v>74</v>
      </c>
      <c r="AQ463" s="1" t="s">
        <v>74</v>
      </c>
      <c r="AR463" s="1" t="s">
        <v>74</v>
      </c>
      <c r="AS463" s="1" t="s">
        <v>74</v>
      </c>
      <c r="AT463" s="1" t="s">
        <v>180</v>
      </c>
      <c r="AU463" s="1">
        <v>2016.0</v>
      </c>
      <c r="AV463" s="1">
        <v>5.0</v>
      </c>
      <c r="AW463" s="1">
        <v>5.0</v>
      </c>
      <c r="AX463" s="1" t="s">
        <v>74</v>
      </c>
      <c r="AY463" s="1" t="s">
        <v>74</v>
      </c>
      <c r="AZ463" s="1" t="s">
        <v>74</v>
      </c>
      <c r="BA463" s="1" t="s">
        <v>74</v>
      </c>
      <c r="BB463" s="1" t="s">
        <v>74</v>
      </c>
      <c r="BC463" s="1" t="s">
        <v>74</v>
      </c>
      <c r="BD463" s="1">
        <v>71.0</v>
      </c>
      <c r="BE463" s="1" t="s">
        <v>4709</v>
      </c>
      <c r="BF463" s="2" t="str">
        <f>HYPERLINK("http://dx.doi.org/10.3390/ijgi5050071","http://dx.doi.org/10.3390/ijgi5050071")</f>
        <v>http://dx.doi.org/10.3390/ijgi5050071</v>
      </c>
      <c r="BG463" s="1" t="s">
        <v>74</v>
      </c>
      <c r="BH463" s="1" t="s">
        <v>74</v>
      </c>
      <c r="BI463" s="1" t="s">
        <v>74</v>
      </c>
      <c r="BJ463" s="1" t="s">
        <v>74</v>
      </c>
      <c r="BK463" s="1" t="s">
        <v>74</v>
      </c>
      <c r="BL463" s="1" t="s">
        <v>74</v>
      </c>
      <c r="BM463" s="1" t="s">
        <v>74</v>
      </c>
      <c r="BN463" s="1" t="s">
        <v>74</v>
      </c>
      <c r="BO463" s="1" t="s">
        <v>74</v>
      </c>
      <c r="BP463" s="1" t="s">
        <v>74</v>
      </c>
      <c r="BQ463" s="1" t="s">
        <v>74</v>
      </c>
      <c r="BR463" s="1" t="s">
        <v>74</v>
      </c>
      <c r="BS463" s="1" t="s">
        <v>4710</v>
      </c>
      <c r="BT463" s="1" t="str">
        <f>HYPERLINK("https%3A%2F%2Fwww.webofscience.com%2Fwos%2Fwoscc%2Ffull-record%2FWOS:000379861800018","View Full Record in Web of Science")</f>
        <v>View Full Record in Web of Science</v>
      </c>
    </row>
    <row r="464" ht="12.75" customHeight="1">
      <c r="A464" s="1" t="s">
        <v>72</v>
      </c>
      <c r="B464" s="1" t="s">
        <v>4711</v>
      </c>
      <c r="C464" s="1" t="s">
        <v>74</v>
      </c>
      <c r="D464" s="1" t="s">
        <v>74</v>
      </c>
      <c r="E464" s="1" t="s">
        <v>74</v>
      </c>
      <c r="F464" s="1" t="s">
        <v>4712</v>
      </c>
      <c r="G464" s="1" t="s">
        <v>74</v>
      </c>
      <c r="H464" s="1" t="s">
        <v>74</v>
      </c>
      <c r="I464" s="1" t="s">
        <v>4713</v>
      </c>
      <c r="J464" s="1" t="s">
        <v>4714</v>
      </c>
      <c r="K464" s="1" t="s">
        <v>74</v>
      </c>
      <c r="L464" s="1" t="s">
        <v>74</v>
      </c>
      <c r="M464" s="1" t="s">
        <v>74</v>
      </c>
      <c r="N464" s="1" t="s">
        <v>74</v>
      </c>
      <c r="O464" s="1" t="s">
        <v>74</v>
      </c>
      <c r="P464" s="1" t="s">
        <v>74</v>
      </c>
      <c r="Q464" s="1" t="s">
        <v>74</v>
      </c>
      <c r="R464" s="1" t="s">
        <v>74</v>
      </c>
      <c r="S464" s="1" t="s">
        <v>74</v>
      </c>
      <c r="T464" s="1" t="s">
        <v>74</v>
      </c>
      <c r="U464" s="1" t="s">
        <v>74</v>
      </c>
      <c r="V464" s="1" t="s">
        <v>4715</v>
      </c>
      <c r="W464" s="1" t="s">
        <v>74</v>
      </c>
      <c r="X464" s="1" t="s">
        <v>74</v>
      </c>
      <c r="Y464" s="1" t="s">
        <v>74</v>
      </c>
      <c r="Z464" s="1" t="s">
        <v>74</v>
      </c>
      <c r="AA464" s="1" t="s">
        <v>4716</v>
      </c>
      <c r="AB464" s="1" t="s">
        <v>74</v>
      </c>
      <c r="AC464" s="1" t="s">
        <v>74</v>
      </c>
      <c r="AD464" s="1" t="s">
        <v>74</v>
      </c>
      <c r="AE464" s="1" t="s">
        <v>74</v>
      </c>
      <c r="AF464" s="1" t="s">
        <v>74</v>
      </c>
      <c r="AG464" s="1" t="s">
        <v>74</v>
      </c>
      <c r="AH464" s="1" t="s">
        <v>74</v>
      </c>
      <c r="AI464" s="1" t="s">
        <v>74</v>
      </c>
      <c r="AJ464" s="1" t="s">
        <v>74</v>
      </c>
      <c r="AK464" s="1" t="s">
        <v>74</v>
      </c>
      <c r="AL464" s="1" t="s">
        <v>74</v>
      </c>
      <c r="AM464" s="1" t="s">
        <v>74</v>
      </c>
      <c r="AN464" s="1" t="s">
        <v>74</v>
      </c>
      <c r="AO464" s="1" t="s">
        <v>4717</v>
      </c>
      <c r="AP464" s="1" t="s">
        <v>4718</v>
      </c>
      <c r="AQ464" s="1" t="s">
        <v>74</v>
      </c>
      <c r="AR464" s="1" t="s">
        <v>74</v>
      </c>
      <c r="AS464" s="1" t="s">
        <v>74</v>
      </c>
      <c r="AT464" s="1" t="s">
        <v>133</v>
      </c>
      <c r="AU464" s="1">
        <v>2016.0</v>
      </c>
      <c r="AV464" s="1">
        <v>42.0</v>
      </c>
      <c r="AW464" s="1">
        <v>1.0</v>
      </c>
      <c r="AX464" s="1" t="s">
        <v>74</v>
      </c>
      <c r="AY464" s="1" t="s">
        <v>74</v>
      </c>
      <c r="AZ464" s="1" t="s">
        <v>74</v>
      </c>
      <c r="BA464" s="1" t="s">
        <v>74</v>
      </c>
      <c r="BB464" s="1">
        <v>283.0</v>
      </c>
      <c r="BC464" s="1">
        <v>307.0</v>
      </c>
      <c r="BD464" s="1" t="s">
        <v>74</v>
      </c>
      <c r="BE464" s="1" t="s">
        <v>4719</v>
      </c>
      <c r="BF464" s="2" t="str">
        <f>HYPERLINK("http://dx.doi.org/10.15448/1980-864X.2016.1.21808","http://dx.doi.org/10.15448/1980-864X.2016.1.21808")</f>
        <v>http://dx.doi.org/10.15448/1980-864X.2016.1.21808</v>
      </c>
      <c r="BG464" s="1" t="s">
        <v>74</v>
      </c>
      <c r="BH464" s="1" t="s">
        <v>74</v>
      </c>
      <c r="BI464" s="1" t="s">
        <v>74</v>
      </c>
      <c r="BJ464" s="1" t="s">
        <v>74</v>
      </c>
      <c r="BK464" s="1" t="s">
        <v>74</v>
      </c>
      <c r="BL464" s="1" t="s">
        <v>74</v>
      </c>
      <c r="BM464" s="1" t="s">
        <v>74</v>
      </c>
      <c r="BN464" s="1" t="s">
        <v>74</v>
      </c>
      <c r="BO464" s="1" t="s">
        <v>74</v>
      </c>
      <c r="BP464" s="1" t="s">
        <v>74</v>
      </c>
      <c r="BQ464" s="1" t="s">
        <v>74</v>
      </c>
      <c r="BR464" s="1" t="s">
        <v>74</v>
      </c>
      <c r="BS464" s="1" t="s">
        <v>4720</v>
      </c>
      <c r="BT464" s="1" t="str">
        <f>HYPERLINK("https%3A%2F%2Fwww.webofscience.com%2Fwos%2Fwoscc%2Ffull-record%2FWOS:000383557300016","View Full Record in Web of Science")</f>
        <v>View Full Record in Web of Science</v>
      </c>
    </row>
    <row r="465" ht="12.75" customHeight="1">
      <c r="A465" s="1" t="s">
        <v>72</v>
      </c>
      <c r="B465" s="1" t="s">
        <v>4721</v>
      </c>
      <c r="C465" s="1" t="s">
        <v>74</v>
      </c>
      <c r="D465" s="1" t="s">
        <v>74</v>
      </c>
      <c r="E465" s="1" t="s">
        <v>74</v>
      </c>
      <c r="F465" s="1" t="s">
        <v>4722</v>
      </c>
      <c r="G465" s="1" t="s">
        <v>74</v>
      </c>
      <c r="H465" s="1" t="s">
        <v>74</v>
      </c>
      <c r="I465" s="1" t="s">
        <v>4723</v>
      </c>
      <c r="J465" s="1" t="s">
        <v>1605</v>
      </c>
      <c r="K465" s="1" t="s">
        <v>74</v>
      </c>
      <c r="L465" s="1" t="s">
        <v>74</v>
      </c>
      <c r="M465" s="1" t="s">
        <v>74</v>
      </c>
      <c r="N465" s="1" t="s">
        <v>74</v>
      </c>
      <c r="O465" s="1" t="s">
        <v>74</v>
      </c>
      <c r="P465" s="1" t="s">
        <v>74</v>
      </c>
      <c r="Q465" s="1" t="s">
        <v>74</v>
      </c>
      <c r="R465" s="1" t="s">
        <v>74</v>
      </c>
      <c r="S465" s="1" t="s">
        <v>74</v>
      </c>
      <c r="T465" s="1" t="s">
        <v>74</v>
      </c>
      <c r="U465" s="1" t="s">
        <v>74</v>
      </c>
      <c r="V465" s="1" t="s">
        <v>4724</v>
      </c>
      <c r="W465" s="1" t="s">
        <v>74</v>
      </c>
      <c r="X465" s="1" t="s">
        <v>74</v>
      </c>
      <c r="Y465" s="1" t="s">
        <v>74</v>
      </c>
      <c r="Z465" s="1" t="s">
        <v>74</v>
      </c>
      <c r="AA465" s="1" t="s">
        <v>4725</v>
      </c>
      <c r="AB465" s="1" t="s">
        <v>4726</v>
      </c>
      <c r="AC465" s="1" t="s">
        <v>74</v>
      </c>
      <c r="AD465" s="1" t="s">
        <v>74</v>
      </c>
      <c r="AE465" s="1" t="s">
        <v>74</v>
      </c>
      <c r="AF465" s="1" t="s">
        <v>74</v>
      </c>
      <c r="AG465" s="1" t="s">
        <v>74</v>
      </c>
      <c r="AH465" s="1" t="s">
        <v>74</v>
      </c>
      <c r="AI465" s="1" t="s">
        <v>74</v>
      </c>
      <c r="AJ465" s="1" t="s">
        <v>74</v>
      </c>
      <c r="AK465" s="1" t="s">
        <v>74</v>
      </c>
      <c r="AL465" s="1" t="s">
        <v>74</v>
      </c>
      <c r="AM465" s="1" t="s">
        <v>74</v>
      </c>
      <c r="AN465" s="1" t="s">
        <v>74</v>
      </c>
      <c r="AO465" s="1" t="s">
        <v>1609</v>
      </c>
      <c r="AP465" s="1" t="s">
        <v>74</v>
      </c>
      <c r="AQ465" s="1" t="s">
        <v>74</v>
      </c>
      <c r="AR465" s="1" t="s">
        <v>74</v>
      </c>
      <c r="AS465" s="1" t="s">
        <v>74</v>
      </c>
      <c r="AT465" s="1" t="s">
        <v>4727</v>
      </c>
      <c r="AU465" s="1">
        <v>2015.0</v>
      </c>
      <c r="AV465" s="1">
        <v>10.0</v>
      </c>
      <c r="AW465" s="1">
        <v>9.0</v>
      </c>
      <c r="AX465" s="1" t="s">
        <v>74</v>
      </c>
      <c r="AY465" s="1" t="s">
        <v>74</v>
      </c>
      <c r="AZ465" s="1" t="s">
        <v>74</v>
      </c>
      <c r="BA465" s="1" t="s">
        <v>74</v>
      </c>
      <c r="BB465" s="1" t="s">
        <v>74</v>
      </c>
      <c r="BC465" s="1" t="s">
        <v>74</v>
      </c>
      <c r="BD465" s="1" t="s">
        <v>4728</v>
      </c>
      <c r="BE465" s="1" t="s">
        <v>4729</v>
      </c>
      <c r="BF465" s="2" t="str">
        <f>HYPERLINK("http://dx.doi.org/10.1371/journal.pone.0137854","http://dx.doi.org/10.1371/journal.pone.0137854")</f>
        <v>http://dx.doi.org/10.1371/journal.pone.0137854</v>
      </c>
      <c r="BG465" s="1" t="s">
        <v>74</v>
      </c>
      <c r="BH465" s="1" t="s">
        <v>74</v>
      </c>
      <c r="BI465" s="1" t="s">
        <v>74</v>
      </c>
      <c r="BJ465" s="1" t="s">
        <v>74</v>
      </c>
      <c r="BK465" s="1" t="s">
        <v>74</v>
      </c>
      <c r="BL465" s="1" t="s">
        <v>74</v>
      </c>
      <c r="BM465" s="1" t="s">
        <v>74</v>
      </c>
      <c r="BN465" s="1">
        <v>2.6368395E7</v>
      </c>
      <c r="BO465" s="1" t="s">
        <v>74</v>
      </c>
      <c r="BP465" s="1" t="s">
        <v>74</v>
      </c>
      <c r="BQ465" s="1" t="s">
        <v>74</v>
      </c>
      <c r="BR465" s="1" t="s">
        <v>74</v>
      </c>
      <c r="BS465" s="1" t="s">
        <v>4730</v>
      </c>
      <c r="BT465" s="1" t="str">
        <f>HYPERLINK("https%3A%2F%2Fwww.webofscience.com%2Fwos%2Fwoscc%2Ffull-record%2FWOS:000361601100156","View Full Record in Web of Science")</f>
        <v>View Full Record in Web of Science</v>
      </c>
    </row>
    <row r="466" ht="12.75" customHeight="1">
      <c r="A466" s="1" t="s">
        <v>72</v>
      </c>
      <c r="B466" s="1" t="s">
        <v>4731</v>
      </c>
      <c r="C466" s="1" t="s">
        <v>74</v>
      </c>
      <c r="D466" s="1" t="s">
        <v>74</v>
      </c>
      <c r="E466" s="1" t="s">
        <v>74</v>
      </c>
      <c r="F466" s="1" t="s">
        <v>4732</v>
      </c>
      <c r="G466" s="1" t="s">
        <v>74</v>
      </c>
      <c r="H466" s="1" t="s">
        <v>74</v>
      </c>
      <c r="I466" s="1" t="s">
        <v>4733</v>
      </c>
      <c r="J466" s="1" t="s">
        <v>4734</v>
      </c>
      <c r="K466" s="1" t="s">
        <v>74</v>
      </c>
      <c r="L466" s="1" t="s">
        <v>74</v>
      </c>
      <c r="M466" s="1" t="s">
        <v>74</v>
      </c>
      <c r="N466" s="1" t="s">
        <v>74</v>
      </c>
      <c r="O466" s="1" t="s">
        <v>74</v>
      </c>
      <c r="P466" s="1" t="s">
        <v>74</v>
      </c>
      <c r="Q466" s="1" t="s">
        <v>74</v>
      </c>
      <c r="R466" s="1" t="s">
        <v>74</v>
      </c>
      <c r="S466" s="1" t="s">
        <v>74</v>
      </c>
      <c r="T466" s="1" t="s">
        <v>74</v>
      </c>
      <c r="U466" s="1" t="s">
        <v>74</v>
      </c>
      <c r="V466" s="1" t="s">
        <v>4735</v>
      </c>
      <c r="W466" s="1" t="s">
        <v>74</v>
      </c>
      <c r="X466" s="1" t="s">
        <v>74</v>
      </c>
      <c r="Y466" s="1" t="s">
        <v>74</v>
      </c>
      <c r="Z466" s="1" t="s">
        <v>74</v>
      </c>
      <c r="AA466" s="1" t="s">
        <v>4736</v>
      </c>
      <c r="AB466" s="1" t="s">
        <v>4737</v>
      </c>
      <c r="AC466" s="1" t="s">
        <v>74</v>
      </c>
      <c r="AD466" s="1" t="s">
        <v>74</v>
      </c>
      <c r="AE466" s="1" t="s">
        <v>74</v>
      </c>
      <c r="AF466" s="1" t="s">
        <v>74</v>
      </c>
      <c r="AG466" s="1" t="s">
        <v>74</v>
      </c>
      <c r="AH466" s="1" t="s">
        <v>74</v>
      </c>
      <c r="AI466" s="1" t="s">
        <v>74</v>
      </c>
      <c r="AJ466" s="1" t="s">
        <v>74</v>
      </c>
      <c r="AK466" s="1" t="s">
        <v>74</v>
      </c>
      <c r="AL466" s="1" t="s">
        <v>74</v>
      </c>
      <c r="AM466" s="1" t="s">
        <v>74</v>
      </c>
      <c r="AN466" s="1" t="s">
        <v>74</v>
      </c>
      <c r="AO466" s="1" t="s">
        <v>4738</v>
      </c>
      <c r="AP466" s="1" t="s">
        <v>4739</v>
      </c>
      <c r="AQ466" s="1" t="s">
        <v>74</v>
      </c>
      <c r="AR466" s="1" t="s">
        <v>74</v>
      </c>
      <c r="AS466" s="1" t="s">
        <v>74</v>
      </c>
      <c r="AT466" s="1" t="s">
        <v>158</v>
      </c>
      <c r="AU466" s="1">
        <v>2015.0</v>
      </c>
      <c r="AV466" s="1">
        <v>45.0</v>
      </c>
      <c r="AW466" s="1">
        <v>1.0</v>
      </c>
      <c r="AX466" s="1" t="s">
        <v>74</v>
      </c>
      <c r="AY466" s="1" t="s">
        <v>74</v>
      </c>
      <c r="AZ466" s="1" t="s">
        <v>74</v>
      </c>
      <c r="BA466" s="1" t="s">
        <v>74</v>
      </c>
      <c r="BB466" s="1">
        <v>157.0</v>
      </c>
      <c r="BC466" s="1">
        <v>166.0</v>
      </c>
      <c r="BD466" s="1" t="s">
        <v>74</v>
      </c>
      <c r="BE466" s="1" t="s">
        <v>4740</v>
      </c>
      <c r="BF466" s="2" t="str">
        <f>HYPERLINK("http://dx.doi.org/10.1016/j.fsi.2015.03.033","http://dx.doi.org/10.1016/j.fsi.2015.03.033")</f>
        <v>http://dx.doi.org/10.1016/j.fsi.2015.03.033</v>
      </c>
      <c r="BG466" s="1" t="s">
        <v>74</v>
      </c>
      <c r="BH466" s="1" t="s">
        <v>74</v>
      </c>
      <c r="BI466" s="1" t="s">
        <v>74</v>
      </c>
      <c r="BJ466" s="1" t="s">
        <v>74</v>
      </c>
      <c r="BK466" s="1" t="s">
        <v>74</v>
      </c>
      <c r="BL466" s="1" t="s">
        <v>74</v>
      </c>
      <c r="BM466" s="1" t="s">
        <v>74</v>
      </c>
      <c r="BN466" s="1">
        <v>2.5862072E7</v>
      </c>
      <c r="BO466" s="1" t="s">
        <v>74</v>
      </c>
      <c r="BP466" s="1" t="s">
        <v>74</v>
      </c>
      <c r="BQ466" s="1" t="s">
        <v>74</v>
      </c>
      <c r="BR466" s="1" t="s">
        <v>74</v>
      </c>
      <c r="BS466" s="1" t="s">
        <v>4741</v>
      </c>
      <c r="BT466" s="1" t="str">
        <f>HYPERLINK("https%3A%2F%2Fwww.webofscience.com%2Fwos%2Fwoscc%2Ffull-record%2FWOS:000356112900020","View Full Record in Web of Science")</f>
        <v>View Full Record in Web of Science</v>
      </c>
    </row>
    <row r="467" ht="12.75" customHeight="1">
      <c r="A467" s="1" t="s">
        <v>72</v>
      </c>
      <c r="B467" s="1" t="s">
        <v>4742</v>
      </c>
      <c r="C467" s="1" t="s">
        <v>74</v>
      </c>
      <c r="D467" s="1" t="s">
        <v>74</v>
      </c>
      <c r="E467" s="1" t="s">
        <v>74</v>
      </c>
      <c r="F467" s="1" t="s">
        <v>4743</v>
      </c>
      <c r="G467" s="1" t="s">
        <v>74</v>
      </c>
      <c r="H467" s="1" t="s">
        <v>74</v>
      </c>
      <c r="I467" s="1" t="s">
        <v>4744</v>
      </c>
      <c r="J467" s="1" t="s">
        <v>2529</v>
      </c>
      <c r="K467" s="1" t="s">
        <v>74</v>
      </c>
      <c r="L467" s="1" t="s">
        <v>74</v>
      </c>
      <c r="M467" s="1" t="s">
        <v>74</v>
      </c>
      <c r="N467" s="1" t="s">
        <v>74</v>
      </c>
      <c r="O467" s="1" t="s">
        <v>74</v>
      </c>
      <c r="P467" s="1" t="s">
        <v>74</v>
      </c>
      <c r="Q467" s="1" t="s">
        <v>74</v>
      </c>
      <c r="R467" s="1" t="s">
        <v>74</v>
      </c>
      <c r="S467" s="1" t="s">
        <v>74</v>
      </c>
      <c r="T467" s="1" t="s">
        <v>74</v>
      </c>
      <c r="U467" s="1" t="s">
        <v>74</v>
      </c>
      <c r="V467" s="1" t="s">
        <v>4745</v>
      </c>
      <c r="W467" s="1" t="s">
        <v>74</v>
      </c>
      <c r="X467" s="1" t="s">
        <v>74</v>
      </c>
      <c r="Y467" s="1" t="s">
        <v>74</v>
      </c>
      <c r="Z467" s="1" t="s">
        <v>74</v>
      </c>
      <c r="AA467" s="1" t="s">
        <v>4746</v>
      </c>
      <c r="AB467" s="1" t="s">
        <v>4747</v>
      </c>
      <c r="AC467" s="1" t="s">
        <v>74</v>
      </c>
      <c r="AD467" s="1" t="s">
        <v>74</v>
      </c>
      <c r="AE467" s="1" t="s">
        <v>74</v>
      </c>
      <c r="AF467" s="1" t="s">
        <v>74</v>
      </c>
      <c r="AG467" s="1" t="s">
        <v>74</v>
      </c>
      <c r="AH467" s="1" t="s">
        <v>74</v>
      </c>
      <c r="AI467" s="1" t="s">
        <v>74</v>
      </c>
      <c r="AJ467" s="1" t="s">
        <v>74</v>
      </c>
      <c r="AK467" s="1" t="s">
        <v>74</v>
      </c>
      <c r="AL467" s="1" t="s">
        <v>74</v>
      </c>
      <c r="AM467" s="1" t="s">
        <v>74</v>
      </c>
      <c r="AN467" s="1" t="s">
        <v>74</v>
      </c>
      <c r="AO467" s="1" t="s">
        <v>2532</v>
      </c>
      <c r="AP467" s="1" t="s">
        <v>2533</v>
      </c>
      <c r="AQ467" s="1" t="s">
        <v>74</v>
      </c>
      <c r="AR467" s="1" t="s">
        <v>74</v>
      </c>
      <c r="AS467" s="1" t="s">
        <v>74</v>
      </c>
      <c r="AT467" s="1" t="s">
        <v>339</v>
      </c>
      <c r="AU467" s="1">
        <v>2012.0</v>
      </c>
      <c r="AV467" s="1">
        <v>75.0</v>
      </c>
      <c r="AW467" s="1">
        <v>13.0</v>
      </c>
      <c r="AX467" s="1" t="s">
        <v>74</v>
      </c>
      <c r="AY467" s="1" t="s">
        <v>74</v>
      </c>
      <c r="AZ467" s="1" t="s">
        <v>74</v>
      </c>
      <c r="BA467" s="1" t="s">
        <v>74</v>
      </c>
      <c r="BB467" s="1">
        <v>5186.0</v>
      </c>
      <c r="BC467" s="1">
        <v>5193.0</v>
      </c>
      <c r="BD467" s="1" t="s">
        <v>74</v>
      </c>
      <c r="BE467" s="1" t="s">
        <v>4748</v>
      </c>
      <c r="BF467" s="2" t="str">
        <f>HYPERLINK("http://dx.doi.org/10.1016/j.na.2012.04.035","http://dx.doi.org/10.1016/j.na.2012.04.035")</f>
        <v>http://dx.doi.org/10.1016/j.na.2012.04.035</v>
      </c>
      <c r="BG467" s="1" t="s">
        <v>74</v>
      </c>
      <c r="BH467" s="1" t="s">
        <v>74</v>
      </c>
      <c r="BI467" s="1" t="s">
        <v>74</v>
      </c>
      <c r="BJ467" s="1" t="s">
        <v>74</v>
      </c>
      <c r="BK467" s="1" t="s">
        <v>74</v>
      </c>
      <c r="BL467" s="1" t="s">
        <v>74</v>
      </c>
      <c r="BM467" s="1" t="s">
        <v>74</v>
      </c>
      <c r="BN467" s="1" t="s">
        <v>74</v>
      </c>
      <c r="BO467" s="1" t="s">
        <v>74</v>
      </c>
      <c r="BP467" s="1" t="s">
        <v>74</v>
      </c>
      <c r="BQ467" s="1" t="s">
        <v>74</v>
      </c>
      <c r="BR467" s="1" t="s">
        <v>74</v>
      </c>
      <c r="BS467" s="1" t="s">
        <v>4749</v>
      </c>
      <c r="BT467" s="1" t="str">
        <f>HYPERLINK("https%3A%2F%2Fwww.webofscience.com%2Fwos%2Fwoscc%2Ffull-record%2FWOS:000305144900042","View Full Record in Web of Science")</f>
        <v>View Full Record in Web of Science</v>
      </c>
    </row>
    <row r="468" ht="12.75" customHeight="1">
      <c r="A468" s="1" t="s">
        <v>72</v>
      </c>
      <c r="B468" s="1" t="s">
        <v>4750</v>
      </c>
      <c r="C468" s="1" t="s">
        <v>74</v>
      </c>
      <c r="D468" s="1" t="s">
        <v>74</v>
      </c>
      <c r="E468" s="1" t="s">
        <v>74</v>
      </c>
      <c r="F468" s="1" t="s">
        <v>4751</v>
      </c>
      <c r="G468" s="1" t="s">
        <v>74</v>
      </c>
      <c r="H468" s="1" t="s">
        <v>74</v>
      </c>
      <c r="I468" s="1" t="s">
        <v>4752</v>
      </c>
      <c r="J468" s="1" t="s">
        <v>4753</v>
      </c>
      <c r="K468" s="1" t="s">
        <v>74</v>
      </c>
      <c r="L468" s="1" t="s">
        <v>74</v>
      </c>
      <c r="M468" s="1" t="s">
        <v>74</v>
      </c>
      <c r="N468" s="1" t="s">
        <v>74</v>
      </c>
      <c r="O468" s="1" t="s">
        <v>74</v>
      </c>
      <c r="P468" s="1" t="s">
        <v>74</v>
      </c>
      <c r="Q468" s="1" t="s">
        <v>74</v>
      </c>
      <c r="R468" s="1" t="s">
        <v>74</v>
      </c>
      <c r="S468" s="1" t="s">
        <v>74</v>
      </c>
      <c r="T468" s="1" t="s">
        <v>74</v>
      </c>
      <c r="U468" s="1" t="s">
        <v>74</v>
      </c>
      <c r="V468" s="1" t="s">
        <v>4754</v>
      </c>
      <c r="W468" s="1" t="s">
        <v>74</v>
      </c>
      <c r="X468" s="1" t="s">
        <v>74</v>
      </c>
      <c r="Y468" s="1" t="s">
        <v>74</v>
      </c>
      <c r="Z468" s="1" t="s">
        <v>74</v>
      </c>
      <c r="AA468" s="1" t="s">
        <v>4755</v>
      </c>
      <c r="AB468" s="1" t="s">
        <v>4756</v>
      </c>
      <c r="AC468" s="1" t="s">
        <v>74</v>
      </c>
      <c r="AD468" s="1" t="s">
        <v>74</v>
      </c>
      <c r="AE468" s="1" t="s">
        <v>74</v>
      </c>
      <c r="AF468" s="1" t="s">
        <v>74</v>
      </c>
      <c r="AG468" s="1" t="s">
        <v>74</v>
      </c>
      <c r="AH468" s="1" t="s">
        <v>74</v>
      </c>
      <c r="AI468" s="1" t="s">
        <v>74</v>
      </c>
      <c r="AJ468" s="1" t="s">
        <v>74</v>
      </c>
      <c r="AK468" s="1" t="s">
        <v>74</v>
      </c>
      <c r="AL468" s="1" t="s">
        <v>74</v>
      </c>
      <c r="AM468" s="1" t="s">
        <v>74</v>
      </c>
      <c r="AN468" s="1" t="s">
        <v>74</v>
      </c>
      <c r="AO468" s="1" t="s">
        <v>4757</v>
      </c>
      <c r="AP468" s="1" t="s">
        <v>74</v>
      </c>
      <c r="AQ468" s="1" t="s">
        <v>74</v>
      </c>
      <c r="AR468" s="1" t="s">
        <v>74</v>
      </c>
      <c r="AS468" s="1" t="s">
        <v>74</v>
      </c>
      <c r="AT468" s="1" t="s">
        <v>158</v>
      </c>
      <c r="AU468" s="1">
        <v>2012.0</v>
      </c>
      <c r="AV468" s="1">
        <v>2.0</v>
      </c>
      <c r="AW468" s="1">
        <v>3.0</v>
      </c>
      <c r="AX468" s="1" t="s">
        <v>74</v>
      </c>
      <c r="AY468" s="1" t="s">
        <v>74</v>
      </c>
      <c r="AZ468" s="1" t="s">
        <v>74</v>
      </c>
      <c r="BA468" s="1" t="s">
        <v>74</v>
      </c>
      <c r="BB468" s="1">
        <v>2087.0</v>
      </c>
      <c r="BC468" s="1">
        <v>2149.0</v>
      </c>
      <c r="BD468" s="1" t="s">
        <v>74</v>
      </c>
      <c r="BE468" s="1" t="s">
        <v>4758</v>
      </c>
      <c r="BF468" s="2" t="str">
        <f>HYPERLINK("http://dx.doi.org/10.1002/cphy.c110047","http://dx.doi.org/10.1002/cphy.c110047")</f>
        <v>http://dx.doi.org/10.1002/cphy.c110047</v>
      </c>
      <c r="BG468" s="1" t="s">
        <v>74</v>
      </c>
      <c r="BH468" s="1" t="s">
        <v>74</v>
      </c>
      <c r="BI468" s="1" t="s">
        <v>74</v>
      </c>
      <c r="BJ468" s="1" t="s">
        <v>74</v>
      </c>
      <c r="BK468" s="1" t="s">
        <v>74</v>
      </c>
      <c r="BL468" s="1" t="s">
        <v>74</v>
      </c>
      <c r="BM468" s="1" t="s">
        <v>74</v>
      </c>
      <c r="BN468" s="1">
        <v>2.3723034E7</v>
      </c>
      <c r="BO468" s="1" t="s">
        <v>74</v>
      </c>
      <c r="BP468" s="1" t="s">
        <v>74</v>
      </c>
      <c r="BQ468" s="1" t="s">
        <v>74</v>
      </c>
      <c r="BR468" s="1" t="s">
        <v>74</v>
      </c>
      <c r="BS468" s="1" t="s">
        <v>4759</v>
      </c>
      <c r="BT468" s="1" t="str">
        <f>HYPERLINK("https%3A%2F%2Fwww.webofscience.com%2Fwos%2Fwoscc%2Ffull-record%2FWOS:000314651300017","View Full Record in Web of Science")</f>
        <v>View Full Record in Web of Science</v>
      </c>
    </row>
    <row r="469" ht="12.75" customHeight="1">
      <c r="A469" s="1" t="s">
        <v>72</v>
      </c>
      <c r="B469" s="1" t="s">
        <v>4760</v>
      </c>
      <c r="C469" s="1" t="s">
        <v>74</v>
      </c>
      <c r="D469" s="1" t="s">
        <v>74</v>
      </c>
      <c r="E469" s="1" t="s">
        <v>74</v>
      </c>
      <c r="F469" s="1" t="s">
        <v>4761</v>
      </c>
      <c r="G469" s="1" t="s">
        <v>74</v>
      </c>
      <c r="H469" s="1" t="s">
        <v>74</v>
      </c>
      <c r="I469" s="1" t="s">
        <v>4762</v>
      </c>
      <c r="J469" s="1" t="s">
        <v>4763</v>
      </c>
      <c r="K469" s="1" t="s">
        <v>74</v>
      </c>
      <c r="L469" s="1" t="s">
        <v>74</v>
      </c>
      <c r="M469" s="1" t="s">
        <v>74</v>
      </c>
      <c r="N469" s="1" t="s">
        <v>74</v>
      </c>
      <c r="O469" s="1" t="s">
        <v>74</v>
      </c>
      <c r="P469" s="1" t="s">
        <v>74</v>
      </c>
      <c r="Q469" s="1" t="s">
        <v>74</v>
      </c>
      <c r="R469" s="1" t="s">
        <v>74</v>
      </c>
      <c r="S469" s="1" t="s">
        <v>74</v>
      </c>
      <c r="T469" s="1" t="s">
        <v>74</v>
      </c>
      <c r="U469" s="1" t="s">
        <v>74</v>
      </c>
      <c r="V469" s="1" t="s">
        <v>4764</v>
      </c>
      <c r="W469" s="1" t="s">
        <v>74</v>
      </c>
      <c r="X469" s="1" t="s">
        <v>74</v>
      </c>
      <c r="Y469" s="1" t="s">
        <v>74</v>
      </c>
      <c r="Z469" s="1" t="s">
        <v>74</v>
      </c>
      <c r="AA469" s="1" t="s">
        <v>4765</v>
      </c>
      <c r="AB469" s="1" t="s">
        <v>74</v>
      </c>
      <c r="AC469" s="1" t="s">
        <v>74</v>
      </c>
      <c r="AD469" s="1" t="s">
        <v>74</v>
      </c>
      <c r="AE469" s="1" t="s">
        <v>74</v>
      </c>
      <c r="AF469" s="1" t="s">
        <v>74</v>
      </c>
      <c r="AG469" s="1" t="s">
        <v>74</v>
      </c>
      <c r="AH469" s="1" t="s">
        <v>74</v>
      </c>
      <c r="AI469" s="1" t="s">
        <v>74</v>
      </c>
      <c r="AJ469" s="1" t="s">
        <v>74</v>
      </c>
      <c r="AK469" s="1" t="s">
        <v>74</v>
      </c>
      <c r="AL469" s="1" t="s">
        <v>74</v>
      </c>
      <c r="AM469" s="1" t="s">
        <v>74</v>
      </c>
      <c r="AN469" s="1" t="s">
        <v>74</v>
      </c>
      <c r="AO469" s="1" t="s">
        <v>4766</v>
      </c>
      <c r="AP469" s="1" t="s">
        <v>4767</v>
      </c>
      <c r="AQ469" s="1" t="s">
        <v>74</v>
      </c>
      <c r="AR469" s="1" t="s">
        <v>74</v>
      </c>
      <c r="AS469" s="1" t="s">
        <v>74</v>
      </c>
      <c r="AT469" s="1" t="s">
        <v>4768</v>
      </c>
      <c r="AU469" s="1">
        <v>2012.0</v>
      </c>
      <c r="AV469" s="1">
        <v>106.0</v>
      </c>
      <c r="AW469" s="1" t="s">
        <v>74</v>
      </c>
      <c r="AX469" s="1" t="s">
        <v>74</v>
      </c>
      <c r="AY469" s="1" t="s">
        <v>74</v>
      </c>
      <c r="AZ469" s="1" t="s">
        <v>74</v>
      </c>
      <c r="BA469" s="1" t="s">
        <v>74</v>
      </c>
      <c r="BB469" s="1">
        <v>1.0</v>
      </c>
      <c r="BC469" s="1">
        <v>17.0</v>
      </c>
      <c r="BD469" s="1" t="s">
        <v>74</v>
      </c>
      <c r="BE469" s="1" t="s">
        <v>4769</v>
      </c>
      <c r="BF469" s="2" t="str">
        <f>HYPERLINK("http://dx.doi.org/10.1016/j.jphotobiol.2011.11.002","http://dx.doi.org/10.1016/j.jphotobiol.2011.11.002")</f>
        <v>http://dx.doi.org/10.1016/j.jphotobiol.2011.11.002</v>
      </c>
      <c r="BG469" s="1" t="s">
        <v>74</v>
      </c>
      <c r="BH469" s="1" t="s">
        <v>74</v>
      </c>
      <c r="BI469" s="1" t="s">
        <v>74</v>
      </c>
      <c r="BJ469" s="1" t="s">
        <v>74</v>
      </c>
      <c r="BK469" s="1" t="s">
        <v>74</v>
      </c>
      <c r="BL469" s="1" t="s">
        <v>74</v>
      </c>
      <c r="BM469" s="1" t="s">
        <v>74</v>
      </c>
      <c r="BN469" s="1">
        <v>2.2129584E7</v>
      </c>
      <c r="BO469" s="1" t="s">
        <v>74</v>
      </c>
      <c r="BP469" s="1" t="s">
        <v>74</v>
      </c>
      <c r="BQ469" s="1" t="s">
        <v>74</v>
      </c>
      <c r="BR469" s="1" t="s">
        <v>74</v>
      </c>
      <c r="BS469" s="1" t="s">
        <v>4770</v>
      </c>
      <c r="BT469" s="1" t="str">
        <f>HYPERLINK("https%3A%2F%2Fwww.webofscience.com%2Fwos%2Fwoscc%2Ffull-record%2FWOS:000300387800001","View Full Record in Web of Science")</f>
        <v>View Full Record in Web of Science</v>
      </c>
    </row>
    <row r="470" ht="12.75" customHeight="1">
      <c r="A470" s="1" t="s">
        <v>72</v>
      </c>
      <c r="B470" s="1" t="s">
        <v>4771</v>
      </c>
      <c r="C470" s="1" t="s">
        <v>74</v>
      </c>
      <c r="D470" s="1" t="s">
        <v>74</v>
      </c>
      <c r="E470" s="1" t="s">
        <v>74</v>
      </c>
      <c r="F470" s="1" t="s">
        <v>4772</v>
      </c>
      <c r="G470" s="1" t="s">
        <v>74</v>
      </c>
      <c r="H470" s="1" t="s">
        <v>74</v>
      </c>
      <c r="I470" s="1" t="s">
        <v>4773</v>
      </c>
      <c r="J470" s="1" t="s">
        <v>4774</v>
      </c>
      <c r="K470" s="1" t="s">
        <v>74</v>
      </c>
      <c r="L470" s="1" t="s">
        <v>74</v>
      </c>
      <c r="M470" s="1" t="s">
        <v>74</v>
      </c>
      <c r="N470" s="1" t="s">
        <v>74</v>
      </c>
      <c r="O470" s="1" t="s">
        <v>74</v>
      </c>
      <c r="P470" s="1" t="s">
        <v>74</v>
      </c>
      <c r="Q470" s="1" t="s">
        <v>74</v>
      </c>
      <c r="R470" s="1" t="s">
        <v>74</v>
      </c>
      <c r="S470" s="1" t="s">
        <v>74</v>
      </c>
      <c r="T470" s="1" t="s">
        <v>74</v>
      </c>
      <c r="U470" s="1" t="s">
        <v>74</v>
      </c>
      <c r="V470" s="1" t="s">
        <v>4775</v>
      </c>
      <c r="W470" s="1" t="s">
        <v>74</v>
      </c>
      <c r="X470" s="1" t="s">
        <v>74</v>
      </c>
      <c r="Y470" s="1" t="s">
        <v>74</v>
      </c>
      <c r="Z470" s="1" t="s">
        <v>74</v>
      </c>
      <c r="AA470" s="1" t="s">
        <v>1875</v>
      </c>
      <c r="AB470" s="1" t="s">
        <v>1876</v>
      </c>
      <c r="AC470" s="1" t="s">
        <v>74</v>
      </c>
      <c r="AD470" s="1" t="s">
        <v>74</v>
      </c>
      <c r="AE470" s="1" t="s">
        <v>74</v>
      </c>
      <c r="AF470" s="1" t="s">
        <v>74</v>
      </c>
      <c r="AG470" s="1" t="s">
        <v>74</v>
      </c>
      <c r="AH470" s="1" t="s">
        <v>74</v>
      </c>
      <c r="AI470" s="1" t="s">
        <v>74</v>
      </c>
      <c r="AJ470" s="1" t="s">
        <v>74</v>
      </c>
      <c r="AK470" s="1" t="s">
        <v>74</v>
      </c>
      <c r="AL470" s="1" t="s">
        <v>74</v>
      </c>
      <c r="AM470" s="1" t="s">
        <v>74</v>
      </c>
      <c r="AN470" s="1" t="s">
        <v>74</v>
      </c>
      <c r="AO470" s="1" t="s">
        <v>4776</v>
      </c>
      <c r="AP470" s="1" t="s">
        <v>74</v>
      </c>
      <c r="AQ470" s="1" t="s">
        <v>74</v>
      </c>
      <c r="AR470" s="1" t="s">
        <v>74</v>
      </c>
      <c r="AS470" s="1" t="s">
        <v>74</v>
      </c>
      <c r="AT470" s="1" t="s">
        <v>339</v>
      </c>
      <c r="AU470" s="1">
        <v>2010.0</v>
      </c>
      <c r="AV470" s="1">
        <v>83.0</v>
      </c>
      <c r="AW470" s="1">
        <v>3.0</v>
      </c>
      <c r="AX470" s="1" t="s">
        <v>74</v>
      </c>
      <c r="AY470" s="1" t="s">
        <v>74</v>
      </c>
      <c r="AZ470" s="1" t="s">
        <v>74</v>
      </c>
      <c r="BA470" s="1" t="s">
        <v>74</v>
      </c>
      <c r="BB470" s="1">
        <v>323.0</v>
      </c>
      <c r="BC470" s="1">
        <v>333.0</v>
      </c>
      <c r="BD470" s="1" t="s">
        <v>74</v>
      </c>
      <c r="BE470" s="1" t="s">
        <v>74</v>
      </c>
      <c r="BF470" s="1" t="s">
        <v>74</v>
      </c>
      <c r="BG470" s="1" t="s">
        <v>74</v>
      </c>
      <c r="BH470" s="1" t="s">
        <v>74</v>
      </c>
      <c r="BI470" s="1" t="s">
        <v>74</v>
      </c>
      <c r="BJ470" s="1" t="s">
        <v>74</v>
      </c>
      <c r="BK470" s="1" t="s">
        <v>74</v>
      </c>
      <c r="BL470" s="1" t="s">
        <v>74</v>
      </c>
      <c r="BM470" s="1" t="s">
        <v>74</v>
      </c>
      <c r="BN470" s="1" t="s">
        <v>74</v>
      </c>
      <c r="BO470" s="1" t="s">
        <v>74</v>
      </c>
      <c r="BP470" s="1" t="s">
        <v>74</v>
      </c>
      <c r="BQ470" s="1" t="s">
        <v>74</v>
      </c>
      <c r="BR470" s="1" t="s">
        <v>74</v>
      </c>
      <c r="BS470" s="1" t="s">
        <v>4777</v>
      </c>
      <c r="BT470" s="1" t="str">
        <f>HYPERLINK("https%3A%2F%2Fwww.webofscience.com%2Fwos%2Fwoscc%2Ffull-record%2FWOS:000283685100001","View Full Record in Web of Science")</f>
        <v>View Full Record in Web of Science</v>
      </c>
    </row>
    <row r="471" ht="12.75" customHeight="1">
      <c r="A471" s="1" t="s">
        <v>72</v>
      </c>
      <c r="B471" s="1" t="s">
        <v>4778</v>
      </c>
      <c r="C471" s="1" t="s">
        <v>74</v>
      </c>
      <c r="D471" s="1" t="s">
        <v>74</v>
      </c>
      <c r="E471" s="1" t="s">
        <v>74</v>
      </c>
      <c r="F471" s="1" t="s">
        <v>4779</v>
      </c>
      <c r="G471" s="1" t="s">
        <v>74</v>
      </c>
      <c r="H471" s="1" t="s">
        <v>74</v>
      </c>
      <c r="I471" s="1" t="s">
        <v>4780</v>
      </c>
      <c r="J471" s="1" t="s">
        <v>4781</v>
      </c>
      <c r="K471" s="1" t="s">
        <v>74</v>
      </c>
      <c r="L471" s="1" t="s">
        <v>74</v>
      </c>
      <c r="M471" s="1" t="s">
        <v>74</v>
      </c>
      <c r="N471" s="1" t="s">
        <v>74</v>
      </c>
      <c r="O471" s="1" t="s">
        <v>74</v>
      </c>
      <c r="P471" s="1" t="s">
        <v>74</v>
      </c>
      <c r="Q471" s="1" t="s">
        <v>74</v>
      </c>
      <c r="R471" s="1" t="s">
        <v>74</v>
      </c>
      <c r="S471" s="1" t="s">
        <v>74</v>
      </c>
      <c r="T471" s="1" t="s">
        <v>74</v>
      </c>
      <c r="U471" s="1" t="s">
        <v>74</v>
      </c>
      <c r="V471" s="1" t="s">
        <v>4782</v>
      </c>
      <c r="W471" s="1" t="s">
        <v>74</v>
      </c>
      <c r="X471" s="1" t="s">
        <v>74</v>
      </c>
      <c r="Y471" s="1" t="s">
        <v>74</v>
      </c>
      <c r="Z471" s="1" t="s">
        <v>74</v>
      </c>
      <c r="AA471" s="1" t="s">
        <v>4783</v>
      </c>
      <c r="AB471" s="1" t="s">
        <v>4784</v>
      </c>
      <c r="AC471" s="1" t="s">
        <v>74</v>
      </c>
      <c r="AD471" s="1" t="s">
        <v>74</v>
      </c>
      <c r="AE471" s="1" t="s">
        <v>74</v>
      </c>
      <c r="AF471" s="1" t="s">
        <v>74</v>
      </c>
      <c r="AG471" s="1" t="s">
        <v>74</v>
      </c>
      <c r="AH471" s="1" t="s">
        <v>74</v>
      </c>
      <c r="AI471" s="1" t="s">
        <v>74</v>
      </c>
      <c r="AJ471" s="1" t="s">
        <v>74</v>
      </c>
      <c r="AK471" s="1" t="s">
        <v>74</v>
      </c>
      <c r="AL471" s="1" t="s">
        <v>74</v>
      </c>
      <c r="AM471" s="1" t="s">
        <v>74</v>
      </c>
      <c r="AN471" s="1" t="s">
        <v>74</v>
      </c>
      <c r="AO471" s="1" t="s">
        <v>4785</v>
      </c>
      <c r="AP471" s="1" t="s">
        <v>74</v>
      </c>
      <c r="AQ471" s="1" t="s">
        <v>74</v>
      </c>
      <c r="AR471" s="1" t="s">
        <v>74</v>
      </c>
      <c r="AS471" s="1" t="s">
        <v>74</v>
      </c>
      <c r="AT471" s="1" t="s">
        <v>350</v>
      </c>
      <c r="AU471" s="1">
        <v>2010.0</v>
      </c>
      <c r="AV471" s="1">
        <v>78.0</v>
      </c>
      <c r="AW471" s="1">
        <v>8.0</v>
      </c>
      <c r="AX471" s="1" t="s">
        <v>74</v>
      </c>
      <c r="AY471" s="1" t="s">
        <v>74</v>
      </c>
      <c r="AZ471" s="1" t="s">
        <v>74</v>
      </c>
      <c r="BA471" s="1" t="s">
        <v>74</v>
      </c>
      <c r="BB471" s="1">
        <v>828.0</v>
      </c>
      <c r="BC471" s="1">
        <v>833.0</v>
      </c>
      <c r="BD471" s="1" t="s">
        <v>74</v>
      </c>
      <c r="BE471" s="1" t="s">
        <v>4786</v>
      </c>
      <c r="BF471" s="2" t="str">
        <f>HYPERLINK("http://dx.doi.org/10.1119/1.3429983","http://dx.doi.org/10.1119/1.3429983")</f>
        <v>http://dx.doi.org/10.1119/1.3429983</v>
      </c>
      <c r="BG471" s="1" t="s">
        <v>74</v>
      </c>
      <c r="BH471" s="1" t="s">
        <v>74</v>
      </c>
      <c r="BI471" s="1" t="s">
        <v>74</v>
      </c>
      <c r="BJ471" s="1" t="s">
        <v>74</v>
      </c>
      <c r="BK471" s="1" t="s">
        <v>74</v>
      </c>
      <c r="BL471" s="1" t="s">
        <v>74</v>
      </c>
      <c r="BM471" s="1" t="s">
        <v>74</v>
      </c>
      <c r="BN471" s="1" t="s">
        <v>74</v>
      </c>
      <c r="BO471" s="1" t="s">
        <v>74</v>
      </c>
      <c r="BP471" s="1" t="s">
        <v>74</v>
      </c>
      <c r="BQ471" s="1" t="s">
        <v>74</v>
      </c>
      <c r="BR471" s="1" t="s">
        <v>74</v>
      </c>
      <c r="BS471" s="1" t="s">
        <v>4787</v>
      </c>
      <c r="BT471" s="1" t="str">
        <f>HYPERLINK("https%3A%2F%2Fwww.webofscience.com%2Fwos%2Fwoscc%2Ffull-record%2FWOS:000281214900010","View Full Record in Web of Science")</f>
        <v>View Full Record in Web of Science</v>
      </c>
    </row>
    <row r="472" ht="12.75" customHeight="1">
      <c r="A472" s="1" t="s">
        <v>72</v>
      </c>
      <c r="B472" s="1" t="s">
        <v>4788</v>
      </c>
      <c r="C472" s="1" t="s">
        <v>74</v>
      </c>
      <c r="D472" s="1" t="s">
        <v>74</v>
      </c>
      <c r="E472" s="1" t="s">
        <v>74</v>
      </c>
      <c r="F472" s="1" t="s">
        <v>4789</v>
      </c>
      <c r="G472" s="1" t="s">
        <v>74</v>
      </c>
      <c r="H472" s="1" t="s">
        <v>74</v>
      </c>
      <c r="I472" s="1" t="s">
        <v>4790</v>
      </c>
      <c r="J472" s="1" t="s">
        <v>4791</v>
      </c>
      <c r="K472" s="1" t="s">
        <v>74</v>
      </c>
      <c r="L472" s="1" t="s">
        <v>74</v>
      </c>
      <c r="M472" s="1" t="s">
        <v>74</v>
      </c>
      <c r="N472" s="1" t="s">
        <v>74</v>
      </c>
      <c r="O472" s="1" t="s">
        <v>74</v>
      </c>
      <c r="P472" s="1" t="s">
        <v>74</v>
      </c>
      <c r="Q472" s="1" t="s">
        <v>74</v>
      </c>
      <c r="R472" s="1" t="s">
        <v>74</v>
      </c>
      <c r="S472" s="1" t="s">
        <v>74</v>
      </c>
      <c r="T472" s="1" t="s">
        <v>74</v>
      </c>
      <c r="U472" s="1" t="s">
        <v>74</v>
      </c>
      <c r="V472" s="1" t="s">
        <v>4792</v>
      </c>
      <c r="W472" s="1" t="s">
        <v>74</v>
      </c>
      <c r="X472" s="1" t="s">
        <v>74</v>
      </c>
      <c r="Y472" s="1" t="s">
        <v>74</v>
      </c>
      <c r="Z472" s="1" t="s">
        <v>74</v>
      </c>
      <c r="AA472" s="1" t="s">
        <v>74</v>
      </c>
      <c r="AB472" s="1" t="s">
        <v>4793</v>
      </c>
      <c r="AC472" s="1" t="s">
        <v>74</v>
      </c>
      <c r="AD472" s="1" t="s">
        <v>74</v>
      </c>
      <c r="AE472" s="1" t="s">
        <v>74</v>
      </c>
      <c r="AF472" s="1" t="s">
        <v>74</v>
      </c>
      <c r="AG472" s="1" t="s">
        <v>74</v>
      </c>
      <c r="AH472" s="1" t="s">
        <v>74</v>
      </c>
      <c r="AI472" s="1" t="s">
        <v>74</v>
      </c>
      <c r="AJ472" s="1" t="s">
        <v>74</v>
      </c>
      <c r="AK472" s="1" t="s">
        <v>74</v>
      </c>
      <c r="AL472" s="1" t="s">
        <v>74</v>
      </c>
      <c r="AM472" s="1" t="s">
        <v>74</v>
      </c>
      <c r="AN472" s="1" t="s">
        <v>74</v>
      </c>
      <c r="AO472" s="1" t="s">
        <v>4794</v>
      </c>
      <c r="AP472" s="1" t="s">
        <v>4795</v>
      </c>
      <c r="AQ472" s="1" t="s">
        <v>74</v>
      </c>
      <c r="AR472" s="1" t="s">
        <v>74</v>
      </c>
      <c r="AS472" s="1" t="s">
        <v>74</v>
      </c>
      <c r="AT472" s="1" t="s">
        <v>4796</v>
      </c>
      <c r="AU472" s="1">
        <v>2010.0</v>
      </c>
      <c r="AV472" s="1">
        <v>49.0</v>
      </c>
      <c r="AW472" s="1">
        <v>9.0</v>
      </c>
      <c r="AX472" s="1" t="s">
        <v>74</v>
      </c>
      <c r="AY472" s="1" t="s">
        <v>74</v>
      </c>
      <c r="AZ472" s="1" t="s">
        <v>74</v>
      </c>
      <c r="BA472" s="1" t="s">
        <v>74</v>
      </c>
      <c r="BB472" s="1">
        <v>4023.0</v>
      </c>
      <c r="BC472" s="1">
        <v>4035.0</v>
      </c>
      <c r="BD472" s="1" t="s">
        <v>74</v>
      </c>
      <c r="BE472" s="1" t="s">
        <v>4797</v>
      </c>
      <c r="BF472" s="2" t="str">
        <f>HYPERLINK("http://dx.doi.org/10.1021/IC9018986","http://dx.doi.org/10.1021/IC9018986")</f>
        <v>http://dx.doi.org/10.1021/IC9018986</v>
      </c>
      <c r="BG472" s="1" t="s">
        <v>74</v>
      </c>
      <c r="BH472" s="1" t="s">
        <v>74</v>
      </c>
      <c r="BI472" s="1" t="s">
        <v>74</v>
      </c>
      <c r="BJ472" s="1" t="s">
        <v>74</v>
      </c>
      <c r="BK472" s="1" t="s">
        <v>74</v>
      </c>
      <c r="BL472" s="1" t="s">
        <v>74</v>
      </c>
      <c r="BM472" s="1" t="s">
        <v>74</v>
      </c>
      <c r="BN472" s="1">
        <v>2.0349981E7</v>
      </c>
      <c r="BO472" s="1" t="s">
        <v>74</v>
      </c>
      <c r="BP472" s="1" t="s">
        <v>74</v>
      </c>
      <c r="BQ472" s="1" t="s">
        <v>74</v>
      </c>
      <c r="BR472" s="1" t="s">
        <v>74</v>
      </c>
      <c r="BS472" s="1" t="s">
        <v>4798</v>
      </c>
      <c r="BT472" s="1" t="str">
        <f>HYPERLINK("https%3A%2F%2Fwww.webofscience.com%2Fwos%2Fwoscc%2Ffull-record%2FWOS:000276939100014","View Full Record in Web of Science")</f>
        <v>View Full Record in Web of Science</v>
      </c>
    </row>
    <row r="473" ht="12.75" customHeight="1">
      <c r="A473" s="1" t="s">
        <v>72</v>
      </c>
      <c r="B473" s="1" t="s">
        <v>4799</v>
      </c>
      <c r="C473" s="1" t="s">
        <v>74</v>
      </c>
      <c r="D473" s="1" t="s">
        <v>74</v>
      </c>
      <c r="E473" s="1" t="s">
        <v>74</v>
      </c>
      <c r="F473" s="1" t="s">
        <v>4799</v>
      </c>
      <c r="G473" s="1" t="s">
        <v>74</v>
      </c>
      <c r="H473" s="1" t="s">
        <v>74</v>
      </c>
      <c r="I473" s="1" t="s">
        <v>4800</v>
      </c>
      <c r="J473" s="1" t="s">
        <v>164</v>
      </c>
      <c r="K473" s="1" t="s">
        <v>74</v>
      </c>
      <c r="L473" s="1" t="s">
        <v>74</v>
      </c>
      <c r="M473" s="1" t="s">
        <v>74</v>
      </c>
      <c r="N473" s="1" t="s">
        <v>74</v>
      </c>
      <c r="O473" s="1" t="s">
        <v>74</v>
      </c>
      <c r="P473" s="1" t="s">
        <v>74</v>
      </c>
      <c r="Q473" s="1" t="s">
        <v>74</v>
      </c>
      <c r="R473" s="1" t="s">
        <v>74</v>
      </c>
      <c r="S473" s="1" t="s">
        <v>74</v>
      </c>
      <c r="T473" s="1" t="s">
        <v>74</v>
      </c>
      <c r="U473" s="1" t="s">
        <v>74</v>
      </c>
      <c r="V473" s="1" t="s">
        <v>4801</v>
      </c>
      <c r="W473" s="1" t="s">
        <v>74</v>
      </c>
      <c r="X473" s="1" t="s">
        <v>74</v>
      </c>
      <c r="Y473" s="1" t="s">
        <v>74</v>
      </c>
      <c r="Z473" s="1" t="s">
        <v>74</v>
      </c>
      <c r="AA473" s="1" t="s">
        <v>4802</v>
      </c>
      <c r="AB473" s="1" t="s">
        <v>74</v>
      </c>
      <c r="AC473" s="1" t="s">
        <v>74</v>
      </c>
      <c r="AD473" s="1" t="s">
        <v>74</v>
      </c>
      <c r="AE473" s="1" t="s">
        <v>74</v>
      </c>
      <c r="AF473" s="1" t="s">
        <v>74</v>
      </c>
      <c r="AG473" s="1" t="s">
        <v>74</v>
      </c>
      <c r="AH473" s="1" t="s">
        <v>74</v>
      </c>
      <c r="AI473" s="1" t="s">
        <v>74</v>
      </c>
      <c r="AJ473" s="1" t="s">
        <v>74</v>
      </c>
      <c r="AK473" s="1" t="s">
        <v>74</v>
      </c>
      <c r="AL473" s="1" t="s">
        <v>74</v>
      </c>
      <c r="AM473" s="1" t="s">
        <v>74</v>
      </c>
      <c r="AN473" s="1" t="s">
        <v>74</v>
      </c>
      <c r="AO473" s="1" t="s">
        <v>166</v>
      </c>
      <c r="AP473" s="1" t="s">
        <v>167</v>
      </c>
      <c r="AQ473" s="1" t="s">
        <v>74</v>
      </c>
      <c r="AR473" s="1" t="s">
        <v>74</v>
      </c>
      <c r="AS473" s="1" t="s">
        <v>74</v>
      </c>
      <c r="AT473" s="1" t="s">
        <v>1364</v>
      </c>
      <c r="AU473" s="1">
        <v>2006.0</v>
      </c>
      <c r="AV473" s="1">
        <v>223.0</v>
      </c>
      <c r="AW473" s="1">
        <v>1.0</v>
      </c>
      <c r="AX473" s="1" t="s">
        <v>74</v>
      </c>
      <c r="AY473" s="1" t="s">
        <v>74</v>
      </c>
      <c r="AZ473" s="1" t="s">
        <v>74</v>
      </c>
      <c r="BA473" s="1" t="s">
        <v>74</v>
      </c>
      <c r="BB473" s="1">
        <v>51.0</v>
      </c>
      <c r="BC473" s="1">
        <v>95.0</v>
      </c>
      <c r="BD473" s="1" t="s">
        <v>74</v>
      </c>
      <c r="BE473" s="1" t="s">
        <v>4803</v>
      </c>
      <c r="BF473" s="2" t="str">
        <f>HYPERLINK("http://dx.doi.org/10.1016/j.jde.2005.04.012","http://dx.doi.org/10.1016/j.jde.2005.04.012")</f>
        <v>http://dx.doi.org/10.1016/j.jde.2005.04.012</v>
      </c>
      <c r="BG473" s="1" t="s">
        <v>74</v>
      </c>
      <c r="BH473" s="1" t="s">
        <v>74</v>
      </c>
      <c r="BI473" s="1" t="s">
        <v>74</v>
      </c>
      <c r="BJ473" s="1" t="s">
        <v>74</v>
      </c>
      <c r="BK473" s="1" t="s">
        <v>74</v>
      </c>
      <c r="BL473" s="1" t="s">
        <v>74</v>
      </c>
      <c r="BM473" s="1" t="s">
        <v>74</v>
      </c>
      <c r="BN473" s="1" t="s">
        <v>74</v>
      </c>
      <c r="BO473" s="1" t="s">
        <v>74</v>
      </c>
      <c r="BP473" s="1" t="s">
        <v>74</v>
      </c>
      <c r="BQ473" s="1" t="s">
        <v>74</v>
      </c>
      <c r="BR473" s="1" t="s">
        <v>74</v>
      </c>
      <c r="BS473" s="1" t="s">
        <v>4804</v>
      </c>
      <c r="BT473" s="1" t="str">
        <f>HYPERLINK("https%3A%2F%2Fwww.webofscience.com%2Fwos%2Fwoscc%2Ffull-record%2FWOS:000236416900003","View Full Record in Web of Science")</f>
        <v>View Full Record in Web of Science</v>
      </c>
    </row>
    <row r="474" ht="12.75" customHeight="1">
      <c r="A474" s="1" t="s">
        <v>72</v>
      </c>
      <c r="B474" s="1" t="s">
        <v>4805</v>
      </c>
      <c r="C474" s="1" t="s">
        <v>74</v>
      </c>
      <c r="D474" s="1" t="s">
        <v>74</v>
      </c>
      <c r="E474" s="1" t="s">
        <v>74</v>
      </c>
      <c r="F474" s="1" t="s">
        <v>4805</v>
      </c>
      <c r="G474" s="1" t="s">
        <v>74</v>
      </c>
      <c r="H474" s="1" t="s">
        <v>74</v>
      </c>
      <c r="I474" s="1" t="s">
        <v>4806</v>
      </c>
      <c r="J474" s="1" t="s">
        <v>4807</v>
      </c>
      <c r="K474" s="1" t="s">
        <v>74</v>
      </c>
      <c r="L474" s="1" t="s">
        <v>74</v>
      </c>
      <c r="M474" s="1" t="s">
        <v>74</v>
      </c>
      <c r="N474" s="1" t="s">
        <v>74</v>
      </c>
      <c r="O474" s="1" t="s">
        <v>74</v>
      </c>
      <c r="P474" s="1" t="s">
        <v>74</v>
      </c>
      <c r="Q474" s="1" t="s">
        <v>74</v>
      </c>
      <c r="R474" s="1" t="s">
        <v>74</v>
      </c>
      <c r="S474" s="1" t="s">
        <v>74</v>
      </c>
      <c r="T474" s="1" t="s">
        <v>74</v>
      </c>
      <c r="U474" s="1" t="s">
        <v>74</v>
      </c>
      <c r="V474" s="1" t="s">
        <v>4808</v>
      </c>
      <c r="W474" s="1" t="s">
        <v>74</v>
      </c>
      <c r="X474" s="1" t="s">
        <v>74</v>
      </c>
      <c r="Y474" s="1" t="s">
        <v>74</v>
      </c>
      <c r="Z474" s="1" t="s">
        <v>74</v>
      </c>
      <c r="AA474" s="1" t="s">
        <v>4809</v>
      </c>
      <c r="AB474" s="1" t="s">
        <v>4810</v>
      </c>
      <c r="AC474" s="1" t="s">
        <v>74</v>
      </c>
      <c r="AD474" s="1" t="s">
        <v>74</v>
      </c>
      <c r="AE474" s="1" t="s">
        <v>74</v>
      </c>
      <c r="AF474" s="1" t="s">
        <v>74</v>
      </c>
      <c r="AG474" s="1" t="s">
        <v>74</v>
      </c>
      <c r="AH474" s="1" t="s">
        <v>74</v>
      </c>
      <c r="AI474" s="1" t="s">
        <v>74</v>
      </c>
      <c r="AJ474" s="1" t="s">
        <v>74</v>
      </c>
      <c r="AK474" s="1" t="s">
        <v>74</v>
      </c>
      <c r="AL474" s="1" t="s">
        <v>74</v>
      </c>
      <c r="AM474" s="1" t="s">
        <v>74</v>
      </c>
      <c r="AN474" s="1" t="s">
        <v>74</v>
      </c>
      <c r="AO474" s="1" t="s">
        <v>4811</v>
      </c>
      <c r="AP474" s="1" t="s">
        <v>4812</v>
      </c>
      <c r="AQ474" s="1" t="s">
        <v>74</v>
      </c>
      <c r="AR474" s="1" t="s">
        <v>74</v>
      </c>
      <c r="AS474" s="1" t="s">
        <v>74</v>
      </c>
      <c r="AT474" s="1" t="s">
        <v>1364</v>
      </c>
      <c r="AU474" s="1">
        <v>2005.0</v>
      </c>
      <c r="AV474" s="1">
        <v>99.0</v>
      </c>
      <c r="AW474" s="1">
        <v>3.0</v>
      </c>
      <c r="AX474" s="1" t="s">
        <v>74</v>
      </c>
      <c r="AY474" s="1" t="s">
        <v>74</v>
      </c>
      <c r="AZ474" s="1" t="s">
        <v>74</v>
      </c>
      <c r="BA474" s="1" t="s">
        <v>74</v>
      </c>
      <c r="BB474" s="1">
        <v>237.0</v>
      </c>
      <c r="BC474" s="1">
        <v>243.0</v>
      </c>
      <c r="BD474" s="1" t="s">
        <v>74</v>
      </c>
      <c r="BE474" s="1" t="s">
        <v>4813</v>
      </c>
      <c r="BF474" s="2" t="str">
        <f>HYPERLINK("http://dx.doi.org/10.1016/j.ijfoodmicro.2004.08.017","http://dx.doi.org/10.1016/j.ijfoodmicro.2004.08.017")</f>
        <v>http://dx.doi.org/10.1016/j.ijfoodmicro.2004.08.017</v>
      </c>
      <c r="BG474" s="1" t="s">
        <v>74</v>
      </c>
      <c r="BH474" s="1" t="s">
        <v>74</v>
      </c>
      <c r="BI474" s="1" t="s">
        <v>74</v>
      </c>
      <c r="BJ474" s="1" t="s">
        <v>74</v>
      </c>
      <c r="BK474" s="1" t="s">
        <v>74</v>
      </c>
      <c r="BL474" s="1" t="s">
        <v>74</v>
      </c>
      <c r="BM474" s="1" t="s">
        <v>74</v>
      </c>
      <c r="BN474" s="1">
        <v>1.5808358E7</v>
      </c>
      <c r="BO474" s="1" t="s">
        <v>74</v>
      </c>
      <c r="BP474" s="1" t="s">
        <v>74</v>
      </c>
      <c r="BQ474" s="1" t="s">
        <v>74</v>
      </c>
      <c r="BR474" s="1" t="s">
        <v>74</v>
      </c>
      <c r="BS474" s="1" t="s">
        <v>4814</v>
      </c>
      <c r="BT474" s="1" t="str">
        <f>HYPERLINK("https%3A%2F%2Fwww.webofscience.com%2Fwos%2Fwoscc%2Ffull-record%2FWOS:000228497400002","View Full Record in Web of Science")</f>
        <v>View Full Record in Web of Science</v>
      </c>
    </row>
    <row r="475" ht="12.75" customHeight="1">
      <c r="A475" s="1" t="s">
        <v>72</v>
      </c>
      <c r="B475" s="1" t="s">
        <v>4815</v>
      </c>
      <c r="C475" s="1" t="s">
        <v>74</v>
      </c>
      <c r="D475" s="1" t="s">
        <v>74</v>
      </c>
      <c r="E475" s="1" t="s">
        <v>74</v>
      </c>
      <c r="F475" s="1" t="s">
        <v>4815</v>
      </c>
      <c r="G475" s="1" t="s">
        <v>74</v>
      </c>
      <c r="H475" s="1" t="s">
        <v>74</v>
      </c>
      <c r="I475" s="1" t="s">
        <v>4816</v>
      </c>
      <c r="J475" s="1" t="s">
        <v>3236</v>
      </c>
      <c r="K475" s="1" t="s">
        <v>74</v>
      </c>
      <c r="L475" s="1" t="s">
        <v>74</v>
      </c>
      <c r="M475" s="1" t="s">
        <v>74</v>
      </c>
      <c r="N475" s="1" t="s">
        <v>74</v>
      </c>
      <c r="O475" s="1" t="s">
        <v>74</v>
      </c>
      <c r="P475" s="1" t="s">
        <v>74</v>
      </c>
      <c r="Q475" s="1" t="s">
        <v>74</v>
      </c>
      <c r="R475" s="1" t="s">
        <v>74</v>
      </c>
      <c r="S475" s="1" t="s">
        <v>74</v>
      </c>
      <c r="T475" s="1" t="s">
        <v>74</v>
      </c>
      <c r="U475" s="1" t="s">
        <v>74</v>
      </c>
      <c r="V475" s="1" t="s">
        <v>4817</v>
      </c>
      <c r="W475" s="1" t="s">
        <v>74</v>
      </c>
      <c r="X475" s="1" t="s">
        <v>74</v>
      </c>
      <c r="Y475" s="1" t="s">
        <v>74</v>
      </c>
      <c r="Z475" s="1" t="s">
        <v>74</v>
      </c>
      <c r="AA475" s="1" t="s">
        <v>2727</v>
      </c>
      <c r="AB475" s="1" t="s">
        <v>4818</v>
      </c>
      <c r="AC475" s="1" t="s">
        <v>74</v>
      </c>
      <c r="AD475" s="1" t="s">
        <v>74</v>
      </c>
      <c r="AE475" s="1" t="s">
        <v>74</v>
      </c>
      <c r="AF475" s="1" t="s">
        <v>74</v>
      </c>
      <c r="AG475" s="1" t="s">
        <v>74</v>
      </c>
      <c r="AH475" s="1" t="s">
        <v>74</v>
      </c>
      <c r="AI475" s="1" t="s">
        <v>74</v>
      </c>
      <c r="AJ475" s="1" t="s">
        <v>74</v>
      </c>
      <c r="AK475" s="1" t="s">
        <v>74</v>
      </c>
      <c r="AL475" s="1" t="s">
        <v>74</v>
      </c>
      <c r="AM475" s="1" t="s">
        <v>74</v>
      </c>
      <c r="AN475" s="1" t="s">
        <v>74</v>
      </c>
      <c r="AO475" s="1" t="s">
        <v>3240</v>
      </c>
      <c r="AP475" s="1" t="s">
        <v>3241</v>
      </c>
      <c r="AQ475" s="1" t="s">
        <v>74</v>
      </c>
      <c r="AR475" s="1" t="s">
        <v>74</v>
      </c>
      <c r="AS475" s="1" t="s">
        <v>74</v>
      </c>
      <c r="AT475" s="1" t="s">
        <v>3261</v>
      </c>
      <c r="AU475" s="1">
        <v>2003.0</v>
      </c>
      <c r="AV475" s="1">
        <v>352.0</v>
      </c>
      <c r="AW475" s="1">
        <v>1.0</v>
      </c>
      <c r="AX475" s="1" t="s">
        <v>74</v>
      </c>
      <c r="AY475" s="1" t="s">
        <v>74</v>
      </c>
      <c r="AZ475" s="1" t="s">
        <v>74</v>
      </c>
      <c r="BA475" s="1" t="s">
        <v>74</v>
      </c>
      <c r="BB475" s="1">
        <v>64.0</v>
      </c>
      <c r="BC475" s="1">
        <v>66.0</v>
      </c>
      <c r="BD475" s="1" t="s">
        <v>74</v>
      </c>
      <c r="BE475" s="1" t="s">
        <v>4819</v>
      </c>
      <c r="BF475" s="2" t="str">
        <f>HYPERLINK("http://dx.doi.org/10.1016/j.neulet.2003.08.014","http://dx.doi.org/10.1016/j.neulet.2003.08.014")</f>
        <v>http://dx.doi.org/10.1016/j.neulet.2003.08.014</v>
      </c>
      <c r="BG475" s="1" t="s">
        <v>74</v>
      </c>
      <c r="BH475" s="1" t="s">
        <v>74</v>
      </c>
      <c r="BI475" s="1" t="s">
        <v>74</v>
      </c>
      <c r="BJ475" s="1" t="s">
        <v>74</v>
      </c>
      <c r="BK475" s="1" t="s">
        <v>74</v>
      </c>
      <c r="BL475" s="1" t="s">
        <v>74</v>
      </c>
      <c r="BM475" s="1" t="s">
        <v>74</v>
      </c>
      <c r="BN475" s="1">
        <v>1.4615051E7</v>
      </c>
      <c r="BO475" s="1" t="s">
        <v>74</v>
      </c>
      <c r="BP475" s="1" t="s">
        <v>74</v>
      </c>
      <c r="BQ475" s="1" t="s">
        <v>74</v>
      </c>
      <c r="BR475" s="1" t="s">
        <v>74</v>
      </c>
      <c r="BS475" s="1" t="s">
        <v>4820</v>
      </c>
      <c r="BT475" s="1" t="str">
        <f>HYPERLINK("https%3A%2F%2Fwww.webofscience.com%2Fwos%2Fwoscc%2Ffull-record%2FWOS:000186689600017","View Full Record in Web of Science")</f>
        <v>View Full Record in Web of Science</v>
      </c>
    </row>
    <row r="476" ht="12.75" customHeight="1">
      <c r="A476" s="1" t="s">
        <v>72</v>
      </c>
      <c r="B476" s="1" t="s">
        <v>4821</v>
      </c>
      <c r="C476" s="1" t="s">
        <v>74</v>
      </c>
      <c r="D476" s="1" t="s">
        <v>74</v>
      </c>
      <c r="E476" s="1" t="s">
        <v>74</v>
      </c>
      <c r="F476" s="1" t="s">
        <v>4821</v>
      </c>
      <c r="G476" s="1" t="s">
        <v>74</v>
      </c>
      <c r="H476" s="1" t="s">
        <v>74</v>
      </c>
      <c r="I476" s="1" t="s">
        <v>4822</v>
      </c>
      <c r="J476" s="1" t="s">
        <v>4823</v>
      </c>
      <c r="K476" s="1" t="s">
        <v>74</v>
      </c>
      <c r="L476" s="1" t="s">
        <v>74</v>
      </c>
      <c r="M476" s="1" t="s">
        <v>74</v>
      </c>
      <c r="N476" s="1" t="s">
        <v>74</v>
      </c>
      <c r="O476" s="1" t="s">
        <v>74</v>
      </c>
      <c r="P476" s="1" t="s">
        <v>74</v>
      </c>
      <c r="Q476" s="1" t="s">
        <v>74</v>
      </c>
      <c r="R476" s="1" t="s">
        <v>74</v>
      </c>
      <c r="S476" s="1" t="s">
        <v>74</v>
      </c>
      <c r="T476" s="1" t="s">
        <v>74</v>
      </c>
      <c r="U476" s="1" t="s">
        <v>74</v>
      </c>
      <c r="V476" s="1" t="s">
        <v>4824</v>
      </c>
      <c r="W476" s="1" t="s">
        <v>74</v>
      </c>
      <c r="X476" s="1" t="s">
        <v>74</v>
      </c>
      <c r="Y476" s="1" t="s">
        <v>74</v>
      </c>
      <c r="Z476" s="1" t="s">
        <v>74</v>
      </c>
      <c r="AA476" s="1" t="s">
        <v>4825</v>
      </c>
      <c r="AB476" s="1" t="s">
        <v>4826</v>
      </c>
      <c r="AC476" s="1" t="s">
        <v>74</v>
      </c>
      <c r="AD476" s="1" t="s">
        <v>74</v>
      </c>
      <c r="AE476" s="1" t="s">
        <v>74</v>
      </c>
      <c r="AF476" s="1" t="s">
        <v>74</v>
      </c>
      <c r="AG476" s="1" t="s">
        <v>74</v>
      </c>
      <c r="AH476" s="1" t="s">
        <v>74</v>
      </c>
      <c r="AI476" s="1" t="s">
        <v>74</v>
      </c>
      <c r="AJ476" s="1" t="s">
        <v>74</v>
      </c>
      <c r="AK476" s="1" t="s">
        <v>74</v>
      </c>
      <c r="AL476" s="1" t="s">
        <v>74</v>
      </c>
      <c r="AM476" s="1" t="s">
        <v>74</v>
      </c>
      <c r="AN476" s="1" t="s">
        <v>74</v>
      </c>
      <c r="AO476" s="1" t="s">
        <v>4827</v>
      </c>
      <c r="AP476" s="1" t="s">
        <v>4828</v>
      </c>
      <c r="AQ476" s="1" t="s">
        <v>74</v>
      </c>
      <c r="AR476" s="1" t="s">
        <v>74</v>
      </c>
      <c r="AS476" s="1" t="s">
        <v>74</v>
      </c>
      <c r="AT476" s="1" t="s">
        <v>4829</v>
      </c>
      <c r="AU476" s="1">
        <v>2003.0</v>
      </c>
      <c r="AV476" s="1">
        <v>984.0</v>
      </c>
      <c r="AW476" s="1" t="s">
        <v>703</v>
      </c>
      <c r="AX476" s="1" t="s">
        <v>74</v>
      </c>
      <c r="AY476" s="1" t="s">
        <v>74</v>
      </c>
      <c r="AZ476" s="1" t="s">
        <v>74</v>
      </c>
      <c r="BA476" s="1" t="s">
        <v>74</v>
      </c>
      <c r="BB476" s="1">
        <v>198.0</v>
      </c>
      <c r="BC476" s="1">
        <v>205.0</v>
      </c>
      <c r="BD476" s="1" t="s">
        <v>74</v>
      </c>
      <c r="BE476" s="1" t="s">
        <v>4830</v>
      </c>
      <c r="BF476" s="2" t="str">
        <f>HYPERLINK("http://dx.doi.org/10.1016/S0006-8993(03)03155-X","http://dx.doi.org/10.1016/S0006-8993(03)03155-X")</f>
        <v>http://dx.doi.org/10.1016/S0006-8993(03)03155-X</v>
      </c>
      <c r="BG476" s="1" t="s">
        <v>74</v>
      </c>
      <c r="BH476" s="1" t="s">
        <v>74</v>
      </c>
      <c r="BI476" s="1" t="s">
        <v>74</v>
      </c>
      <c r="BJ476" s="1" t="s">
        <v>74</v>
      </c>
      <c r="BK476" s="1" t="s">
        <v>74</v>
      </c>
      <c r="BL476" s="1" t="s">
        <v>74</v>
      </c>
      <c r="BM476" s="1" t="s">
        <v>74</v>
      </c>
      <c r="BN476" s="1">
        <v>1.2932854E7</v>
      </c>
      <c r="BO476" s="1" t="s">
        <v>74</v>
      </c>
      <c r="BP476" s="1" t="s">
        <v>74</v>
      </c>
      <c r="BQ476" s="1" t="s">
        <v>74</v>
      </c>
      <c r="BR476" s="1" t="s">
        <v>74</v>
      </c>
      <c r="BS476" s="1" t="s">
        <v>4831</v>
      </c>
      <c r="BT476" s="1" t="str">
        <f>HYPERLINK("https%3A%2F%2Fwww.webofscience.com%2Fwos%2Fwoscc%2Ffull-record%2FWOS:000185316200021","View Full Record in Web of Science")</f>
        <v>View Full Record in Web of Science</v>
      </c>
    </row>
    <row r="477" ht="12.75" customHeight="1">
      <c r="A477" s="1" t="s">
        <v>72</v>
      </c>
      <c r="B477" s="1" t="s">
        <v>4832</v>
      </c>
      <c r="C477" s="1" t="s">
        <v>74</v>
      </c>
      <c r="D477" s="1" t="s">
        <v>74</v>
      </c>
      <c r="E477" s="1" t="s">
        <v>74</v>
      </c>
      <c r="F477" s="1" t="s">
        <v>4832</v>
      </c>
      <c r="G477" s="1" t="s">
        <v>74</v>
      </c>
      <c r="H477" s="1" t="s">
        <v>74</v>
      </c>
      <c r="I477" s="1" t="s">
        <v>4833</v>
      </c>
      <c r="J477" s="1" t="s">
        <v>489</v>
      </c>
      <c r="K477" s="1" t="s">
        <v>74</v>
      </c>
      <c r="L477" s="1" t="s">
        <v>74</v>
      </c>
      <c r="M477" s="1" t="s">
        <v>74</v>
      </c>
      <c r="N477" s="1" t="s">
        <v>74</v>
      </c>
      <c r="O477" s="1" t="s">
        <v>74</v>
      </c>
      <c r="P477" s="1" t="s">
        <v>74</v>
      </c>
      <c r="Q477" s="1" t="s">
        <v>74</v>
      </c>
      <c r="R477" s="1" t="s">
        <v>74</v>
      </c>
      <c r="S477" s="1" t="s">
        <v>74</v>
      </c>
      <c r="T477" s="1" t="s">
        <v>74</v>
      </c>
      <c r="U477" s="1" t="s">
        <v>74</v>
      </c>
      <c r="V477" s="1" t="s">
        <v>4834</v>
      </c>
      <c r="W477" s="1" t="s">
        <v>74</v>
      </c>
      <c r="X477" s="1" t="s">
        <v>74</v>
      </c>
      <c r="Y477" s="1" t="s">
        <v>74</v>
      </c>
      <c r="Z477" s="1" t="s">
        <v>74</v>
      </c>
      <c r="AA477" s="1" t="s">
        <v>1729</v>
      </c>
      <c r="AB477" s="1" t="s">
        <v>74</v>
      </c>
      <c r="AC477" s="1" t="s">
        <v>74</v>
      </c>
      <c r="AD477" s="1" t="s">
        <v>74</v>
      </c>
      <c r="AE477" s="1" t="s">
        <v>74</v>
      </c>
      <c r="AF477" s="1" t="s">
        <v>74</v>
      </c>
      <c r="AG477" s="1" t="s">
        <v>74</v>
      </c>
      <c r="AH477" s="1" t="s">
        <v>74</v>
      </c>
      <c r="AI477" s="1" t="s">
        <v>74</v>
      </c>
      <c r="AJ477" s="1" t="s">
        <v>74</v>
      </c>
      <c r="AK477" s="1" t="s">
        <v>74</v>
      </c>
      <c r="AL477" s="1" t="s">
        <v>74</v>
      </c>
      <c r="AM477" s="1" t="s">
        <v>74</v>
      </c>
      <c r="AN477" s="1" t="s">
        <v>74</v>
      </c>
      <c r="AO477" s="1" t="s">
        <v>2647</v>
      </c>
      <c r="AP477" s="1" t="s">
        <v>74</v>
      </c>
      <c r="AQ477" s="1" t="s">
        <v>74</v>
      </c>
      <c r="AR477" s="1" t="s">
        <v>74</v>
      </c>
      <c r="AS477" s="1" t="s">
        <v>74</v>
      </c>
      <c r="AT477" s="1" t="s">
        <v>294</v>
      </c>
      <c r="AU477" s="1">
        <v>2003.0</v>
      </c>
      <c r="AV477" s="1">
        <v>48.0</v>
      </c>
      <c r="AW477" s="1">
        <v>2.0</v>
      </c>
      <c r="AX477" s="1" t="s">
        <v>74</v>
      </c>
      <c r="AY477" s="1" t="s">
        <v>74</v>
      </c>
      <c r="AZ477" s="1" t="s">
        <v>74</v>
      </c>
      <c r="BA477" s="1" t="s">
        <v>74</v>
      </c>
      <c r="BB477" s="1">
        <v>19.0</v>
      </c>
      <c r="BC477" s="1">
        <v>21.0</v>
      </c>
      <c r="BD477" s="1" t="s">
        <v>74</v>
      </c>
      <c r="BE477" s="1" t="s">
        <v>74</v>
      </c>
      <c r="BF477" s="1" t="s">
        <v>74</v>
      </c>
      <c r="BG477" s="1" t="s">
        <v>74</v>
      </c>
      <c r="BH477" s="1" t="s">
        <v>74</v>
      </c>
      <c r="BI477" s="1" t="s">
        <v>74</v>
      </c>
      <c r="BJ477" s="1" t="s">
        <v>74</v>
      </c>
      <c r="BK477" s="1" t="s">
        <v>74</v>
      </c>
      <c r="BL477" s="1" t="s">
        <v>74</v>
      </c>
      <c r="BM477" s="1" t="s">
        <v>74</v>
      </c>
      <c r="BN477" s="1" t="s">
        <v>74</v>
      </c>
      <c r="BO477" s="1" t="s">
        <v>74</v>
      </c>
      <c r="BP477" s="1" t="s">
        <v>74</v>
      </c>
      <c r="BQ477" s="1" t="s">
        <v>74</v>
      </c>
      <c r="BR477" s="1" t="s">
        <v>74</v>
      </c>
      <c r="BS477" s="1" t="s">
        <v>4835</v>
      </c>
      <c r="BT477" s="1" t="str">
        <f>HYPERLINK("https%3A%2F%2Fwww.webofscience.com%2Fwos%2Fwoscc%2Ffull-record%2FWOS:000183467400003","View Full Record in Web of Science")</f>
        <v>View Full Record in Web of Science</v>
      </c>
    </row>
    <row r="478" ht="12.75" customHeight="1">
      <c r="A478" s="1" t="s">
        <v>72</v>
      </c>
      <c r="B478" s="1" t="s">
        <v>4836</v>
      </c>
      <c r="C478" s="1" t="s">
        <v>74</v>
      </c>
      <c r="D478" s="1" t="s">
        <v>74</v>
      </c>
      <c r="E478" s="1" t="s">
        <v>74</v>
      </c>
      <c r="F478" s="1" t="s">
        <v>4836</v>
      </c>
      <c r="G478" s="1" t="s">
        <v>74</v>
      </c>
      <c r="H478" s="1" t="s">
        <v>74</v>
      </c>
      <c r="I478" s="1" t="s">
        <v>4837</v>
      </c>
      <c r="J478" s="1" t="s">
        <v>4838</v>
      </c>
      <c r="K478" s="1" t="s">
        <v>74</v>
      </c>
      <c r="L478" s="1" t="s">
        <v>74</v>
      </c>
      <c r="M478" s="1" t="s">
        <v>74</v>
      </c>
      <c r="N478" s="1" t="s">
        <v>74</v>
      </c>
      <c r="O478" s="1" t="s">
        <v>4839</v>
      </c>
      <c r="P478" s="1" t="s">
        <v>4840</v>
      </c>
      <c r="Q478" s="1" t="s">
        <v>4841</v>
      </c>
      <c r="R478" s="1" t="s">
        <v>74</v>
      </c>
      <c r="S478" s="1" t="s">
        <v>74</v>
      </c>
      <c r="T478" s="1" t="s">
        <v>74</v>
      </c>
      <c r="U478" s="1" t="s">
        <v>74</v>
      </c>
      <c r="V478" s="1" t="s">
        <v>4842</v>
      </c>
      <c r="W478" s="1" t="s">
        <v>74</v>
      </c>
      <c r="X478" s="1" t="s">
        <v>74</v>
      </c>
      <c r="Y478" s="1" t="s">
        <v>74</v>
      </c>
      <c r="Z478" s="1" t="s">
        <v>74</v>
      </c>
      <c r="AA478" s="1" t="s">
        <v>4843</v>
      </c>
      <c r="AB478" s="1" t="s">
        <v>74</v>
      </c>
      <c r="AC478" s="1" t="s">
        <v>74</v>
      </c>
      <c r="AD478" s="1" t="s">
        <v>74</v>
      </c>
      <c r="AE478" s="1" t="s">
        <v>74</v>
      </c>
      <c r="AF478" s="1" t="s">
        <v>74</v>
      </c>
      <c r="AG478" s="1" t="s">
        <v>74</v>
      </c>
      <c r="AH478" s="1" t="s">
        <v>74</v>
      </c>
      <c r="AI478" s="1" t="s">
        <v>74</v>
      </c>
      <c r="AJ478" s="1" t="s">
        <v>74</v>
      </c>
      <c r="AK478" s="1" t="s">
        <v>74</v>
      </c>
      <c r="AL478" s="1" t="s">
        <v>74</v>
      </c>
      <c r="AM478" s="1" t="s">
        <v>74</v>
      </c>
      <c r="AN478" s="1" t="s">
        <v>74</v>
      </c>
      <c r="AO478" s="1" t="s">
        <v>4844</v>
      </c>
      <c r="AP478" s="1" t="s">
        <v>74</v>
      </c>
      <c r="AQ478" s="1" t="s">
        <v>74</v>
      </c>
      <c r="AR478" s="1" t="s">
        <v>74</v>
      </c>
      <c r="AS478" s="1" t="s">
        <v>74</v>
      </c>
      <c r="AT478" s="1" t="s">
        <v>1212</v>
      </c>
      <c r="AU478" s="1">
        <v>1993.0</v>
      </c>
      <c r="AV478" s="1">
        <v>55.0</v>
      </c>
      <c r="AW478" s="1" t="s">
        <v>4845</v>
      </c>
      <c r="AX478" s="1" t="s">
        <v>74</v>
      </c>
      <c r="AY478" s="1" t="s">
        <v>74</v>
      </c>
      <c r="AZ478" s="1" t="s">
        <v>74</v>
      </c>
      <c r="BA478" s="1" t="s">
        <v>74</v>
      </c>
      <c r="BB478" s="1">
        <v>773.0</v>
      </c>
      <c r="BC478" s="1">
        <v>778.0</v>
      </c>
      <c r="BD478" s="1" t="s">
        <v>74</v>
      </c>
      <c r="BE478" s="1" t="s">
        <v>4846</v>
      </c>
      <c r="BF478" s="2" t="str">
        <f>HYPERLINK("http://dx.doi.org/10.1016/0379-6779(93)90150-U","http://dx.doi.org/10.1016/0379-6779(93)90150-U")</f>
        <v>http://dx.doi.org/10.1016/0379-6779(93)90150-U</v>
      </c>
      <c r="BG478" s="1" t="s">
        <v>74</v>
      </c>
      <c r="BH478" s="1" t="s">
        <v>74</v>
      </c>
      <c r="BI478" s="1" t="s">
        <v>74</v>
      </c>
      <c r="BJ478" s="1" t="s">
        <v>74</v>
      </c>
      <c r="BK478" s="1" t="s">
        <v>74</v>
      </c>
      <c r="BL478" s="1" t="s">
        <v>74</v>
      </c>
      <c r="BM478" s="1" t="s">
        <v>74</v>
      </c>
      <c r="BN478" s="1" t="s">
        <v>74</v>
      </c>
      <c r="BO478" s="1" t="s">
        <v>74</v>
      </c>
      <c r="BP478" s="1" t="s">
        <v>74</v>
      </c>
      <c r="BQ478" s="1" t="s">
        <v>74</v>
      </c>
      <c r="BR478" s="1" t="s">
        <v>74</v>
      </c>
      <c r="BS478" s="1" t="s">
        <v>4847</v>
      </c>
      <c r="BT478" s="1" t="str">
        <f>HYPERLINK("https%3A%2F%2Fwww.webofscience.com%2Fwos%2Fwoscc%2Ffull-record%2FWOS:A1993LH62000005","View Full Record in Web of Science")</f>
        <v>View Full Record in Web of Science</v>
      </c>
    </row>
    <row r="479" ht="12.75" customHeight="1">
      <c r="A479" s="1" t="s">
        <v>72</v>
      </c>
      <c r="B479" s="1" t="s">
        <v>4848</v>
      </c>
      <c r="C479" s="1" t="s">
        <v>74</v>
      </c>
      <c r="D479" s="1" t="s">
        <v>74</v>
      </c>
      <c r="E479" s="1" t="s">
        <v>74</v>
      </c>
      <c r="F479" s="1" t="s">
        <v>4848</v>
      </c>
      <c r="G479" s="1" t="s">
        <v>74</v>
      </c>
      <c r="H479" s="1" t="s">
        <v>74</v>
      </c>
      <c r="I479" s="1" t="s">
        <v>4849</v>
      </c>
      <c r="J479" s="1" t="s">
        <v>4850</v>
      </c>
      <c r="K479" s="1" t="s">
        <v>74</v>
      </c>
      <c r="L479" s="1" t="s">
        <v>74</v>
      </c>
      <c r="M479" s="1" t="s">
        <v>74</v>
      </c>
      <c r="N479" s="1" t="s">
        <v>74</v>
      </c>
      <c r="O479" s="1" t="s">
        <v>74</v>
      </c>
      <c r="P479" s="1" t="s">
        <v>74</v>
      </c>
      <c r="Q479" s="1" t="s">
        <v>74</v>
      </c>
      <c r="R479" s="1" t="s">
        <v>74</v>
      </c>
      <c r="S479" s="1" t="s">
        <v>74</v>
      </c>
      <c r="T479" s="1" t="s">
        <v>74</v>
      </c>
      <c r="U479" s="1" t="s">
        <v>74</v>
      </c>
      <c r="V479" s="1" t="s">
        <v>74</v>
      </c>
      <c r="W479" s="1" t="s">
        <v>74</v>
      </c>
      <c r="X479" s="1" t="s">
        <v>74</v>
      </c>
      <c r="Y479" s="1" t="s">
        <v>74</v>
      </c>
      <c r="Z479" s="1" t="s">
        <v>74</v>
      </c>
      <c r="AA479" s="1" t="s">
        <v>74</v>
      </c>
      <c r="AB479" s="1" t="s">
        <v>74</v>
      </c>
      <c r="AC479" s="1" t="s">
        <v>74</v>
      </c>
      <c r="AD479" s="1" t="s">
        <v>74</v>
      </c>
      <c r="AE479" s="1" t="s">
        <v>74</v>
      </c>
      <c r="AF479" s="1" t="s">
        <v>74</v>
      </c>
      <c r="AG479" s="1" t="s">
        <v>74</v>
      </c>
      <c r="AH479" s="1" t="s">
        <v>74</v>
      </c>
      <c r="AI479" s="1" t="s">
        <v>74</v>
      </c>
      <c r="AJ479" s="1" t="s">
        <v>74</v>
      </c>
      <c r="AK479" s="1" t="s">
        <v>74</v>
      </c>
      <c r="AL479" s="1" t="s">
        <v>74</v>
      </c>
      <c r="AM479" s="1" t="s">
        <v>74</v>
      </c>
      <c r="AN479" s="1" t="s">
        <v>74</v>
      </c>
      <c r="AO479" s="1" t="s">
        <v>4851</v>
      </c>
      <c r="AP479" s="1" t="s">
        <v>74</v>
      </c>
      <c r="AQ479" s="1" t="s">
        <v>74</v>
      </c>
      <c r="AR479" s="1" t="s">
        <v>74</v>
      </c>
      <c r="AS479" s="1" t="s">
        <v>74</v>
      </c>
      <c r="AT479" s="1" t="s">
        <v>2287</v>
      </c>
      <c r="AU479" s="1">
        <v>1987.0</v>
      </c>
      <c r="AV479" s="1">
        <v>305.0</v>
      </c>
      <c r="AW479" s="1">
        <v>11.0</v>
      </c>
      <c r="AX479" s="1" t="s">
        <v>74</v>
      </c>
      <c r="AY479" s="1" t="s">
        <v>74</v>
      </c>
      <c r="AZ479" s="1" t="s">
        <v>74</v>
      </c>
      <c r="BA479" s="1" t="s">
        <v>74</v>
      </c>
      <c r="BB479" s="1">
        <v>957.0</v>
      </c>
      <c r="BC479" s="1">
        <v>960.0</v>
      </c>
      <c r="BD479" s="1" t="s">
        <v>74</v>
      </c>
      <c r="BE479" s="1" t="s">
        <v>74</v>
      </c>
      <c r="BF479" s="1" t="s">
        <v>74</v>
      </c>
      <c r="BG479" s="1" t="s">
        <v>74</v>
      </c>
      <c r="BH479" s="1" t="s">
        <v>74</v>
      </c>
      <c r="BI479" s="1" t="s">
        <v>74</v>
      </c>
      <c r="BJ479" s="1" t="s">
        <v>74</v>
      </c>
      <c r="BK479" s="1" t="s">
        <v>74</v>
      </c>
      <c r="BL479" s="1" t="s">
        <v>74</v>
      </c>
      <c r="BM479" s="1" t="s">
        <v>74</v>
      </c>
      <c r="BN479" s="1" t="s">
        <v>74</v>
      </c>
      <c r="BO479" s="1" t="s">
        <v>74</v>
      </c>
      <c r="BP479" s="1" t="s">
        <v>74</v>
      </c>
      <c r="BQ479" s="1" t="s">
        <v>74</v>
      </c>
      <c r="BR479" s="1" t="s">
        <v>74</v>
      </c>
      <c r="BS479" s="1" t="s">
        <v>4852</v>
      </c>
      <c r="BT479" s="1" t="str">
        <f>HYPERLINK("https%3A%2F%2Fwww.webofscience.com%2Fwos%2Fwoscc%2Ffull-record%2FWOS:A1987K434400007","View Full Record in Web of Science")</f>
        <v>View Full Record in Web of Science</v>
      </c>
    </row>
    <row r="480" ht="12.75" customHeight="1">
      <c r="A480" s="1" t="s">
        <v>72</v>
      </c>
      <c r="B480" s="1" t="s">
        <v>4853</v>
      </c>
      <c r="C480" s="1" t="s">
        <v>74</v>
      </c>
      <c r="D480" s="1" t="s">
        <v>74</v>
      </c>
      <c r="E480" s="1" t="s">
        <v>74</v>
      </c>
      <c r="F480" s="1" t="s">
        <v>4854</v>
      </c>
      <c r="G480" s="1" t="s">
        <v>74</v>
      </c>
      <c r="H480" s="1" t="s">
        <v>74</v>
      </c>
      <c r="I480" s="1" t="s">
        <v>4855</v>
      </c>
      <c r="J480" s="1" t="s">
        <v>4856</v>
      </c>
      <c r="K480" s="1" t="s">
        <v>74</v>
      </c>
      <c r="L480" s="1" t="s">
        <v>74</v>
      </c>
      <c r="M480" s="1" t="s">
        <v>74</v>
      </c>
      <c r="N480" s="1" t="s">
        <v>74</v>
      </c>
      <c r="O480" s="1" t="s">
        <v>74</v>
      </c>
      <c r="P480" s="1" t="s">
        <v>74</v>
      </c>
      <c r="Q480" s="1" t="s">
        <v>74</v>
      </c>
      <c r="R480" s="1" t="s">
        <v>74</v>
      </c>
      <c r="S480" s="1" t="s">
        <v>74</v>
      </c>
      <c r="T480" s="1" t="s">
        <v>74</v>
      </c>
      <c r="U480" s="1" t="s">
        <v>74</v>
      </c>
      <c r="V480" s="1" t="s">
        <v>4857</v>
      </c>
      <c r="W480" s="1" t="s">
        <v>74</v>
      </c>
      <c r="X480" s="1" t="s">
        <v>74</v>
      </c>
      <c r="Y480" s="1" t="s">
        <v>74</v>
      </c>
      <c r="Z480" s="1" t="s">
        <v>74</v>
      </c>
      <c r="AA480" s="1" t="s">
        <v>4858</v>
      </c>
      <c r="AB480" s="1" t="s">
        <v>74</v>
      </c>
      <c r="AC480" s="1" t="s">
        <v>74</v>
      </c>
      <c r="AD480" s="1" t="s">
        <v>74</v>
      </c>
      <c r="AE480" s="1" t="s">
        <v>74</v>
      </c>
      <c r="AF480" s="1" t="s">
        <v>74</v>
      </c>
      <c r="AG480" s="1" t="s">
        <v>74</v>
      </c>
      <c r="AH480" s="1" t="s">
        <v>74</v>
      </c>
      <c r="AI480" s="1" t="s">
        <v>74</v>
      </c>
      <c r="AJ480" s="1" t="s">
        <v>74</v>
      </c>
      <c r="AK480" s="1" t="s">
        <v>74</v>
      </c>
      <c r="AL480" s="1" t="s">
        <v>74</v>
      </c>
      <c r="AM480" s="1" t="s">
        <v>74</v>
      </c>
      <c r="AN480" s="1" t="s">
        <v>74</v>
      </c>
      <c r="AO480" s="1" t="s">
        <v>4859</v>
      </c>
      <c r="AP480" s="1" t="s">
        <v>4860</v>
      </c>
      <c r="AQ480" s="1" t="s">
        <v>74</v>
      </c>
      <c r="AR480" s="1" t="s">
        <v>74</v>
      </c>
      <c r="AS480" s="1" t="s">
        <v>74</v>
      </c>
      <c r="AT480" s="1" t="s">
        <v>74</v>
      </c>
      <c r="AU480" s="1">
        <v>2025.0</v>
      </c>
      <c r="AV480" s="1">
        <v>75.0</v>
      </c>
      <c r="AW480" s="1">
        <v>1.0</v>
      </c>
      <c r="AX480" s="1" t="s">
        <v>74</v>
      </c>
      <c r="AY480" s="1" t="s">
        <v>74</v>
      </c>
      <c r="AZ480" s="1" t="s">
        <v>74</v>
      </c>
      <c r="BA480" s="1" t="s">
        <v>74</v>
      </c>
      <c r="BB480" s="1" t="s">
        <v>74</v>
      </c>
      <c r="BC480" s="1" t="s">
        <v>74</v>
      </c>
      <c r="BD480" s="1" t="s">
        <v>74</v>
      </c>
      <c r="BE480" s="1" t="s">
        <v>4861</v>
      </c>
      <c r="BF480" s="2" t="str">
        <f>HYPERLINK("http://dx.doi.org/10.5802/aif.3636","http://dx.doi.org/10.5802/aif.3636")</f>
        <v>http://dx.doi.org/10.5802/aif.3636</v>
      </c>
      <c r="BG480" s="1" t="s">
        <v>74</v>
      </c>
      <c r="BH480" s="1" t="s">
        <v>74</v>
      </c>
      <c r="BI480" s="1" t="s">
        <v>74</v>
      </c>
      <c r="BJ480" s="1" t="s">
        <v>74</v>
      </c>
      <c r="BK480" s="1" t="s">
        <v>74</v>
      </c>
      <c r="BL480" s="1" t="s">
        <v>74</v>
      </c>
      <c r="BM480" s="1" t="s">
        <v>74</v>
      </c>
      <c r="BN480" s="1" t="s">
        <v>74</v>
      </c>
      <c r="BO480" s="1" t="s">
        <v>74</v>
      </c>
      <c r="BP480" s="1" t="s">
        <v>74</v>
      </c>
      <c r="BQ480" s="1" t="s">
        <v>74</v>
      </c>
      <c r="BR480" s="1" t="s">
        <v>74</v>
      </c>
      <c r="BS480" s="1" t="s">
        <v>4862</v>
      </c>
      <c r="BT480" s="1" t="str">
        <f>HYPERLINK("https%3A%2F%2Fwww.webofscience.com%2Fwos%2Fwoscc%2Ffull-record%2FWOS:001457803600001","View Full Record in Web of Science")</f>
        <v>View Full Record in Web of Science</v>
      </c>
    </row>
    <row r="481" ht="12.75" customHeight="1">
      <c r="A481" s="1" t="s">
        <v>72</v>
      </c>
      <c r="B481" s="1" t="s">
        <v>4863</v>
      </c>
      <c r="C481" s="1" t="s">
        <v>74</v>
      </c>
      <c r="D481" s="1" t="s">
        <v>74</v>
      </c>
      <c r="E481" s="1" t="s">
        <v>74</v>
      </c>
      <c r="F481" s="1" t="s">
        <v>4864</v>
      </c>
      <c r="G481" s="1" t="s">
        <v>74</v>
      </c>
      <c r="H481" s="1" t="s">
        <v>74</v>
      </c>
      <c r="I481" s="1" t="s">
        <v>4865</v>
      </c>
      <c r="J481" s="1" t="s">
        <v>4866</v>
      </c>
      <c r="K481" s="1" t="s">
        <v>74</v>
      </c>
      <c r="L481" s="1" t="s">
        <v>74</v>
      </c>
      <c r="M481" s="1" t="s">
        <v>74</v>
      </c>
      <c r="N481" s="1" t="s">
        <v>74</v>
      </c>
      <c r="O481" s="1" t="s">
        <v>74</v>
      </c>
      <c r="P481" s="1" t="s">
        <v>74</v>
      </c>
      <c r="Q481" s="1" t="s">
        <v>74</v>
      </c>
      <c r="R481" s="1" t="s">
        <v>74</v>
      </c>
      <c r="S481" s="1" t="s">
        <v>74</v>
      </c>
      <c r="T481" s="1" t="s">
        <v>74</v>
      </c>
      <c r="U481" s="1" t="s">
        <v>74</v>
      </c>
      <c r="V481" s="1" t="s">
        <v>4867</v>
      </c>
      <c r="W481" s="1" t="s">
        <v>74</v>
      </c>
      <c r="X481" s="1" t="s">
        <v>74</v>
      </c>
      <c r="Y481" s="1" t="s">
        <v>74</v>
      </c>
      <c r="Z481" s="1" t="s">
        <v>74</v>
      </c>
      <c r="AA481" s="1" t="s">
        <v>4868</v>
      </c>
      <c r="AB481" s="1" t="s">
        <v>4869</v>
      </c>
      <c r="AC481" s="1" t="s">
        <v>74</v>
      </c>
      <c r="AD481" s="1" t="s">
        <v>74</v>
      </c>
      <c r="AE481" s="1" t="s">
        <v>74</v>
      </c>
      <c r="AF481" s="1" t="s">
        <v>74</v>
      </c>
      <c r="AG481" s="1" t="s">
        <v>74</v>
      </c>
      <c r="AH481" s="1" t="s">
        <v>74</v>
      </c>
      <c r="AI481" s="1" t="s">
        <v>74</v>
      </c>
      <c r="AJ481" s="1" t="s">
        <v>74</v>
      </c>
      <c r="AK481" s="1" t="s">
        <v>74</v>
      </c>
      <c r="AL481" s="1" t="s">
        <v>74</v>
      </c>
      <c r="AM481" s="1" t="s">
        <v>74</v>
      </c>
      <c r="AN481" s="1" t="s">
        <v>74</v>
      </c>
      <c r="AO481" s="1" t="s">
        <v>4870</v>
      </c>
      <c r="AP481" s="1" t="s">
        <v>4871</v>
      </c>
      <c r="AQ481" s="1" t="s">
        <v>74</v>
      </c>
      <c r="AR481" s="1" t="s">
        <v>74</v>
      </c>
      <c r="AS481" s="1" t="s">
        <v>74</v>
      </c>
      <c r="AT481" s="1" t="s">
        <v>4872</v>
      </c>
      <c r="AU481" s="1">
        <v>2024.0</v>
      </c>
      <c r="AV481" s="1" t="s">
        <v>74</v>
      </c>
      <c r="AW481" s="1" t="s">
        <v>74</v>
      </c>
      <c r="AX481" s="1" t="s">
        <v>74</v>
      </c>
      <c r="AY481" s="1" t="s">
        <v>74</v>
      </c>
      <c r="AZ481" s="1" t="s">
        <v>74</v>
      </c>
      <c r="BA481" s="1" t="s">
        <v>74</v>
      </c>
      <c r="BB481" s="1" t="s">
        <v>74</v>
      </c>
      <c r="BC481" s="1" t="s">
        <v>74</v>
      </c>
      <c r="BD481" s="1" t="s">
        <v>74</v>
      </c>
      <c r="BE481" s="1" t="s">
        <v>4873</v>
      </c>
      <c r="BF481" s="2" t="str">
        <f>HYPERLINK("http://dx.doi.org/10.1080/10429247.2024.2412418","http://dx.doi.org/10.1080/10429247.2024.2412418")</f>
        <v>http://dx.doi.org/10.1080/10429247.2024.2412418</v>
      </c>
      <c r="BG481" s="1" t="s">
        <v>74</v>
      </c>
      <c r="BH481" s="1" t="s">
        <v>4874</v>
      </c>
      <c r="BI481" s="1" t="s">
        <v>74</v>
      </c>
      <c r="BJ481" s="1" t="s">
        <v>74</v>
      </c>
      <c r="BK481" s="1" t="s">
        <v>74</v>
      </c>
      <c r="BL481" s="1" t="s">
        <v>74</v>
      </c>
      <c r="BM481" s="1" t="s">
        <v>74</v>
      </c>
      <c r="BN481" s="1" t="s">
        <v>74</v>
      </c>
      <c r="BO481" s="1" t="s">
        <v>74</v>
      </c>
      <c r="BP481" s="1" t="s">
        <v>74</v>
      </c>
      <c r="BQ481" s="1" t="s">
        <v>74</v>
      </c>
      <c r="BR481" s="1" t="s">
        <v>74</v>
      </c>
      <c r="BS481" s="1" t="s">
        <v>4875</v>
      </c>
      <c r="BT481" s="1" t="str">
        <f>HYPERLINK("https%3A%2F%2Fwww.webofscience.com%2Fwos%2Fwoscc%2Ffull-record%2FWOS:001339037000001","View Full Record in Web of Science")</f>
        <v>View Full Record in Web of Science</v>
      </c>
    </row>
    <row r="482" ht="12.75" customHeight="1">
      <c r="A482" s="1" t="s">
        <v>72</v>
      </c>
      <c r="B482" s="1" t="s">
        <v>4876</v>
      </c>
      <c r="C482" s="1" t="s">
        <v>74</v>
      </c>
      <c r="D482" s="1" t="s">
        <v>74</v>
      </c>
      <c r="E482" s="1" t="s">
        <v>74</v>
      </c>
      <c r="F482" s="1" t="s">
        <v>4877</v>
      </c>
      <c r="G482" s="1" t="s">
        <v>74</v>
      </c>
      <c r="H482" s="1" t="s">
        <v>74</v>
      </c>
      <c r="I482" s="1" t="s">
        <v>4878</v>
      </c>
      <c r="J482" s="1" t="s">
        <v>4879</v>
      </c>
      <c r="K482" s="1" t="s">
        <v>74</v>
      </c>
      <c r="L482" s="1" t="s">
        <v>74</v>
      </c>
      <c r="M482" s="1" t="s">
        <v>74</v>
      </c>
      <c r="N482" s="1" t="s">
        <v>74</v>
      </c>
      <c r="O482" s="1" t="s">
        <v>74</v>
      </c>
      <c r="P482" s="1" t="s">
        <v>74</v>
      </c>
      <c r="Q482" s="1" t="s">
        <v>74</v>
      </c>
      <c r="R482" s="1" t="s">
        <v>74</v>
      </c>
      <c r="S482" s="1" t="s">
        <v>74</v>
      </c>
      <c r="T482" s="1" t="s">
        <v>74</v>
      </c>
      <c r="U482" s="1" t="s">
        <v>74</v>
      </c>
      <c r="V482" s="1" t="s">
        <v>4880</v>
      </c>
      <c r="W482" s="1" t="s">
        <v>74</v>
      </c>
      <c r="X482" s="1" t="s">
        <v>74</v>
      </c>
      <c r="Y482" s="1" t="s">
        <v>74</v>
      </c>
      <c r="Z482" s="1" t="s">
        <v>74</v>
      </c>
      <c r="AA482" s="1" t="s">
        <v>4881</v>
      </c>
      <c r="AB482" s="1" t="s">
        <v>4882</v>
      </c>
      <c r="AC482" s="1" t="s">
        <v>74</v>
      </c>
      <c r="AD482" s="1" t="s">
        <v>74</v>
      </c>
      <c r="AE482" s="1" t="s">
        <v>74</v>
      </c>
      <c r="AF482" s="1" t="s">
        <v>74</v>
      </c>
      <c r="AG482" s="1" t="s">
        <v>74</v>
      </c>
      <c r="AH482" s="1" t="s">
        <v>74</v>
      </c>
      <c r="AI482" s="1" t="s">
        <v>74</v>
      </c>
      <c r="AJ482" s="1" t="s">
        <v>74</v>
      </c>
      <c r="AK482" s="1" t="s">
        <v>74</v>
      </c>
      <c r="AL482" s="1" t="s">
        <v>74</v>
      </c>
      <c r="AM482" s="1" t="s">
        <v>74</v>
      </c>
      <c r="AN482" s="1" t="s">
        <v>74</v>
      </c>
      <c r="AO482" s="1" t="s">
        <v>74</v>
      </c>
      <c r="AP482" s="1" t="s">
        <v>4883</v>
      </c>
      <c r="AQ482" s="1" t="s">
        <v>74</v>
      </c>
      <c r="AR482" s="1" t="s">
        <v>74</v>
      </c>
      <c r="AS482" s="1" t="s">
        <v>74</v>
      </c>
      <c r="AT482" s="1" t="s">
        <v>339</v>
      </c>
      <c r="AU482" s="1">
        <v>2024.0</v>
      </c>
      <c r="AV482" s="1">
        <v>8.0</v>
      </c>
      <c r="AW482" s="1">
        <v>9.0</v>
      </c>
      <c r="AX482" s="1" t="s">
        <v>74</v>
      </c>
      <c r="AY482" s="1" t="s">
        <v>74</v>
      </c>
      <c r="AZ482" s="1" t="s">
        <v>74</v>
      </c>
      <c r="BA482" s="1" t="s">
        <v>74</v>
      </c>
      <c r="BB482" s="1" t="s">
        <v>74</v>
      </c>
      <c r="BC482" s="1" t="s">
        <v>74</v>
      </c>
      <c r="BD482" s="1">
        <v>516.0</v>
      </c>
      <c r="BE482" s="1" t="s">
        <v>4884</v>
      </c>
      <c r="BF482" s="2" t="str">
        <f>HYPERLINK("http://dx.doi.org/10.3390/fractalfract8090516","http://dx.doi.org/10.3390/fractalfract8090516")</f>
        <v>http://dx.doi.org/10.3390/fractalfract8090516</v>
      </c>
      <c r="BG482" s="1" t="s">
        <v>74</v>
      </c>
      <c r="BH482" s="1" t="s">
        <v>74</v>
      </c>
      <c r="BI482" s="1" t="s">
        <v>74</v>
      </c>
      <c r="BJ482" s="1" t="s">
        <v>74</v>
      </c>
      <c r="BK482" s="1" t="s">
        <v>74</v>
      </c>
      <c r="BL482" s="1" t="s">
        <v>74</v>
      </c>
      <c r="BM482" s="1" t="s">
        <v>74</v>
      </c>
      <c r="BN482" s="1" t="s">
        <v>74</v>
      </c>
      <c r="BO482" s="1" t="s">
        <v>74</v>
      </c>
      <c r="BP482" s="1" t="s">
        <v>74</v>
      </c>
      <c r="BQ482" s="1" t="s">
        <v>74</v>
      </c>
      <c r="BR482" s="1" t="s">
        <v>74</v>
      </c>
      <c r="BS482" s="1" t="s">
        <v>4885</v>
      </c>
      <c r="BT482" s="1" t="str">
        <f>HYPERLINK("https%3A%2F%2Fwww.webofscience.com%2Fwos%2Fwoscc%2Ffull-record%2FWOS:001326489100001","View Full Record in Web of Science")</f>
        <v>View Full Record in Web of Science</v>
      </c>
    </row>
    <row r="483" ht="12.75" customHeight="1">
      <c r="A483" s="1" t="s">
        <v>72</v>
      </c>
      <c r="B483" s="1" t="s">
        <v>4886</v>
      </c>
      <c r="C483" s="1" t="s">
        <v>74</v>
      </c>
      <c r="D483" s="1" t="s">
        <v>74</v>
      </c>
      <c r="E483" s="1" t="s">
        <v>74</v>
      </c>
      <c r="F483" s="1" t="s">
        <v>4887</v>
      </c>
      <c r="G483" s="1" t="s">
        <v>74</v>
      </c>
      <c r="H483" s="1" t="s">
        <v>74</v>
      </c>
      <c r="I483" s="1" t="s">
        <v>4888</v>
      </c>
      <c r="J483" s="1" t="s">
        <v>4889</v>
      </c>
      <c r="K483" s="1" t="s">
        <v>74</v>
      </c>
      <c r="L483" s="1" t="s">
        <v>74</v>
      </c>
      <c r="M483" s="1" t="s">
        <v>74</v>
      </c>
      <c r="N483" s="1" t="s">
        <v>74</v>
      </c>
      <c r="O483" s="1" t="s">
        <v>74</v>
      </c>
      <c r="P483" s="1" t="s">
        <v>74</v>
      </c>
      <c r="Q483" s="1" t="s">
        <v>74</v>
      </c>
      <c r="R483" s="1" t="s">
        <v>74</v>
      </c>
      <c r="S483" s="1" t="s">
        <v>74</v>
      </c>
      <c r="T483" s="1" t="s">
        <v>74</v>
      </c>
      <c r="U483" s="1" t="s">
        <v>74</v>
      </c>
      <c r="V483" s="1" t="s">
        <v>4890</v>
      </c>
      <c r="W483" s="1" t="s">
        <v>74</v>
      </c>
      <c r="X483" s="1" t="s">
        <v>74</v>
      </c>
      <c r="Y483" s="1" t="s">
        <v>74</v>
      </c>
      <c r="Z483" s="1" t="s">
        <v>74</v>
      </c>
      <c r="AA483" s="1" t="s">
        <v>4891</v>
      </c>
      <c r="AB483" s="1" t="s">
        <v>4892</v>
      </c>
      <c r="AC483" s="1" t="s">
        <v>74</v>
      </c>
      <c r="AD483" s="1" t="s">
        <v>74</v>
      </c>
      <c r="AE483" s="1" t="s">
        <v>74</v>
      </c>
      <c r="AF483" s="1" t="s">
        <v>74</v>
      </c>
      <c r="AG483" s="1" t="s">
        <v>74</v>
      </c>
      <c r="AH483" s="1" t="s">
        <v>74</v>
      </c>
      <c r="AI483" s="1" t="s">
        <v>74</v>
      </c>
      <c r="AJ483" s="1" t="s">
        <v>74</v>
      </c>
      <c r="AK483" s="1" t="s">
        <v>74</v>
      </c>
      <c r="AL483" s="1" t="s">
        <v>74</v>
      </c>
      <c r="AM483" s="1" t="s">
        <v>74</v>
      </c>
      <c r="AN483" s="1" t="s">
        <v>74</v>
      </c>
      <c r="AO483" s="1" t="s">
        <v>4893</v>
      </c>
      <c r="AP483" s="1" t="s">
        <v>4894</v>
      </c>
      <c r="AQ483" s="1" t="s">
        <v>74</v>
      </c>
      <c r="AR483" s="1" t="s">
        <v>74</v>
      </c>
      <c r="AS483" s="1" t="s">
        <v>74</v>
      </c>
      <c r="AT483" s="1" t="s">
        <v>111</v>
      </c>
      <c r="AU483" s="1">
        <v>2024.0</v>
      </c>
      <c r="AV483" s="1">
        <v>318.0</v>
      </c>
      <c r="AW483" s="1" t="s">
        <v>74</v>
      </c>
      <c r="AX483" s="1" t="s">
        <v>74</v>
      </c>
      <c r="AY483" s="1" t="s">
        <v>74</v>
      </c>
      <c r="AZ483" s="1" t="s">
        <v>74</v>
      </c>
      <c r="BA483" s="1" t="s">
        <v>74</v>
      </c>
      <c r="BB483" s="1" t="s">
        <v>74</v>
      </c>
      <c r="BC483" s="1" t="s">
        <v>74</v>
      </c>
      <c r="BD483" s="1">
        <v>129161.0</v>
      </c>
      <c r="BE483" s="1" t="s">
        <v>4895</v>
      </c>
      <c r="BF483" s="2" t="str">
        <f>HYPERLINK("http://dx.doi.org/10.1016/j.matchemphys.2024.129161","http://dx.doi.org/10.1016/j.matchemphys.2024.129161")</f>
        <v>http://dx.doi.org/10.1016/j.matchemphys.2024.129161</v>
      </c>
      <c r="BG483" s="1" t="s">
        <v>74</v>
      </c>
      <c r="BH483" s="1" t="s">
        <v>782</v>
      </c>
      <c r="BI483" s="1" t="s">
        <v>74</v>
      </c>
      <c r="BJ483" s="1" t="s">
        <v>74</v>
      </c>
      <c r="BK483" s="1" t="s">
        <v>74</v>
      </c>
      <c r="BL483" s="1" t="s">
        <v>74</v>
      </c>
      <c r="BM483" s="1" t="s">
        <v>74</v>
      </c>
      <c r="BN483" s="1" t="s">
        <v>74</v>
      </c>
      <c r="BO483" s="1" t="s">
        <v>74</v>
      </c>
      <c r="BP483" s="1" t="s">
        <v>74</v>
      </c>
      <c r="BQ483" s="1" t="s">
        <v>74</v>
      </c>
      <c r="BR483" s="1" t="s">
        <v>74</v>
      </c>
      <c r="BS483" s="1" t="s">
        <v>4896</v>
      </c>
      <c r="BT483" s="1" t="str">
        <f>HYPERLINK("https%3A%2F%2Fwww.webofscience.com%2Fwos%2Fwoscc%2Ffull-record%2FWOS:001215742600001","View Full Record in Web of Science")</f>
        <v>View Full Record in Web of Science</v>
      </c>
    </row>
    <row r="484" ht="12.75" customHeight="1">
      <c r="A484" s="1" t="s">
        <v>72</v>
      </c>
      <c r="B484" s="1" t="s">
        <v>4897</v>
      </c>
      <c r="C484" s="1" t="s">
        <v>74</v>
      </c>
      <c r="D484" s="1" t="s">
        <v>74</v>
      </c>
      <c r="E484" s="1" t="s">
        <v>74</v>
      </c>
      <c r="F484" s="1" t="s">
        <v>4898</v>
      </c>
      <c r="G484" s="1" t="s">
        <v>74</v>
      </c>
      <c r="H484" s="1" t="s">
        <v>74</v>
      </c>
      <c r="I484" s="1" t="s">
        <v>4899</v>
      </c>
      <c r="J484" s="1" t="s">
        <v>4900</v>
      </c>
      <c r="K484" s="1" t="s">
        <v>74</v>
      </c>
      <c r="L484" s="1" t="s">
        <v>74</v>
      </c>
      <c r="M484" s="1" t="s">
        <v>74</v>
      </c>
      <c r="N484" s="1" t="s">
        <v>74</v>
      </c>
      <c r="O484" s="1" t="s">
        <v>74</v>
      </c>
      <c r="P484" s="1" t="s">
        <v>74</v>
      </c>
      <c r="Q484" s="1" t="s">
        <v>74</v>
      </c>
      <c r="R484" s="1" t="s">
        <v>74</v>
      </c>
      <c r="S484" s="1" t="s">
        <v>74</v>
      </c>
      <c r="T484" s="1" t="s">
        <v>74</v>
      </c>
      <c r="U484" s="1" t="s">
        <v>74</v>
      </c>
      <c r="V484" s="1" t="s">
        <v>4901</v>
      </c>
      <c r="W484" s="1" t="s">
        <v>74</v>
      </c>
      <c r="X484" s="1" t="s">
        <v>74</v>
      </c>
      <c r="Y484" s="1" t="s">
        <v>74</v>
      </c>
      <c r="Z484" s="1" t="s">
        <v>74</v>
      </c>
      <c r="AA484" s="1" t="s">
        <v>4902</v>
      </c>
      <c r="AB484" s="1" t="s">
        <v>4903</v>
      </c>
      <c r="AC484" s="1" t="s">
        <v>74</v>
      </c>
      <c r="AD484" s="1" t="s">
        <v>74</v>
      </c>
      <c r="AE484" s="1" t="s">
        <v>74</v>
      </c>
      <c r="AF484" s="1" t="s">
        <v>74</v>
      </c>
      <c r="AG484" s="1" t="s">
        <v>74</v>
      </c>
      <c r="AH484" s="1" t="s">
        <v>74</v>
      </c>
      <c r="AI484" s="1" t="s">
        <v>74</v>
      </c>
      <c r="AJ484" s="1" t="s">
        <v>74</v>
      </c>
      <c r="AK484" s="1" t="s">
        <v>74</v>
      </c>
      <c r="AL484" s="1" t="s">
        <v>74</v>
      </c>
      <c r="AM484" s="1" t="s">
        <v>74</v>
      </c>
      <c r="AN484" s="1" t="s">
        <v>74</v>
      </c>
      <c r="AO484" s="1" t="s">
        <v>4904</v>
      </c>
      <c r="AP484" s="1" t="s">
        <v>4905</v>
      </c>
      <c r="AQ484" s="1" t="s">
        <v>74</v>
      </c>
      <c r="AR484" s="1" t="s">
        <v>74</v>
      </c>
      <c r="AS484" s="1" t="s">
        <v>74</v>
      </c>
      <c r="AT484" s="1" t="s">
        <v>294</v>
      </c>
      <c r="AU484" s="1">
        <v>2024.0</v>
      </c>
      <c r="AV484" s="1">
        <v>12.0</v>
      </c>
      <c r="AW484" s="1">
        <v>3.0</v>
      </c>
      <c r="AX484" s="1" t="s">
        <v>74</v>
      </c>
      <c r="AY484" s="1" t="s">
        <v>74</v>
      </c>
      <c r="AZ484" s="1" t="s">
        <v>74</v>
      </c>
      <c r="BA484" s="1" t="s">
        <v>74</v>
      </c>
      <c r="BB484" s="1" t="s">
        <v>74</v>
      </c>
      <c r="BC484" s="1" t="s">
        <v>74</v>
      </c>
      <c r="BD484" s="1">
        <v>112471.0</v>
      </c>
      <c r="BE484" s="1" t="s">
        <v>4906</v>
      </c>
      <c r="BF484" s="2" t="str">
        <f>HYPERLINK("http://dx.doi.org/10.1016/j.jece.2024.112471","http://dx.doi.org/10.1016/j.jece.2024.112471")</f>
        <v>http://dx.doi.org/10.1016/j.jece.2024.112471</v>
      </c>
      <c r="BG484" s="1" t="s">
        <v>74</v>
      </c>
      <c r="BH484" s="1" t="s">
        <v>4907</v>
      </c>
      <c r="BI484" s="1" t="s">
        <v>74</v>
      </c>
      <c r="BJ484" s="1" t="s">
        <v>74</v>
      </c>
      <c r="BK484" s="1" t="s">
        <v>74</v>
      </c>
      <c r="BL484" s="1" t="s">
        <v>74</v>
      </c>
      <c r="BM484" s="1" t="s">
        <v>74</v>
      </c>
      <c r="BN484" s="1" t="s">
        <v>74</v>
      </c>
      <c r="BO484" s="1" t="s">
        <v>74</v>
      </c>
      <c r="BP484" s="1" t="s">
        <v>74</v>
      </c>
      <c r="BQ484" s="1" t="s">
        <v>74</v>
      </c>
      <c r="BR484" s="1" t="s">
        <v>74</v>
      </c>
      <c r="BS484" s="1" t="s">
        <v>4908</v>
      </c>
      <c r="BT484" s="1" t="str">
        <f>HYPERLINK("https%3A%2F%2Fwww.webofscience.com%2Fwos%2Fwoscc%2Ffull-record%2FWOS:001217570500001","View Full Record in Web of Science")</f>
        <v>View Full Record in Web of Science</v>
      </c>
    </row>
    <row r="485" ht="12.75" customHeight="1">
      <c r="A485" s="1" t="s">
        <v>72</v>
      </c>
      <c r="B485" s="1" t="s">
        <v>4909</v>
      </c>
      <c r="C485" s="1" t="s">
        <v>74</v>
      </c>
      <c r="D485" s="1" t="s">
        <v>74</v>
      </c>
      <c r="E485" s="1" t="s">
        <v>74</v>
      </c>
      <c r="F485" s="1" t="s">
        <v>4910</v>
      </c>
      <c r="G485" s="1" t="s">
        <v>74</v>
      </c>
      <c r="H485" s="1" t="s">
        <v>74</v>
      </c>
      <c r="I485" s="1" t="s">
        <v>4911</v>
      </c>
      <c r="J485" s="1" t="s">
        <v>970</v>
      </c>
      <c r="K485" s="1" t="s">
        <v>74</v>
      </c>
      <c r="L485" s="1" t="s">
        <v>74</v>
      </c>
      <c r="M485" s="1" t="s">
        <v>74</v>
      </c>
      <c r="N485" s="1" t="s">
        <v>74</v>
      </c>
      <c r="O485" s="1" t="s">
        <v>74</v>
      </c>
      <c r="P485" s="1" t="s">
        <v>74</v>
      </c>
      <c r="Q485" s="1" t="s">
        <v>74</v>
      </c>
      <c r="R485" s="1" t="s">
        <v>74</v>
      </c>
      <c r="S485" s="1" t="s">
        <v>74</v>
      </c>
      <c r="T485" s="1" t="s">
        <v>74</v>
      </c>
      <c r="U485" s="1" t="s">
        <v>74</v>
      </c>
      <c r="V485" s="1" t="s">
        <v>4912</v>
      </c>
      <c r="W485" s="1" t="s">
        <v>74</v>
      </c>
      <c r="X485" s="1" t="s">
        <v>74</v>
      </c>
      <c r="Y485" s="1" t="s">
        <v>74</v>
      </c>
      <c r="Z485" s="1" t="s">
        <v>74</v>
      </c>
      <c r="AA485" s="1" t="s">
        <v>4913</v>
      </c>
      <c r="AB485" s="1" t="s">
        <v>4914</v>
      </c>
      <c r="AC485" s="1" t="s">
        <v>74</v>
      </c>
      <c r="AD485" s="1" t="s">
        <v>74</v>
      </c>
      <c r="AE485" s="1" t="s">
        <v>74</v>
      </c>
      <c r="AF485" s="1" t="s">
        <v>74</v>
      </c>
      <c r="AG485" s="1" t="s">
        <v>74</v>
      </c>
      <c r="AH485" s="1" t="s">
        <v>74</v>
      </c>
      <c r="AI485" s="1" t="s">
        <v>74</v>
      </c>
      <c r="AJ485" s="1" t="s">
        <v>74</v>
      </c>
      <c r="AK485" s="1" t="s">
        <v>74</v>
      </c>
      <c r="AL485" s="1" t="s">
        <v>74</v>
      </c>
      <c r="AM485" s="1" t="s">
        <v>74</v>
      </c>
      <c r="AN485" s="1" t="s">
        <v>74</v>
      </c>
      <c r="AO485" s="1" t="s">
        <v>974</v>
      </c>
      <c r="AP485" s="1" t="s">
        <v>975</v>
      </c>
      <c r="AQ485" s="1" t="s">
        <v>74</v>
      </c>
      <c r="AR485" s="1" t="s">
        <v>74</v>
      </c>
      <c r="AS485" s="1" t="s">
        <v>74</v>
      </c>
      <c r="AT485" s="1" t="s">
        <v>1631</v>
      </c>
      <c r="AU485" s="1">
        <v>2024.0</v>
      </c>
      <c r="AV485" s="1">
        <v>53.0</v>
      </c>
      <c r="AW485" s="1">
        <v>14.0</v>
      </c>
      <c r="AX485" s="1" t="s">
        <v>74</v>
      </c>
      <c r="AY485" s="1" t="s">
        <v>74</v>
      </c>
      <c r="AZ485" s="1" t="s">
        <v>74</v>
      </c>
      <c r="BA485" s="1" t="s">
        <v>74</v>
      </c>
      <c r="BB485" s="1">
        <v>6264.0</v>
      </c>
      <c r="BC485" s="1">
        <v>6274.0</v>
      </c>
      <c r="BD485" s="1" t="s">
        <v>74</v>
      </c>
      <c r="BE485" s="1" t="s">
        <v>4915</v>
      </c>
      <c r="BF485" s="2" t="str">
        <f>HYPERLINK("http://dx.doi.org/10.1039/d4dt00580e","http://dx.doi.org/10.1039/d4dt00580e")</f>
        <v>http://dx.doi.org/10.1039/d4dt00580e</v>
      </c>
      <c r="BG485" s="1" t="s">
        <v>74</v>
      </c>
      <c r="BH485" s="1" t="s">
        <v>4907</v>
      </c>
      <c r="BI485" s="1" t="s">
        <v>74</v>
      </c>
      <c r="BJ485" s="1" t="s">
        <v>74</v>
      </c>
      <c r="BK485" s="1" t="s">
        <v>74</v>
      </c>
      <c r="BL485" s="1" t="s">
        <v>74</v>
      </c>
      <c r="BM485" s="1" t="s">
        <v>74</v>
      </c>
      <c r="BN485" s="1">
        <v>3.8506048E7</v>
      </c>
      <c r="BO485" s="1" t="s">
        <v>74</v>
      </c>
      <c r="BP485" s="1" t="s">
        <v>74</v>
      </c>
      <c r="BQ485" s="1" t="s">
        <v>74</v>
      </c>
      <c r="BR485" s="1" t="s">
        <v>74</v>
      </c>
      <c r="BS485" s="1" t="s">
        <v>4916</v>
      </c>
      <c r="BT485" s="1" t="str">
        <f>HYPERLINK("https%3A%2F%2Fwww.webofscience.com%2Fwos%2Fwoscc%2Ffull-record%2FWOS:001187728900001","View Full Record in Web of Science")</f>
        <v>View Full Record in Web of Science</v>
      </c>
    </row>
    <row r="486" ht="12.75" customHeight="1">
      <c r="A486" s="1" t="s">
        <v>72</v>
      </c>
      <c r="B486" s="1" t="s">
        <v>4917</v>
      </c>
      <c r="C486" s="1" t="s">
        <v>74</v>
      </c>
      <c r="D486" s="1" t="s">
        <v>74</v>
      </c>
      <c r="E486" s="1" t="s">
        <v>74</v>
      </c>
      <c r="F486" s="1" t="s">
        <v>4918</v>
      </c>
      <c r="G486" s="1" t="s">
        <v>74</v>
      </c>
      <c r="H486" s="1" t="s">
        <v>74</v>
      </c>
      <c r="I486" s="1" t="s">
        <v>4919</v>
      </c>
      <c r="J486" s="1" t="s">
        <v>4920</v>
      </c>
      <c r="K486" s="1" t="s">
        <v>74</v>
      </c>
      <c r="L486" s="1" t="s">
        <v>74</v>
      </c>
      <c r="M486" s="1" t="s">
        <v>74</v>
      </c>
      <c r="N486" s="1" t="s">
        <v>74</v>
      </c>
      <c r="O486" s="1" t="s">
        <v>74</v>
      </c>
      <c r="P486" s="1" t="s">
        <v>74</v>
      </c>
      <c r="Q486" s="1" t="s">
        <v>74</v>
      </c>
      <c r="R486" s="1" t="s">
        <v>74</v>
      </c>
      <c r="S486" s="1" t="s">
        <v>74</v>
      </c>
      <c r="T486" s="1" t="s">
        <v>74</v>
      </c>
      <c r="U486" s="1" t="s">
        <v>74</v>
      </c>
      <c r="V486" s="1" t="s">
        <v>4921</v>
      </c>
      <c r="W486" s="1" t="s">
        <v>74</v>
      </c>
      <c r="X486" s="1" t="s">
        <v>74</v>
      </c>
      <c r="Y486" s="1" t="s">
        <v>74</v>
      </c>
      <c r="Z486" s="1" t="s">
        <v>74</v>
      </c>
      <c r="AA486" s="1" t="s">
        <v>4922</v>
      </c>
      <c r="AB486" s="1" t="s">
        <v>74</v>
      </c>
      <c r="AC486" s="1" t="s">
        <v>74</v>
      </c>
      <c r="AD486" s="1" t="s">
        <v>74</v>
      </c>
      <c r="AE486" s="1" t="s">
        <v>74</v>
      </c>
      <c r="AF486" s="1" t="s">
        <v>74</v>
      </c>
      <c r="AG486" s="1" t="s">
        <v>74</v>
      </c>
      <c r="AH486" s="1" t="s">
        <v>74</v>
      </c>
      <c r="AI486" s="1" t="s">
        <v>74</v>
      </c>
      <c r="AJ486" s="1" t="s">
        <v>74</v>
      </c>
      <c r="AK486" s="1" t="s">
        <v>74</v>
      </c>
      <c r="AL486" s="1" t="s">
        <v>74</v>
      </c>
      <c r="AM486" s="1" t="s">
        <v>74</v>
      </c>
      <c r="AN486" s="1" t="s">
        <v>74</v>
      </c>
      <c r="AO486" s="1" t="s">
        <v>4923</v>
      </c>
      <c r="AP486" s="1" t="s">
        <v>4924</v>
      </c>
      <c r="AQ486" s="1" t="s">
        <v>74</v>
      </c>
      <c r="AR486" s="1" t="s">
        <v>74</v>
      </c>
      <c r="AS486" s="1" t="s">
        <v>74</v>
      </c>
      <c r="AT486" s="1" t="s">
        <v>74</v>
      </c>
      <c r="AU486" s="1">
        <v>2024.0</v>
      </c>
      <c r="AV486" s="1" t="s">
        <v>74</v>
      </c>
      <c r="AW486" s="1">
        <v>183.0</v>
      </c>
      <c r="AX486" s="1" t="s">
        <v>74</v>
      </c>
      <c r="AY486" s="1" t="s">
        <v>74</v>
      </c>
      <c r="AZ486" s="1" t="s">
        <v>74</v>
      </c>
      <c r="BA486" s="1" t="s">
        <v>74</v>
      </c>
      <c r="BB486" s="1" t="s">
        <v>74</v>
      </c>
      <c r="BC486" s="1" t="s">
        <v>74</v>
      </c>
      <c r="BD486" s="1">
        <v>9423.0</v>
      </c>
      <c r="BE486" s="1" t="s">
        <v>4925</v>
      </c>
      <c r="BF486" s="2" t="str">
        <f>HYPERLINK("http://dx.doi.org/10.11606/issn.2316-9141.rh.2024.215337","http://dx.doi.org/10.11606/issn.2316-9141.rh.2024.215337")</f>
        <v>http://dx.doi.org/10.11606/issn.2316-9141.rh.2024.215337</v>
      </c>
      <c r="BG486" s="1" t="s">
        <v>74</v>
      </c>
      <c r="BH486" s="1" t="s">
        <v>74</v>
      </c>
      <c r="BI486" s="1" t="s">
        <v>74</v>
      </c>
      <c r="BJ486" s="1" t="s">
        <v>74</v>
      </c>
      <c r="BK486" s="1" t="s">
        <v>74</v>
      </c>
      <c r="BL486" s="1" t="s">
        <v>74</v>
      </c>
      <c r="BM486" s="1" t="s">
        <v>74</v>
      </c>
      <c r="BN486" s="1" t="s">
        <v>74</v>
      </c>
      <c r="BO486" s="1" t="s">
        <v>74</v>
      </c>
      <c r="BP486" s="1" t="s">
        <v>74</v>
      </c>
      <c r="BQ486" s="1" t="s">
        <v>74</v>
      </c>
      <c r="BR486" s="1" t="s">
        <v>74</v>
      </c>
      <c r="BS486" s="1" t="s">
        <v>4926</v>
      </c>
      <c r="BT486" s="1" t="str">
        <f>HYPERLINK("https%3A%2F%2Fwww.webofscience.com%2Fwos%2Fwoscc%2Ffull-record%2FWOS:001157769900001","View Full Record in Web of Science")</f>
        <v>View Full Record in Web of Science</v>
      </c>
    </row>
    <row r="487" ht="12.75" customHeight="1">
      <c r="A487" s="1" t="s">
        <v>72</v>
      </c>
      <c r="B487" s="1" t="s">
        <v>4927</v>
      </c>
      <c r="C487" s="1" t="s">
        <v>74</v>
      </c>
      <c r="D487" s="1" t="s">
        <v>74</v>
      </c>
      <c r="E487" s="1" t="s">
        <v>74</v>
      </c>
      <c r="F487" s="1" t="s">
        <v>4928</v>
      </c>
      <c r="G487" s="1" t="s">
        <v>74</v>
      </c>
      <c r="H487" s="1" t="s">
        <v>74</v>
      </c>
      <c r="I487" s="1" t="s">
        <v>4929</v>
      </c>
      <c r="J487" s="1" t="s">
        <v>4930</v>
      </c>
      <c r="K487" s="1" t="s">
        <v>74</v>
      </c>
      <c r="L487" s="1" t="s">
        <v>74</v>
      </c>
      <c r="M487" s="1" t="s">
        <v>74</v>
      </c>
      <c r="N487" s="1" t="s">
        <v>74</v>
      </c>
      <c r="O487" s="1" t="s">
        <v>74</v>
      </c>
      <c r="P487" s="1" t="s">
        <v>74</v>
      </c>
      <c r="Q487" s="1" t="s">
        <v>74</v>
      </c>
      <c r="R487" s="1" t="s">
        <v>74</v>
      </c>
      <c r="S487" s="1" t="s">
        <v>74</v>
      </c>
      <c r="T487" s="1" t="s">
        <v>74</v>
      </c>
      <c r="U487" s="1" t="s">
        <v>74</v>
      </c>
      <c r="V487" s="1" t="s">
        <v>4931</v>
      </c>
      <c r="W487" s="1" t="s">
        <v>74</v>
      </c>
      <c r="X487" s="1" t="s">
        <v>74</v>
      </c>
      <c r="Y487" s="1" t="s">
        <v>74</v>
      </c>
      <c r="Z487" s="1" t="s">
        <v>74</v>
      </c>
      <c r="AA487" s="1" t="s">
        <v>4932</v>
      </c>
      <c r="AB487" s="1" t="s">
        <v>4933</v>
      </c>
      <c r="AC487" s="1" t="s">
        <v>74</v>
      </c>
      <c r="AD487" s="1" t="s">
        <v>74</v>
      </c>
      <c r="AE487" s="1" t="s">
        <v>74</v>
      </c>
      <c r="AF487" s="1" t="s">
        <v>74</v>
      </c>
      <c r="AG487" s="1" t="s">
        <v>74</v>
      </c>
      <c r="AH487" s="1" t="s">
        <v>74</v>
      </c>
      <c r="AI487" s="1" t="s">
        <v>74</v>
      </c>
      <c r="AJ487" s="1" t="s">
        <v>74</v>
      </c>
      <c r="AK487" s="1" t="s">
        <v>74</v>
      </c>
      <c r="AL487" s="1" t="s">
        <v>74</v>
      </c>
      <c r="AM487" s="1" t="s">
        <v>74</v>
      </c>
      <c r="AN487" s="1" t="s">
        <v>74</v>
      </c>
      <c r="AO487" s="1" t="s">
        <v>4934</v>
      </c>
      <c r="AP487" s="1" t="s">
        <v>4935</v>
      </c>
      <c r="AQ487" s="1" t="s">
        <v>74</v>
      </c>
      <c r="AR487" s="1" t="s">
        <v>74</v>
      </c>
      <c r="AS487" s="1" t="s">
        <v>74</v>
      </c>
      <c r="AT487" s="1" t="s">
        <v>180</v>
      </c>
      <c r="AU487" s="1">
        <v>2024.0</v>
      </c>
      <c r="AV487" s="1">
        <v>31.0</v>
      </c>
      <c r="AW487" s="1">
        <v>3.0</v>
      </c>
      <c r="AX487" s="1" t="s">
        <v>74</v>
      </c>
      <c r="AY487" s="1" t="s">
        <v>74</v>
      </c>
      <c r="AZ487" s="1" t="s">
        <v>74</v>
      </c>
      <c r="BA487" s="1" t="s">
        <v>74</v>
      </c>
      <c r="BB487" s="1">
        <v>2311.0</v>
      </c>
      <c r="BC487" s="1">
        <v>2332.0</v>
      </c>
      <c r="BD487" s="1" t="s">
        <v>74</v>
      </c>
      <c r="BE487" s="1" t="s">
        <v>4936</v>
      </c>
      <c r="BF487" s="2" t="str">
        <f>HYPERLINK("http://dx.doi.org/10.1002/csr.2696","http://dx.doi.org/10.1002/csr.2696")</f>
        <v>http://dx.doi.org/10.1002/csr.2696</v>
      </c>
      <c r="BG487" s="1" t="s">
        <v>74</v>
      </c>
      <c r="BH487" s="1" t="s">
        <v>4937</v>
      </c>
      <c r="BI487" s="1" t="s">
        <v>74</v>
      </c>
      <c r="BJ487" s="1" t="s">
        <v>74</v>
      </c>
      <c r="BK487" s="1" t="s">
        <v>74</v>
      </c>
      <c r="BL487" s="1" t="s">
        <v>74</v>
      </c>
      <c r="BM487" s="1" t="s">
        <v>74</v>
      </c>
      <c r="BN487" s="1" t="s">
        <v>74</v>
      </c>
      <c r="BO487" s="1" t="s">
        <v>74</v>
      </c>
      <c r="BP487" s="1" t="s">
        <v>74</v>
      </c>
      <c r="BQ487" s="1" t="s">
        <v>74</v>
      </c>
      <c r="BR487" s="1" t="s">
        <v>74</v>
      </c>
      <c r="BS487" s="1" t="s">
        <v>4938</v>
      </c>
      <c r="BT487" s="1" t="str">
        <f>HYPERLINK("https%3A%2F%2Fwww.webofscience.com%2Fwos%2Fwoscc%2Ffull-record%2FWOS:001124182900001","View Full Record in Web of Science")</f>
        <v>View Full Record in Web of Science</v>
      </c>
    </row>
    <row r="488" ht="12.75" customHeight="1">
      <c r="A488" s="1" t="s">
        <v>72</v>
      </c>
      <c r="B488" s="1" t="s">
        <v>4939</v>
      </c>
      <c r="C488" s="1" t="s">
        <v>74</v>
      </c>
      <c r="D488" s="1" t="s">
        <v>74</v>
      </c>
      <c r="E488" s="1" t="s">
        <v>74</v>
      </c>
      <c r="F488" s="1" t="s">
        <v>4940</v>
      </c>
      <c r="G488" s="1" t="s">
        <v>74</v>
      </c>
      <c r="H488" s="1" t="s">
        <v>74</v>
      </c>
      <c r="I488" s="1" t="s">
        <v>4941</v>
      </c>
      <c r="J488" s="1" t="s">
        <v>745</v>
      </c>
      <c r="K488" s="1" t="s">
        <v>74</v>
      </c>
      <c r="L488" s="1" t="s">
        <v>74</v>
      </c>
      <c r="M488" s="1" t="s">
        <v>74</v>
      </c>
      <c r="N488" s="1" t="s">
        <v>74</v>
      </c>
      <c r="O488" s="1" t="s">
        <v>74</v>
      </c>
      <c r="P488" s="1" t="s">
        <v>74</v>
      </c>
      <c r="Q488" s="1" t="s">
        <v>74</v>
      </c>
      <c r="R488" s="1" t="s">
        <v>74</v>
      </c>
      <c r="S488" s="1" t="s">
        <v>74</v>
      </c>
      <c r="T488" s="1" t="s">
        <v>74</v>
      </c>
      <c r="U488" s="1" t="s">
        <v>74</v>
      </c>
      <c r="V488" s="1" t="s">
        <v>4942</v>
      </c>
      <c r="W488" s="1" t="s">
        <v>74</v>
      </c>
      <c r="X488" s="1" t="s">
        <v>74</v>
      </c>
      <c r="Y488" s="1" t="s">
        <v>74</v>
      </c>
      <c r="Z488" s="1" t="s">
        <v>74</v>
      </c>
      <c r="AA488" s="1" t="s">
        <v>4943</v>
      </c>
      <c r="AB488" s="1" t="s">
        <v>4944</v>
      </c>
      <c r="AC488" s="1" t="s">
        <v>74</v>
      </c>
      <c r="AD488" s="1" t="s">
        <v>74</v>
      </c>
      <c r="AE488" s="1" t="s">
        <v>74</v>
      </c>
      <c r="AF488" s="1" t="s">
        <v>74</v>
      </c>
      <c r="AG488" s="1" t="s">
        <v>74</v>
      </c>
      <c r="AH488" s="1" t="s">
        <v>74</v>
      </c>
      <c r="AI488" s="1" t="s">
        <v>74</v>
      </c>
      <c r="AJ488" s="1" t="s">
        <v>74</v>
      </c>
      <c r="AK488" s="1" t="s">
        <v>74</v>
      </c>
      <c r="AL488" s="1" t="s">
        <v>74</v>
      </c>
      <c r="AM488" s="1" t="s">
        <v>74</v>
      </c>
      <c r="AN488" s="1" t="s">
        <v>74</v>
      </c>
      <c r="AO488" s="1" t="s">
        <v>74</v>
      </c>
      <c r="AP488" s="1" t="s">
        <v>749</v>
      </c>
      <c r="AQ488" s="1" t="s">
        <v>74</v>
      </c>
      <c r="AR488" s="1" t="s">
        <v>74</v>
      </c>
      <c r="AS488" s="1" t="s">
        <v>74</v>
      </c>
      <c r="AT488" s="1" t="s">
        <v>606</v>
      </c>
      <c r="AU488" s="1">
        <v>2023.0</v>
      </c>
      <c r="AV488" s="1">
        <v>9.0</v>
      </c>
      <c r="AW488" s="1">
        <v>10.0</v>
      </c>
      <c r="AX488" s="1" t="s">
        <v>74</v>
      </c>
      <c r="AY488" s="1" t="s">
        <v>74</v>
      </c>
      <c r="AZ488" s="1" t="s">
        <v>74</v>
      </c>
      <c r="BA488" s="1" t="s">
        <v>74</v>
      </c>
      <c r="BB488" s="1" t="s">
        <v>74</v>
      </c>
      <c r="BC488" s="1" t="s">
        <v>74</v>
      </c>
      <c r="BD488" s="1">
        <v>1010.0</v>
      </c>
      <c r="BE488" s="1" t="s">
        <v>4945</v>
      </c>
      <c r="BF488" s="2" t="str">
        <f>HYPERLINK("http://dx.doi.org/10.3390/jof9101010","http://dx.doi.org/10.3390/jof9101010")</f>
        <v>http://dx.doi.org/10.3390/jof9101010</v>
      </c>
      <c r="BG488" s="1" t="s">
        <v>74</v>
      </c>
      <c r="BH488" s="1" t="s">
        <v>74</v>
      </c>
      <c r="BI488" s="1" t="s">
        <v>74</v>
      </c>
      <c r="BJ488" s="1" t="s">
        <v>74</v>
      </c>
      <c r="BK488" s="1" t="s">
        <v>74</v>
      </c>
      <c r="BL488" s="1" t="s">
        <v>74</v>
      </c>
      <c r="BM488" s="1" t="s">
        <v>74</v>
      </c>
      <c r="BN488" s="1">
        <v>3.7888266E7</v>
      </c>
      <c r="BO488" s="1" t="s">
        <v>74</v>
      </c>
      <c r="BP488" s="1" t="s">
        <v>74</v>
      </c>
      <c r="BQ488" s="1" t="s">
        <v>74</v>
      </c>
      <c r="BR488" s="1" t="s">
        <v>74</v>
      </c>
      <c r="BS488" s="1" t="s">
        <v>4946</v>
      </c>
      <c r="BT488" s="1" t="str">
        <f>HYPERLINK("https%3A%2F%2Fwww.webofscience.com%2Fwos%2Fwoscc%2Ffull-record%2FWOS:001092658700001","View Full Record in Web of Science")</f>
        <v>View Full Record in Web of Science</v>
      </c>
    </row>
    <row r="489" ht="12.75" customHeight="1">
      <c r="A489" s="1" t="s">
        <v>72</v>
      </c>
      <c r="B489" s="1" t="s">
        <v>4947</v>
      </c>
      <c r="C489" s="1" t="s">
        <v>74</v>
      </c>
      <c r="D489" s="1" t="s">
        <v>74</v>
      </c>
      <c r="E489" s="1" t="s">
        <v>74</v>
      </c>
      <c r="F489" s="1" t="s">
        <v>4948</v>
      </c>
      <c r="G489" s="1" t="s">
        <v>74</v>
      </c>
      <c r="H489" s="1" t="s">
        <v>74</v>
      </c>
      <c r="I489" s="1" t="s">
        <v>4949</v>
      </c>
      <c r="J489" s="1" t="s">
        <v>4950</v>
      </c>
      <c r="K489" s="1" t="s">
        <v>74</v>
      </c>
      <c r="L489" s="1" t="s">
        <v>74</v>
      </c>
      <c r="M489" s="1" t="s">
        <v>74</v>
      </c>
      <c r="N489" s="1" t="s">
        <v>74</v>
      </c>
      <c r="O489" s="1" t="s">
        <v>74</v>
      </c>
      <c r="P489" s="1" t="s">
        <v>74</v>
      </c>
      <c r="Q489" s="1" t="s">
        <v>74</v>
      </c>
      <c r="R489" s="1" t="s">
        <v>74</v>
      </c>
      <c r="S489" s="1" t="s">
        <v>74</v>
      </c>
      <c r="T489" s="1" t="s">
        <v>74</v>
      </c>
      <c r="U489" s="1" t="s">
        <v>74</v>
      </c>
      <c r="V489" s="1" t="s">
        <v>4951</v>
      </c>
      <c r="W489" s="1" t="s">
        <v>74</v>
      </c>
      <c r="X489" s="1" t="s">
        <v>74</v>
      </c>
      <c r="Y489" s="1" t="s">
        <v>74</v>
      </c>
      <c r="Z489" s="1" t="s">
        <v>74</v>
      </c>
      <c r="AA489" s="1" t="s">
        <v>4952</v>
      </c>
      <c r="AB489" s="1" t="s">
        <v>4953</v>
      </c>
      <c r="AC489" s="1" t="s">
        <v>74</v>
      </c>
      <c r="AD489" s="1" t="s">
        <v>74</v>
      </c>
      <c r="AE489" s="1" t="s">
        <v>74</v>
      </c>
      <c r="AF489" s="1" t="s">
        <v>74</v>
      </c>
      <c r="AG489" s="1" t="s">
        <v>74</v>
      </c>
      <c r="AH489" s="1" t="s">
        <v>74</v>
      </c>
      <c r="AI489" s="1" t="s">
        <v>74</v>
      </c>
      <c r="AJ489" s="1" t="s">
        <v>74</v>
      </c>
      <c r="AK489" s="1" t="s">
        <v>74</v>
      </c>
      <c r="AL489" s="1" t="s">
        <v>74</v>
      </c>
      <c r="AM489" s="1" t="s">
        <v>74</v>
      </c>
      <c r="AN489" s="1" t="s">
        <v>74</v>
      </c>
      <c r="AO489" s="1" t="s">
        <v>4954</v>
      </c>
      <c r="AP489" s="1" t="s">
        <v>4955</v>
      </c>
      <c r="AQ489" s="1" t="s">
        <v>74</v>
      </c>
      <c r="AR489" s="1" t="s">
        <v>74</v>
      </c>
      <c r="AS489" s="1" t="s">
        <v>74</v>
      </c>
      <c r="AT489" s="1" t="s">
        <v>74</v>
      </c>
      <c r="AU489" s="1">
        <v>2023.0</v>
      </c>
      <c r="AV489" s="1">
        <v>26.0</v>
      </c>
      <c r="AW489" s="1" t="s">
        <v>74</v>
      </c>
      <c r="AX489" s="1" t="s">
        <v>74</v>
      </c>
      <c r="AY489" s="1" t="s">
        <v>74</v>
      </c>
      <c r="AZ489" s="1" t="s">
        <v>445</v>
      </c>
      <c r="BA489" s="1" t="s">
        <v>74</v>
      </c>
      <c r="BB489" s="1">
        <v>7.0</v>
      </c>
      <c r="BC489" s="1">
        <v>20.0</v>
      </c>
      <c r="BD489" s="1" t="s">
        <v>74</v>
      </c>
      <c r="BE489" s="1" t="s">
        <v>4956</v>
      </c>
      <c r="BF489" s="2" t="str">
        <f>HYPERLINK("http://dx.doi.org/10.6018/rcsar.555771","http://dx.doi.org/10.6018/rcsar.555771")</f>
        <v>http://dx.doi.org/10.6018/rcsar.555771</v>
      </c>
      <c r="BG489" s="1" t="s">
        <v>74</v>
      </c>
      <c r="BH489" s="1" t="s">
        <v>74</v>
      </c>
      <c r="BI489" s="1" t="s">
        <v>74</v>
      </c>
      <c r="BJ489" s="1" t="s">
        <v>74</v>
      </c>
      <c r="BK489" s="1" t="s">
        <v>74</v>
      </c>
      <c r="BL489" s="1" t="s">
        <v>74</v>
      </c>
      <c r="BM489" s="1" t="s">
        <v>74</v>
      </c>
      <c r="BN489" s="1" t="s">
        <v>74</v>
      </c>
      <c r="BO489" s="1" t="s">
        <v>74</v>
      </c>
      <c r="BP489" s="1" t="s">
        <v>74</v>
      </c>
      <c r="BQ489" s="1" t="s">
        <v>74</v>
      </c>
      <c r="BR489" s="1" t="s">
        <v>74</v>
      </c>
      <c r="BS489" s="1" t="s">
        <v>4957</v>
      </c>
      <c r="BT489" s="1" t="str">
        <f>HYPERLINK("https%3A%2F%2Fwww.webofscience.com%2Fwos%2Fwoscc%2Ffull-record%2FWOS:001091901000002","View Full Record in Web of Science")</f>
        <v>View Full Record in Web of Science</v>
      </c>
    </row>
    <row r="490" ht="12.75" customHeight="1">
      <c r="A490" s="1" t="s">
        <v>72</v>
      </c>
      <c r="B490" s="1" t="s">
        <v>4958</v>
      </c>
      <c r="C490" s="1" t="s">
        <v>74</v>
      </c>
      <c r="D490" s="1" t="s">
        <v>74</v>
      </c>
      <c r="E490" s="1" t="s">
        <v>74</v>
      </c>
      <c r="F490" s="1" t="s">
        <v>4959</v>
      </c>
      <c r="G490" s="1" t="s">
        <v>74</v>
      </c>
      <c r="H490" s="1" t="s">
        <v>74</v>
      </c>
      <c r="I490" s="1" t="s">
        <v>4960</v>
      </c>
      <c r="J490" s="1" t="s">
        <v>4961</v>
      </c>
      <c r="K490" s="1" t="s">
        <v>74</v>
      </c>
      <c r="L490" s="1" t="s">
        <v>74</v>
      </c>
      <c r="M490" s="1" t="s">
        <v>74</v>
      </c>
      <c r="N490" s="1" t="s">
        <v>74</v>
      </c>
      <c r="O490" s="1" t="s">
        <v>74</v>
      </c>
      <c r="P490" s="1" t="s">
        <v>74</v>
      </c>
      <c r="Q490" s="1" t="s">
        <v>74</v>
      </c>
      <c r="R490" s="1" t="s">
        <v>74</v>
      </c>
      <c r="S490" s="1" t="s">
        <v>74</v>
      </c>
      <c r="T490" s="1" t="s">
        <v>74</v>
      </c>
      <c r="U490" s="1" t="s">
        <v>74</v>
      </c>
      <c r="V490" s="1" t="s">
        <v>4962</v>
      </c>
      <c r="W490" s="1" t="s">
        <v>74</v>
      </c>
      <c r="X490" s="1" t="s">
        <v>74</v>
      </c>
      <c r="Y490" s="1" t="s">
        <v>74</v>
      </c>
      <c r="Z490" s="1" t="s">
        <v>74</v>
      </c>
      <c r="AA490" s="1" t="s">
        <v>4963</v>
      </c>
      <c r="AB490" s="1" t="s">
        <v>4964</v>
      </c>
      <c r="AC490" s="1" t="s">
        <v>74</v>
      </c>
      <c r="AD490" s="1" t="s">
        <v>74</v>
      </c>
      <c r="AE490" s="1" t="s">
        <v>74</v>
      </c>
      <c r="AF490" s="1" t="s">
        <v>74</v>
      </c>
      <c r="AG490" s="1" t="s">
        <v>74</v>
      </c>
      <c r="AH490" s="1" t="s">
        <v>74</v>
      </c>
      <c r="AI490" s="1" t="s">
        <v>74</v>
      </c>
      <c r="AJ490" s="1" t="s">
        <v>74</v>
      </c>
      <c r="AK490" s="1" t="s">
        <v>74</v>
      </c>
      <c r="AL490" s="1" t="s">
        <v>74</v>
      </c>
      <c r="AM490" s="1" t="s">
        <v>74</v>
      </c>
      <c r="AN490" s="1" t="s">
        <v>74</v>
      </c>
      <c r="AO490" s="1" t="s">
        <v>4965</v>
      </c>
      <c r="AP490" s="1" t="s">
        <v>4966</v>
      </c>
      <c r="AQ490" s="1" t="s">
        <v>74</v>
      </c>
      <c r="AR490" s="1" t="s">
        <v>74</v>
      </c>
      <c r="AS490" s="1" t="s">
        <v>74</v>
      </c>
      <c r="AT490" s="1" t="s">
        <v>4967</v>
      </c>
      <c r="AU490" s="1">
        <v>2023.0</v>
      </c>
      <c r="AV490" s="1">
        <v>24.0</v>
      </c>
      <c r="AW490" s="1">
        <v>6.0</v>
      </c>
      <c r="AX490" s="1" t="s">
        <v>74</v>
      </c>
      <c r="AY490" s="1" t="s">
        <v>74</v>
      </c>
      <c r="AZ490" s="1" t="s">
        <v>74</v>
      </c>
      <c r="BA490" s="1" t="s">
        <v>74</v>
      </c>
      <c r="BB490" s="1">
        <v>698.0</v>
      </c>
      <c r="BC490" s="1">
        <v>728.0</v>
      </c>
      <c r="BD490" s="1" t="s">
        <v>74</v>
      </c>
      <c r="BE490" s="1" t="s">
        <v>4968</v>
      </c>
      <c r="BF490" s="2" t="str">
        <f>HYPERLINK("http://dx.doi.org/10.1080/1463922X.2022.2134940","http://dx.doi.org/10.1080/1463922X.2022.2134940")</f>
        <v>http://dx.doi.org/10.1080/1463922X.2022.2134940</v>
      </c>
      <c r="BG490" s="1" t="s">
        <v>74</v>
      </c>
      <c r="BH490" s="1" t="s">
        <v>4969</v>
      </c>
      <c r="BI490" s="1" t="s">
        <v>74</v>
      </c>
      <c r="BJ490" s="1" t="s">
        <v>74</v>
      </c>
      <c r="BK490" s="1" t="s">
        <v>74</v>
      </c>
      <c r="BL490" s="1" t="s">
        <v>74</v>
      </c>
      <c r="BM490" s="1" t="s">
        <v>74</v>
      </c>
      <c r="BN490" s="1" t="s">
        <v>74</v>
      </c>
      <c r="BO490" s="1" t="s">
        <v>74</v>
      </c>
      <c r="BP490" s="1" t="s">
        <v>74</v>
      </c>
      <c r="BQ490" s="1" t="s">
        <v>74</v>
      </c>
      <c r="BR490" s="1" t="s">
        <v>74</v>
      </c>
      <c r="BS490" s="1" t="s">
        <v>4970</v>
      </c>
      <c r="BT490" s="1" t="str">
        <f>HYPERLINK("https%3A%2F%2Fwww.webofscience.com%2Fwos%2Fwoscc%2Ffull-record%2FWOS:000877449400001","View Full Record in Web of Science")</f>
        <v>View Full Record in Web of Science</v>
      </c>
    </row>
    <row r="491" ht="12.75" customHeight="1">
      <c r="A491" s="1" t="s">
        <v>72</v>
      </c>
      <c r="B491" s="1" t="s">
        <v>4971</v>
      </c>
      <c r="C491" s="1" t="s">
        <v>74</v>
      </c>
      <c r="D491" s="1" t="s">
        <v>74</v>
      </c>
      <c r="E491" s="1" t="s">
        <v>74</v>
      </c>
      <c r="F491" s="1" t="s">
        <v>4972</v>
      </c>
      <c r="G491" s="1" t="s">
        <v>74</v>
      </c>
      <c r="H491" s="1" t="s">
        <v>74</v>
      </c>
      <c r="I491" s="1" t="s">
        <v>4973</v>
      </c>
      <c r="J491" s="1" t="s">
        <v>938</v>
      </c>
      <c r="K491" s="1" t="s">
        <v>74</v>
      </c>
      <c r="L491" s="1" t="s">
        <v>74</v>
      </c>
      <c r="M491" s="1" t="s">
        <v>74</v>
      </c>
      <c r="N491" s="1" t="s">
        <v>74</v>
      </c>
      <c r="O491" s="1" t="s">
        <v>74</v>
      </c>
      <c r="P491" s="1" t="s">
        <v>74</v>
      </c>
      <c r="Q491" s="1" t="s">
        <v>74</v>
      </c>
      <c r="R491" s="1" t="s">
        <v>74</v>
      </c>
      <c r="S491" s="1" t="s">
        <v>74</v>
      </c>
      <c r="T491" s="1" t="s">
        <v>74</v>
      </c>
      <c r="U491" s="1" t="s">
        <v>74</v>
      </c>
      <c r="V491" s="1" t="s">
        <v>4974</v>
      </c>
      <c r="W491" s="1" t="s">
        <v>74</v>
      </c>
      <c r="X491" s="1" t="s">
        <v>74</v>
      </c>
      <c r="Y491" s="1" t="s">
        <v>74</v>
      </c>
      <c r="Z491" s="1" t="s">
        <v>74</v>
      </c>
      <c r="AA491" s="1" t="s">
        <v>4975</v>
      </c>
      <c r="AB491" s="1" t="s">
        <v>4976</v>
      </c>
      <c r="AC491" s="1" t="s">
        <v>74</v>
      </c>
      <c r="AD491" s="1" t="s">
        <v>74</v>
      </c>
      <c r="AE491" s="1" t="s">
        <v>74</v>
      </c>
      <c r="AF491" s="1" t="s">
        <v>74</v>
      </c>
      <c r="AG491" s="1" t="s">
        <v>74</v>
      </c>
      <c r="AH491" s="1" t="s">
        <v>74</v>
      </c>
      <c r="AI491" s="1" t="s">
        <v>74</v>
      </c>
      <c r="AJ491" s="1" t="s">
        <v>74</v>
      </c>
      <c r="AK491" s="1" t="s">
        <v>74</v>
      </c>
      <c r="AL491" s="1" t="s">
        <v>74</v>
      </c>
      <c r="AM491" s="1" t="s">
        <v>74</v>
      </c>
      <c r="AN491" s="1" t="s">
        <v>74</v>
      </c>
      <c r="AO491" s="1" t="s">
        <v>941</v>
      </c>
      <c r="AP491" s="1" t="s">
        <v>942</v>
      </c>
      <c r="AQ491" s="1" t="s">
        <v>74</v>
      </c>
      <c r="AR491" s="1" t="s">
        <v>74</v>
      </c>
      <c r="AS491" s="1" t="s">
        <v>74</v>
      </c>
      <c r="AT491" s="1" t="s">
        <v>2704</v>
      </c>
      <c r="AU491" s="1">
        <v>2022.0</v>
      </c>
      <c r="AV491" s="1">
        <v>63.0</v>
      </c>
      <c r="AW491" s="1">
        <v>9.0</v>
      </c>
      <c r="AX491" s="1" t="s">
        <v>74</v>
      </c>
      <c r="AY491" s="1" t="s">
        <v>74</v>
      </c>
      <c r="AZ491" s="1" t="s">
        <v>74</v>
      </c>
      <c r="BA491" s="1" t="s">
        <v>74</v>
      </c>
      <c r="BB491" s="1" t="s">
        <v>74</v>
      </c>
      <c r="BC491" s="1" t="s">
        <v>74</v>
      </c>
      <c r="BD491" s="1">
        <v>93501.0</v>
      </c>
      <c r="BE491" s="1" t="s">
        <v>4977</v>
      </c>
      <c r="BF491" s="2" t="str">
        <f>HYPERLINK("http://dx.doi.org/10.1063/5.0093238","http://dx.doi.org/10.1063/5.0093238")</f>
        <v>http://dx.doi.org/10.1063/5.0093238</v>
      </c>
      <c r="BG491" s="1" t="s">
        <v>74</v>
      </c>
      <c r="BH491" s="1" t="s">
        <v>74</v>
      </c>
      <c r="BI491" s="1" t="s">
        <v>74</v>
      </c>
      <c r="BJ491" s="1" t="s">
        <v>74</v>
      </c>
      <c r="BK491" s="1" t="s">
        <v>74</v>
      </c>
      <c r="BL491" s="1" t="s">
        <v>74</v>
      </c>
      <c r="BM491" s="1" t="s">
        <v>74</v>
      </c>
      <c r="BN491" s="1" t="s">
        <v>74</v>
      </c>
      <c r="BO491" s="1" t="s">
        <v>74</v>
      </c>
      <c r="BP491" s="1" t="s">
        <v>74</v>
      </c>
      <c r="BQ491" s="1" t="s">
        <v>74</v>
      </c>
      <c r="BR491" s="1" t="s">
        <v>74</v>
      </c>
      <c r="BS491" s="1" t="s">
        <v>4978</v>
      </c>
      <c r="BT491" s="1" t="str">
        <f>HYPERLINK("https%3A%2F%2Fwww.webofscience.com%2Fwos%2Fwoscc%2Ffull-record%2FWOS:000863277100004","View Full Record in Web of Science")</f>
        <v>View Full Record in Web of Science</v>
      </c>
    </row>
    <row r="492" ht="12.75" customHeight="1">
      <c r="A492" s="1" t="s">
        <v>72</v>
      </c>
      <c r="B492" s="1" t="s">
        <v>4979</v>
      </c>
      <c r="C492" s="1" t="s">
        <v>74</v>
      </c>
      <c r="D492" s="1" t="s">
        <v>74</v>
      </c>
      <c r="E492" s="1" t="s">
        <v>74</v>
      </c>
      <c r="F492" s="1" t="s">
        <v>4980</v>
      </c>
      <c r="G492" s="1" t="s">
        <v>74</v>
      </c>
      <c r="H492" s="1" t="s">
        <v>74</v>
      </c>
      <c r="I492" s="1" t="s">
        <v>4981</v>
      </c>
      <c r="J492" s="1" t="s">
        <v>4982</v>
      </c>
      <c r="K492" s="1" t="s">
        <v>74</v>
      </c>
      <c r="L492" s="1" t="s">
        <v>74</v>
      </c>
      <c r="M492" s="1" t="s">
        <v>74</v>
      </c>
      <c r="N492" s="1" t="s">
        <v>74</v>
      </c>
      <c r="O492" s="1" t="s">
        <v>74</v>
      </c>
      <c r="P492" s="1" t="s">
        <v>74</v>
      </c>
      <c r="Q492" s="1" t="s">
        <v>74</v>
      </c>
      <c r="R492" s="1" t="s">
        <v>74</v>
      </c>
      <c r="S492" s="1" t="s">
        <v>74</v>
      </c>
      <c r="T492" s="1" t="s">
        <v>74</v>
      </c>
      <c r="U492" s="1" t="s">
        <v>74</v>
      </c>
      <c r="V492" s="1" t="s">
        <v>4983</v>
      </c>
      <c r="W492" s="1" t="s">
        <v>74</v>
      </c>
      <c r="X492" s="1" t="s">
        <v>74</v>
      </c>
      <c r="Y492" s="1" t="s">
        <v>74</v>
      </c>
      <c r="Z492" s="1" t="s">
        <v>74</v>
      </c>
      <c r="AA492" s="1" t="s">
        <v>4984</v>
      </c>
      <c r="AB492" s="1" t="s">
        <v>74</v>
      </c>
      <c r="AC492" s="1" t="s">
        <v>74</v>
      </c>
      <c r="AD492" s="1" t="s">
        <v>74</v>
      </c>
      <c r="AE492" s="1" t="s">
        <v>74</v>
      </c>
      <c r="AF492" s="1" t="s">
        <v>74</v>
      </c>
      <c r="AG492" s="1" t="s">
        <v>74</v>
      </c>
      <c r="AH492" s="1" t="s">
        <v>74</v>
      </c>
      <c r="AI492" s="1" t="s">
        <v>74</v>
      </c>
      <c r="AJ492" s="1" t="s">
        <v>74</v>
      </c>
      <c r="AK492" s="1" t="s">
        <v>74</v>
      </c>
      <c r="AL492" s="1" t="s">
        <v>74</v>
      </c>
      <c r="AM492" s="1" t="s">
        <v>74</v>
      </c>
      <c r="AN492" s="1" t="s">
        <v>74</v>
      </c>
      <c r="AO492" s="1" t="s">
        <v>4985</v>
      </c>
      <c r="AP492" s="1" t="s">
        <v>4986</v>
      </c>
      <c r="AQ492" s="1" t="s">
        <v>74</v>
      </c>
      <c r="AR492" s="1" t="s">
        <v>74</v>
      </c>
      <c r="AS492" s="1" t="s">
        <v>74</v>
      </c>
      <c r="AT492" s="1" t="s">
        <v>74</v>
      </c>
      <c r="AU492" s="1">
        <v>2022.0</v>
      </c>
      <c r="AV492" s="1" t="s">
        <v>74</v>
      </c>
      <c r="AW492" s="1">
        <v>35.0</v>
      </c>
      <c r="AX492" s="1" t="s">
        <v>74</v>
      </c>
      <c r="AY492" s="1" t="s">
        <v>74</v>
      </c>
      <c r="AZ492" s="1" t="s">
        <v>74</v>
      </c>
      <c r="BA492" s="1" t="s">
        <v>74</v>
      </c>
      <c r="BB492" s="1">
        <v>65.0</v>
      </c>
      <c r="BC492" s="1">
        <v>98.0</v>
      </c>
      <c r="BD492" s="1" t="s">
        <v>74</v>
      </c>
      <c r="BE492" s="1" t="s">
        <v>4987</v>
      </c>
      <c r="BF492" s="2" t="str">
        <f>HYPERLINK("http://dx.doi.org/10.4422/ager.2022.10","http://dx.doi.org/10.4422/ager.2022.10")</f>
        <v>http://dx.doi.org/10.4422/ager.2022.10</v>
      </c>
      <c r="BG492" s="1" t="s">
        <v>74</v>
      </c>
      <c r="BH492" s="1" t="s">
        <v>74</v>
      </c>
      <c r="BI492" s="1" t="s">
        <v>74</v>
      </c>
      <c r="BJ492" s="1" t="s">
        <v>74</v>
      </c>
      <c r="BK492" s="1" t="s">
        <v>74</v>
      </c>
      <c r="BL492" s="1" t="s">
        <v>74</v>
      </c>
      <c r="BM492" s="1" t="s">
        <v>74</v>
      </c>
      <c r="BN492" s="1" t="s">
        <v>74</v>
      </c>
      <c r="BO492" s="1" t="s">
        <v>74</v>
      </c>
      <c r="BP492" s="1" t="s">
        <v>74</v>
      </c>
      <c r="BQ492" s="1" t="s">
        <v>74</v>
      </c>
      <c r="BR492" s="1" t="s">
        <v>74</v>
      </c>
      <c r="BS492" s="1" t="s">
        <v>4988</v>
      </c>
      <c r="BT492" s="1" t="str">
        <f>HYPERLINK("https%3A%2F%2Fwww.webofscience.com%2Fwos%2Fwoscc%2Ffull-record%2FWOS:000866236500003","View Full Record in Web of Science")</f>
        <v>View Full Record in Web of Science</v>
      </c>
    </row>
    <row r="493" ht="12.75" customHeight="1">
      <c r="A493" s="1" t="s">
        <v>72</v>
      </c>
      <c r="B493" s="1" t="s">
        <v>4989</v>
      </c>
      <c r="C493" s="1" t="s">
        <v>74</v>
      </c>
      <c r="D493" s="1" t="s">
        <v>74</v>
      </c>
      <c r="E493" s="1" t="s">
        <v>74</v>
      </c>
      <c r="F493" s="1" t="s">
        <v>4990</v>
      </c>
      <c r="G493" s="1" t="s">
        <v>74</v>
      </c>
      <c r="H493" s="1" t="s">
        <v>74</v>
      </c>
      <c r="I493" s="1" t="s">
        <v>4991</v>
      </c>
      <c r="J493" s="1" t="s">
        <v>4992</v>
      </c>
      <c r="K493" s="1" t="s">
        <v>74</v>
      </c>
      <c r="L493" s="1" t="s">
        <v>74</v>
      </c>
      <c r="M493" s="1" t="s">
        <v>74</v>
      </c>
      <c r="N493" s="1" t="s">
        <v>74</v>
      </c>
      <c r="O493" s="1" t="s">
        <v>74</v>
      </c>
      <c r="P493" s="1" t="s">
        <v>74</v>
      </c>
      <c r="Q493" s="1" t="s">
        <v>74</v>
      </c>
      <c r="R493" s="1" t="s">
        <v>74</v>
      </c>
      <c r="S493" s="1" t="s">
        <v>74</v>
      </c>
      <c r="T493" s="1" t="s">
        <v>74</v>
      </c>
      <c r="U493" s="1" t="s">
        <v>74</v>
      </c>
      <c r="V493" s="1" t="s">
        <v>4993</v>
      </c>
      <c r="W493" s="1" t="s">
        <v>74</v>
      </c>
      <c r="X493" s="1" t="s">
        <v>74</v>
      </c>
      <c r="Y493" s="1" t="s">
        <v>74</v>
      </c>
      <c r="Z493" s="1" t="s">
        <v>74</v>
      </c>
      <c r="AA493" s="1" t="s">
        <v>74</v>
      </c>
      <c r="AB493" s="1" t="s">
        <v>74</v>
      </c>
      <c r="AC493" s="1" t="s">
        <v>74</v>
      </c>
      <c r="AD493" s="1" t="s">
        <v>74</v>
      </c>
      <c r="AE493" s="1" t="s">
        <v>74</v>
      </c>
      <c r="AF493" s="1" t="s">
        <v>74</v>
      </c>
      <c r="AG493" s="1" t="s">
        <v>74</v>
      </c>
      <c r="AH493" s="1" t="s">
        <v>74</v>
      </c>
      <c r="AI493" s="1" t="s">
        <v>74</v>
      </c>
      <c r="AJ493" s="1" t="s">
        <v>74</v>
      </c>
      <c r="AK493" s="1" t="s">
        <v>74</v>
      </c>
      <c r="AL493" s="1" t="s">
        <v>74</v>
      </c>
      <c r="AM493" s="1" t="s">
        <v>74</v>
      </c>
      <c r="AN493" s="1" t="s">
        <v>74</v>
      </c>
      <c r="AO493" s="1" t="s">
        <v>4994</v>
      </c>
      <c r="AP493" s="1" t="s">
        <v>4995</v>
      </c>
      <c r="AQ493" s="1" t="s">
        <v>74</v>
      </c>
      <c r="AR493" s="1" t="s">
        <v>74</v>
      </c>
      <c r="AS493" s="1" t="s">
        <v>74</v>
      </c>
      <c r="AT493" s="1" t="s">
        <v>3535</v>
      </c>
      <c r="AU493" s="1">
        <v>2021.0</v>
      </c>
      <c r="AV493" s="1">
        <v>16.0</v>
      </c>
      <c r="AW493" s="1">
        <v>39.0</v>
      </c>
      <c r="AX493" s="1" t="s">
        <v>74</v>
      </c>
      <c r="AY493" s="1" t="s">
        <v>74</v>
      </c>
      <c r="AZ493" s="1" t="s">
        <v>74</v>
      </c>
      <c r="BA493" s="1" t="s">
        <v>74</v>
      </c>
      <c r="BB493" s="1">
        <v>153.0</v>
      </c>
      <c r="BC493" s="1">
        <v>188.0</v>
      </c>
      <c r="BD493" s="1" t="s">
        <v>74</v>
      </c>
      <c r="BE493" s="1" t="s">
        <v>4996</v>
      </c>
      <c r="BF493" s="2" t="str">
        <f>HYPERLINK("http://dx.doi.org/10.15648/hc.39.2021.2963","http://dx.doi.org/10.15648/hc.39.2021.2963")</f>
        <v>http://dx.doi.org/10.15648/hc.39.2021.2963</v>
      </c>
      <c r="BG493" s="1" t="s">
        <v>74</v>
      </c>
      <c r="BH493" s="1" t="s">
        <v>74</v>
      </c>
      <c r="BI493" s="1" t="s">
        <v>74</v>
      </c>
      <c r="BJ493" s="1" t="s">
        <v>74</v>
      </c>
      <c r="BK493" s="1" t="s">
        <v>74</v>
      </c>
      <c r="BL493" s="1" t="s">
        <v>74</v>
      </c>
      <c r="BM493" s="1" t="s">
        <v>74</v>
      </c>
      <c r="BN493" s="1" t="s">
        <v>74</v>
      </c>
      <c r="BO493" s="1" t="s">
        <v>74</v>
      </c>
      <c r="BP493" s="1" t="s">
        <v>74</v>
      </c>
      <c r="BQ493" s="1" t="s">
        <v>74</v>
      </c>
      <c r="BR493" s="1" t="s">
        <v>74</v>
      </c>
      <c r="BS493" s="1" t="s">
        <v>4997</v>
      </c>
      <c r="BT493" s="1" t="str">
        <f>HYPERLINK("https%3A%2F%2Fwww.webofscience.com%2Fwos%2Fwoscc%2Ffull-record%2FWOS:000756721200007","View Full Record in Web of Science")</f>
        <v>View Full Record in Web of Science</v>
      </c>
    </row>
    <row r="494" ht="12.75" customHeight="1">
      <c r="A494" s="1" t="s">
        <v>182</v>
      </c>
      <c r="B494" s="1" t="s">
        <v>4998</v>
      </c>
      <c r="C494" s="1" t="s">
        <v>74</v>
      </c>
      <c r="D494" s="1" t="s">
        <v>74</v>
      </c>
      <c r="E494" s="1" t="s">
        <v>184</v>
      </c>
      <c r="F494" s="1" t="s">
        <v>4999</v>
      </c>
      <c r="G494" s="1" t="s">
        <v>74</v>
      </c>
      <c r="H494" s="1" t="s">
        <v>74</v>
      </c>
      <c r="I494" s="1" t="s">
        <v>5000</v>
      </c>
      <c r="J494" s="1" t="s">
        <v>5001</v>
      </c>
      <c r="K494" s="1" t="s">
        <v>74</v>
      </c>
      <c r="L494" s="1" t="s">
        <v>74</v>
      </c>
      <c r="M494" s="1" t="s">
        <v>74</v>
      </c>
      <c r="N494" s="1" t="s">
        <v>74</v>
      </c>
      <c r="O494" s="1" t="s">
        <v>5002</v>
      </c>
      <c r="P494" s="1" t="s">
        <v>5003</v>
      </c>
      <c r="Q494" s="1" t="s">
        <v>5004</v>
      </c>
      <c r="R494" s="1" t="s">
        <v>5005</v>
      </c>
      <c r="S494" s="1" t="s">
        <v>74</v>
      </c>
      <c r="T494" s="1" t="s">
        <v>74</v>
      </c>
      <c r="U494" s="1" t="s">
        <v>74</v>
      </c>
      <c r="V494" s="1" t="s">
        <v>5006</v>
      </c>
      <c r="W494" s="1" t="s">
        <v>74</v>
      </c>
      <c r="X494" s="1" t="s">
        <v>74</v>
      </c>
      <c r="Y494" s="1" t="s">
        <v>74</v>
      </c>
      <c r="Z494" s="1" t="s">
        <v>74</v>
      </c>
      <c r="AA494" s="1" t="s">
        <v>5007</v>
      </c>
      <c r="AB494" s="1" t="s">
        <v>5008</v>
      </c>
      <c r="AC494" s="1" t="s">
        <v>74</v>
      </c>
      <c r="AD494" s="1" t="s">
        <v>74</v>
      </c>
      <c r="AE494" s="1" t="s">
        <v>74</v>
      </c>
      <c r="AF494" s="1" t="s">
        <v>74</v>
      </c>
      <c r="AG494" s="1" t="s">
        <v>74</v>
      </c>
      <c r="AH494" s="1" t="s">
        <v>74</v>
      </c>
      <c r="AI494" s="1" t="s">
        <v>74</v>
      </c>
      <c r="AJ494" s="1" t="s">
        <v>74</v>
      </c>
      <c r="AK494" s="1" t="s">
        <v>74</v>
      </c>
      <c r="AL494" s="1" t="s">
        <v>74</v>
      </c>
      <c r="AM494" s="1" t="s">
        <v>74</v>
      </c>
      <c r="AN494" s="1" t="s">
        <v>74</v>
      </c>
      <c r="AO494" s="1" t="s">
        <v>74</v>
      </c>
      <c r="AP494" s="1" t="s">
        <v>74</v>
      </c>
      <c r="AQ494" s="1" t="s">
        <v>5009</v>
      </c>
      <c r="AR494" s="1" t="s">
        <v>74</v>
      </c>
      <c r="AS494" s="1" t="s">
        <v>74</v>
      </c>
      <c r="AT494" s="1" t="s">
        <v>74</v>
      </c>
      <c r="AU494" s="1">
        <v>2021.0</v>
      </c>
      <c r="AV494" s="1" t="s">
        <v>74</v>
      </c>
      <c r="AW494" s="1" t="s">
        <v>74</v>
      </c>
      <c r="AX494" s="1" t="s">
        <v>74</v>
      </c>
      <c r="AY494" s="1" t="s">
        <v>74</v>
      </c>
      <c r="AZ494" s="1" t="s">
        <v>74</v>
      </c>
      <c r="BA494" s="1" t="s">
        <v>74</v>
      </c>
      <c r="BB494" s="1">
        <v>130.0</v>
      </c>
      <c r="BC494" s="1">
        <v>135.0</v>
      </c>
      <c r="BD494" s="1" t="s">
        <v>74</v>
      </c>
      <c r="BE494" s="1" t="s">
        <v>5010</v>
      </c>
      <c r="BF494" s="2" t="str">
        <f>HYPERLINK("http://dx.doi.org/10.1109/CHILECON54041.2021.9703016","http://dx.doi.org/10.1109/CHILECON54041.2021.9703016")</f>
        <v>http://dx.doi.org/10.1109/CHILECON54041.2021.9703016</v>
      </c>
      <c r="BG494" s="1" t="s">
        <v>74</v>
      </c>
      <c r="BH494" s="1" t="s">
        <v>74</v>
      </c>
      <c r="BI494" s="1" t="s">
        <v>74</v>
      </c>
      <c r="BJ494" s="1" t="s">
        <v>74</v>
      </c>
      <c r="BK494" s="1" t="s">
        <v>74</v>
      </c>
      <c r="BL494" s="1" t="s">
        <v>74</v>
      </c>
      <c r="BM494" s="1" t="s">
        <v>74</v>
      </c>
      <c r="BN494" s="1" t="s">
        <v>74</v>
      </c>
      <c r="BO494" s="1" t="s">
        <v>74</v>
      </c>
      <c r="BP494" s="1" t="s">
        <v>74</v>
      </c>
      <c r="BQ494" s="1" t="s">
        <v>74</v>
      </c>
      <c r="BR494" s="1" t="s">
        <v>74</v>
      </c>
      <c r="BS494" s="1" t="s">
        <v>5011</v>
      </c>
      <c r="BT494" s="1" t="str">
        <f>HYPERLINK("https%3A%2F%2Fwww.webofscience.com%2Fwos%2Fwoscc%2Ffull-record%2FWOS:000788072700022","View Full Record in Web of Science")</f>
        <v>View Full Record in Web of Science</v>
      </c>
    </row>
    <row r="495" ht="12.75" customHeight="1">
      <c r="A495" s="1" t="s">
        <v>72</v>
      </c>
      <c r="B495" s="1" t="s">
        <v>5012</v>
      </c>
      <c r="C495" s="1" t="s">
        <v>74</v>
      </c>
      <c r="D495" s="1" t="s">
        <v>74</v>
      </c>
      <c r="E495" s="1" t="s">
        <v>74</v>
      </c>
      <c r="F495" s="1" t="s">
        <v>5013</v>
      </c>
      <c r="G495" s="1" t="s">
        <v>74</v>
      </c>
      <c r="H495" s="1" t="s">
        <v>74</v>
      </c>
      <c r="I495" s="1" t="s">
        <v>5014</v>
      </c>
      <c r="J495" s="1" t="s">
        <v>5015</v>
      </c>
      <c r="K495" s="1" t="s">
        <v>74</v>
      </c>
      <c r="L495" s="1" t="s">
        <v>74</v>
      </c>
      <c r="M495" s="1" t="s">
        <v>74</v>
      </c>
      <c r="N495" s="1" t="s">
        <v>74</v>
      </c>
      <c r="O495" s="1" t="s">
        <v>74</v>
      </c>
      <c r="P495" s="1" t="s">
        <v>74</v>
      </c>
      <c r="Q495" s="1" t="s">
        <v>74</v>
      </c>
      <c r="R495" s="1" t="s">
        <v>74</v>
      </c>
      <c r="S495" s="1" t="s">
        <v>74</v>
      </c>
      <c r="T495" s="1" t="s">
        <v>74</v>
      </c>
      <c r="U495" s="1" t="s">
        <v>74</v>
      </c>
      <c r="V495" s="1" t="s">
        <v>5016</v>
      </c>
      <c r="W495" s="1" t="s">
        <v>74</v>
      </c>
      <c r="X495" s="1" t="s">
        <v>74</v>
      </c>
      <c r="Y495" s="1" t="s">
        <v>74</v>
      </c>
      <c r="Z495" s="1" t="s">
        <v>74</v>
      </c>
      <c r="AA495" s="1" t="s">
        <v>5017</v>
      </c>
      <c r="AB495" s="1" t="s">
        <v>5018</v>
      </c>
      <c r="AC495" s="1" t="s">
        <v>74</v>
      </c>
      <c r="AD495" s="1" t="s">
        <v>74</v>
      </c>
      <c r="AE495" s="1" t="s">
        <v>74</v>
      </c>
      <c r="AF495" s="1" t="s">
        <v>74</v>
      </c>
      <c r="AG495" s="1" t="s">
        <v>74</v>
      </c>
      <c r="AH495" s="1" t="s">
        <v>74</v>
      </c>
      <c r="AI495" s="1" t="s">
        <v>74</v>
      </c>
      <c r="AJ495" s="1" t="s">
        <v>74</v>
      </c>
      <c r="AK495" s="1" t="s">
        <v>74</v>
      </c>
      <c r="AL495" s="1" t="s">
        <v>74</v>
      </c>
      <c r="AM495" s="1" t="s">
        <v>74</v>
      </c>
      <c r="AN495" s="1" t="s">
        <v>74</v>
      </c>
      <c r="AO495" s="1" t="s">
        <v>5019</v>
      </c>
      <c r="AP495" s="1" t="s">
        <v>5020</v>
      </c>
      <c r="AQ495" s="1" t="s">
        <v>74</v>
      </c>
      <c r="AR495" s="1" t="s">
        <v>74</v>
      </c>
      <c r="AS495" s="1" t="s">
        <v>74</v>
      </c>
      <c r="AT495" s="1" t="s">
        <v>3077</v>
      </c>
      <c r="AU495" s="1">
        <v>2021.0</v>
      </c>
      <c r="AV495" s="1">
        <v>34.0</v>
      </c>
      <c r="AW495" s="1">
        <v>1.0</v>
      </c>
      <c r="AX495" s="1" t="s">
        <v>74</v>
      </c>
      <c r="AY495" s="1" t="s">
        <v>74</v>
      </c>
      <c r="AZ495" s="1" t="s">
        <v>74</v>
      </c>
      <c r="BA495" s="1" t="s">
        <v>74</v>
      </c>
      <c r="BB495" s="1">
        <v>1202.0</v>
      </c>
      <c r="BC495" s="1">
        <v>1223.0</v>
      </c>
      <c r="BD495" s="1" t="s">
        <v>74</v>
      </c>
      <c r="BE495" s="1" t="s">
        <v>5021</v>
      </c>
      <c r="BF495" s="2" t="str">
        <f>HYPERLINK("http://dx.doi.org/10.1080/1331677X.2020.1820359","http://dx.doi.org/10.1080/1331677X.2020.1820359")</f>
        <v>http://dx.doi.org/10.1080/1331677X.2020.1820359</v>
      </c>
      <c r="BG495" s="1" t="s">
        <v>74</v>
      </c>
      <c r="BH495" s="1" t="s">
        <v>1450</v>
      </c>
      <c r="BI495" s="1" t="s">
        <v>74</v>
      </c>
      <c r="BJ495" s="1" t="s">
        <v>74</v>
      </c>
      <c r="BK495" s="1" t="s">
        <v>74</v>
      </c>
      <c r="BL495" s="1" t="s">
        <v>74</v>
      </c>
      <c r="BM495" s="1" t="s">
        <v>74</v>
      </c>
      <c r="BN495" s="1" t="s">
        <v>74</v>
      </c>
      <c r="BO495" s="1" t="s">
        <v>74</v>
      </c>
      <c r="BP495" s="1" t="s">
        <v>74</v>
      </c>
      <c r="BQ495" s="1" t="s">
        <v>74</v>
      </c>
      <c r="BR495" s="1" t="s">
        <v>74</v>
      </c>
      <c r="BS495" s="1" t="s">
        <v>5022</v>
      </c>
      <c r="BT495" s="1" t="str">
        <f>HYPERLINK("https%3A%2F%2Fwww.webofscience.com%2Fwos%2Fwoscc%2Ffull-record%2FWOS:000570029900001","View Full Record in Web of Science")</f>
        <v>View Full Record in Web of Science</v>
      </c>
    </row>
    <row r="496" ht="12.75" customHeight="1">
      <c r="A496" s="1" t="s">
        <v>72</v>
      </c>
      <c r="B496" s="1" t="s">
        <v>5023</v>
      </c>
      <c r="C496" s="1" t="s">
        <v>74</v>
      </c>
      <c r="D496" s="1" t="s">
        <v>74</v>
      </c>
      <c r="E496" s="1" t="s">
        <v>74</v>
      </c>
      <c r="F496" s="1" t="s">
        <v>5024</v>
      </c>
      <c r="G496" s="1" t="s">
        <v>74</v>
      </c>
      <c r="H496" s="1" t="s">
        <v>74</v>
      </c>
      <c r="I496" s="1" t="s">
        <v>5025</v>
      </c>
      <c r="J496" s="1" t="s">
        <v>1045</v>
      </c>
      <c r="K496" s="1" t="s">
        <v>74</v>
      </c>
      <c r="L496" s="1" t="s">
        <v>74</v>
      </c>
      <c r="M496" s="1" t="s">
        <v>74</v>
      </c>
      <c r="N496" s="1" t="s">
        <v>74</v>
      </c>
      <c r="O496" s="1" t="s">
        <v>74</v>
      </c>
      <c r="P496" s="1" t="s">
        <v>74</v>
      </c>
      <c r="Q496" s="1" t="s">
        <v>74</v>
      </c>
      <c r="R496" s="1" t="s">
        <v>74</v>
      </c>
      <c r="S496" s="1" t="s">
        <v>74</v>
      </c>
      <c r="T496" s="1" t="s">
        <v>74</v>
      </c>
      <c r="U496" s="1" t="s">
        <v>74</v>
      </c>
      <c r="V496" s="1" t="s">
        <v>5026</v>
      </c>
      <c r="W496" s="1" t="s">
        <v>74</v>
      </c>
      <c r="X496" s="1" t="s">
        <v>74</v>
      </c>
      <c r="Y496" s="1" t="s">
        <v>74</v>
      </c>
      <c r="Z496" s="1" t="s">
        <v>74</v>
      </c>
      <c r="AA496" s="1" t="s">
        <v>5027</v>
      </c>
      <c r="AB496" s="1" t="s">
        <v>5028</v>
      </c>
      <c r="AC496" s="1" t="s">
        <v>74</v>
      </c>
      <c r="AD496" s="1" t="s">
        <v>74</v>
      </c>
      <c r="AE496" s="1" t="s">
        <v>74</v>
      </c>
      <c r="AF496" s="1" t="s">
        <v>74</v>
      </c>
      <c r="AG496" s="1" t="s">
        <v>74</v>
      </c>
      <c r="AH496" s="1" t="s">
        <v>74</v>
      </c>
      <c r="AI496" s="1" t="s">
        <v>74</v>
      </c>
      <c r="AJ496" s="1" t="s">
        <v>74</v>
      </c>
      <c r="AK496" s="1" t="s">
        <v>74</v>
      </c>
      <c r="AL496" s="1" t="s">
        <v>74</v>
      </c>
      <c r="AM496" s="1" t="s">
        <v>74</v>
      </c>
      <c r="AN496" s="1" t="s">
        <v>74</v>
      </c>
      <c r="AO496" s="1" t="s">
        <v>1047</v>
      </c>
      <c r="AP496" s="1" t="s">
        <v>1048</v>
      </c>
      <c r="AQ496" s="1" t="s">
        <v>74</v>
      </c>
      <c r="AR496" s="1" t="s">
        <v>74</v>
      </c>
      <c r="AS496" s="1" t="s">
        <v>74</v>
      </c>
      <c r="AT496" s="1" t="s">
        <v>1413</v>
      </c>
      <c r="AU496" s="1">
        <v>2018.0</v>
      </c>
      <c r="AV496" s="1">
        <v>460.0</v>
      </c>
      <c r="AW496" s="1">
        <v>2.0</v>
      </c>
      <c r="AX496" s="1" t="s">
        <v>74</v>
      </c>
      <c r="AY496" s="1" t="s">
        <v>74</v>
      </c>
      <c r="AZ496" s="1" t="s">
        <v>74</v>
      </c>
      <c r="BA496" s="1" t="s">
        <v>74</v>
      </c>
      <c r="BB496" s="1">
        <v>516.0</v>
      </c>
      <c r="BC496" s="1">
        <v>545.0</v>
      </c>
      <c r="BD496" s="1" t="s">
        <v>74</v>
      </c>
      <c r="BE496" s="1" t="s">
        <v>5029</v>
      </c>
      <c r="BF496" s="2" t="str">
        <f>HYPERLINK("http://dx.doi.org/10.1016/j.jmaa.2017.11.058","http://dx.doi.org/10.1016/j.jmaa.2017.11.058")</f>
        <v>http://dx.doi.org/10.1016/j.jmaa.2017.11.058</v>
      </c>
      <c r="BG496" s="1" t="s">
        <v>74</v>
      </c>
      <c r="BH496" s="1" t="s">
        <v>74</v>
      </c>
      <c r="BI496" s="1" t="s">
        <v>74</v>
      </c>
      <c r="BJ496" s="1" t="s">
        <v>74</v>
      </c>
      <c r="BK496" s="1" t="s">
        <v>74</v>
      </c>
      <c r="BL496" s="1" t="s">
        <v>74</v>
      </c>
      <c r="BM496" s="1" t="s">
        <v>74</v>
      </c>
      <c r="BN496" s="1" t="s">
        <v>74</v>
      </c>
      <c r="BO496" s="1" t="s">
        <v>74</v>
      </c>
      <c r="BP496" s="1" t="s">
        <v>74</v>
      </c>
      <c r="BQ496" s="1" t="s">
        <v>74</v>
      </c>
      <c r="BR496" s="1" t="s">
        <v>74</v>
      </c>
      <c r="BS496" s="1" t="s">
        <v>5030</v>
      </c>
      <c r="BT496" s="1" t="str">
        <f>HYPERLINK("https%3A%2F%2Fwww.webofscience.com%2Fwos%2Fwoscc%2Ffull-record%2FWOS:000425705800003","View Full Record in Web of Science")</f>
        <v>View Full Record in Web of Science</v>
      </c>
    </row>
    <row r="497" ht="12.75" customHeight="1">
      <c r="A497" s="1" t="s">
        <v>182</v>
      </c>
      <c r="B497" s="1" t="s">
        <v>5031</v>
      </c>
      <c r="C497" s="1" t="s">
        <v>74</v>
      </c>
      <c r="D497" s="1" t="s">
        <v>980</v>
      </c>
      <c r="E497" s="1" t="s">
        <v>74</v>
      </c>
      <c r="F497" s="1" t="s">
        <v>5032</v>
      </c>
      <c r="G497" s="1" t="s">
        <v>74</v>
      </c>
      <c r="H497" s="1" t="s">
        <v>74</v>
      </c>
      <c r="I497" s="1" t="s">
        <v>5033</v>
      </c>
      <c r="J497" s="1" t="s">
        <v>983</v>
      </c>
      <c r="K497" s="1" t="s">
        <v>74</v>
      </c>
      <c r="L497" s="1" t="s">
        <v>74</v>
      </c>
      <c r="M497" s="1" t="s">
        <v>74</v>
      </c>
      <c r="N497" s="1" t="s">
        <v>74</v>
      </c>
      <c r="O497" s="1" t="s">
        <v>984</v>
      </c>
      <c r="P497" s="1" t="s">
        <v>985</v>
      </c>
      <c r="Q497" s="1" t="s">
        <v>986</v>
      </c>
      <c r="R497" s="1" t="s">
        <v>987</v>
      </c>
      <c r="S497" s="1" t="s">
        <v>74</v>
      </c>
      <c r="T497" s="1" t="s">
        <v>74</v>
      </c>
      <c r="U497" s="1" t="s">
        <v>74</v>
      </c>
      <c r="V497" s="1" t="s">
        <v>5034</v>
      </c>
      <c r="W497" s="1" t="s">
        <v>74</v>
      </c>
      <c r="X497" s="1" t="s">
        <v>74</v>
      </c>
      <c r="Y497" s="1" t="s">
        <v>74</v>
      </c>
      <c r="Z497" s="1" t="s">
        <v>74</v>
      </c>
      <c r="AA497" s="1" t="s">
        <v>5035</v>
      </c>
      <c r="AB497" s="1" t="s">
        <v>5036</v>
      </c>
      <c r="AC497" s="1" t="s">
        <v>74</v>
      </c>
      <c r="AD497" s="1" t="s">
        <v>74</v>
      </c>
      <c r="AE497" s="1" t="s">
        <v>74</v>
      </c>
      <c r="AF497" s="1" t="s">
        <v>74</v>
      </c>
      <c r="AG497" s="1" t="s">
        <v>74</v>
      </c>
      <c r="AH497" s="1" t="s">
        <v>74</v>
      </c>
      <c r="AI497" s="1" t="s">
        <v>74</v>
      </c>
      <c r="AJ497" s="1" t="s">
        <v>74</v>
      </c>
      <c r="AK497" s="1" t="s">
        <v>74</v>
      </c>
      <c r="AL497" s="1" t="s">
        <v>74</v>
      </c>
      <c r="AM497" s="1" t="s">
        <v>74</v>
      </c>
      <c r="AN497" s="1" t="s">
        <v>74</v>
      </c>
      <c r="AO497" s="1" t="s">
        <v>74</v>
      </c>
      <c r="AP497" s="1" t="s">
        <v>74</v>
      </c>
      <c r="AQ497" s="1" t="s">
        <v>991</v>
      </c>
      <c r="AR497" s="1" t="s">
        <v>74</v>
      </c>
      <c r="AS497" s="1" t="s">
        <v>74</v>
      </c>
      <c r="AT497" s="1" t="s">
        <v>74</v>
      </c>
      <c r="AU497" s="1">
        <v>2018.0</v>
      </c>
      <c r="AV497" s="1" t="s">
        <v>74</v>
      </c>
      <c r="AW497" s="1" t="s">
        <v>74</v>
      </c>
      <c r="AX497" s="1" t="s">
        <v>74</v>
      </c>
      <c r="AY497" s="1" t="s">
        <v>74</v>
      </c>
      <c r="AZ497" s="1" t="s">
        <v>74</v>
      </c>
      <c r="BA497" s="1" t="s">
        <v>74</v>
      </c>
      <c r="BB497" s="1">
        <v>17.0</v>
      </c>
      <c r="BC497" s="1">
        <v>22.0</v>
      </c>
      <c r="BD497" s="1" t="s">
        <v>74</v>
      </c>
      <c r="BE497" s="1" t="s">
        <v>74</v>
      </c>
      <c r="BF497" s="1" t="s">
        <v>74</v>
      </c>
      <c r="BG497" s="1" t="s">
        <v>74</v>
      </c>
      <c r="BH497" s="1" t="s">
        <v>74</v>
      </c>
      <c r="BI497" s="1" t="s">
        <v>74</v>
      </c>
      <c r="BJ497" s="1" t="s">
        <v>74</v>
      </c>
      <c r="BK497" s="1" t="s">
        <v>74</v>
      </c>
      <c r="BL497" s="1" t="s">
        <v>74</v>
      </c>
      <c r="BM497" s="1" t="s">
        <v>74</v>
      </c>
      <c r="BN497" s="1" t="s">
        <v>74</v>
      </c>
      <c r="BO497" s="1" t="s">
        <v>74</v>
      </c>
      <c r="BP497" s="1" t="s">
        <v>74</v>
      </c>
      <c r="BQ497" s="1" t="s">
        <v>74</v>
      </c>
      <c r="BR497" s="1" t="s">
        <v>74</v>
      </c>
      <c r="BS497" s="1" t="s">
        <v>5037</v>
      </c>
      <c r="BT497" s="1" t="str">
        <f>HYPERLINK("https%3A%2F%2Fwww.webofscience.com%2Fwos%2Fwoscc%2Ffull-record%2FWOS:000437157500002","View Full Record in Web of Science")</f>
        <v>View Full Record in Web of Science</v>
      </c>
    </row>
    <row r="498" ht="12.75" customHeight="1">
      <c r="A498" s="1" t="s">
        <v>72</v>
      </c>
      <c r="B498" s="1" t="s">
        <v>5038</v>
      </c>
      <c r="C498" s="1" t="s">
        <v>74</v>
      </c>
      <c r="D498" s="1" t="s">
        <v>74</v>
      </c>
      <c r="E498" s="1" t="s">
        <v>74</v>
      </c>
      <c r="F498" s="1" t="s">
        <v>5039</v>
      </c>
      <c r="G498" s="1" t="s">
        <v>74</v>
      </c>
      <c r="H498" s="1" t="s">
        <v>74</v>
      </c>
      <c r="I498" s="1" t="s">
        <v>5040</v>
      </c>
      <c r="J498" s="1" t="s">
        <v>5041</v>
      </c>
      <c r="K498" s="1" t="s">
        <v>74</v>
      </c>
      <c r="L498" s="1" t="s">
        <v>74</v>
      </c>
      <c r="M498" s="1" t="s">
        <v>74</v>
      </c>
      <c r="N498" s="1" t="s">
        <v>74</v>
      </c>
      <c r="O498" s="1" t="s">
        <v>74</v>
      </c>
      <c r="P498" s="1" t="s">
        <v>74</v>
      </c>
      <c r="Q498" s="1" t="s">
        <v>74</v>
      </c>
      <c r="R498" s="1" t="s">
        <v>74</v>
      </c>
      <c r="S498" s="1" t="s">
        <v>74</v>
      </c>
      <c r="T498" s="1" t="s">
        <v>74</v>
      </c>
      <c r="U498" s="1" t="s">
        <v>74</v>
      </c>
      <c r="V498" s="1" t="s">
        <v>5042</v>
      </c>
      <c r="W498" s="1" t="s">
        <v>74</v>
      </c>
      <c r="X498" s="1" t="s">
        <v>74</v>
      </c>
      <c r="Y498" s="1" t="s">
        <v>74</v>
      </c>
      <c r="Z498" s="1" t="s">
        <v>74</v>
      </c>
      <c r="AA498" s="1" t="s">
        <v>5043</v>
      </c>
      <c r="AB498" s="1" t="s">
        <v>5044</v>
      </c>
      <c r="AC498" s="1" t="s">
        <v>74</v>
      </c>
      <c r="AD498" s="1" t="s">
        <v>74</v>
      </c>
      <c r="AE498" s="1" t="s">
        <v>74</v>
      </c>
      <c r="AF498" s="1" t="s">
        <v>74</v>
      </c>
      <c r="AG498" s="1" t="s">
        <v>74</v>
      </c>
      <c r="AH498" s="1" t="s">
        <v>74</v>
      </c>
      <c r="AI498" s="1" t="s">
        <v>74</v>
      </c>
      <c r="AJ498" s="1" t="s">
        <v>74</v>
      </c>
      <c r="AK498" s="1" t="s">
        <v>74</v>
      </c>
      <c r="AL498" s="1" t="s">
        <v>74</v>
      </c>
      <c r="AM498" s="1" t="s">
        <v>74</v>
      </c>
      <c r="AN498" s="1" t="s">
        <v>74</v>
      </c>
      <c r="AO498" s="1" t="s">
        <v>5045</v>
      </c>
      <c r="AP498" s="1" t="s">
        <v>5046</v>
      </c>
      <c r="AQ498" s="1" t="s">
        <v>74</v>
      </c>
      <c r="AR498" s="1" t="s">
        <v>74</v>
      </c>
      <c r="AS498" s="1" t="s">
        <v>74</v>
      </c>
      <c r="AT498" s="1" t="s">
        <v>652</v>
      </c>
      <c r="AU498" s="1">
        <v>2017.0</v>
      </c>
      <c r="AV498" s="1">
        <v>100.0</v>
      </c>
      <c r="AW498" s="1" t="s">
        <v>74</v>
      </c>
      <c r="AX498" s="1" t="s">
        <v>5047</v>
      </c>
      <c r="AY498" s="1" t="s">
        <v>74</v>
      </c>
      <c r="AZ498" s="1" t="s">
        <v>445</v>
      </c>
      <c r="BA498" s="1" t="s">
        <v>74</v>
      </c>
      <c r="BB498" s="1">
        <v>74.0</v>
      </c>
      <c r="BC498" s="1">
        <v>82.0</v>
      </c>
      <c r="BD498" s="1" t="s">
        <v>74</v>
      </c>
      <c r="BE498" s="1" t="s">
        <v>5048</v>
      </c>
      <c r="BF498" s="2" t="str">
        <f>HYPERLINK("http://dx.doi.org/10.1016/j.ssci.2017.02.002","http://dx.doi.org/10.1016/j.ssci.2017.02.002")</f>
        <v>http://dx.doi.org/10.1016/j.ssci.2017.02.002</v>
      </c>
      <c r="BG498" s="1" t="s">
        <v>74</v>
      </c>
      <c r="BH498" s="1" t="s">
        <v>74</v>
      </c>
      <c r="BI498" s="1" t="s">
        <v>74</v>
      </c>
      <c r="BJ498" s="1" t="s">
        <v>74</v>
      </c>
      <c r="BK498" s="1" t="s">
        <v>74</v>
      </c>
      <c r="BL498" s="1" t="s">
        <v>74</v>
      </c>
      <c r="BM498" s="1" t="s">
        <v>74</v>
      </c>
      <c r="BN498" s="1" t="s">
        <v>74</v>
      </c>
      <c r="BO498" s="1" t="s">
        <v>74</v>
      </c>
      <c r="BP498" s="1" t="s">
        <v>74</v>
      </c>
      <c r="BQ498" s="1" t="s">
        <v>74</v>
      </c>
      <c r="BR498" s="1" t="s">
        <v>74</v>
      </c>
      <c r="BS498" s="1" t="s">
        <v>5049</v>
      </c>
      <c r="BT498" s="1" t="str">
        <f>HYPERLINK("https%3A%2F%2Fwww.webofscience.com%2Fwos%2Fwoscc%2Ffull-record%2FWOS:000412962400010","View Full Record in Web of Science")</f>
        <v>View Full Record in Web of Science</v>
      </c>
    </row>
    <row r="499" ht="12.75" customHeight="1">
      <c r="A499" s="1" t="s">
        <v>72</v>
      </c>
      <c r="B499" s="1" t="s">
        <v>5050</v>
      </c>
      <c r="C499" s="1" t="s">
        <v>74</v>
      </c>
      <c r="D499" s="1" t="s">
        <v>74</v>
      </c>
      <c r="E499" s="1" t="s">
        <v>74</v>
      </c>
      <c r="F499" s="1" t="s">
        <v>5051</v>
      </c>
      <c r="G499" s="1" t="s">
        <v>74</v>
      </c>
      <c r="H499" s="1" t="s">
        <v>74</v>
      </c>
      <c r="I499" s="1" t="s">
        <v>5052</v>
      </c>
      <c r="J499" s="1" t="s">
        <v>4593</v>
      </c>
      <c r="K499" s="1" t="s">
        <v>74</v>
      </c>
      <c r="L499" s="1" t="s">
        <v>74</v>
      </c>
      <c r="M499" s="1" t="s">
        <v>74</v>
      </c>
      <c r="N499" s="1" t="s">
        <v>74</v>
      </c>
      <c r="O499" s="1" t="s">
        <v>74</v>
      </c>
      <c r="P499" s="1" t="s">
        <v>74</v>
      </c>
      <c r="Q499" s="1" t="s">
        <v>74</v>
      </c>
      <c r="R499" s="1" t="s">
        <v>74</v>
      </c>
      <c r="S499" s="1" t="s">
        <v>74</v>
      </c>
      <c r="T499" s="1" t="s">
        <v>74</v>
      </c>
      <c r="U499" s="1" t="s">
        <v>74</v>
      </c>
      <c r="V499" s="1" t="s">
        <v>5053</v>
      </c>
      <c r="W499" s="1" t="s">
        <v>74</v>
      </c>
      <c r="X499" s="1" t="s">
        <v>74</v>
      </c>
      <c r="Y499" s="1" t="s">
        <v>74</v>
      </c>
      <c r="Z499" s="1" t="s">
        <v>74</v>
      </c>
      <c r="AA499" s="1" t="s">
        <v>5054</v>
      </c>
      <c r="AB499" s="1" t="s">
        <v>5055</v>
      </c>
      <c r="AC499" s="1" t="s">
        <v>74</v>
      </c>
      <c r="AD499" s="1" t="s">
        <v>74</v>
      </c>
      <c r="AE499" s="1" t="s">
        <v>74</v>
      </c>
      <c r="AF499" s="1" t="s">
        <v>74</v>
      </c>
      <c r="AG499" s="1" t="s">
        <v>74</v>
      </c>
      <c r="AH499" s="1" t="s">
        <v>74</v>
      </c>
      <c r="AI499" s="1" t="s">
        <v>74</v>
      </c>
      <c r="AJ499" s="1" t="s">
        <v>74</v>
      </c>
      <c r="AK499" s="1" t="s">
        <v>74</v>
      </c>
      <c r="AL499" s="1" t="s">
        <v>74</v>
      </c>
      <c r="AM499" s="1" t="s">
        <v>74</v>
      </c>
      <c r="AN499" s="1" t="s">
        <v>74</v>
      </c>
      <c r="AO499" s="1" t="s">
        <v>4597</v>
      </c>
      <c r="AP499" s="1" t="s">
        <v>4598</v>
      </c>
      <c r="AQ499" s="1" t="s">
        <v>74</v>
      </c>
      <c r="AR499" s="1" t="s">
        <v>74</v>
      </c>
      <c r="AS499" s="1" t="s">
        <v>74</v>
      </c>
      <c r="AT499" s="1" t="s">
        <v>4216</v>
      </c>
      <c r="AU499" s="1">
        <v>2016.0</v>
      </c>
      <c r="AV499" s="1">
        <v>51.0</v>
      </c>
      <c r="AW499" s="1">
        <v>4.0</v>
      </c>
      <c r="AX499" s="1" t="s">
        <v>74</v>
      </c>
      <c r="AY499" s="1" t="s">
        <v>74</v>
      </c>
      <c r="AZ499" s="1" t="s">
        <v>74</v>
      </c>
      <c r="BA499" s="1" t="s">
        <v>74</v>
      </c>
      <c r="BB499" s="1">
        <v>289.0</v>
      </c>
      <c r="BC499" s="1">
        <v>296.0</v>
      </c>
      <c r="BD499" s="1" t="s">
        <v>74</v>
      </c>
      <c r="BE499" s="1" t="s">
        <v>5056</v>
      </c>
      <c r="BF499" s="2" t="str">
        <f>HYPERLINK("http://dx.doi.org/10.1080/10934529.2015.1109385","http://dx.doi.org/10.1080/10934529.2015.1109385")</f>
        <v>http://dx.doi.org/10.1080/10934529.2015.1109385</v>
      </c>
      <c r="BG499" s="1" t="s">
        <v>74</v>
      </c>
      <c r="BH499" s="1" t="s">
        <v>74</v>
      </c>
      <c r="BI499" s="1" t="s">
        <v>74</v>
      </c>
      <c r="BJ499" s="1" t="s">
        <v>74</v>
      </c>
      <c r="BK499" s="1" t="s">
        <v>74</v>
      </c>
      <c r="BL499" s="1" t="s">
        <v>74</v>
      </c>
      <c r="BM499" s="1" t="s">
        <v>74</v>
      </c>
      <c r="BN499" s="1">
        <v>2.6745322E7</v>
      </c>
      <c r="BO499" s="1" t="s">
        <v>74</v>
      </c>
      <c r="BP499" s="1" t="s">
        <v>74</v>
      </c>
      <c r="BQ499" s="1" t="s">
        <v>74</v>
      </c>
      <c r="BR499" s="1" t="s">
        <v>74</v>
      </c>
      <c r="BS499" s="1" t="s">
        <v>5057</v>
      </c>
      <c r="BT499" s="1" t="str">
        <f>HYPERLINK("https%3A%2F%2Fwww.webofscience.com%2Fwos%2Fwoscc%2Ffull-record%2FWOS:000369491300002","View Full Record in Web of Science")</f>
        <v>View Full Record in Web of Science</v>
      </c>
    </row>
    <row r="500" ht="12.75" customHeight="1">
      <c r="A500" s="1" t="s">
        <v>72</v>
      </c>
      <c r="B500" s="1" t="s">
        <v>5058</v>
      </c>
      <c r="C500" s="1" t="s">
        <v>74</v>
      </c>
      <c r="D500" s="1" t="s">
        <v>74</v>
      </c>
      <c r="E500" s="1" t="s">
        <v>74</v>
      </c>
      <c r="F500" s="1" t="s">
        <v>5059</v>
      </c>
      <c r="G500" s="1" t="s">
        <v>74</v>
      </c>
      <c r="H500" s="1" t="s">
        <v>74</v>
      </c>
      <c r="I500" s="1" t="s">
        <v>5060</v>
      </c>
      <c r="J500" s="1" t="s">
        <v>5061</v>
      </c>
      <c r="K500" s="1" t="s">
        <v>74</v>
      </c>
      <c r="L500" s="1" t="s">
        <v>74</v>
      </c>
      <c r="M500" s="1" t="s">
        <v>74</v>
      </c>
      <c r="N500" s="1" t="s">
        <v>74</v>
      </c>
      <c r="O500" s="1" t="s">
        <v>74</v>
      </c>
      <c r="P500" s="1" t="s">
        <v>74</v>
      </c>
      <c r="Q500" s="1" t="s">
        <v>74</v>
      </c>
      <c r="R500" s="1" t="s">
        <v>74</v>
      </c>
      <c r="S500" s="1" t="s">
        <v>74</v>
      </c>
      <c r="T500" s="1" t="s">
        <v>74</v>
      </c>
      <c r="U500" s="1" t="s">
        <v>74</v>
      </c>
      <c r="V500" s="1" t="s">
        <v>5062</v>
      </c>
      <c r="W500" s="1" t="s">
        <v>74</v>
      </c>
      <c r="X500" s="1" t="s">
        <v>74</v>
      </c>
      <c r="Y500" s="1" t="s">
        <v>74</v>
      </c>
      <c r="Z500" s="1" t="s">
        <v>74</v>
      </c>
      <c r="AA500" s="1" t="s">
        <v>74</v>
      </c>
      <c r="AB500" s="1" t="s">
        <v>5063</v>
      </c>
      <c r="AC500" s="1" t="s">
        <v>74</v>
      </c>
      <c r="AD500" s="1" t="s">
        <v>74</v>
      </c>
      <c r="AE500" s="1" t="s">
        <v>74</v>
      </c>
      <c r="AF500" s="1" t="s">
        <v>74</v>
      </c>
      <c r="AG500" s="1" t="s">
        <v>74</v>
      </c>
      <c r="AH500" s="1" t="s">
        <v>74</v>
      </c>
      <c r="AI500" s="1" t="s">
        <v>74</v>
      </c>
      <c r="AJ500" s="1" t="s">
        <v>74</v>
      </c>
      <c r="AK500" s="1" t="s">
        <v>74</v>
      </c>
      <c r="AL500" s="1" t="s">
        <v>74</v>
      </c>
      <c r="AM500" s="1" t="s">
        <v>74</v>
      </c>
      <c r="AN500" s="1" t="s">
        <v>74</v>
      </c>
      <c r="AO500" s="1" t="s">
        <v>5064</v>
      </c>
      <c r="AP500" s="1" t="s">
        <v>5065</v>
      </c>
      <c r="AQ500" s="1" t="s">
        <v>74</v>
      </c>
      <c r="AR500" s="1" t="s">
        <v>74</v>
      </c>
      <c r="AS500" s="1" t="s">
        <v>74</v>
      </c>
      <c r="AT500" s="1" t="s">
        <v>235</v>
      </c>
      <c r="AU500" s="1">
        <v>2016.0</v>
      </c>
      <c r="AV500" s="1">
        <v>144.0</v>
      </c>
      <c r="AW500" s="1">
        <v>2.0</v>
      </c>
      <c r="AX500" s="1" t="s">
        <v>74</v>
      </c>
      <c r="AY500" s="1" t="s">
        <v>74</v>
      </c>
      <c r="AZ500" s="1" t="s">
        <v>74</v>
      </c>
      <c r="BA500" s="1" t="s">
        <v>74</v>
      </c>
      <c r="BB500" s="1">
        <v>575.0</v>
      </c>
      <c r="BC500" s="1">
        <v>586.0</v>
      </c>
      <c r="BD500" s="1" t="s">
        <v>74</v>
      </c>
      <c r="BE500" s="1" t="s">
        <v>5066</v>
      </c>
      <c r="BF500" s="2" t="str">
        <f>HYPERLINK("http://dx.doi.org/10.1090/proc12724","http://dx.doi.org/10.1090/proc12724")</f>
        <v>http://dx.doi.org/10.1090/proc12724</v>
      </c>
      <c r="BG500" s="1" t="s">
        <v>74</v>
      </c>
      <c r="BH500" s="1" t="s">
        <v>74</v>
      </c>
      <c r="BI500" s="1" t="s">
        <v>74</v>
      </c>
      <c r="BJ500" s="1" t="s">
        <v>74</v>
      </c>
      <c r="BK500" s="1" t="s">
        <v>74</v>
      </c>
      <c r="BL500" s="1" t="s">
        <v>74</v>
      </c>
      <c r="BM500" s="1" t="s">
        <v>74</v>
      </c>
      <c r="BN500" s="1" t="s">
        <v>74</v>
      </c>
      <c r="BO500" s="1" t="s">
        <v>74</v>
      </c>
      <c r="BP500" s="1" t="s">
        <v>74</v>
      </c>
      <c r="BQ500" s="1" t="s">
        <v>74</v>
      </c>
      <c r="BR500" s="1" t="s">
        <v>74</v>
      </c>
      <c r="BS500" s="1" t="s">
        <v>5067</v>
      </c>
      <c r="BT500" s="1" t="str">
        <f>HYPERLINK("https%3A%2F%2Fwww.webofscience.com%2Fwos%2Fwoscc%2Ffull-record%2FWOS:000366328000010","View Full Record in Web of Science")</f>
        <v>View Full Record in Web of Science</v>
      </c>
    </row>
    <row r="501" ht="12.75" customHeight="1">
      <c r="A501" s="1" t="s">
        <v>72</v>
      </c>
      <c r="B501" s="1" t="s">
        <v>5068</v>
      </c>
      <c r="C501" s="1" t="s">
        <v>74</v>
      </c>
      <c r="D501" s="1" t="s">
        <v>74</v>
      </c>
      <c r="E501" s="1" t="s">
        <v>74</v>
      </c>
      <c r="F501" s="1" t="s">
        <v>5069</v>
      </c>
      <c r="G501" s="1" t="s">
        <v>74</v>
      </c>
      <c r="H501" s="1" t="s">
        <v>74</v>
      </c>
      <c r="I501" s="1" t="s">
        <v>5070</v>
      </c>
      <c r="J501" s="1" t="s">
        <v>2006</v>
      </c>
      <c r="K501" s="1" t="s">
        <v>74</v>
      </c>
      <c r="L501" s="1" t="s">
        <v>74</v>
      </c>
      <c r="M501" s="1" t="s">
        <v>74</v>
      </c>
      <c r="N501" s="1" t="s">
        <v>74</v>
      </c>
      <c r="O501" s="1" t="s">
        <v>74</v>
      </c>
      <c r="P501" s="1" t="s">
        <v>74</v>
      </c>
      <c r="Q501" s="1" t="s">
        <v>74</v>
      </c>
      <c r="R501" s="1" t="s">
        <v>74</v>
      </c>
      <c r="S501" s="1" t="s">
        <v>74</v>
      </c>
      <c r="T501" s="1" t="s">
        <v>74</v>
      </c>
      <c r="U501" s="1" t="s">
        <v>74</v>
      </c>
      <c r="V501" s="1" t="s">
        <v>5071</v>
      </c>
      <c r="W501" s="1" t="s">
        <v>74</v>
      </c>
      <c r="X501" s="1" t="s">
        <v>74</v>
      </c>
      <c r="Y501" s="1" t="s">
        <v>74</v>
      </c>
      <c r="Z501" s="1" t="s">
        <v>74</v>
      </c>
      <c r="AA501" s="1" t="s">
        <v>5072</v>
      </c>
      <c r="AB501" s="1" t="s">
        <v>5073</v>
      </c>
      <c r="AC501" s="1" t="s">
        <v>74</v>
      </c>
      <c r="AD501" s="1" t="s">
        <v>74</v>
      </c>
      <c r="AE501" s="1" t="s">
        <v>74</v>
      </c>
      <c r="AF501" s="1" t="s">
        <v>74</v>
      </c>
      <c r="AG501" s="1" t="s">
        <v>74</v>
      </c>
      <c r="AH501" s="1" t="s">
        <v>74</v>
      </c>
      <c r="AI501" s="1" t="s">
        <v>74</v>
      </c>
      <c r="AJ501" s="1" t="s">
        <v>74</v>
      </c>
      <c r="AK501" s="1" t="s">
        <v>74</v>
      </c>
      <c r="AL501" s="1" t="s">
        <v>74</v>
      </c>
      <c r="AM501" s="1" t="s">
        <v>74</v>
      </c>
      <c r="AN501" s="1" t="s">
        <v>74</v>
      </c>
      <c r="AO501" s="1" t="s">
        <v>2009</v>
      </c>
      <c r="AP501" s="1" t="s">
        <v>5074</v>
      </c>
      <c r="AQ501" s="1" t="s">
        <v>74</v>
      </c>
      <c r="AR501" s="1" t="s">
        <v>74</v>
      </c>
      <c r="AS501" s="1" t="s">
        <v>74</v>
      </c>
      <c r="AT501" s="1" t="s">
        <v>678</v>
      </c>
      <c r="AU501" s="1">
        <v>2015.0</v>
      </c>
      <c r="AV501" s="1">
        <v>14.0</v>
      </c>
      <c r="AW501" s="1">
        <v>6.0</v>
      </c>
      <c r="AX501" s="1" t="s">
        <v>74</v>
      </c>
      <c r="AY501" s="1" t="s">
        <v>74</v>
      </c>
      <c r="AZ501" s="1" t="s">
        <v>74</v>
      </c>
      <c r="BA501" s="1" t="s">
        <v>74</v>
      </c>
      <c r="BB501" s="1">
        <v>2117.0</v>
      </c>
      <c r="BC501" s="1">
        <v>2126.0</v>
      </c>
      <c r="BD501" s="1" t="s">
        <v>74</v>
      </c>
      <c r="BE501" s="1" t="s">
        <v>5075</v>
      </c>
      <c r="BF501" s="2" t="str">
        <f>HYPERLINK("http://dx.doi.org/10.3934/cpaa.2015.14.2117","http://dx.doi.org/10.3934/cpaa.2015.14.2117")</f>
        <v>http://dx.doi.org/10.3934/cpaa.2015.14.2117</v>
      </c>
      <c r="BG501" s="1" t="s">
        <v>74</v>
      </c>
      <c r="BH501" s="1" t="s">
        <v>74</v>
      </c>
      <c r="BI501" s="1" t="s">
        <v>74</v>
      </c>
      <c r="BJ501" s="1" t="s">
        <v>74</v>
      </c>
      <c r="BK501" s="1" t="s">
        <v>74</v>
      </c>
      <c r="BL501" s="1" t="s">
        <v>74</v>
      </c>
      <c r="BM501" s="1" t="s">
        <v>74</v>
      </c>
      <c r="BN501" s="1" t="s">
        <v>74</v>
      </c>
      <c r="BO501" s="1" t="s">
        <v>74</v>
      </c>
      <c r="BP501" s="1" t="s">
        <v>74</v>
      </c>
      <c r="BQ501" s="1" t="s">
        <v>74</v>
      </c>
      <c r="BR501" s="1" t="s">
        <v>74</v>
      </c>
      <c r="BS501" s="1" t="s">
        <v>5076</v>
      </c>
      <c r="BT501" s="1" t="str">
        <f>HYPERLINK("https%3A%2F%2Fwww.webofscience.com%2Fwos%2Fwoscc%2Ffull-record%2FWOS:000365611600001","View Full Record in Web of Science")</f>
        <v>View Full Record in Web of Science</v>
      </c>
    </row>
    <row r="502" ht="12.75" customHeight="1">
      <c r="A502" s="1" t="s">
        <v>72</v>
      </c>
      <c r="B502" s="1" t="s">
        <v>5077</v>
      </c>
      <c r="C502" s="1" t="s">
        <v>74</v>
      </c>
      <c r="D502" s="1" t="s">
        <v>74</v>
      </c>
      <c r="E502" s="1" t="s">
        <v>74</v>
      </c>
      <c r="F502" s="1" t="s">
        <v>5078</v>
      </c>
      <c r="G502" s="1" t="s">
        <v>74</v>
      </c>
      <c r="H502" s="1" t="s">
        <v>74</v>
      </c>
      <c r="I502" s="1" t="s">
        <v>5079</v>
      </c>
      <c r="J502" s="1" t="s">
        <v>5080</v>
      </c>
      <c r="K502" s="1" t="s">
        <v>74</v>
      </c>
      <c r="L502" s="1" t="s">
        <v>74</v>
      </c>
      <c r="M502" s="1" t="s">
        <v>74</v>
      </c>
      <c r="N502" s="1" t="s">
        <v>74</v>
      </c>
      <c r="O502" s="1" t="s">
        <v>74</v>
      </c>
      <c r="P502" s="1" t="s">
        <v>74</v>
      </c>
      <c r="Q502" s="1" t="s">
        <v>74</v>
      </c>
      <c r="R502" s="1" t="s">
        <v>74</v>
      </c>
      <c r="S502" s="1" t="s">
        <v>74</v>
      </c>
      <c r="T502" s="1" t="s">
        <v>74</v>
      </c>
      <c r="U502" s="1" t="s">
        <v>74</v>
      </c>
      <c r="V502" s="1" t="s">
        <v>5081</v>
      </c>
      <c r="W502" s="1" t="s">
        <v>74</v>
      </c>
      <c r="X502" s="1" t="s">
        <v>74</v>
      </c>
      <c r="Y502" s="1" t="s">
        <v>74</v>
      </c>
      <c r="Z502" s="1" t="s">
        <v>74</v>
      </c>
      <c r="AA502" s="1" t="s">
        <v>5082</v>
      </c>
      <c r="AB502" s="1" t="s">
        <v>5083</v>
      </c>
      <c r="AC502" s="1" t="s">
        <v>74</v>
      </c>
      <c r="AD502" s="1" t="s">
        <v>74</v>
      </c>
      <c r="AE502" s="1" t="s">
        <v>74</v>
      </c>
      <c r="AF502" s="1" t="s">
        <v>74</v>
      </c>
      <c r="AG502" s="1" t="s">
        <v>74</v>
      </c>
      <c r="AH502" s="1" t="s">
        <v>74</v>
      </c>
      <c r="AI502" s="1" t="s">
        <v>74</v>
      </c>
      <c r="AJ502" s="1" t="s">
        <v>74</v>
      </c>
      <c r="AK502" s="1" t="s">
        <v>74</v>
      </c>
      <c r="AL502" s="1" t="s">
        <v>74</v>
      </c>
      <c r="AM502" s="1" t="s">
        <v>74</v>
      </c>
      <c r="AN502" s="1" t="s">
        <v>74</v>
      </c>
      <c r="AO502" s="1" t="s">
        <v>5084</v>
      </c>
      <c r="AP502" s="1" t="s">
        <v>74</v>
      </c>
      <c r="AQ502" s="1" t="s">
        <v>74</v>
      </c>
      <c r="AR502" s="1" t="s">
        <v>74</v>
      </c>
      <c r="AS502" s="1" t="s">
        <v>74</v>
      </c>
      <c r="AT502" s="1" t="s">
        <v>257</v>
      </c>
      <c r="AU502" s="1">
        <v>2015.0</v>
      </c>
      <c r="AV502" s="1">
        <v>57.0</v>
      </c>
      <c r="AW502" s="1" t="s">
        <v>74</v>
      </c>
      <c r="AX502" s="1" t="s">
        <v>74</v>
      </c>
      <c r="AY502" s="1" t="s">
        <v>74</v>
      </c>
      <c r="AZ502" s="1" t="s">
        <v>74</v>
      </c>
      <c r="BA502" s="1" t="s">
        <v>74</v>
      </c>
      <c r="BB502" s="1">
        <v>1.0</v>
      </c>
      <c r="BC502" s="1">
        <v>11.0</v>
      </c>
      <c r="BD502" s="1" t="s">
        <v>74</v>
      </c>
      <c r="BE502" s="1" t="s">
        <v>5085</v>
      </c>
      <c r="BF502" s="2" t="str">
        <f>HYPERLINK("http://dx.doi.org/10.1016/j.jmateco.2015.01.001","http://dx.doi.org/10.1016/j.jmateco.2015.01.001")</f>
        <v>http://dx.doi.org/10.1016/j.jmateco.2015.01.001</v>
      </c>
      <c r="BG502" s="1" t="s">
        <v>74</v>
      </c>
      <c r="BH502" s="1" t="s">
        <v>74</v>
      </c>
      <c r="BI502" s="1" t="s">
        <v>74</v>
      </c>
      <c r="BJ502" s="1" t="s">
        <v>74</v>
      </c>
      <c r="BK502" s="1" t="s">
        <v>74</v>
      </c>
      <c r="BL502" s="1" t="s">
        <v>74</v>
      </c>
      <c r="BM502" s="1" t="s">
        <v>74</v>
      </c>
      <c r="BN502" s="1" t="s">
        <v>74</v>
      </c>
      <c r="BO502" s="1" t="s">
        <v>74</v>
      </c>
      <c r="BP502" s="1" t="s">
        <v>74</v>
      </c>
      <c r="BQ502" s="1" t="s">
        <v>74</v>
      </c>
      <c r="BR502" s="1" t="s">
        <v>74</v>
      </c>
      <c r="BS502" s="1" t="s">
        <v>5086</v>
      </c>
      <c r="BT502" s="1" t="str">
        <f>HYPERLINK("https%3A%2F%2Fwww.webofscience.com%2Fwos%2Fwoscc%2Ffull-record%2FWOS:000352660200001","View Full Record in Web of Science")</f>
        <v>View Full Record in Web of Science</v>
      </c>
    </row>
    <row r="503" ht="12.75" customHeight="1">
      <c r="A503" s="1" t="s">
        <v>72</v>
      </c>
      <c r="B503" s="1" t="s">
        <v>5087</v>
      </c>
      <c r="C503" s="1" t="s">
        <v>74</v>
      </c>
      <c r="D503" s="1" t="s">
        <v>74</v>
      </c>
      <c r="E503" s="1" t="s">
        <v>74</v>
      </c>
      <c r="F503" s="1" t="s">
        <v>5088</v>
      </c>
      <c r="G503" s="1" t="s">
        <v>74</v>
      </c>
      <c r="H503" s="1" t="s">
        <v>74</v>
      </c>
      <c r="I503" s="1" t="s">
        <v>5089</v>
      </c>
      <c r="J503" s="1" t="s">
        <v>5090</v>
      </c>
      <c r="K503" s="1" t="s">
        <v>74</v>
      </c>
      <c r="L503" s="1" t="s">
        <v>74</v>
      </c>
      <c r="M503" s="1" t="s">
        <v>74</v>
      </c>
      <c r="N503" s="1" t="s">
        <v>74</v>
      </c>
      <c r="O503" s="1" t="s">
        <v>74</v>
      </c>
      <c r="P503" s="1" t="s">
        <v>74</v>
      </c>
      <c r="Q503" s="1" t="s">
        <v>74</v>
      </c>
      <c r="R503" s="1" t="s">
        <v>74</v>
      </c>
      <c r="S503" s="1" t="s">
        <v>74</v>
      </c>
      <c r="T503" s="1" t="s">
        <v>74</v>
      </c>
      <c r="U503" s="1" t="s">
        <v>74</v>
      </c>
      <c r="V503" s="1" t="s">
        <v>5091</v>
      </c>
      <c r="W503" s="1" t="s">
        <v>74</v>
      </c>
      <c r="X503" s="1" t="s">
        <v>74</v>
      </c>
      <c r="Y503" s="1" t="s">
        <v>74</v>
      </c>
      <c r="Z503" s="1" t="s">
        <v>74</v>
      </c>
      <c r="AA503" s="1" t="s">
        <v>5092</v>
      </c>
      <c r="AB503" s="1" t="s">
        <v>5093</v>
      </c>
      <c r="AC503" s="1" t="s">
        <v>74</v>
      </c>
      <c r="AD503" s="1" t="s">
        <v>74</v>
      </c>
      <c r="AE503" s="1" t="s">
        <v>74</v>
      </c>
      <c r="AF503" s="1" t="s">
        <v>74</v>
      </c>
      <c r="AG503" s="1" t="s">
        <v>74</v>
      </c>
      <c r="AH503" s="1" t="s">
        <v>74</v>
      </c>
      <c r="AI503" s="1" t="s">
        <v>74</v>
      </c>
      <c r="AJ503" s="1" t="s">
        <v>74</v>
      </c>
      <c r="AK503" s="1" t="s">
        <v>74</v>
      </c>
      <c r="AL503" s="1" t="s">
        <v>74</v>
      </c>
      <c r="AM503" s="1" t="s">
        <v>74</v>
      </c>
      <c r="AN503" s="1" t="s">
        <v>74</v>
      </c>
      <c r="AO503" s="1" t="s">
        <v>5094</v>
      </c>
      <c r="AP503" s="1" t="s">
        <v>5095</v>
      </c>
      <c r="AQ503" s="1" t="s">
        <v>74</v>
      </c>
      <c r="AR503" s="1" t="s">
        <v>74</v>
      </c>
      <c r="AS503" s="1" t="s">
        <v>74</v>
      </c>
      <c r="AT503" s="1" t="s">
        <v>2704</v>
      </c>
      <c r="AU503" s="1">
        <v>2013.0</v>
      </c>
      <c r="AV503" s="1">
        <v>52.0</v>
      </c>
      <c r="AW503" s="1">
        <v>25.0</v>
      </c>
      <c r="AX503" s="1" t="s">
        <v>74</v>
      </c>
      <c r="AY503" s="1" t="s">
        <v>74</v>
      </c>
      <c r="AZ503" s="1" t="s">
        <v>74</v>
      </c>
      <c r="BA503" s="1" t="s">
        <v>74</v>
      </c>
      <c r="BB503" s="1">
        <v>6287.0</v>
      </c>
      <c r="BC503" s="1">
        <v>6294.0</v>
      </c>
      <c r="BD503" s="1" t="s">
        <v>74</v>
      </c>
      <c r="BE503" s="1" t="s">
        <v>5096</v>
      </c>
      <c r="BF503" s="2" t="str">
        <f>HYPERLINK("http://dx.doi.org/10.1364/AO.52.006287","http://dx.doi.org/10.1364/AO.52.006287")</f>
        <v>http://dx.doi.org/10.1364/AO.52.006287</v>
      </c>
      <c r="BG503" s="1" t="s">
        <v>74</v>
      </c>
      <c r="BH503" s="1" t="s">
        <v>74</v>
      </c>
      <c r="BI503" s="1" t="s">
        <v>74</v>
      </c>
      <c r="BJ503" s="1" t="s">
        <v>74</v>
      </c>
      <c r="BK503" s="1" t="s">
        <v>74</v>
      </c>
      <c r="BL503" s="1" t="s">
        <v>74</v>
      </c>
      <c r="BM503" s="1" t="s">
        <v>74</v>
      </c>
      <c r="BN503" s="1">
        <v>2.4085089E7</v>
      </c>
      <c r="BO503" s="1" t="s">
        <v>74</v>
      </c>
      <c r="BP503" s="1" t="s">
        <v>74</v>
      </c>
      <c r="BQ503" s="1" t="s">
        <v>74</v>
      </c>
      <c r="BR503" s="1" t="s">
        <v>74</v>
      </c>
      <c r="BS503" s="1" t="s">
        <v>5097</v>
      </c>
      <c r="BT503" s="1" t="str">
        <f>HYPERLINK("https%3A%2F%2Fwww.webofscience.com%2Fwos%2Fwoscc%2Ffull-record%2FWOS:000323881700026","View Full Record in Web of Science")</f>
        <v>View Full Record in Web of Science</v>
      </c>
    </row>
    <row r="504" ht="12.75" customHeight="1">
      <c r="A504" s="1" t="s">
        <v>72</v>
      </c>
      <c r="B504" s="1" t="s">
        <v>5098</v>
      </c>
      <c r="C504" s="1" t="s">
        <v>74</v>
      </c>
      <c r="D504" s="1" t="s">
        <v>74</v>
      </c>
      <c r="E504" s="1" t="s">
        <v>74</v>
      </c>
      <c r="F504" s="1" t="s">
        <v>5099</v>
      </c>
      <c r="G504" s="1" t="s">
        <v>74</v>
      </c>
      <c r="H504" s="1" t="s">
        <v>74</v>
      </c>
      <c r="I504" s="1" t="s">
        <v>5100</v>
      </c>
      <c r="J504" s="1" t="s">
        <v>5101</v>
      </c>
      <c r="K504" s="1" t="s">
        <v>74</v>
      </c>
      <c r="L504" s="1" t="s">
        <v>74</v>
      </c>
      <c r="M504" s="1" t="s">
        <v>74</v>
      </c>
      <c r="N504" s="1" t="s">
        <v>74</v>
      </c>
      <c r="O504" s="1" t="s">
        <v>74</v>
      </c>
      <c r="P504" s="1" t="s">
        <v>74</v>
      </c>
      <c r="Q504" s="1" t="s">
        <v>74</v>
      </c>
      <c r="R504" s="1" t="s">
        <v>74</v>
      </c>
      <c r="S504" s="1" t="s">
        <v>74</v>
      </c>
      <c r="T504" s="1" t="s">
        <v>74</v>
      </c>
      <c r="U504" s="1" t="s">
        <v>74</v>
      </c>
      <c r="V504" s="1" t="s">
        <v>5102</v>
      </c>
      <c r="W504" s="1" t="s">
        <v>74</v>
      </c>
      <c r="X504" s="1" t="s">
        <v>74</v>
      </c>
      <c r="Y504" s="1" t="s">
        <v>74</v>
      </c>
      <c r="Z504" s="1" t="s">
        <v>74</v>
      </c>
      <c r="AA504" s="1" t="s">
        <v>74</v>
      </c>
      <c r="AB504" s="1" t="s">
        <v>5103</v>
      </c>
      <c r="AC504" s="1" t="s">
        <v>74</v>
      </c>
      <c r="AD504" s="1" t="s">
        <v>74</v>
      </c>
      <c r="AE504" s="1" t="s">
        <v>74</v>
      </c>
      <c r="AF504" s="1" t="s">
        <v>74</v>
      </c>
      <c r="AG504" s="1" t="s">
        <v>74</v>
      </c>
      <c r="AH504" s="1" t="s">
        <v>74</v>
      </c>
      <c r="AI504" s="1" t="s">
        <v>74</v>
      </c>
      <c r="AJ504" s="1" t="s">
        <v>74</v>
      </c>
      <c r="AK504" s="1" t="s">
        <v>74</v>
      </c>
      <c r="AL504" s="1" t="s">
        <v>74</v>
      </c>
      <c r="AM504" s="1" t="s">
        <v>74</v>
      </c>
      <c r="AN504" s="1" t="s">
        <v>74</v>
      </c>
      <c r="AO504" s="1" t="s">
        <v>5104</v>
      </c>
      <c r="AP504" s="1" t="s">
        <v>74</v>
      </c>
      <c r="AQ504" s="1" t="s">
        <v>74</v>
      </c>
      <c r="AR504" s="1" t="s">
        <v>74</v>
      </c>
      <c r="AS504" s="1" t="s">
        <v>74</v>
      </c>
      <c r="AT504" s="1" t="s">
        <v>294</v>
      </c>
      <c r="AU504" s="1">
        <v>2013.0</v>
      </c>
      <c r="AV504" s="1">
        <v>54.0</v>
      </c>
      <c r="AW504" s="1">
        <v>1.0</v>
      </c>
      <c r="AX504" s="1" t="s">
        <v>74</v>
      </c>
      <c r="AY504" s="1" t="s">
        <v>74</v>
      </c>
      <c r="AZ504" s="1" t="s">
        <v>74</v>
      </c>
      <c r="BA504" s="1" t="s">
        <v>74</v>
      </c>
      <c r="BB504" s="1">
        <v>51.0</v>
      </c>
      <c r="BC504" s="1">
        <v>77.0</v>
      </c>
      <c r="BD504" s="1" t="s">
        <v>74</v>
      </c>
      <c r="BE504" s="1" t="s">
        <v>5105</v>
      </c>
      <c r="BF504" s="2" t="str">
        <f>HYPERLINK("http://dx.doi.org/10.15057/25774","http://dx.doi.org/10.15057/25774")</f>
        <v>http://dx.doi.org/10.15057/25774</v>
      </c>
      <c r="BG504" s="1" t="s">
        <v>74</v>
      </c>
      <c r="BH504" s="1" t="s">
        <v>74</v>
      </c>
      <c r="BI504" s="1" t="s">
        <v>74</v>
      </c>
      <c r="BJ504" s="1" t="s">
        <v>74</v>
      </c>
      <c r="BK504" s="1" t="s">
        <v>74</v>
      </c>
      <c r="BL504" s="1" t="s">
        <v>74</v>
      </c>
      <c r="BM504" s="1" t="s">
        <v>74</v>
      </c>
      <c r="BN504" s="1" t="s">
        <v>74</v>
      </c>
      <c r="BO504" s="1" t="s">
        <v>74</v>
      </c>
      <c r="BP504" s="1" t="s">
        <v>74</v>
      </c>
      <c r="BQ504" s="1" t="s">
        <v>74</v>
      </c>
      <c r="BR504" s="1" t="s">
        <v>74</v>
      </c>
      <c r="BS504" s="1" t="s">
        <v>5106</v>
      </c>
      <c r="BT504" s="1" t="str">
        <f>HYPERLINK("https%3A%2F%2Fwww.webofscience.com%2Fwos%2Fwoscc%2Ffull-record%2FWOS:000321474300004","View Full Record in Web of Science")</f>
        <v>View Full Record in Web of Science</v>
      </c>
    </row>
    <row r="505" ht="12.75" customHeight="1">
      <c r="A505" s="1" t="s">
        <v>72</v>
      </c>
      <c r="B505" s="1" t="s">
        <v>5107</v>
      </c>
      <c r="C505" s="1" t="s">
        <v>74</v>
      </c>
      <c r="D505" s="1" t="s">
        <v>74</v>
      </c>
      <c r="E505" s="1" t="s">
        <v>74</v>
      </c>
      <c r="F505" s="1" t="s">
        <v>5108</v>
      </c>
      <c r="G505" s="1" t="s">
        <v>74</v>
      </c>
      <c r="H505" s="1" t="s">
        <v>74</v>
      </c>
      <c r="I505" s="1" t="s">
        <v>5109</v>
      </c>
      <c r="J505" s="1" t="s">
        <v>3267</v>
      </c>
      <c r="K505" s="1" t="s">
        <v>74</v>
      </c>
      <c r="L505" s="1" t="s">
        <v>74</v>
      </c>
      <c r="M505" s="1" t="s">
        <v>74</v>
      </c>
      <c r="N505" s="1" t="s">
        <v>74</v>
      </c>
      <c r="O505" s="1" t="s">
        <v>74</v>
      </c>
      <c r="P505" s="1" t="s">
        <v>74</v>
      </c>
      <c r="Q505" s="1" t="s">
        <v>74</v>
      </c>
      <c r="R505" s="1" t="s">
        <v>74</v>
      </c>
      <c r="S505" s="1" t="s">
        <v>74</v>
      </c>
      <c r="T505" s="1" t="s">
        <v>74</v>
      </c>
      <c r="U505" s="1" t="s">
        <v>74</v>
      </c>
      <c r="V505" s="1" t="s">
        <v>74</v>
      </c>
      <c r="W505" s="1" t="s">
        <v>74</v>
      </c>
      <c r="X505" s="1" t="s">
        <v>74</v>
      </c>
      <c r="Y505" s="1" t="s">
        <v>74</v>
      </c>
      <c r="Z505" s="1" t="s">
        <v>74</v>
      </c>
      <c r="AA505" s="1" t="s">
        <v>5110</v>
      </c>
      <c r="AB505" s="1" t="s">
        <v>5111</v>
      </c>
      <c r="AC505" s="1" t="s">
        <v>74</v>
      </c>
      <c r="AD505" s="1" t="s">
        <v>74</v>
      </c>
      <c r="AE505" s="1" t="s">
        <v>74</v>
      </c>
      <c r="AF505" s="1" t="s">
        <v>74</v>
      </c>
      <c r="AG505" s="1" t="s">
        <v>74</v>
      </c>
      <c r="AH505" s="1" t="s">
        <v>74</v>
      </c>
      <c r="AI505" s="1" t="s">
        <v>74</v>
      </c>
      <c r="AJ505" s="1" t="s">
        <v>74</v>
      </c>
      <c r="AK505" s="1" t="s">
        <v>74</v>
      </c>
      <c r="AL505" s="1" t="s">
        <v>74</v>
      </c>
      <c r="AM505" s="1" t="s">
        <v>74</v>
      </c>
      <c r="AN505" s="1" t="s">
        <v>74</v>
      </c>
      <c r="AO505" s="1" t="s">
        <v>3271</v>
      </c>
      <c r="AP505" s="1" t="s">
        <v>5112</v>
      </c>
      <c r="AQ505" s="1" t="s">
        <v>74</v>
      </c>
      <c r="AR505" s="1" t="s">
        <v>74</v>
      </c>
      <c r="AS505" s="1" t="s">
        <v>74</v>
      </c>
      <c r="AT505" s="1" t="s">
        <v>5113</v>
      </c>
      <c r="AU505" s="1">
        <v>2013.0</v>
      </c>
      <c r="AV505" s="1">
        <v>117.0</v>
      </c>
      <c r="AW505" s="1">
        <v>17.0</v>
      </c>
      <c r="AX505" s="1" t="s">
        <v>74</v>
      </c>
      <c r="AY505" s="1" t="s">
        <v>74</v>
      </c>
      <c r="AZ505" s="1" t="s">
        <v>74</v>
      </c>
      <c r="BA505" s="1" t="s">
        <v>74</v>
      </c>
      <c r="BB505" s="1">
        <v>5389.0</v>
      </c>
      <c r="BC505" s="1">
        <v>5391.0</v>
      </c>
      <c r="BD505" s="1" t="s">
        <v>74</v>
      </c>
      <c r="BE505" s="1" t="s">
        <v>5114</v>
      </c>
      <c r="BF505" s="2" t="str">
        <f>HYPERLINK("http://dx.doi.org/10.1021/jp4026909","http://dx.doi.org/10.1021/jp4026909")</f>
        <v>http://dx.doi.org/10.1021/jp4026909</v>
      </c>
      <c r="BG505" s="1" t="s">
        <v>74</v>
      </c>
      <c r="BH505" s="1" t="s">
        <v>74</v>
      </c>
      <c r="BI505" s="1" t="s">
        <v>74</v>
      </c>
      <c r="BJ505" s="1" t="s">
        <v>74</v>
      </c>
      <c r="BK505" s="1" t="s">
        <v>74</v>
      </c>
      <c r="BL505" s="1" t="s">
        <v>74</v>
      </c>
      <c r="BM505" s="1" t="s">
        <v>74</v>
      </c>
      <c r="BN505" s="1">
        <v>2.3551153E7</v>
      </c>
      <c r="BO505" s="1" t="s">
        <v>74</v>
      </c>
      <c r="BP505" s="1" t="s">
        <v>74</v>
      </c>
      <c r="BQ505" s="1" t="s">
        <v>74</v>
      </c>
      <c r="BR505" s="1" t="s">
        <v>74</v>
      </c>
      <c r="BS505" s="1" t="s">
        <v>5115</v>
      </c>
      <c r="BT505" s="1" t="str">
        <f>HYPERLINK("https%3A%2F%2Fwww.webofscience.com%2Fwos%2Fwoscc%2Ffull-record%2FWOS:000318536700071","View Full Record in Web of Science")</f>
        <v>View Full Record in Web of Science</v>
      </c>
    </row>
    <row r="506" ht="12.75" customHeight="1">
      <c r="A506" s="1" t="s">
        <v>72</v>
      </c>
      <c r="B506" s="1" t="s">
        <v>5116</v>
      </c>
      <c r="C506" s="1" t="s">
        <v>74</v>
      </c>
      <c r="D506" s="1" t="s">
        <v>74</v>
      </c>
      <c r="E506" s="1" t="s">
        <v>74</v>
      </c>
      <c r="F506" s="1" t="s">
        <v>5117</v>
      </c>
      <c r="G506" s="1" t="s">
        <v>74</v>
      </c>
      <c r="H506" s="1" t="s">
        <v>74</v>
      </c>
      <c r="I506" s="1" t="s">
        <v>5118</v>
      </c>
      <c r="J506" s="1" t="s">
        <v>5119</v>
      </c>
      <c r="K506" s="1" t="s">
        <v>74</v>
      </c>
      <c r="L506" s="1" t="s">
        <v>74</v>
      </c>
      <c r="M506" s="1" t="s">
        <v>74</v>
      </c>
      <c r="N506" s="1" t="s">
        <v>74</v>
      </c>
      <c r="O506" s="1" t="s">
        <v>74</v>
      </c>
      <c r="P506" s="1" t="s">
        <v>74</v>
      </c>
      <c r="Q506" s="1" t="s">
        <v>74</v>
      </c>
      <c r="R506" s="1" t="s">
        <v>74</v>
      </c>
      <c r="S506" s="1" t="s">
        <v>74</v>
      </c>
      <c r="T506" s="1" t="s">
        <v>74</v>
      </c>
      <c r="U506" s="1" t="s">
        <v>74</v>
      </c>
      <c r="V506" s="1" t="s">
        <v>5120</v>
      </c>
      <c r="W506" s="1" t="s">
        <v>74</v>
      </c>
      <c r="X506" s="1" t="s">
        <v>74</v>
      </c>
      <c r="Y506" s="1" t="s">
        <v>74</v>
      </c>
      <c r="Z506" s="1" t="s">
        <v>74</v>
      </c>
      <c r="AA506" s="1" t="s">
        <v>74</v>
      </c>
      <c r="AB506" s="1" t="s">
        <v>3260</v>
      </c>
      <c r="AC506" s="1" t="s">
        <v>74</v>
      </c>
      <c r="AD506" s="1" t="s">
        <v>74</v>
      </c>
      <c r="AE506" s="1" t="s">
        <v>74</v>
      </c>
      <c r="AF506" s="1" t="s">
        <v>74</v>
      </c>
      <c r="AG506" s="1" t="s">
        <v>74</v>
      </c>
      <c r="AH506" s="1" t="s">
        <v>74</v>
      </c>
      <c r="AI506" s="1" t="s">
        <v>74</v>
      </c>
      <c r="AJ506" s="1" t="s">
        <v>74</v>
      </c>
      <c r="AK506" s="1" t="s">
        <v>74</v>
      </c>
      <c r="AL506" s="1" t="s">
        <v>74</v>
      </c>
      <c r="AM506" s="1" t="s">
        <v>74</v>
      </c>
      <c r="AN506" s="1" t="s">
        <v>74</v>
      </c>
      <c r="AO506" s="1" t="s">
        <v>5121</v>
      </c>
      <c r="AP506" s="1" t="s">
        <v>5122</v>
      </c>
      <c r="AQ506" s="1" t="s">
        <v>74</v>
      </c>
      <c r="AR506" s="1" t="s">
        <v>74</v>
      </c>
      <c r="AS506" s="1" t="s">
        <v>74</v>
      </c>
      <c r="AT506" s="1" t="s">
        <v>306</v>
      </c>
      <c r="AU506" s="1">
        <v>2013.0</v>
      </c>
      <c r="AV506" s="1">
        <v>344.0</v>
      </c>
      <c r="AW506" s="1">
        <v>2.0</v>
      </c>
      <c r="AX506" s="1" t="s">
        <v>74</v>
      </c>
      <c r="AY506" s="1" t="s">
        <v>74</v>
      </c>
      <c r="AZ506" s="1" t="s">
        <v>74</v>
      </c>
      <c r="BA506" s="1" t="s">
        <v>74</v>
      </c>
      <c r="BB506" s="1">
        <v>437.0</v>
      </c>
      <c r="BC506" s="1">
        <v>446.0</v>
      </c>
      <c r="BD506" s="1" t="s">
        <v>74</v>
      </c>
      <c r="BE506" s="1" t="s">
        <v>5123</v>
      </c>
      <c r="BF506" s="2" t="str">
        <f>HYPERLINK("http://dx.doi.org/10.1007/s10509-012-1333-x","http://dx.doi.org/10.1007/s10509-012-1333-x")</f>
        <v>http://dx.doi.org/10.1007/s10509-012-1333-x</v>
      </c>
      <c r="BG506" s="1" t="s">
        <v>74</v>
      </c>
      <c r="BH506" s="1" t="s">
        <v>74</v>
      </c>
      <c r="BI506" s="1" t="s">
        <v>74</v>
      </c>
      <c r="BJ506" s="1" t="s">
        <v>74</v>
      </c>
      <c r="BK506" s="1" t="s">
        <v>74</v>
      </c>
      <c r="BL506" s="1" t="s">
        <v>74</v>
      </c>
      <c r="BM506" s="1" t="s">
        <v>74</v>
      </c>
      <c r="BN506" s="1" t="s">
        <v>74</v>
      </c>
      <c r="BO506" s="1" t="s">
        <v>74</v>
      </c>
      <c r="BP506" s="1" t="s">
        <v>74</v>
      </c>
      <c r="BQ506" s="1" t="s">
        <v>74</v>
      </c>
      <c r="BR506" s="1" t="s">
        <v>74</v>
      </c>
      <c r="BS506" s="1" t="s">
        <v>5124</v>
      </c>
      <c r="BT506" s="1" t="str">
        <f>HYPERLINK("https%3A%2F%2Fwww.webofscience.com%2Fwos%2Fwoscc%2Ffull-record%2FWOS:000315566700018","View Full Record in Web of Science")</f>
        <v>View Full Record in Web of Science</v>
      </c>
    </row>
    <row r="507" ht="12.75" customHeight="1">
      <c r="A507" s="1" t="s">
        <v>72</v>
      </c>
      <c r="B507" s="1" t="s">
        <v>5125</v>
      </c>
      <c r="C507" s="1" t="s">
        <v>74</v>
      </c>
      <c r="D507" s="1" t="s">
        <v>74</v>
      </c>
      <c r="E507" s="1" t="s">
        <v>74</v>
      </c>
      <c r="F507" s="1" t="s">
        <v>5126</v>
      </c>
      <c r="G507" s="1" t="s">
        <v>74</v>
      </c>
      <c r="H507" s="1" t="s">
        <v>74</v>
      </c>
      <c r="I507" s="1" t="s">
        <v>5127</v>
      </c>
      <c r="J507" s="1" t="s">
        <v>5128</v>
      </c>
      <c r="K507" s="1" t="s">
        <v>74</v>
      </c>
      <c r="L507" s="1" t="s">
        <v>74</v>
      </c>
      <c r="M507" s="1" t="s">
        <v>74</v>
      </c>
      <c r="N507" s="1" t="s">
        <v>74</v>
      </c>
      <c r="O507" s="1" t="s">
        <v>74</v>
      </c>
      <c r="P507" s="1" t="s">
        <v>74</v>
      </c>
      <c r="Q507" s="1" t="s">
        <v>74</v>
      </c>
      <c r="R507" s="1" t="s">
        <v>74</v>
      </c>
      <c r="S507" s="1" t="s">
        <v>74</v>
      </c>
      <c r="T507" s="1" t="s">
        <v>74</v>
      </c>
      <c r="U507" s="1" t="s">
        <v>74</v>
      </c>
      <c r="V507" s="1" t="s">
        <v>5129</v>
      </c>
      <c r="W507" s="1" t="s">
        <v>74</v>
      </c>
      <c r="X507" s="1" t="s">
        <v>74</v>
      </c>
      <c r="Y507" s="1" t="s">
        <v>74</v>
      </c>
      <c r="Z507" s="1" t="s">
        <v>74</v>
      </c>
      <c r="AA507" s="1" t="s">
        <v>5130</v>
      </c>
      <c r="AB507" s="1" t="s">
        <v>5131</v>
      </c>
      <c r="AC507" s="1" t="s">
        <v>74</v>
      </c>
      <c r="AD507" s="1" t="s">
        <v>74</v>
      </c>
      <c r="AE507" s="1" t="s">
        <v>74</v>
      </c>
      <c r="AF507" s="1" t="s">
        <v>74</v>
      </c>
      <c r="AG507" s="1" t="s">
        <v>74</v>
      </c>
      <c r="AH507" s="1" t="s">
        <v>74</v>
      </c>
      <c r="AI507" s="1" t="s">
        <v>74</v>
      </c>
      <c r="AJ507" s="1" t="s">
        <v>74</v>
      </c>
      <c r="AK507" s="1" t="s">
        <v>74</v>
      </c>
      <c r="AL507" s="1" t="s">
        <v>74</v>
      </c>
      <c r="AM507" s="1" t="s">
        <v>74</v>
      </c>
      <c r="AN507" s="1" t="s">
        <v>74</v>
      </c>
      <c r="AO507" s="1" t="s">
        <v>5132</v>
      </c>
      <c r="AP507" s="1" t="s">
        <v>74</v>
      </c>
      <c r="AQ507" s="1" t="s">
        <v>74</v>
      </c>
      <c r="AR507" s="1" t="s">
        <v>74</v>
      </c>
      <c r="AS507" s="1" t="s">
        <v>74</v>
      </c>
      <c r="AT507" s="1" t="s">
        <v>350</v>
      </c>
      <c r="AU507" s="1">
        <v>2012.0</v>
      </c>
      <c r="AV507" s="1">
        <v>14.0</v>
      </c>
      <c r="AW507" s="1">
        <v>4.0</v>
      </c>
      <c r="AX507" s="1" t="s">
        <v>74</v>
      </c>
      <c r="AY507" s="1" t="s">
        <v>74</v>
      </c>
      <c r="AZ507" s="1" t="s">
        <v>74</v>
      </c>
      <c r="BA507" s="1" t="s">
        <v>74</v>
      </c>
      <c r="BB507" s="1" t="s">
        <v>74</v>
      </c>
      <c r="BC507" s="1" t="s">
        <v>74</v>
      </c>
      <c r="BD507" s="1">
        <v>1250024.0</v>
      </c>
      <c r="BE507" s="1" t="s">
        <v>5133</v>
      </c>
      <c r="BF507" s="2" t="str">
        <f>HYPERLINK("http://dx.doi.org/10.1142/S0219199712500241","http://dx.doi.org/10.1142/S0219199712500241")</f>
        <v>http://dx.doi.org/10.1142/S0219199712500241</v>
      </c>
      <c r="BG507" s="1" t="s">
        <v>74</v>
      </c>
      <c r="BH507" s="1" t="s">
        <v>74</v>
      </c>
      <c r="BI507" s="1" t="s">
        <v>74</v>
      </c>
      <c r="BJ507" s="1" t="s">
        <v>74</v>
      </c>
      <c r="BK507" s="1" t="s">
        <v>74</v>
      </c>
      <c r="BL507" s="1" t="s">
        <v>74</v>
      </c>
      <c r="BM507" s="1" t="s">
        <v>74</v>
      </c>
      <c r="BN507" s="1" t="s">
        <v>74</v>
      </c>
      <c r="BO507" s="1" t="s">
        <v>74</v>
      </c>
      <c r="BP507" s="1" t="s">
        <v>74</v>
      </c>
      <c r="BQ507" s="1" t="s">
        <v>74</v>
      </c>
      <c r="BR507" s="1" t="s">
        <v>74</v>
      </c>
      <c r="BS507" s="1" t="s">
        <v>5134</v>
      </c>
      <c r="BT507" s="1" t="str">
        <f>HYPERLINK("https%3A%2F%2Fwww.webofscience.com%2Fwos%2Fwoscc%2Ffull-record%2FWOS:000307074800001","View Full Record in Web of Science")</f>
        <v>View Full Record in Web of Science</v>
      </c>
    </row>
    <row r="508" ht="12.75" customHeight="1">
      <c r="A508" s="1" t="s">
        <v>72</v>
      </c>
      <c r="B508" s="1" t="s">
        <v>5135</v>
      </c>
      <c r="C508" s="1" t="s">
        <v>74</v>
      </c>
      <c r="D508" s="1" t="s">
        <v>74</v>
      </c>
      <c r="E508" s="1" t="s">
        <v>74</v>
      </c>
      <c r="F508" s="1" t="s">
        <v>5136</v>
      </c>
      <c r="G508" s="1" t="s">
        <v>74</v>
      </c>
      <c r="H508" s="1" t="s">
        <v>74</v>
      </c>
      <c r="I508" s="1" t="s">
        <v>5137</v>
      </c>
      <c r="J508" s="1" t="s">
        <v>2561</v>
      </c>
      <c r="K508" s="1" t="s">
        <v>74</v>
      </c>
      <c r="L508" s="1" t="s">
        <v>74</v>
      </c>
      <c r="M508" s="1" t="s">
        <v>74</v>
      </c>
      <c r="N508" s="1" t="s">
        <v>74</v>
      </c>
      <c r="O508" s="1" t="s">
        <v>74</v>
      </c>
      <c r="P508" s="1" t="s">
        <v>74</v>
      </c>
      <c r="Q508" s="1" t="s">
        <v>74</v>
      </c>
      <c r="R508" s="1" t="s">
        <v>74</v>
      </c>
      <c r="S508" s="1" t="s">
        <v>74</v>
      </c>
      <c r="T508" s="1" t="s">
        <v>74</v>
      </c>
      <c r="U508" s="1" t="s">
        <v>74</v>
      </c>
      <c r="V508" s="1" t="s">
        <v>5138</v>
      </c>
      <c r="W508" s="1" t="s">
        <v>74</v>
      </c>
      <c r="X508" s="1" t="s">
        <v>74</v>
      </c>
      <c r="Y508" s="1" t="s">
        <v>74</v>
      </c>
      <c r="Z508" s="1" t="s">
        <v>74</v>
      </c>
      <c r="AA508" s="1" t="s">
        <v>5139</v>
      </c>
      <c r="AB508" s="1" t="s">
        <v>5140</v>
      </c>
      <c r="AC508" s="1" t="s">
        <v>74</v>
      </c>
      <c r="AD508" s="1" t="s">
        <v>74</v>
      </c>
      <c r="AE508" s="1" t="s">
        <v>74</v>
      </c>
      <c r="AF508" s="1" t="s">
        <v>74</v>
      </c>
      <c r="AG508" s="1" t="s">
        <v>74</v>
      </c>
      <c r="AH508" s="1" t="s">
        <v>74</v>
      </c>
      <c r="AI508" s="1" t="s">
        <v>74</v>
      </c>
      <c r="AJ508" s="1" t="s">
        <v>74</v>
      </c>
      <c r="AK508" s="1" t="s">
        <v>74</v>
      </c>
      <c r="AL508" s="1" t="s">
        <v>74</v>
      </c>
      <c r="AM508" s="1" t="s">
        <v>74</v>
      </c>
      <c r="AN508" s="1" t="s">
        <v>74</v>
      </c>
      <c r="AO508" s="1" t="s">
        <v>2563</v>
      </c>
      <c r="AP508" s="1" t="s">
        <v>74</v>
      </c>
      <c r="AQ508" s="1" t="s">
        <v>74</v>
      </c>
      <c r="AR508" s="1" t="s">
        <v>74</v>
      </c>
      <c r="AS508" s="1" t="s">
        <v>74</v>
      </c>
      <c r="AT508" s="1" t="s">
        <v>350</v>
      </c>
      <c r="AU508" s="1">
        <v>2012.0</v>
      </c>
      <c r="AV508" s="1">
        <v>5.0</v>
      </c>
      <c r="AW508" s="1">
        <v>6.0</v>
      </c>
      <c r="AX508" s="1" t="s">
        <v>74</v>
      </c>
      <c r="AY508" s="1" t="s">
        <v>74</v>
      </c>
      <c r="AZ508" s="1" t="s">
        <v>74</v>
      </c>
      <c r="BA508" s="1" t="s">
        <v>74</v>
      </c>
      <c r="BB508" s="1">
        <v>2401.0</v>
      </c>
      <c r="BC508" s="1">
        <v>2408.0</v>
      </c>
      <c r="BD508" s="1" t="s">
        <v>74</v>
      </c>
      <c r="BE508" s="1" t="s">
        <v>5141</v>
      </c>
      <c r="BF508" s="2" t="str">
        <f>HYPERLINK("http://dx.doi.org/10.1007/s11947-011-0559-x","http://dx.doi.org/10.1007/s11947-011-0559-x")</f>
        <v>http://dx.doi.org/10.1007/s11947-011-0559-x</v>
      </c>
      <c r="BG508" s="1" t="s">
        <v>74</v>
      </c>
      <c r="BH508" s="1" t="s">
        <v>74</v>
      </c>
      <c r="BI508" s="1" t="s">
        <v>74</v>
      </c>
      <c r="BJ508" s="1" t="s">
        <v>74</v>
      </c>
      <c r="BK508" s="1" t="s">
        <v>74</v>
      </c>
      <c r="BL508" s="1" t="s">
        <v>74</v>
      </c>
      <c r="BM508" s="1" t="s">
        <v>74</v>
      </c>
      <c r="BN508" s="1" t="s">
        <v>74</v>
      </c>
      <c r="BO508" s="1" t="s">
        <v>74</v>
      </c>
      <c r="BP508" s="1" t="s">
        <v>74</v>
      </c>
      <c r="BQ508" s="1" t="s">
        <v>74</v>
      </c>
      <c r="BR508" s="1" t="s">
        <v>74</v>
      </c>
      <c r="BS508" s="1" t="s">
        <v>5142</v>
      </c>
      <c r="BT508" s="1" t="str">
        <f>HYPERLINK("https%3A%2F%2Fwww.webofscience.com%2Fwos%2Fwoscc%2Ffull-record%2FWOS:000309869700036","View Full Record in Web of Science")</f>
        <v>View Full Record in Web of Science</v>
      </c>
    </row>
    <row r="509" ht="12.75" customHeight="1">
      <c r="A509" s="1" t="s">
        <v>72</v>
      </c>
      <c r="B509" s="1" t="s">
        <v>5143</v>
      </c>
      <c r="C509" s="1" t="s">
        <v>74</v>
      </c>
      <c r="D509" s="1" t="s">
        <v>74</v>
      </c>
      <c r="E509" s="1" t="s">
        <v>74</v>
      </c>
      <c r="F509" s="1" t="s">
        <v>5144</v>
      </c>
      <c r="G509" s="1" t="s">
        <v>74</v>
      </c>
      <c r="H509" s="1" t="s">
        <v>74</v>
      </c>
      <c r="I509" s="1" t="s">
        <v>5145</v>
      </c>
      <c r="J509" s="1" t="s">
        <v>489</v>
      </c>
      <c r="K509" s="1" t="s">
        <v>74</v>
      </c>
      <c r="L509" s="1" t="s">
        <v>74</v>
      </c>
      <c r="M509" s="1" t="s">
        <v>74</v>
      </c>
      <c r="N509" s="1" t="s">
        <v>74</v>
      </c>
      <c r="O509" s="1" t="s">
        <v>74</v>
      </c>
      <c r="P509" s="1" t="s">
        <v>74</v>
      </c>
      <c r="Q509" s="1" t="s">
        <v>74</v>
      </c>
      <c r="R509" s="1" t="s">
        <v>74</v>
      </c>
      <c r="S509" s="1" t="s">
        <v>74</v>
      </c>
      <c r="T509" s="1" t="s">
        <v>74</v>
      </c>
      <c r="U509" s="1" t="s">
        <v>74</v>
      </c>
      <c r="V509" s="1" t="s">
        <v>5146</v>
      </c>
      <c r="W509" s="1" t="s">
        <v>74</v>
      </c>
      <c r="X509" s="1" t="s">
        <v>74</v>
      </c>
      <c r="Y509" s="1" t="s">
        <v>74</v>
      </c>
      <c r="Z509" s="1" t="s">
        <v>74</v>
      </c>
      <c r="AA509" s="1" t="s">
        <v>74</v>
      </c>
      <c r="AB509" s="1" t="s">
        <v>5147</v>
      </c>
      <c r="AC509" s="1" t="s">
        <v>74</v>
      </c>
      <c r="AD509" s="1" t="s">
        <v>74</v>
      </c>
      <c r="AE509" s="1" t="s">
        <v>74</v>
      </c>
      <c r="AF509" s="1" t="s">
        <v>74</v>
      </c>
      <c r="AG509" s="1" t="s">
        <v>74</v>
      </c>
      <c r="AH509" s="1" t="s">
        <v>74</v>
      </c>
      <c r="AI509" s="1" t="s">
        <v>74</v>
      </c>
      <c r="AJ509" s="1" t="s">
        <v>74</v>
      </c>
      <c r="AK509" s="1" t="s">
        <v>74</v>
      </c>
      <c r="AL509" s="1" t="s">
        <v>74</v>
      </c>
      <c r="AM509" s="1" t="s">
        <v>74</v>
      </c>
      <c r="AN509" s="1" t="s">
        <v>74</v>
      </c>
      <c r="AO509" s="1" t="s">
        <v>492</v>
      </c>
      <c r="AP509" s="1" t="s">
        <v>74</v>
      </c>
      <c r="AQ509" s="1" t="s">
        <v>74</v>
      </c>
      <c r="AR509" s="1" t="s">
        <v>74</v>
      </c>
      <c r="AS509" s="1" t="s">
        <v>74</v>
      </c>
      <c r="AT509" s="1" t="s">
        <v>339</v>
      </c>
      <c r="AU509" s="1">
        <v>2011.0</v>
      </c>
      <c r="AV509" s="1">
        <v>56.0</v>
      </c>
      <c r="AW509" s="1">
        <v>3.0</v>
      </c>
      <c r="AX509" s="1" t="s">
        <v>74</v>
      </c>
      <c r="AY509" s="1" t="s">
        <v>74</v>
      </c>
      <c r="AZ509" s="1" t="s">
        <v>74</v>
      </c>
      <c r="BA509" s="1" t="s">
        <v>74</v>
      </c>
      <c r="BB509" s="1">
        <v>819.0</v>
      </c>
      <c r="BC509" s="1">
        <v>822.0</v>
      </c>
      <c r="BD509" s="1" t="s">
        <v>74</v>
      </c>
      <c r="BE509" s="1" t="s">
        <v>5148</v>
      </c>
      <c r="BF509" s="2" t="str">
        <f>HYPERLINK("http://dx.doi.org/10.4067/S0717-97072011000300022","http://dx.doi.org/10.4067/S0717-97072011000300022")</f>
        <v>http://dx.doi.org/10.4067/S0717-97072011000300022</v>
      </c>
      <c r="BG509" s="1" t="s">
        <v>74</v>
      </c>
      <c r="BH509" s="1" t="s">
        <v>74</v>
      </c>
      <c r="BI509" s="1" t="s">
        <v>74</v>
      </c>
      <c r="BJ509" s="1" t="s">
        <v>74</v>
      </c>
      <c r="BK509" s="1" t="s">
        <v>74</v>
      </c>
      <c r="BL509" s="1" t="s">
        <v>74</v>
      </c>
      <c r="BM509" s="1" t="s">
        <v>74</v>
      </c>
      <c r="BN509" s="1" t="s">
        <v>74</v>
      </c>
      <c r="BO509" s="1" t="s">
        <v>74</v>
      </c>
      <c r="BP509" s="1" t="s">
        <v>74</v>
      </c>
      <c r="BQ509" s="1" t="s">
        <v>74</v>
      </c>
      <c r="BR509" s="1" t="s">
        <v>74</v>
      </c>
      <c r="BS509" s="1" t="s">
        <v>5149</v>
      </c>
      <c r="BT509" s="1" t="str">
        <f>HYPERLINK("https%3A%2F%2Fwww.webofscience.com%2Fwos%2Fwoscc%2Ffull-record%2FWOS:000296753600022","View Full Record in Web of Science")</f>
        <v>View Full Record in Web of Science</v>
      </c>
    </row>
    <row r="510" ht="12.75" customHeight="1">
      <c r="A510" s="1" t="s">
        <v>72</v>
      </c>
      <c r="B510" s="1" t="s">
        <v>5150</v>
      </c>
      <c r="C510" s="1" t="s">
        <v>74</v>
      </c>
      <c r="D510" s="1" t="s">
        <v>74</v>
      </c>
      <c r="E510" s="1" t="s">
        <v>74</v>
      </c>
      <c r="F510" s="1" t="s">
        <v>5151</v>
      </c>
      <c r="G510" s="1" t="s">
        <v>74</v>
      </c>
      <c r="H510" s="1" t="s">
        <v>74</v>
      </c>
      <c r="I510" s="1" t="s">
        <v>5152</v>
      </c>
      <c r="J510" s="1" t="s">
        <v>5153</v>
      </c>
      <c r="K510" s="1" t="s">
        <v>74</v>
      </c>
      <c r="L510" s="1" t="s">
        <v>74</v>
      </c>
      <c r="M510" s="1" t="s">
        <v>74</v>
      </c>
      <c r="N510" s="1" t="s">
        <v>74</v>
      </c>
      <c r="O510" s="1" t="s">
        <v>74</v>
      </c>
      <c r="P510" s="1" t="s">
        <v>74</v>
      </c>
      <c r="Q510" s="1" t="s">
        <v>74</v>
      </c>
      <c r="R510" s="1" t="s">
        <v>74</v>
      </c>
      <c r="S510" s="1" t="s">
        <v>74</v>
      </c>
      <c r="T510" s="1" t="s">
        <v>74</v>
      </c>
      <c r="U510" s="1" t="s">
        <v>74</v>
      </c>
      <c r="V510" s="1" t="s">
        <v>5154</v>
      </c>
      <c r="W510" s="1" t="s">
        <v>74</v>
      </c>
      <c r="X510" s="1" t="s">
        <v>74</v>
      </c>
      <c r="Y510" s="1" t="s">
        <v>74</v>
      </c>
      <c r="Z510" s="1" t="s">
        <v>74</v>
      </c>
      <c r="AA510" s="1" t="s">
        <v>5155</v>
      </c>
      <c r="AB510" s="1" t="s">
        <v>5156</v>
      </c>
      <c r="AC510" s="1" t="s">
        <v>74</v>
      </c>
      <c r="AD510" s="1" t="s">
        <v>74</v>
      </c>
      <c r="AE510" s="1" t="s">
        <v>74</v>
      </c>
      <c r="AF510" s="1" t="s">
        <v>74</v>
      </c>
      <c r="AG510" s="1" t="s">
        <v>74</v>
      </c>
      <c r="AH510" s="1" t="s">
        <v>74</v>
      </c>
      <c r="AI510" s="1" t="s">
        <v>74</v>
      </c>
      <c r="AJ510" s="1" t="s">
        <v>74</v>
      </c>
      <c r="AK510" s="1" t="s">
        <v>74</v>
      </c>
      <c r="AL510" s="1" t="s">
        <v>74</v>
      </c>
      <c r="AM510" s="1" t="s">
        <v>74</v>
      </c>
      <c r="AN510" s="1" t="s">
        <v>74</v>
      </c>
      <c r="AO510" s="1" t="s">
        <v>5157</v>
      </c>
      <c r="AP510" s="1" t="s">
        <v>74</v>
      </c>
      <c r="AQ510" s="1" t="s">
        <v>74</v>
      </c>
      <c r="AR510" s="1" t="s">
        <v>74</v>
      </c>
      <c r="AS510" s="1" t="s">
        <v>74</v>
      </c>
      <c r="AT510" s="1" t="s">
        <v>350</v>
      </c>
      <c r="AU510" s="1">
        <v>2011.0</v>
      </c>
      <c r="AV510" s="1">
        <v>19.0</v>
      </c>
      <c r="AW510" s="1">
        <v>4.0</v>
      </c>
      <c r="AX510" s="1" t="s">
        <v>74</v>
      </c>
      <c r="AY510" s="1" t="s">
        <v>74</v>
      </c>
      <c r="AZ510" s="1" t="s">
        <v>74</v>
      </c>
      <c r="BA510" s="1" t="s">
        <v>74</v>
      </c>
      <c r="BB510" s="1">
        <v>621.0</v>
      </c>
      <c r="BC510" s="1">
        <v>625.0</v>
      </c>
      <c r="BD510" s="1" t="s">
        <v>74</v>
      </c>
      <c r="BE510" s="1" t="s">
        <v>74</v>
      </c>
      <c r="BF510" s="1" t="s">
        <v>74</v>
      </c>
      <c r="BG510" s="1" t="s">
        <v>74</v>
      </c>
      <c r="BH510" s="1" t="s">
        <v>74</v>
      </c>
      <c r="BI510" s="1" t="s">
        <v>74</v>
      </c>
      <c r="BJ510" s="1" t="s">
        <v>74</v>
      </c>
      <c r="BK510" s="1" t="s">
        <v>74</v>
      </c>
      <c r="BL510" s="1" t="s">
        <v>74</v>
      </c>
      <c r="BM510" s="1" t="s">
        <v>74</v>
      </c>
      <c r="BN510" s="1" t="s">
        <v>74</v>
      </c>
      <c r="BO510" s="1" t="s">
        <v>74</v>
      </c>
      <c r="BP510" s="1" t="s">
        <v>74</v>
      </c>
      <c r="BQ510" s="1" t="s">
        <v>74</v>
      </c>
      <c r="BR510" s="1" t="s">
        <v>74</v>
      </c>
      <c r="BS510" s="1" t="s">
        <v>5158</v>
      </c>
      <c r="BT510" s="1" t="str">
        <f>HYPERLINK("https%3A%2F%2Fwww.webofscience.com%2Fwos%2Fwoscc%2Ffull-record%2FWOS:000294745400015","View Full Record in Web of Science")</f>
        <v>View Full Record in Web of Science</v>
      </c>
    </row>
    <row r="511" ht="12.75" customHeight="1">
      <c r="A511" s="1" t="s">
        <v>72</v>
      </c>
      <c r="B511" s="1" t="s">
        <v>5159</v>
      </c>
      <c r="C511" s="1" t="s">
        <v>74</v>
      </c>
      <c r="D511" s="1" t="s">
        <v>74</v>
      </c>
      <c r="E511" s="1" t="s">
        <v>74</v>
      </c>
      <c r="F511" s="1" t="s">
        <v>5160</v>
      </c>
      <c r="G511" s="1" t="s">
        <v>74</v>
      </c>
      <c r="H511" s="1" t="s">
        <v>74</v>
      </c>
      <c r="I511" s="1" t="s">
        <v>5161</v>
      </c>
      <c r="J511" s="1" t="s">
        <v>5162</v>
      </c>
      <c r="K511" s="1" t="s">
        <v>74</v>
      </c>
      <c r="L511" s="1" t="s">
        <v>74</v>
      </c>
      <c r="M511" s="1" t="s">
        <v>74</v>
      </c>
      <c r="N511" s="1" t="s">
        <v>74</v>
      </c>
      <c r="O511" s="1" t="s">
        <v>74</v>
      </c>
      <c r="P511" s="1" t="s">
        <v>74</v>
      </c>
      <c r="Q511" s="1" t="s">
        <v>74</v>
      </c>
      <c r="R511" s="1" t="s">
        <v>74</v>
      </c>
      <c r="S511" s="1" t="s">
        <v>74</v>
      </c>
      <c r="T511" s="1" t="s">
        <v>74</v>
      </c>
      <c r="U511" s="1" t="s">
        <v>74</v>
      </c>
      <c r="V511" s="1" t="s">
        <v>5163</v>
      </c>
      <c r="W511" s="1" t="s">
        <v>74</v>
      </c>
      <c r="X511" s="1" t="s">
        <v>74</v>
      </c>
      <c r="Y511" s="1" t="s">
        <v>74</v>
      </c>
      <c r="Z511" s="1" t="s">
        <v>74</v>
      </c>
      <c r="AA511" s="1" t="s">
        <v>74</v>
      </c>
      <c r="AB511" s="1" t="s">
        <v>74</v>
      </c>
      <c r="AC511" s="1" t="s">
        <v>74</v>
      </c>
      <c r="AD511" s="1" t="s">
        <v>74</v>
      </c>
      <c r="AE511" s="1" t="s">
        <v>74</v>
      </c>
      <c r="AF511" s="1" t="s">
        <v>74</v>
      </c>
      <c r="AG511" s="1" t="s">
        <v>74</v>
      </c>
      <c r="AH511" s="1" t="s">
        <v>74</v>
      </c>
      <c r="AI511" s="1" t="s">
        <v>74</v>
      </c>
      <c r="AJ511" s="1" t="s">
        <v>74</v>
      </c>
      <c r="AK511" s="1" t="s">
        <v>74</v>
      </c>
      <c r="AL511" s="1" t="s">
        <v>74</v>
      </c>
      <c r="AM511" s="1" t="s">
        <v>74</v>
      </c>
      <c r="AN511" s="1" t="s">
        <v>74</v>
      </c>
      <c r="AO511" s="1" t="s">
        <v>5164</v>
      </c>
      <c r="AP511" s="1" t="s">
        <v>74</v>
      </c>
      <c r="AQ511" s="1" t="s">
        <v>74</v>
      </c>
      <c r="AR511" s="1" t="s">
        <v>74</v>
      </c>
      <c r="AS511" s="1" t="s">
        <v>74</v>
      </c>
      <c r="AT511" s="1" t="s">
        <v>180</v>
      </c>
      <c r="AU511" s="1">
        <v>2010.0</v>
      </c>
      <c r="AV511" s="1" t="s">
        <v>74</v>
      </c>
      <c r="AW511" s="1">
        <v>45.0</v>
      </c>
      <c r="AX511" s="1" t="s">
        <v>74</v>
      </c>
      <c r="AY511" s="1" t="s">
        <v>74</v>
      </c>
      <c r="AZ511" s="1" t="s">
        <v>74</v>
      </c>
      <c r="BA511" s="1" t="s">
        <v>74</v>
      </c>
      <c r="BB511" s="1">
        <v>41.0</v>
      </c>
      <c r="BC511" s="1">
        <v>49.0</v>
      </c>
      <c r="BD511" s="1" t="s">
        <v>74</v>
      </c>
      <c r="BE511" s="1" t="s">
        <v>74</v>
      </c>
      <c r="BF511" s="1" t="s">
        <v>74</v>
      </c>
      <c r="BG511" s="1" t="s">
        <v>74</v>
      </c>
      <c r="BH511" s="1" t="s">
        <v>74</v>
      </c>
      <c r="BI511" s="1" t="s">
        <v>74</v>
      </c>
      <c r="BJ511" s="1" t="s">
        <v>74</v>
      </c>
      <c r="BK511" s="1" t="s">
        <v>74</v>
      </c>
      <c r="BL511" s="1" t="s">
        <v>74</v>
      </c>
      <c r="BM511" s="1" t="s">
        <v>74</v>
      </c>
      <c r="BN511" s="1" t="s">
        <v>74</v>
      </c>
      <c r="BO511" s="1" t="s">
        <v>74</v>
      </c>
      <c r="BP511" s="1" t="s">
        <v>74</v>
      </c>
      <c r="BQ511" s="1" t="s">
        <v>74</v>
      </c>
      <c r="BR511" s="1" t="s">
        <v>74</v>
      </c>
      <c r="BS511" s="1" t="s">
        <v>5165</v>
      </c>
      <c r="BT511" s="1" t="str">
        <f>HYPERLINK("https%3A%2F%2Fwww.webofscience.com%2Fwos%2Fwoscc%2Ffull-record%2FWOS:000277110900003","View Full Record in Web of Science")</f>
        <v>View Full Record in Web of Science</v>
      </c>
    </row>
    <row r="512" ht="12.75" customHeight="1">
      <c r="A512" s="1" t="s">
        <v>72</v>
      </c>
      <c r="B512" s="1" t="s">
        <v>5166</v>
      </c>
      <c r="C512" s="1" t="s">
        <v>74</v>
      </c>
      <c r="D512" s="1" t="s">
        <v>74</v>
      </c>
      <c r="E512" s="1" t="s">
        <v>74</v>
      </c>
      <c r="F512" s="1" t="s">
        <v>5167</v>
      </c>
      <c r="G512" s="1" t="s">
        <v>74</v>
      </c>
      <c r="H512" s="1" t="s">
        <v>74</v>
      </c>
      <c r="I512" s="1" t="s">
        <v>5168</v>
      </c>
      <c r="J512" s="1" t="s">
        <v>3071</v>
      </c>
      <c r="K512" s="1" t="s">
        <v>74</v>
      </c>
      <c r="L512" s="1" t="s">
        <v>74</v>
      </c>
      <c r="M512" s="1" t="s">
        <v>74</v>
      </c>
      <c r="N512" s="1" t="s">
        <v>74</v>
      </c>
      <c r="O512" s="1" t="s">
        <v>74</v>
      </c>
      <c r="P512" s="1" t="s">
        <v>74</v>
      </c>
      <c r="Q512" s="1" t="s">
        <v>74</v>
      </c>
      <c r="R512" s="1" t="s">
        <v>74</v>
      </c>
      <c r="S512" s="1" t="s">
        <v>74</v>
      </c>
      <c r="T512" s="1" t="s">
        <v>74</v>
      </c>
      <c r="U512" s="1" t="s">
        <v>74</v>
      </c>
      <c r="V512" s="1" t="s">
        <v>5169</v>
      </c>
      <c r="W512" s="1" t="s">
        <v>74</v>
      </c>
      <c r="X512" s="1" t="s">
        <v>74</v>
      </c>
      <c r="Y512" s="1" t="s">
        <v>74</v>
      </c>
      <c r="Z512" s="1" t="s">
        <v>74</v>
      </c>
      <c r="AA512" s="1" t="s">
        <v>5170</v>
      </c>
      <c r="AB512" s="1" t="s">
        <v>74</v>
      </c>
      <c r="AC512" s="1" t="s">
        <v>74</v>
      </c>
      <c r="AD512" s="1" t="s">
        <v>74</v>
      </c>
      <c r="AE512" s="1" t="s">
        <v>74</v>
      </c>
      <c r="AF512" s="1" t="s">
        <v>74</v>
      </c>
      <c r="AG512" s="1" t="s">
        <v>74</v>
      </c>
      <c r="AH512" s="1" t="s">
        <v>74</v>
      </c>
      <c r="AI512" s="1" t="s">
        <v>74</v>
      </c>
      <c r="AJ512" s="1" t="s">
        <v>74</v>
      </c>
      <c r="AK512" s="1" t="s">
        <v>74</v>
      </c>
      <c r="AL512" s="1" t="s">
        <v>74</v>
      </c>
      <c r="AM512" s="1" t="s">
        <v>74</v>
      </c>
      <c r="AN512" s="1" t="s">
        <v>74</v>
      </c>
      <c r="AO512" s="1" t="s">
        <v>3075</v>
      </c>
      <c r="AP512" s="1" t="s">
        <v>3076</v>
      </c>
      <c r="AQ512" s="1" t="s">
        <v>74</v>
      </c>
      <c r="AR512" s="1" t="s">
        <v>74</v>
      </c>
      <c r="AS512" s="1" t="s">
        <v>74</v>
      </c>
      <c r="AT512" s="1" t="s">
        <v>5171</v>
      </c>
      <c r="AU512" s="1">
        <v>2009.0</v>
      </c>
      <c r="AV512" s="1">
        <v>694.0</v>
      </c>
      <c r="AW512" s="1">
        <v>21.0</v>
      </c>
      <c r="AX512" s="1" t="s">
        <v>74</v>
      </c>
      <c r="AY512" s="1" t="s">
        <v>74</v>
      </c>
      <c r="AZ512" s="1" t="s">
        <v>74</v>
      </c>
      <c r="BA512" s="1" t="s">
        <v>74</v>
      </c>
      <c r="BB512" s="1">
        <v>3381.0</v>
      </c>
      <c r="BC512" s="1">
        <v>3385.0</v>
      </c>
      <c r="BD512" s="1" t="s">
        <v>74</v>
      </c>
      <c r="BE512" s="1" t="s">
        <v>5172</v>
      </c>
      <c r="BF512" s="2" t="str">
        <f>HYPERLINK("http://dx.doi.org/10.1016/j.jorganchem.2009.06.042","http://dx.doi.org/10.1016/j.jorganchem.2009.06.042")</f>
        <v>http://dx.doi.org/10.1016/j.jorganchem.2009.06.042</v>
      </c>
      <c r="BG512" s="1" t="s">
        <v>74</v>
      </c>
      <c r="BH512" s="1" t="s">
        <v>74</v>
      </c>
      <c r="BI512" s="1" t="s">
        <v>74</v>
      </c>
      <c r="BJ512" s="1" t="s">
        <v>74</v>
      </c>
      <c r="BK512" s="1" t="s">
        <v>74</v>
      </c>
      <c r="BL512" s="1" t="s">
        <v>74</v>
      </c>
      <c r="BM512" s="1" t="s">
        <v>74</v>
      </c>
      <c r="BN512" s="1" t="s">
        <v>74</v>
      </c>
      <c r="BO512" s="1" t="s">
        <v>74</v>
      </c>
      <c r="BP512" s="1" t="s">
        <v>74</v>
      </c>
      <c r="BQ512" s="1" t="s">
        <v>74</v>
      </c>
      <c r="BR512" s="1" t="s">
        <v>74</v>
      </c>
      <c r="BS512" s="1" t="s">
        <v>5173</v>
      </c>
      <c r="BT512" s="1" t="str">
        <f>HYPERLINK("https%3A%2F%2Fwww.webofscience.com%2Fwos%2Fwoscc%2Ffull-record%2FWOS:000269311200003","View Full Record in Web of Science")</f>
        <v>View Full Record in Web of Science</v>
      </c>
    </row>
    <row r="513" ht="12.75" customHeight="1">
      <c r="A513" s="1" t="s">
        <v>72</v>
      </c>
      <c r="B513" s="1" t="s">
        <v>5174</v>
      </c>
      <c r="C513" s="1" t="s">
        <v>74</v>
      </c>
      <c r="D513" s="1" t="s">
        <v>74</v>
      </c>
      <c r="E513" s="1" t="s">
        <v>74</v>
      </c>
      <c r="F513" s="1" t="s">
        <v>5175</v>
      </c>
      <c r="G513" s="1" t="s">
        <v>74</v>
      </c>
      <c r="H513" s="1" t="s">
        <v>74</v>
      </c>
      <c r="I513" s="1" t="s">
        <v>5176</v>
      </c>
      <c r="J513" s="1" t="s">
        <v>2026</v>
      </c>
      <c r="K513" s="1" t="s">
        <v>74</v>
      </c>
      <c r="L513" s="1" t="s">
        <v>74</v>
      </c>
      <c r="M513" s="1" t="s">
        <v>74</v>
      </c>
      <c r="N513" s="1" t="s">
        <v>74</v>
      </c>
      <c r="O513" s="1" t="s">
        <v>74</v>
      </c>
      <c r="P513" s="1" t="s">
        <v>74</v>
      </c>
      <c r="Q513" s="1" t="s">
        <v>74</v>
      </c>
      <c r="R513" s="1" t="s">
        <v>74</v>
      </c>
      <c r="S513" s="1" t="s">
        <v>74</v>
      </c>
      <c r="T513" s="1" t="s">
        <v>74</v>
      </c>
      <c r="U513" s="1" t="s">
        <v>74</v>
      </c>
      <c r="V513" s="1" t="s">
        <v>5177</v>
      </c>
      <c r="W513" s="1" t="s">
        <v>74</v>
      </c>
      <c r="X513" s="1" t="s">
        <v>74</v>
      </c>
      <c r="Y513" s="1" t="s">
        <v>74</v>
      </c>
      <c r="Z513" s="1" t="s">
        <v>74</v>
      </c>
      <c r="AA513" s="1" t="s">
        <v>5178</v>
      </c>
      <c r="AB513" s="1" t="s">
        <v>74</v>
      </c>
      <c r="AC513" s="1" t="s">
        <v>74</v>
      </c>
      <c r="AD513" s="1" t="s">
        <v>74</v>
      </c>
      <c r="AE513" s="1" t="s">
        <v>74</v>
      </c>
      <c r="AF513" s="1" t="s">
        <v>74</v>
      </c>
      <c r="AG513" s="1" t="s">
        <v>74</v>
      </c>
      <c r="AH513" s="1" t="s">
        <v>74</v>
      </c>
      <c r="AI513" s="1" t="s">
        <v>74</v>
      </c>
      <c r="AJ513" s="1" t="s">
        <v>74</v>
      </c>
      <c r="AK513" s="1" t="s">
        <v>74</v>
      </c>
      <c r="AL513" s="1" t="s">
        <v>74</v>
      </c>
      <c r="AM513" s="1" t="s">
        <v>74</v>
      </c>
      <c r="AN513" s="1" t="s">
        <v>74</v>
      </c>
      <c r="AO513" s="1" t="s">
        <v>2030</v>
      </c>
      <c r="AP513" s="1" t="s">
        <v>74</v>
      </c>
      <c r="AQ513" s="1" t="s">
        <v>74</v>
      </c>
      <c r="AR513" s="1" t="s">
        <v>74</v>
      </c>
      <c r="AS513" s="1" t="s">
        <v>74</v>
      </c>
      <c r="AT513" s="1" t="s">
        <v>2431</v>
      </c>
      <c r="AU513" s="1">
        <v>2008.0</v>
      </c>
      <c r="AV513" s="1">
        <v>21.0</v>
      </c>
      <c r="AW513" s="1" t="s">
        <v>1659</v>
      </c>
      <c r="AX513" s="1" t="s">
        <v>74</v>
      </c>
      <c r="AY513" s="1" t="s">
        <v>74</v>
      </c>
      <c r="AZ513" s="1" t="s">
        <v>74</v>
      </c>
      <c r="BA513" s="1" t="s">
        <v>74</v>
      </c>
      <c r="BB513" s="1">
        <v>575.0</v>
      </c>
      <c r="BC513" s="1">
        <v>600.0</v>
      </c>
      <c r="BD513" s="1" t="s">
        <v>74</v>
      </c>
      <c r="BE513" s="1" t="s">
        <v>74</v>
      </c>
      <c r="BF513" s="1" t="s">
        <v>74</v>
      </c>
      <c r="BG513" s="1" t="s">
        <v>74</v>
      </c>
      <c r="BH513" s="1" t="s">
        <v>74</v>
      </c>
      <c r="BI513" s="1" t="s">
        <v>74</v>
      </c>
      <c r="BJ513" s="1" t="s">
        <v>74</v>
      </c>
      <c r="BK513" s="1" t="s">
        <v>74</v>
      </c>
      <c r="BL513" s="1" t="s">
        <v>74</v>
      </c>
      <c r="BM513" s="1" t="s">
        <v>74</v>
      </c>
      <c r="BN513" s="1" t="s">
        <v>74</v>
      </c>
      <c r="BO513" s="1" t="s">
        <v>74</v>
      </c>
      <c r="BP513" s="1" t="s">
        <v>74</v>
      </c>
      <c r="BQ513" s="1" t="s">
        <v>74</v>
      </c>
      <c r="BR513" s="1" t="s">
        <v>74</v>
      </c>
      <c r="BS513" s="1" t="s">
        <v>5179</v>
      </c>
      <c r="BT513" s="1" t="str">
        <f>HYPERLINK("https%3A%2F%2Fwww.webofscience.com%2Fwos%2Fwoscc%2Ffull-record%2FWOS:000208720500010","View Full Record in Web of Science")</f>
        <v>View Full Record in Web of Science</v>
      </c>
    </row>
    <row r="514" ht="12.75" customHeight="1">
      <c r="A514" s="1" t="s">
        <v>72</v>
      </c>
      <c r="B514" s="1" t="s">
        <v>5180</v>
      </c>
      <c r="C514" s="1" t="s">
        <v>74</v>
      </c>
      <c r="D514" s="1" t="s">
        <v>74</v>
      </c>
      <c r="E514" s="1" t="s">
        <v>74</v>
      </c>
      <c r="F514" s="1" t="s">
        <v>5180</v>
      </c>
      <c r="G514" s="1" t="s">
        <v>74</v>
      </c>
      <c r="H514" s="1" t="s">
        <v>74</v>
      </c>
      <c r="I514" s="1" t="s">
        <v>5181</v>
      </c>
      <c r="J514" s="1" t="s">
        <v>708</v>
      </c>
      <c r="K514" s="1" t="s">
        <v>74</v>
      </c>
      <c r="L514" s="1" t="s">
        <v>74</v>
      </c>
      <c r="M514" s="1" t="s">
        <v>74</v>
      </c>
      <c r="N514" s="1" t="s">
        <v>74</v>
      </c>
      <c r="O514" s="1" t="s">
        <v>74</v>
      </c>
      <c r="P514" s="1" t="s">
        <v>74</v>
      </c>
      <c r="Q514" s="1" t="s">
        <v>74</v>
      </c>
      <c r="R514" s="1" t="s">
        <v>74</v>
      </c>
      <c r="S514" s="1" t="s">
        <v>74</v>
      </c>
      <c r="T514" s="1" t="s">
        <v>74</v>
      </c>
      <c r="U514" s="1" t="s">
        <v>74</v>
      </c>
      <c r="V514" s="1" t="s">
        <v>5182</v>
      </c>
      <c r="W514" s="1" t="s">
        <v>74</v>
      </c>
      <c r="X514" s="1" t="s">
        <v>74</v>
      </c>
      <c r="Y514" s="1" t="s">
        <v>74</v>
      </c>
      <c r="Z514" s="1" t="s">
        <v>74</v>
      </c>
      <c r="AA514" s="1" t="s">
        <v>1745</v>
      </c>
      <c r="AB514" s="1" t="s">
        <v>2118</v>
      </c>
      <c r="AC514" s="1" t="s">
        <v>74</v>
      </c>
      <c r="AD514" s="1" t="s">
        <v>74</v>
      </c>
      <c r="AE514" s="1" t="s">
        <v>74</v>
      </c>
      <c r="AF514" s="1" t="s">
        <v>74</v>
      </c>
      <c r="AG514" s="1" t="s">
        <v>74</v>
      </c>
      <c r="AH514" s="1" t="s">
        <v>74</v>
      </c>
      <c r="AI514" s="1" t="s">
        <v>74</v>
      </c>
      <c r="AJ514" s="1" t="s">
        <v>74</v>
      </c>
      <c r="AK514" s="1" t="s">
        <v>74</v>
      </c>
      <c r="AL514" s="1" t="s">
        <v>74</v>
      </c>
      <c r="AM514" s="1" t="s">
        <v>74</v>
      </c>
      <c r="AN514" s="1" t="s">
        <v>74</v>
      </c>
      <c r="AO514" s="1" t="s">
        <v>711</v>
      </c>
      <c r="AP514" s="1" t="s">
        <v>74</v>
      </c>
      <c r="AQ514" s="1" t="s">
        <v>74</v>
      </c>
      <c r="AR514" s="1" t="s">
        <v>74</v>
      </c>
      <c r="AS514" s="1" t="s">
        <v>74</v>
      </c>
      <c r="AT514" s="1" t="s">
        <v>350</v>
      </c>
      <c r="AU514" s="1">
        <v>2003.0</v>
      </c>
      <c r="AV514" s="1">
        <v>22.0</v>
      </c>
      <c r="AW514" s="1">
        <v>6.0</v>
      </c>
      <c r="AX514" s="1" t="s">
        <v>74</v>
      </c>
      <c r="AY514" s="1" t="s">
        <v>74</v>
      </c>
      <c r="AZ514" s="1" t="s">
        <v>74</v>
      </c>
      <c r="BA514" s="1" t="s">
        <v>74</v>
      </c>
      <c r="BB514" s="1">
        <v>515.0</v>
      </c>
      <c r="BC514" s="1">
        <v>519.0</v>
      </c>
      <c r="BD514" s="1" t="s">
        <v>74</v>
      </c>
      <c r="BE514" s="1" t="s">
        <v>5183</v>
      </c>
      <c r="BF514" s="2" t="str">
        <f>HYPERLINK("http://dx.doi.org/10.1023/B:JOPC.0000005500.67125.71","http://dx.doi.org/10.1023/B:JOPC.0000005500.67125.71")</f>
        <v>http://dx.doi.org/10.1023/B:JOPC.0000005500.67125.71</v>
      </c>
      <c r="BG514" s="1" t="s">
        <v>74</v>
      </c>
      <c r="BH514" s="1" t="s">
        <v>74</v>
      </c>
      <c r="BI514" s="1" t="s">
        <v>74</v>
      </c>
      <c r="BJ514" s="1" t="s">
        <v>74</v>
      </c>
      <c r="BK514" s="1" t="s">
        <v>74</v>
      </c>
      <c r="BL514" s="1" t="s">
        <v>74</v>
      </c>
      <c r="BM514" s="1" t="s">
        <v>74</v>
      </c>
      <c r="BN514" s="1">
        <v>1.4703984E7</v>
      </c>
      <c r="BO514" s="1" t="s">
        <v>74</v>
      </c>
      <c r="BP514" s="1" t="s">
        <v>74</v>
      </c>
      <c r="BQ514" s="1" t="s">
        <v>74</v>
      </c>
      <c r="BR514" s="1" t="s">
        <v>74</v>
      </c>
      <c r="BS514" s="1" t="s">
        <v>5184</v>
      </c>
      <c r="BT514" s="1" t="str">
        <f>HYPERLINK("https%3A%2F%2Fwww.webofscience.com%2Fwos%2Fwoscc%2Ffull-record%2FWOS:000186865800003","View Full Record in Web of Science")</f>
        <v>View Full Record in Web of Science</v>
      </c>
    </row>
    <row r="515" ht="12.75" customHeight="1">
      <c r="A515" s="1" t="s">
        <v>72</v>
      </c>
      <c r="B515" s="1" t="s">
        <v>5185</v>
      </c>
      <c r="C515" s="1" t="s">
        <v>74</v>
      </c>
      <c r="D515" s="1" t="s">
        <v>74</v>
      </c>
      <c r="E515" s="1" t="s">
        <v>74</v>
      </c>
      <c r="F515" s="1" t="s">
        <v>5185</v>
      </c>
      <c r="G515" s="1" t="s">
        <v>74</v>
      </c>
      <c r="H515" s="1" t="s">
        <v>74</v>
      </c>
      <c r="I515" s="1" t="s">
        <v>5186</v>
      </c>
      <c r="J515" s="1" t="s">
        <v>5187</v>
      </c>
      <c r="K515" s="1" t="s">
        <v>74</v>
      </c>
      <c r="L515" s="1" t="s">
        <v>74</v>
      </c>
      <c r="M515" s="1" t="s">
        <v>74</v>
      </c>
      <c r="N515" s="1" t="s">
        <v>74</v>
      </c>
      <c r="O515" s="1" t="s">
        <v>74</v>
      </c>
      <c r="P515" s="1" t="s">
        <v>74</v>
      </c>
      <c r="Q515" s="1" t="s">
        <v>74</v>
      </c>
      <c r="R515" s="1" t="s">
        <v>74</v>
      </c>
      <c r="S515" s="1" t="s">
        <v>74</v>
      </c>
      <c r="T515" s="1" t="s">
        <v>74</v>
      </c>
      <c r="U515" s="1" t="s">
        <v>74</v>
      </c>
      <c r="V515" s="1" t="s">
        <v>5188</v>
      </c>
      <c r="W515" s="1" t="s">
        <v>74</v>
      </c>
      <c r="X515" s="1" t="s">
        <v>74</v>
      </c>
      <c r="Y515" s="1" t="s">
        <v>74</v>
      </c>
      <c r="Z515" s="1" t="s">
        <v>74</v>
      </c>
      <c r="AA515" s="1" t="s">
        <v>74</v>
      </c>
      <c r="AB515" s="1" t="s">
        <v>5189</v>
      </c>
      <c r="AC515" s="1" t="s">
        <v>74</v>
      </c>
      <c r="AD515" s="1" t="s">
        <v>74</v>
      </c>
      <c r="AE515" s="1" t="s">
        <v>74</v>
      </c>
      <c r="AF515" s="1" t="s">
        <v>74</v>
      </c>
      <c r="AG515" s="1" t="s">
        <v>74</v>
      </c>
      <c r="AH515" s="1" t="s">
        <v>74</v>
      </c>
      <c r="AI515" s="1" t="s">
        <v>74</v>
      </c>
      <c r="AJ515" s="1" t="s">
        <v>74</v>
      </c>
      <c r="AK515" s="1" t="s">
        <v>74</v>
      </c>
      <c r="AL515" s="1" t="s">
        <v>74</v>
      </c>
      <c r="AM515" s="1" t="s">
        <v>74</v>
      </c>
      <c r="AN515" s="1" t="s">
        <v>74</v>
      </c>
      <c r="AO515" s="1" t="s">
        <v>5190</v>
      </c>
      <c r="AP515" s="1" t="s">
        <v>74</v>
      </c>
      <c r="AQ515" s="1" t="s">
        <v>74</v>
      </c>
      <c r="AR515" s="1" t="s">
        <v>74</v>
      </c>
      <c r="AS515" s="1" t="s">
        <v>74</v>
      </c>
      <c r="AT515" s="1" t="s">
        <v>652</v>
      </c>
      <c r="AU515" s="1">
        <v>2000.0</v>
      </c>
      <c r="AV515" s="1">
        <v>23.0</v>
      </c>
      <c r="AW515" s="1">
        <v>6.0</v>
      </c>
      <c r="AX515" s="1" t="s">
        <v>74</v>
      </c>
      <c r="AY515" s="1" t="s">
        <v>74</v>
      </c>
      <c r="AZ515" s="1" t="s">
        <v>74</v>
      </c>
      <c r="BA515" s="1" t="s">
        <v>74</v>
      </c>
      <c r="BB515" s="1">
        <v>565.0</v>
      </c>
      <c r="BC515" s="1">
        <v>573.0</v>
      </c>
      <c r="BD515" s="1" t="s">
        <v>74</v>
      </c>
      <c r="BE515" s="1" t="s">
        <v>5191</v>
      </c>
      <c r="BF515" s="2" t="str">
        <f>HYPERLINK("http://dx.doi.org/10.1007/s004490000198","http://dx.doi.org/10.1007/s004490000198")</f>
        <v>http://dx.doi.org/10.1007/s004490000198</v>
      </c>
      <c r="BG515" s="1" t="s">
        <v>74</v>
      </c>
      <c r="BH515" s="1" t="s">
        <v>74</v>
      </c>
      <c r="BI515" s="1" t="s">
        <v>74</v>
      </c>
      <c r="BJ515" s="1" t="s">
        <v>74</v>
      </c>
      <c r="BK515" s="1" t="s">
        <v>74</v>
      </c>
      <c r="BL515" s="1" t="s">
        <v>74</v>
      </c>
      <c r="BM515" s="1" t="s">
        <v>74</v>
      </c>
      <c r="BN515" s="1" t="s">
        <v>74</v>
      </c>
      <c r="BO515" s="1" t="s">
        <v>74</v>
      </c>
      <c r="BP515" s="1" t="s">
        <v>74</v>
      </c>
      <c r="BQ515" s="1" t="s">
        <v>74</v>
      </c>
      <c r="BR515" s="1" t="s">
        <v>74</v>
      </c>
      <c r="BS515" s="1" t="s">
        <v>5192</v>
      </c>
      <c r="BT515" s="1" t="str">
        <f>HYPERLINK("https%3A%2F%2Fwww.webofscience.com%2Fwos%2Fwoscc%2Ffull-record%2FWOS:000166449800004","View Full Record in Web of Science")</f>
        <v>View Full Record in Web of Science</v>
      </c>
    </row>
    <row r="516" ht="12.75" customHeight="1">
      <c r="A516" s="1" t="s">
        <v>72</v>
      </c>
      <c r="B516" s="1" t="s">
        <v>5193</v>
      </c>
      <c r="C516" s="1" t="s">
        <v>74</v>
      </c>
      <c r="D516" s="1" t="s">
        <v>74</v>
      </c>
      <c r="E516" s="1" t="s">
        <v>74</v>
      </c>
      <c r="F516" s="1" t="s">
        <v>5193</v>
      </c>
      <c r="G516" s="1" t="s">
        <v>74</v>
      </c>
      <c r="H516" s="1" t="s">
        <v>74</v>
      </c>
      <c r="I516" s="1" t="s">
        <v>5194</v>
      </c>
      <c r="J516" s="1" t="s">
        <v>5195</v>
      </c>
      <c r="K516" s="1" t="s">
        <v>74</v>
      </c>
      <c r="L516" s="1" t="s">
        <v>74</v>
      </c>
      <c r="M516" s="1" t="s">
        <v>74</v>
      </c>
      <c r="N516" s="1" t="s">
        <v>74</v>
      </c>
      <c r="O516" s="1" t="s">
        <v>74</v>
      </c>
      <c r="P516" s="1" t="s">
        <v>74</v>
      </c>
      <c r="Q516" s="1" t="s">
        <v>74</v>
      </c>
      <c r="R516" s="1" t="s">
        <v>74</v>
      </c>
      <c r="S516" s="1" t="s">
        <v>74</v>
      </c>
      <c r="T516" s="1" t="s">
        <v>74</v>
      </c>
      <c r="U516" s="1" t="s">
        <v>74</v>
      </c>
      <c r="V516" s="1" t="s">
        <v>5196</v>
      </c>
      <c r="W516" s="1" t="s">
        <v>74</v>
      </c>
      <c r="X516" s="1" t="s">
        <v>74</v>
      </c>
      <c r="Y516" s="1" t="s">
        <v>74</v>
      </c>
      <c r="Z516" s="1" t="s">
        <v>74</v>
      </c>
      <c r="AA516" s="1" t="s">
        <v>74</v>
      </c>
      <c r="AB516" s="1" t="s">
        <v>3734</v>
      </c>
      <c r="AC516" s="1" t="s">
        <v>74</v>
      </c>
      <c r="AD516" s="1" t="s">
        <v>74</v>
      </c>
      <c r="AE516" s="1" t="s">
        <v>74</v>
      </c>
      <c r="AF516" s="1" t="s">
        <v>74</v>
      </c>
      <c r="AG516" s="1" t="s">
        <v>74</v>
      </c>
      <c r="AH516" s="1" t="s">
        <v>74</v>
      </c>
      <c r="AI516" s="1" t="s">
        <v>74</v>
      </c>
      <c r="AJ516" s="1" t="s">
        <v>74</v>
      </c>
      <c r="AK516" s="1" t="s">
        <v>74</v>
      </c>
      <c r="AL516" s="1" t="s">
        <v>74</v>
      </c>
      <c r="AM516" s="1" t="s">
        <v>74</v>
      </c>
      <c r="AN516" s="1" t="s">
        <v>74</v>
      </c>
      <c r="AO516" s="1" t="s">
        <v>5197</v>
      </c>
      <c r="AP516" s="1" t="s">
        <v>74</v>
      </c>
      <c r="AQ516" s="1" t="s">
        <v>74</v>
      </c>
      <c r="AR516" s="1" t="s">
        <v>74</v>
      </c>
      <c r="AS516" s="1" t="s">
        <v>74</v>
      </c>
      <c r="AT516" s="1" t="s">
        <v>74</v>
      </c>
      <c r="AU516" s="1">
        <v>1999.0</v>
      </c>
      <c r="AV516" s="1">
        <v>8.0</v>
      </c>
      <c r="AW516" s="1">
        <v>4.0</v>
      </c>
      <c r="AX516" s="1" t="s">
        <v>74</v>
      </c>
      <c r="AY516" s="1" t="s">
        <v>74</v>
      </c>
      <c r="AZ516" s="1" t="s">
        <v>74</v>
      </c>
      <c r="BA516" s="1" t="s">
        <v>74</v>
      </c>
      <c r="BB516" s="1">
        <v>339.0</v>
      </c>
      <c r="BC516" s="1">
        <v>346.0</v>
      </c>
      <c r="BD516" s="1" t="s">
        <v>74</v>
      </c>
      <c r="BE516" s="1" t="s">
        <v>5198</v>
      </c>
      <c r="BF516" s="2" t="str">
        <f>HYPERLINK("http://dx.doi.org/10.1007/s005210050039","http://dx.doi.org/10.1007/s005210050039")</f>
        <v>http://dx.doi.org/10.1007/s005210050039</v>
      </c>
      <c r="BG516" s="1" t="s">
        <v>74</v>
      </c>
      <c r="BH516" s="1" t="s">
        <v>74</v>
      </c>
      <c r="BI516" s="1" t="s">
        <v>74</v>
      </c>
      <c r="BJ516" s="1" t="s">
        <v>74</v>
      </c>
      <c r="BK516" s="1" t="s">
        <v>74</v>
      </c>
      <c r="BL516" s="1" t="s">
        <v>74</v>
      </c>
      <c r="BM516" s="1" t="s">
        <v>74</v>
      </c>
      <c r="BN516" s="1" t="s">
        <v>74</v>
      </c>
      <c r="BO516" s="1" t="s">
        <v>74</v>
      </c>
      <c r="BP516" s="1" t="s">
        <v>74</v>
      </c>
      <c r="BQ516" s="1" t="s">
        <v>74</v>
      </c>
      <c r="BR516" s="1" t="s">
        <v>74</v>
      </c>
      <c r="BS516" s="1" t="s">
        <v>5199</v>
      </c>
      <c r="BT516" s="1" t="str">
        <f>HYPERLINK("https%3A%2F%2Fwww.webofscience.com%2Fwos%2Fwoscc%2Ffull-record%2FWOS:000085962800007","View Full Record in Web of Science")</f>
        <v>View Full Record in Web of Science</v>
      </c>
    </row>
    <row r="517" ht="12.75" customHeight="1">
      <c r="A517" s="1" t="s">
        <v>72</v>
      </c>
      <c r="B517" s="1" t="s">
        <v>5200</v>
      </c>
      <c r="C517" s="1" t="s">
        <v>74</v>
      </c>
      <c r="D517" s="1" t="s">
        <v>74</v>
      </c>
      <c r="E517" s="1" t="s">
        <v>74</v>
      </c>
      <c r="F517" s="1" t="s">
        <v>5200</v>
      </c>
      <c r="G517" s="1" t="s">
        <v>74</v>
      </c>
      <c r="H517" s="1" t="s">
        <v>74</v>
      </c>
      <c r="I517" s="1" t="s">
        <v>5201</v>
      </c>
      <c r="J517" s="1" t="s">
        <v>5202</v>
      </c>
      <c r="K517" s="1" t="s">
        <v>74</v>
      </c>
      <c r="L517" s="1" t="s">
        <v>74</v>
      </c>
      <c r="M517" s="1" t="s">
        <v>74</v>
      </c>
      <c r="N517" s="1" t="s">
        <v>74</v>
      </c>
      <c r="O517" s="1" t="s">
        <v>74</v>
      </c>
      <c r="P517" s="1" t="s">
        <v>74</v>
      </c>
      <c r="Q517" s="1" t="s">
        <v>74</v>
      </c>
      <c r="R517" s="1" t="s">
        <v>74</v>
      </c>
      <c r="S517" s="1" t="s">
        <v>74</v>
      </c>
      <c r="T517" s="1" t="s">
        <v>74</v>
      </c>
      <c r="U517" s="1" t="s">
        <v>74</v>
      </c>
      <c r="V517" s="1" t="s">
        <v>5203</v>
      </c>
      <c r="W517" s="1" t="s">
        <v>74</v>
      </c>
      <c r="X517" s="1" t="s">
        <v>74</v>
      </c>
      <c r="Y517" s="1" t="s">
        <v>74</v>
      </c>
      <c r="Z517" s="1" t="s">
        <v>74</v>
      </c>
      <c r="AA517" s="1" t="s">
        <v>2503</v>
      </c>
      <c r="AB517" s="1" t="s">
        <v>2504</v>
      </c>
      <c r="AC517" s="1" t="s">
        <v>74</v>
      </c>
      <c r="AD517" s="1" t="s">
        <v>74</v>
      </c>
      <c r="AE517" s="1" t="s">
        <v>74</v>
      </c>
      <c r="AF517" s="1" t="s">
        <v>74</v>
      </c>
      <c r="AG517" s="1" t="s">
        <v>74</v>
      </c>
      <c r="AH517" s="1" t="s">
        <v>74</v>
      </c>
      <c r="AI517" s="1" t="s">
        <v>74</v>
      </c>
      <c r="AJ517" s="1" t="s">
        <v>74</v>
      </c>
      <c r="AK517" s="1" t="s">
        <v>74</v>
      </c>
      <c r="AL517" s="1" t="s">
        <v>74</v>
      </c>
      <c r="AM517" s="1" t="s">
        <v>74</v>
      </c>
      <c r="AN517" s="1" t="s">
        <v>74</v>
      </c>
      <c r="AO517" s="1" t="s">
        <v>5204</v>
      </c>
      <c r="AP517" s="1" t="s">
        <v>74</v>
      </c>
      <c r="AQ517" s="1" t="s">
        <v>74</v>
      </c>
      <c r="AR517" s="1" t="s">
        <v>74</v>
      </c>
      <c r="AS517" s="1" t="s">
        <v>74</v>
      </c>
      <c r="AT517" s="1" t="s">
        <v>74</v>
      </c>
      <c r="AU517" s="1">
        <v>1998.0</v>
      </c>
      <c r="AV517" s="1">
        <v>31.0</v>
      </c>
      <c r="AW517" s="1">
        <v>2.0</v>
      </c>
      <c r="AX517" s="1" t="s">
        <v>74</v>
      </c>
      <c r="AY517" s="1" t="s">
        <v>74</v>
      </c>
      <c r="AZ517" s="1" t="s">
        <v>74</v>
      </c>
      <c r="BA517" s="1" t="s">
        <v>74</v>
      </c>
      <c r="BB517" s="1">
        <v>359.0</v>
      </c>
      <c r="BC517" s="1">
        <v>367.0</v>
      </c>
      <c r="BD517" s="1" t="s">
        <v>74</v>
      </c>
      <c r="BE517" s="1" t="s">
        <v>5205</v>
      </c>
      <c r="BF517" s="2" t="str">
        <f>HYPERLINK("http://dx.doi.org/10.1080/00387019808003260","http://dx.doi.org/10.1080/00387019808003260")</f>
        <v>http://dx.doi.org/10.1080/00387019808003260</v>
      </c>
      <c r="BG517" s="1" t="s">
        <v>74</v>
      </c>
      <c r="BH517" s="1" t="s">
        <v>74</v>
      </c>
      <c r="BI517" s="1" t="s">
        <v>74</v>
      </c>
      <c r="BJ517" s="1" t="s">
        <v>74</v>
      </c>
      <c r="BK517" s="1" t="s">
        <v>74</v>
      </c>
      <c r="BL517" s="1" t="s">
        <v>74</v>
      </c>
      <c r="BM517" s="1" t="s">
        <v>74</v>
      </c>
      <c r="BN517" s="1" t="s">
        <v>74</v>
      </c>
      <c r="BO517" s="1" t="s">
        <v>74</v>
      </c>
      <c r="BP517" s="1" t="s">
        <v>74</v>
      </c>
      <c r="BQ517" s="1" t="s">
        <v>74</v>
      </c>
      <c r="BR517" s="1" t="s">
        <v>74</v>
      </c>
      <c r="BS517" s="1" t="s">
        <v>5206</v>
      </c>
      <c r="BT517" s="1" t="str">
        <f>HYPERLINK("https%3A%2F%2Fwww.webofscience.com%2Fwos%2Fwoscc%2Ffull-record%2FWOS:000073062300010","View Full Record in Web of Science")</f>
        <v>View Full Record in Web of Science</v>
      </c>
    </row>
    <row r="518" ht="12.75" customHeight="1">
      <c r="A518" s="1" t="s">
        <v>72</v>
      </c>
      <c r="B518" s="1" t="s">
        <v>5207</v>
      </c>
      <c r="C518" s="1" t="s">
        <v>74</v>
      </c>
      <c r="D518" s="1" t="s">
        <v>74</v>
      </c>
      <c r="E518" s="1" t="s">
        <v>74</v>
      </c>
      <c r="F518" s="1" t="s">
        <v>5207</v>
      </c>
      <c r="G518" s="1" t="s">
        <v>74</v>
      </c>
      <c r="H518" s="1" t="s">
        <v>74</v>
      </c>
      <c r="I518" s="1" t="s">
        <v>5208</v>
      </c>
      <c r="J518" s="1" t="s">
        <v>1197</v>
      </c>
      <c r="K518" s="1" t="s">
        <v>74</v>
      </c>
      <c r="L518" s="1" t="s">
        <v>74</v>
      </c>
      <c r="M518" s="1" t="s">
        <v>74</v>
      </c>
      <c r="N518" s="1" t="s">
        <v>74</v>
      </c>
      <c r="O518" s="1" t="s">
        <v>74</v>
      </c>
      <c r="P518" s="1" t="s">
        <v>74</v>
      </c>
      <c r="Q518" s="1" t="s">
        <v>74</v>
      </c>
      <c r="R518" s="1" t="s">
        <v>74</v>
      </c>
      <c r="S518" s="1" t="s">
        <v>74</v>
      </c>
      <c r="T518" s="1" t="s">
        <v>74</v>
      </c>
      <c r="U518" s="1" t="s">
        <v>74</v>
      </c>
      <c r="V518" s="1" t="s">
        <v>5209</v>
      </c>
      <c r="W518" s="1" t="s">
        <v>74</v>
      </c>
      <c r="X518" s="1" t="s">
        <v>74</v>
      </c>
      <c r="Y518" s="1" t="s">
        <v>74</v>
      </c>
      <c r="Z518" s="1" t="s">
        <v>74</v>
      </c>
      <c r="AA518" s="1" t="s">
        <v>5210</v>
      </c>
      <c r="AB518" s="1" t="s">
        <v>5211</v>
      </c>
      <c r="AC518" s="1" t="s">
        <v>74</v>
      </c>
      <c r="AD518" s="1" t="s">
        <v>74</v>
      </c>
      <c r="AE518" s="1" t="s">
        <v>74</v>
      </c>
      <c r="AF518" s="1" t="s">
        <v>74</v>
      </c>
      <c r="AG518" s="1" t="s">
        <v>74</v>
      </c>
      <c r="AH518" s="1" t="s">
        <v>74</v>
      </c>
      <c r="AI518" s="1" t="s">
        <v>74</v>
      </c>
      <c r="AJ518" s="1" t="s">
        <v>74</v>
      </c>
      <c r="AK518" s="1" t="s">
        <v>74</v>
      </c>
      <c r="AL518" s="1" t="s">
        <v>74</v>
      </c>
      <c r="AM518" s="1" t="s">
        <v>74</v>
      </c>
      <c r="AN518" s="1" t="s">
        <v>74</v>
      </c>
      <c r="AO518" s="1" t="s">
        <v>1201</v>
      </c>
      <c r="AP518" s="1" t="s">
        <v>74</v>
      </c>
      <c r="AQ518" s="1" t="s">
        <v>74</v>
      </c>
      <c r="AR518" s="1" t="s">
        <v>74</v>
      </c>
      <c r="AS518" s="1" t="s">
        <v>74</v>
      </c>
      <c r="AT518" s="1" t="s">
        <v>180</v>
      </c>
      <c r="AU518" s="1">
        <v>1996.0</v>
      </c>
      <c r="AV518" s="1">
        <v>15.0</v>
      </c>
      <c r="AW518" s="1">
        <v>9.0</v>
      </c>
      <c r="AX518" s="1" t="s">
        <v>74</v>
      </c>
      <c r="AY518" s="1" t="s">
        <v>74</v>
      </c>
      <c r="AZ518" s="1" t="s">
        <v>74</v>
      </c>
      <c r="BA518" s="1" t="s">
        <v>74</v>
      </c>
      <c r="BB518" s="1">
        <v>1571.0</v>
      </c>
      <c r="BC518" s="1">
        <v>1573.0</v>
      </c>
      <c r="BD518" s="1" t="s">
        <v>74</v>
      </c>
      <c r="BE518" s="1" t="s">
        <v>5212</v>
      </c>
      <c r="BF518" s="2" t="str">
        <f>HYPERLINK("http://dx.doi.org/10.1016/0277-5387(95)00469-6","http://dx.doi.org/10.1016/0277-5387(95)00469-6")</f>
        <v>http://dx.doi.org/10.1016/0277-5387(95)00469-6</v>
      </c>
      <c r="BG518" s="1" t="s">
        <v>74</v>
      </c>
      <c r="BH518" s="1" t="s">
        <v>74</v>
      </c>
      <c r="BI518" s="1" t="s">
        <v>74</v>
      </c>
      <c r="BJ518" s="1" t="s">
        <v>74</v>
      </c>
      <c r="BK518" s="1" t="s">
        <v>74</v>
      </c>
      <c r="BL518" s="1" t="s">
        <v>74</v>
      </c>
      <c r="BM518" s="1" t="s">
        <v>74</v>
      </c>
      <c r="BN518" s="1" t="s">
        <v>74</v>
      </c>
      <c r="BO518" s="1" t="s">
        <v>74</v>
      </c>
      <c r="BP518" s="1" t="s">
        <v>74</v>
      </c>
      <c r="BQ518" s="1" t="s">
        <v>74</v>
      </c>
      <c r="BR518" s="1" t="s">
        <v>74</v>
      </c>
      <c r="BS518" s="1" t="s">
        <v>5213</v>
      </c>
      <c r="BT518" s="1" t="str">
        <f>HYPERLINK("https%3A%2F%2Fwww.webofscience.com%2Fwos%2Fwoscc%2Ffull-record%2FWOS:A1996TW49300025","View Full Record in Web of Science")</f>
        <v>View Full Record in Web of Science</v>
      </c>
    </row>
    <row r="519" ht="12.75" customHeight="1">
      <c r="A519" s="1" t="s">
        <v>72</v>
      </c>
      <c r="B519" s="1" t="s">
        <v>5214</v>
      </c>
      <c r="C519" s="1" t="s">
        <v>74</v>
      </c>
      <c r="D519" s="1" t="s">
        <v>74</v>
      </c>
      <c r="E519" s="1" t="s">
        <v>74</v>
      </c>
      <c r="F519" s="1" t="s">
        <v>5214</v>
      </c>
      <c r="G519" s="1" t="s">
        <v>74</v>
      </c>
      <c r="H519" s="1" t="s">
        <v>74</v>
      </c>
      <c r="I519" s="1" t="s">
        <v>5215</v>
      </c>
      <c r="J519" s="1" t="s">
        <v>5216</v>
      </c>
      <c r="K519" s="1" t="s">
        <v>74</v>
      </c>
      <c r="L519" s="1" t="s">
        <v>74</v>
      </c>
      <c r="M519" s="1" t="s">
        <v>74</v>
      </c>
      <c r="N519" s="1" t="s">
        <v>74</v>
      </c>
      <c r="O519" s="1" t="s">
        <v>74</v>
      </c>
      <c r="P519" s="1" t="s">
        <v>74</v>
      </c>
      <c r="Q519" s="1" t="s">
        <v>74</v>
      </c>
      <c r="R519" s="1" t="s">
        <v>74</v>
      </c>
      <c r="S519" s="1" t="s">
        <v>74</v>
      </c>
      <c r="T519" s="1" t="s">
        <v>74</v>
      </c>
      <c r="U519" s="1" t="s">
        <v>74</v>
      </c>
      <c r="V519" s="1" t="s">
        <v>74</v>
      </c>
      <c r="W519" s="1" t="s">
        <v>74</v>
      </c>
      <c r="X519" s="1" t="s">
        <v>74</v>
      </c>
      <c r="Y519" s="1" t="s">
        <v>74</v>
      </c>
      <c r="Z519" s="1" t="s">
        <v>74</v>
      </c>
      <c r="AA519" s="1" t="s">
        <v>74</v>
      </c>
      <c r="AB519" s="1" t="s">
        <v>74</v>
      </c>
      <c r="AC519" s="1" t="s">
        <v>74</v>
      </c>
      <c r="AD519" s="1" t="s">
        <v>74</v>
      </c>
      <c r="AE519" s="1" t="s">
        <v>74</v>
      </c>
      <c r="AF519" s="1" t="s">
        <v>74</v>
      </c>
      <c r="AG519" s="1" t="s">
        <v>74</v>
      </c>
      <c r="AH519" s="1" t="s">
        <v>74</v>
      </c>
      <c r="AI519" s="1" t="s">
        <v>74</v>
      </c>
      <c r="AJ519" s="1" t="s">
        <v>74</v>
      </c>
      <c r="AK519" s="1" t="s">
        <v>74</v>
      </c>
      <c r="AL519" s="1" t="s">
        <v>74</v>
      </c>
      <c r="AM519" s="1" t="s">
        <v>74</v>
      </c>
      <c r="AN519" s="1" t="s">
        <v>74</v>
      </c>
      <c r="AO519" s="1" t="s">
        <v>5217</v>
      </c>
      <c r="AP519" s="1" t="s">
        <v>74</v>
      </c>
      <c r="AQ519" s="1" t="s">
        <v>74</v>
      </c>
      <c r="AR519" s="1" t="s">
        <v>74</v>
      </c>
      <c r="AS519" s="1" t="s">
        <v>74</v>
      </c>
      <c r="AT519" s="1" t="s">
        <v>606</v>
      </c>
      <c r="AU519" s="1">
        <v>1989.0</v>
      </c>
      <c r="AV519" s="1">
        <v>27.0</v>
      </c>
      <c r="AW519" s="1">
        <v>11.0</v>
      </c>
      <c r="AX519" s="1" t="s">
        <v>74</v>
      </c>
      <c r="AY519" s="1" t="s">
        <v>74</v>
      </c>
      <c r="AZ519" s="1" t="s">
        <v>74</v>
      </c>
      <c r="BA519" s="1" t="s">
        <v>74</v>
      </c>
      <c r="BB519" s="1">
        <v>2337.0</v>
      </c>
      <c r="BC519" s="1">
        <v>2345.0</v>
      </c>
      <c r="BD519" s="1" t="s">
        <v>74</v>
      </c>
      <c r="BE519" s="1" t="s">
        <v>5218</v>
      </c>
      <c r="BF519" s="2" t="str">
        <f>HYPERLINK("http://dx.doi.org/10.1002/polb.1989.090271113","http://dx.doi.org/10.1002/polb.1989.090271113")</f>
        <v>http://dx.doi.org/10.1002/polb.1989.090271113</v>
      </c>
      <c r="BG519" s="1" t="s">
        <v>74</v>
      </c>
      <c r="BH519" s="1" t="s">
        <v>74</v>
      </c>
      <c r="BI519" s="1" t="s">
        <v>74</v>
      </c>
      <c r="BJ519" s="1" t="s">
        <v>74</v>
      </c>
      <c r="BK519" s="1" t="s">
        <v>74</v>
      </c>
      <c r="BL519" s="1" t="s">
        <v>74</v>
      </c>
      <c r="BM519" s="1" t="s">
        <v>74</v>
      </c>
      <c r="BN519" s="1" t="s">
        <v>74</v>
      </c>
      <c r="BO519" s="1" t="s">
        <v>74</v>
      </c>
      <c r="BP519" s="1" t="s">
        <v>74</v>
      </c>
      <c r="BQ519" s="1" t="s">
        <v>74</v>
      </c>
      <c r="BR519" s="1" t="s">
        <v>74</v>
      </c>
      <c r="BS519" s="1" t="s">
        <v>5219</v>
      </c>
      <c r="BT519" s="1" t="str">
        <f>HYPERLINK("https%3A%2F%2Fwww.webofscience.com%2Fwos%2Fwoscc%2Ffull-record%2FWOS:A1989AU07800013","View Full Record in Web of Science")</f>
        <v>View Full Record in Web of Science</v>
      </c>
    </row>
    <row r="520" ht="12.75" customHeight="1">
      <c r="A520" s="1" t="s">
        <v>72</v>
      </c>
      <c r="B520" s="1" t="s">
        <v>5220</v>
      </c>
      <c r="C520" s="1" t="s">
        <v>74</v>
      </c>
      <c r="D520" s="1" t="s">
        <v>74</v>
      </c>
      <c r="E520" s="1" t="s">
        <v>74</v>
      </c>
      <c r="F520" s="1" t="s">
        <v>5221</v>
      </c>
      <c r="G520" s="1" t="s">
        <v>74</v>
      </c>
      <c r="H520" s="1" t="s">
        <v>74</v>
      </c>
      <c r="I520" s="1" t="s">
        <v>5222</v>
      </c>
      <c r="J520" s="1" t="s">
        <v>4284</v>
      </c>
      <c r="K520" s="1" t="s">
        <v>74</v>
      </c>
      <c r="L520" s="1" t="s">
        <v>74</v>
      </c>
      <c r="M520" s="1" t="s">
        <v>74</v>
      </c>
      <c r="N520" s="1" t="s">
        <v>74</v>
      </c>
      <c r="O520" s="1" t="s">
        <v>74</v>
      </c>
      <c r="P520" s="1" t="s">
        <v>74</v>
      </c>
      <c r="Q520" s="1" t="s">
        <v>74</v>
      </c>
      <c r="R520" s="1" t="s">
        <v>74</v>
      </c>
      <c r="S520" s="1" t="s">
        <v>74</v>
      </c>
      <c r="T520" s="1" t="s">
        <v>74</v>
      </c>
      <c r="U520" s="1" t="s">
        <v>74</v>
      </c>
      <c r="V520" s="1" t="s">
        <v>5223</v>
      </c>
      <c r="W520" s="1" t="s">
        <v>74</v>
      </c>
      <c r="X520" s="1" t="s">
        <v>74</v>
      </c>
      <c r="Y520" s="1" t="s">
        <v>74</v>
      </c>
      <c r="Z520" s="1" t="s">
        <v>74</v>
      </c>
      <c r="AA520" s="1" t="s">
        <v>5224</v>
      </c>
      <c r="AB520" s="1" t="s">
        <v>74</v>
      </c>
      <c r="AC520" s="1" t="s">
        <v>74</v>
      </c>
      <c r="AD520" s="1" t="s">
        <v>74</v>
      </c>
      <c r="AE520" s="1" t="s">
        <v>74</v>
      </c>
      <c r="AF520" s="1" t="s">
        <v>74</v>
      </c>
      <c r="AG520" s="1" t="s">
        <v>74</v>
      </c>
      <c r="AH520" s="1" t="s">
        <v>74</v>
      </c>
      <c r="AI520" s="1" t="s">
        <v>74</v>
      </c>
      <c r="AJ520" s="1" t="s">
        <v>74</v>
      </c>
      <c r="AK520" s="1" t="s">
        <v>74</v>
      </c>
      <c r="AL520" s="1" t="s">
        <v>74</v>
      </c>
      <c r="AM520" s="1" t="s">
        <v>74</v>
      </c>
      <c r="AN520" s="1" t="s">
        <v>74</v>
      </c>
      <c r="AO520" s="1" t="s">
        <v>74</v>
      </c>
      <c r="AP520" s="1" t="s">
        <v>4287</v>
      </c>
      <c r="AQ520" s="1" t="s">
        <v>74</v>
      </c>
      <c r="AR520" s="1" t="s">
        <v>74</v>
      </c>
      <c r="AS520" s="1" t="s">
        <v>74</v>
      </c>
      <c r="AT520" s="1" t="s">
        <v>5225</v>
      </c>
      <c r="AU520" s="1">
        <v>2025.0</v>
      </c>
      <c r="AV520" s="1">
        <v>16.0</v>
      </c>
      <c r="AW520" s="1" t="s">
        <v>74</v>
      </c>
      <c r="AX520" s="1" t="s">
        <v>74</v>
      </c>
      <c r="AY520" s="1" t="s">
        <v>74</v>
      </c>
      <c r="AZ520" s="1" t="s">
        <v>74</v>
      </c>
      <c r="BA520" s="1" t="s">
        <v>74</v>
      </c>
      <c r="BB520" s="1" t="s">
        <v>74</v>
      </c>
      <c r="BC520" s="1" t="s">
        <v>74</v>
      </c>
      <c r="BD520" s="1">
        <v>1547187.0</v>
      </c>
      <c r="BE520" s="1" t="s">
        <v>5226</v>
      </c>
      <c r="BF520" s="2" t="str">
        <f>HYPERLINK("http://dx.doi.org/10.3389/fphar.2025.1547187","http://dx.doi.org/10.3389/fphar.2025.1547187")</f>
        <v>http://dx.doi.org/10.3389/fphar.2025.1547187</v>
      </c>
      <c r="BG520" s="1" t="s">
        <v>74</v>
      </c>
      <c r="BH520" s="1" t="s">
        <v>74</v>
      </c>
      <c r="BI520" s="1" t="s">
        <v>74</v>
      </c>
      <c r="BJ520" s="1" t="s">
        <v>74</v>
      </c>
      <c r="BK520" s="1" t="s">
        <v>74</v>
      </c>
      <c r="BL520" s="1" t="s">
        <v>74</v>
      </c>
      <c r="BM520" s="1" t="s">
        <v>74</v>
      </c>
      <c r="BN520" s="1">
        <v>4.0196371E7</v>
      </c>
      <c r="BO520" s="1" t="s">
        <v>74</v>
      </c>
      <c r="BP520" s="1" t="s">
        <v>74</v>
      </c>
      <c r="BQ520" s="1" t="s">
        <v>74</v>
      </c>
      <c r="BR520" s="1" t="s">
        <v>74</v>
      </c>
      <c r="BS520" s="1" t="s">
        <v>5227</v>
      </c>
      <c r="BT520" s="1" t="str">
        <f>HYPERLINK("https%3A%2F%2Fwww.webofscience.com%2Fwos%2Fwoscc%2Ffull-record%2FWOS:001460093700001","View Full Record in Web of Science")</f>
        <v>View Full Record in Web of Science</v>
      </c>
    </row>
    <row r="521" ht="12.75" customHeight="1">
      <c r="A521" s="1" t="s">
        <v>72</v>
      </c>
      <c r="B521" s="1" t="s">
        <v>5228</v>
      </c>
      <c r="C521" s="1" t="s">
        <v>74</v>
      </c>
      <c r="D521" s="1" t="s">
        <v>74</v>
      </c>
      <c r="E521" s="1" t="s">
        <v>74</v>
      </c>
      <c r="F521" s="1" t="s">
        <v>5229</v>
      </c>
      <c r="G521" s="1" t="s">
        <v>74</v>
      </c>
      <c r="H521" s="1" t="s">
        <v>74</v>
      </c>
      <c r="I521" s="1" t="s">
        <v>5230</v>
      </c>
      <c r="J521" s="1" t="s">
        <v>5231</v>
      </c>
      <c r="K521" s="1" t="s">
        <v>74</v>
      </c>
      <c r="L521" s="1" t="s">
        <v>74</v>
      </c>
      <c r="M521" s="1" t="s">
        <v>74</v>
      </c>
      <c r="N521" s="1" t="s">
        <v>74</v>
      </c>
      <c r="O521" s="1" t="s">
        <v>74</v>
      </c>
      <c r="P521" s="1" t="s">
        <v>74</v>
      </c>
      <c r="Q521" s="1" t="s">
        <v>74</v>
      </c>
      <c r="R521" s="1" t="s">
        <v>74</v>
      </c>
      <c r="S521" s="1" t="s">
        <v>74</v>
      </c>
      <c r="T521" s="1" t="s">
        <v>74</v>
      </c>
      <c r="U521" s="1" t="s">
        <v>74</v>
      </c>
      <c r="V521" s="1" t="s">
        <v>5232</v>
      </c>
      <c r="W521" s="1" t="s">
        <v>74</v>
      </c>
      <c r="X521" s="1" t="s">
        <v>74</v>
      </c>
      <c r="Y521" s="1" t="s">
        <v>74</v>
      </c>
      <c r="Z521" s="1" t="s">
        <v>74</v>
      </c>
      <c r="AA521" s="1" t="s">
        <v>74</v>
      </c>
      <c r="AB521" s="1" t="s">
        <v>74</v>
      </c>
      <c r="AC521" s="1" t="s">
        <v>74</v>
      </c>
      <c r="AD521" s="1" t="s">
        <v>74</v>
      </c>
      <c r="AE521" s="1" t="s">
        <v>74</v>
      </c>
      <c r="AF521" s="1" t="s">
        <v>74</v>
      </c>
      <c r="AG521" s="1" t="s">
        <v>74</v>
      </c>
      <c r="AH521" s="1" t="s">
        <v>74</v>
      </c>
      <c r="AI521" s="1" t="s">
        <v>74</v>
      </c>
      <c r="AJ521" s="1" t="s">
        <v>74</v>
      </c>
      <c r="AK521" s="1" t="s">
        <v>74</v>
      </c>
      <c r="AL521" s="1" t="s">
        <v>74</v>
      </c>
      <c r="AM521" s="1" t="s">
        <v>74</v>
      </c>
      <c r="AN521" s="1" t="s">
        <v>74</v>
      </c>
      <c r="AO521" s="1" t="s">
        <v>5233</v>
      </c>
      <c r="AP521" s="1" t="s">
        <v>5234</v>
      </c>
      <c r="AQ521" s="1" t="s">
        <v>74</v>
      </c>
      <c r="AR521" s="1" t="s">
        <v>74</v>
      </c>
      <c r="AS521" s="1" t="s">
        <v>74</v>
      </c>
      <c r="AT521" s="1" t="s">
        <v>5235</v>
      </c>
      <c r="AU521" s="1">
        <v>2025.0</v>
      </c>
      <c r="AV521" s="1">
        <v>99.0</v>
      </c>
      <c r="AW521" s="1" t="s">
        <v>74</v>
      </c>
      <c r="AX521" s="1" t="s">
        <v>74</v>
      </c>
      <c r="AY521" s="1" t="s">
        <v>74</v>
      </c>
      <c r="AZ521" s="1" t="s">
        <v>74</v>
      </c>
      <c r="BA521" s="1" t="s">
        <v>74</v>
      </c>
      <c r="BB521" s="1" t="s">
        <v>74</v>
      </c>
      <c r="BC521" s="1" t="s">
        <v>74</v>
      </c>
      <c r="BD521" s="1" t="s">
        <v>5236</v>
      </c>
      <c r="BE521" s="1" t="s">
        <v>5237</v>
      </c>
      <c r="BF521" s="2" t="str">
        <f>HYPERLINK("http://dx.doi.org/10.1017/S0022149X2500015X","http://dx.doi.org/10.1017/S0022149X2500015X")</f>
        <v>http://dx.doi.org/10.1017/S0022149X2500015X</v>
      </c>
      <c r="BG521" s="1" t="s">
        <v>74</v>
      </c>
      <c r="BH521" s="1" t="s">
        <v>74</v>
      </c>
      <c r="BI521" s="1" t="s">
        <v>74</v>
      </c>
      <c r="BJ521" s="1" t="s">
        <v>74</v>
      </c>
      <c r="BK521" s="1" t="s">
        <v>74</v>
      </c>
      <c r="BL521" s="1" t="s">
        <v>74</v>
      </c>
      <c r="BM521" s="1" t="s">
        <v>74</v>
      </c>
      <c r="BN521" s="1">
        <v>4.0000403E7</v>
      </c>
      <c r="BO521" s="1" t="s">
        <v>74</v>
      </c>
      <c r="BP521" s="1" t="s">
        <v>74</v>
      </c>
      <c r="BQ521" s="1" t="s">
        <v>74</v>
      </c>
      <c r="BR521" s="1" t="s">
        <v>74</v>
      </c>
      <c r="BS521" s="1" t="s">
        <v>5238</v>
      </c>
      <c r="BT521" s="1" t="str">
        <f>HYPERLINK("https%3A%2F%2Fwww.webofscience.com%2Fwos%2Fwoscc%2Ffull-record%2FWOS:001435727200001","View Full Record in Web of Science")</f>
        <v>View Full Record in Web of Science</v>
      </c>
    </row>
    <row r="522" ht="12.75" customHeight="1">
      <c r="A522" s="1" t="s">
        <v>72</v>
      </c>
      <c r="B522" s="1" t="s">
        <v>5239</v>
      </c>
      <c r="C522" s="1" t="s">
        <v>74</v>
      </c>
      <c r="D522" s="1" t="s">
        <v>74</v>
      </c>
      <c r="E522" s="1" t="s">
        <v>74</v>
      </c>
      <c r="F522" s="1" t="s">
        <v>5240</v>
      </c>
      <c r="G522" s="1" t="s">
        <v>74</v>
      </c>
      <c r="H522" s="1" t="s">
        <v>74</v>
      </c>
      <c r="I522" s="1" t="s">
        <v>5241</v>
      </c>
      <c r="J522" s="1" t="s">
        <v>1862</v>
      </c>
      <c r="K522" s="1" t="s">
        <v>74</v>
      </c>
      <c r="L522" s="1" t="s">
        <v>74</v>
      </c>
      <c r="M522" s="1" t="s">
        <v>74</v>
      </c>
      <c r="N522" s="1" t="s">
        <v>74</v>
      </c>
      <c r="O522" s="1" t="s">
        <v>74</v>
      </c>
      <c r="P522" s="1" t="s">
        <v>74</v>
      </c>
      <c r="Q522" s="1" t="s">
        <v>74</v>
      </c>
      <c r="R522" s="1" t="s">
        <v>74</v>
      </c>
      <c r="S522" s="1" t="s">
        <v>74</v>
      </c>
      <c r="T522" s="1" t="s">
        <v>74</v>
      </c>
      <c r="U522" s="1" t="s">
        <v>74</v>
      </c>
      <c r="V522" s="1" t="s">
        <v>5242</v>
      </c>
      <c r="W522" s="1" t="s">
        <v>74</v>
      </c>
      <c r="X522" s="1" t="s">
        <v>74</v>
      </c>
      <c r="Y522" s="1" t="s">
        <v>74</v>
      </c>
      <c r="Z522" s="1" t="s">
        <v>74</v>
      </c>
      <c r="AA522" s="1" t="s">
        <v>5243</v>
      </c>
      <c r="AB522" s="1" t="s">
        <v>5244</v>
      </c>
      <c r="AC522" s="1" t="s">
        <v>74</v>
      </c>
      <c r="AD522" s="1" t="s">
        <v>74</v>
      </c>
      <c r="AE522" s="1" t="s">
        <v>74</v>
      </c>
      <c r="AF522" s="1" t="s">
        <v>74</v>
      </c>
      <c r="AG522" s="1" t="s">
        <v>74</v>
      </c>
      <c r="AH522" s="1" t="s">
        <v>74</v>
      </c>
      <c r="AI522" s="1" t="s">
        <v>74</v>
      </c>
      <c r="AJ522" s="1" t="s">
        <v>74</v>
      </c>
      <c r="AK522" s="1" t="s">
        <v>74</v>
      </c>
      <c r="AL522" s="1" t="s">
        <v>74</v>
      </c>
      <c r="AM522" s="1" t="s">
        <v>74</v>
      </c>
      <c r="AN522" s="1" t="s">
        <v>74</v>
      </c>
      <c r="AO522" s="1" t="s">
        <v>1866</v>
      </c>
      <c r="AP522" s="1" t="s">
        <v>74</v>
      </c>
      <c r="AQ522" s="1" t="s">
        <v>74</v>
      </c>
      <c r="AR522" s="1" t="s">
        <v>74</v>
      </c>
      <c r="AS522" s="1" t="s">
        <v>74</v>
      </c>
      <c r="AT522" s="1" t="s">
        <v>652</v>
      </c>
      <c r="AU522" s="1">
        <v>2024.0</v>
      </c>
      <c r="AV522" s="1">
        <v>40.0</v>
      </c>
      <c r="AW522" s="1" t="s">
        <v>74</v>
      </c>
      <c r="AX522" s="1" t="s">
        <v>74</v>
      </c>
      <c r="AY522" s="1" t="s">
        <v>74</v>
      </c>
      <c r="AZ522" s="1" t="s">
        <v>74</v>
      </c>
      <c r="BA522" s="1" t="s">
        <v>74</v>
      </c>
      <c r="BB522" s="1" t="s">
        <v>74</v>
      </c>
      <c r="BC522" s="1" t="s">
        <v>74</v>
      </c>
      <c r="BD522" s="1">
        <v>101538.0</v>
      </c>
      <c r="BE522" s="1" t="s">
        <v>5245</v>
      </c>
      <c r="BF522" s="2" t="str">
        <f>HYPERLINK("http://dx.doi.org/10.1016/j.segan.2024.101538","http://dx.doi.org/10.1016/j.segan.2024.101538")</f>
        <v>http://dx.doi.org/10.1016/j.segan.2024.101538</v>
      </c>
      <c r="BG522" s="1" t="s">
        <v>74</v>
      </c>
      <c r="BH522" s="1" t="s">
        <v>4874</v>
      </c>
      <c r="BI522" s="1" t="s">
        <v>74</v>
      </c>
      <c r="BJ522" s="1" t="s">
        <v>74</v>
      </c>
      <c r="BK522" s="1" t="s">
        <v>74</v>
      </c>
      <c r="BL522" s="1" t="s">
        <v>74</v>
      </c>
      <c r="BM522" s="1" t="s">
        <v>74</v>
      </c>
      <c r="BN522" s="1" t="s">
        <v>74</v>
      </c>
      <c r="BO522" s="1" t="s">
        <v>74</v>
      </c>
      <c r="BP522" s="1" t="s">
        <v>74</v>
      </c>
      <c r="BQ522" s="1" t="s">
        <v>74</v>
      </c>
      <c r="BR522" s="1" t="s">
        <v>74</v>
      </c>
      <c r="BS522" s="1" t="s">
        <v>5246</v>
      </c>
      <c r="BT522" s="1" t="str">
        <f>HYPERLINK("https%3A%2F%2Fwww.webofscience.com%2Fwos%2Fwoscc%2Ffull-record%2FWOS:001343489600001","View Full Record in Web of Science")</f>
        <v>View Full Record in Web of Science</v>
      </c>
    </row>
    <row r="523" ht="12.75" customHeight="1">
      <c r="A523" s="1" t="s">
        <v>72</v>
      </c>
      <c r="B523" s="1" t="s">
        <v>5247</v>
      </c>
      <c r="C523" s="1" t="s">
        <v>74</v>
      </c>
      <c r="D523" s="1" t="s">
        <v>74</v>
      </c>
      <c r="E523" s="1" t="s">
        <v>74</v>
      </c>
      <c r="F523" s="1" t="s">
        <v>5248</v>
      </c>
      <c r="G523" s="1" t="s">
        <v>74</v>
      </c>
      <c r="H523" s="1" t="s">
        <v>74</v>
      </c>
      <c r="I523" s="1" t="s">
        <v>5249</v>
      </c>
      <c r="J523" s="1" t="s">
        <v>1325</v>
      </c>
      <c r="K523" s="1" t="s">
        <v>74</v>
      </c>
      <c r="L523" s="1" t="s">
        <v>74</v>
      </c>
      <c r="M523" s="1" t="s">
        <v>74</v>
      </c>
      <c r="N523" s="1" t="s">
        <v>74</v>
      </c>
      <c r="O523" s="1" t="s">
        <v>74</v>
      </c>
      <c r="P523" s="1" t="s">
        <v>74</v>
      </c>
      <c r="Q523" s="1" t="s">
        <v>74</v>
      </c>
      <c r="R523" s="1" t="s">
        <v>74</v>
      </c>
      <c r="S523" s="1" t="s">
        <v>74</v>
      </c>
      <c r="T523" s="1" t="s">
        <v>74</v>
      </c>
      <c r="U523" s="1" t="s">
        <v>74</v>
      </c>
      <c r="V523" s="1" t="s">
        <v>5250</v>
      </c>
      <c r="W523" s="1" t="s">
        <v>74</v>
      </c>
      <c r="X523" s="1" t="s">
        <v>74</v>
      </c>
      <c r="Y523" s="1" t="s">
        <v>74</v>
      </c>
      <c r="Z523" s="1" t="s">
        <v>74</v>
      </c>
      <c r="AA523" s="1" t="s">
        <v>5251</v>
      </c>
      <c r="AB523" s="1" t="s">
        <v>5252</v>
      </c>
      <c r="AC523" s="1" t="s">
        <v>74</v>
      </c>
      <c r="AD523" s="1" t="s">
        <v>74</v>
      </c>
      <c r="AE523" s="1" t="s">
        <v>74</v>
      </c>
      <c r="AF523" s="1" t="s">
        <v>74</v>
      </c>
      <c r="AG523" s="1" t="s">
        <v>74</v>
      </c>
      <c r="AH523" s="1" t="s">
        <v>74</v>
      </c>
      <c r="AI523" s="1" t="s">
        <v>74</v>
      </c>
      <c r="AJ523" s="1" t="s">
        <v>74</v>
      </c>
      <c r="AK523" s="1" t="s">
        <v>74</v>
      </c>
      <c r="AL523" s="1" t="s">
        <v>74</v>
      </c>
      <c r="AM523" s="1" t="s">
        <v>74</v>
      </c>
      <c r="AN523" s="1" t="s">
        <v>74</v>
      </c>
      <c r="AO523" s="1" t="s">
        <v>1329</v>
      </c>
      <c r="AP523" s="1" t="s">
        <v>1330</v>
      </c>
      <c r="AQ523" s="1" t="s">
        <v>74</v>
      </c>
      <c r="AR523" s="1" t="s">
        <v>74</v>
      </c>
      <c r="AS523" s="1" t="s">
        <v>74</v>
      </c>
      <c r="AT523" s="1" t="s">
        <v>257</v>
      </c>
      <c r="AU523" s="1">
        <v>2024.0</v>
      </c>
      <c r="AV523" s="1">
        <v>25.0</v>
      </c>
      <c r="AW523" s="1">
        <v>5.0</v>
      </c>
      <c r="AX523" s="1" t="s">
        <v>74</v>
      </c>
      <c r="AY523" s="1" t="s">
        <v>74</v>
      </c>
      <c r="AZ523" s="1" t="s">
        <v>74</v>
      </c>
      <c r="BA523" s="1" t="s">
        <v>74</v>
      </c>
      <c r="BB523" s="1" t="s">
        <v>74</v>
      </c>
      <c r="BC523" s="1" t="s">
        <v>74</v>
      </c>
      <c r="BD523" s="1">
        <v>2495.0</v>
      </c>
      <c r="BE523" s="1" t="s">
        <v>5253</v>
      </c>
      <c r="BF523" s="2" t="str">
        <f>HYPERLINK("http://dx.doi.org/10.3390/ijms25052495","http://dx.doi.org/10.3390/ijms25052495")</f>
        <v>http://dx.doi.org/10.3390/ijms25052495</v>
      </c>
      <c r="BG523" s="1" t="s">
        <v>74</v>
      </c>
      <c r="BH523" s="1" t="s">
        <v>74</v>
      </c>
      <c r="BI523" s="1" t="s">
        <v>74</v>
      </c>
      <c r="BJ523" s="1" t="s">
        <v>74</v>
      </c>
      <c r="BK523" s="1" t="s">
        <v>74</v>
      </c>
      <c r="BL523" s="1" t="s">
        <v>74</v>
      </c>
      <c r="BM523" s="1" t="s">
        <v>74</v>
      </c>
      <c r="BN523" s="1">
        <v>3.8473744E7</v>
      </c>
      <c r="BO523" s="1" t="s">
        <v>74</v>
      </c>
      <c r="BP523" s="1" t="s">
        <v>74</v>
      </c>
      <c r="BQ523" s="1" t="s">
        <v>74</v>
      </c>
      <c r="BR523" s="1" t="s">
        <v>74</v>
      </c>
      <c r="BS523" s="1" t="s">
        <v>5254</v>
      </c>
      <c r="BT523" s="1" t="str">
        <f>HYPERLINK("https%3A%2F%2Fwww.webofscience.com%2Fwos%2Fwoscc%2Ffull-record%2FWOS:001182785900001","View Full Record in Web of Science")</f>
        <v>View Full Record in Web of Science</v>
      </c>
    </row>
    <row r="524" ht="12.75" customHeight="1">
      <c r="A524" s="1" t="s">
        <v>72</v>
      </c>
      <c r="B524" s="1" t="s">
        <v>5255</v>
      </c>
      <c r="C524" s="1" t="s">
        <v>74</v>
      </c>
      <c r="D524" s="1" t="s">
        <v>74</v>
      </c>
      <c r="E524" s="1" t="s">
        <v>74</v>
      </c>
      <c r="F524" s="1" t="s">
        <v>5256</v>
      </c>
      <c r="G524" s="1" t="s">
        <v>74</v>
      </c>
      <c r="H524" s="1" t="s">
        <v>74</v>
      </c>
      <c r="I524" s="1" t="s">
        <v>5257</v>
      </c>
      <c r="J524" s="1" t="s">
        <v>5258</v>
      </c>
      <c r="K524" s="1" t="s">
        <v>74</v>
      </c>
      <c r="L524" s="1" t="s">
        <v>74</v>
      </c>
      <c r="M524" s="1" t="s">
        <v>74</v>
      </c>
      <c r="N524" s="1" t="s">
        <v>74</v>
      </c>
      <c r="O524" s="1" t="s">
        <v>74</v>
      </c>
      <c r="P524" s="1" t="s">
        <v>74</v>
      </c>
      <c r="Q524" s="1" t="s">
        <v>74</v>
      </c>
      <c r="R524" s="1" t="s">
        <v>74</v>
      </c>
      <c r="S524" s="1" t="s">
        <v>74</v>
      </c>
      <c r="T524" s="1" t="s">
        <v>74</v>
      </c>
      <c r="U524" s="1" t="s">
        <v>74</v>
      </c>
      <c r="V524" s="1" t="s">
        <v>5259</v>
      </c>
      <c r="W524" s="1" t="s">
        <v>74</v>
      </c>
      <c r="X524" s="1" t="s">
        <v>74</v>
      </c>
      <c r="Y524" s="1" t="s">
        <v>74</v>
      </c>
      <c r="Z524" s="1" t="s">
        <v>74</v>
      </c>
      <c r="AA524" s="1" t="s">
        <v>5260</v>
      </c>
      <c r="AB524" s="1" t="s">
        <v>5261</v>
      </c>
      <c r="AC524" s="1" t="s">
        <v>74</v>
      </c>
      <c r="AD524" s="1" t="s">
        <v>74</v>
      </c>
      <c r="AE524" s="1" t="s">
        <v>74</v>
      </c>
      <c r="AF524" s="1" t="s">
        <v>74</v>
      </c>
      <c r="AG524" s="1" t="s">
        <v>74</v>
      </c>
      <c r="AH524" s="1" t="s">
        <v>74</v>
      </c>
      <c r="AI524" s="1" t="s">
        <v>74</v>
      </c>
      <c r="AJ524" s="1" t="s">
        <v>74</v>
      </c>
      <c r="AK524" s="1" t="s">
        <v>74</v>
      </c>
      <c r="AL524" s="1" t="s">
        <v>74</v>
      </c>
      <c r="AM524" s="1" t="s">
        <v>74</v>
      </c>
      <c r="AN524" s="1" t="s">
        <v>74</v>
      </c>
      <c r="AO524" s="1" t="s">
        <v>74</v>
      </c>
      <c r="AP524" s="1" t="s">
        <v>5262</v>
      </c>
      <c r="AQ524" s="1" t="s">
        <v>74</v>
      </c>
      <c r="AR524" s="1" t="s">
        <v>74</v>
      </c>
      <c r="AS524" s="1" t="s">
        <v>74</v>
      </c>
      <c r="AT524" s="1" t="s">
        <v>696</v>
      </c>
      <c r="AU524" s="1">
        <v>2024.0</v>
      </c>
      <c r="AV524" s="1">
        <v>15.0</v>
      </c>
      <c r="AW524" s="1">
        <v>1.0</v>
      </c>
      <c r="AX524" s="1" t="s">
        <v>74</v>
      </c>
      <c r="AY524" s="1" t="s">
        <v>74</v>
      </c>
      <c r="AZ524" s="1" t="s">
        <v>74</v>
      </c>
      <c r="BA524" s="1" t="s">
        <v>74</v>
      </c>
      <c r="BB524" s="1" t="s">
        <v>74</v>
      </c>
      <c r="BC524" s="1" t="s">
        <v>74</v>
      </c>
      <c r="BD524" s="1">
        <v>201.0</v>
      </c>
      <c r="BE524" s="1" t="s">
        <v>5263</v>
      </c>
      <c r="BF524" s="2" t="str">
        <f>HYPERLINK("http://dx.doi.org/10.3390/f15010201","http://dx.doi.org/10.3390/f15010201")</f>
        <v>http://dx.doi.org/10.3390/f15010201</v>
      </c>
      <c r="BG524" s="1" t="s">
        <v>74</v>
      </c>
      <c r="BH524" s="1" t="s">
        <v>74</v>
      </c>
      <c r="BI524" s="1" t="s">
        <v>74</v>
      </c>
      <c r="BJ524" s="1" t="s">
        <v>74</v>
      </c>
      <c r="BK524" s="1" t="s">
        <v>74</v>
      </c>
      <c r="BL524" s="1" t="s">
        <v>74</v>
      </c>
      <c r="BM524" s="1" t="s">
        <v>74</v>
      </c>
      <c r="BN524" s="1" t="s">
        <v>74</v>
      </c>
      <c r="BO524" s="1" t="s">
        <v>74</v>
      </c>
      <c r="BP524" s="1" t="s">
        <v>74</v>
      </c>
      <c r="BQ524" s="1" t="s">
        <v>74</v>
      </c>
      <c r="BR524" s="1" t="s">
        <v>74</v>
      </c>
      <c r="BS524" s="1" t="s">
        <v>5264</v>
      </c>
      <c r="BT524" s="1" t="str">
        <f>HYPERLINK("https%3A%2F%2Fwww.webofscience.com%2Fwos%2Fwoscc%2Ffull-record%2FWOS:001148893300001","View Full Record in Web of Science")</f>
        <v>View Full Record in Web of Science</v>
      </c>
    </row>
    <row r="525" ht="12.75" customHeight="1">
      <c r="A525" s="1" t="s">
        <v>182</v>
      </c>
      <c r="B525" s="1" t="s">
        <v>5265</v>
      </c>
      <c r="C525" s="1" t="s">
        <v>74</v>
      </c>
      <c r="D525" s="1" t="s">
        <v>74</v>
      </c>
      <c r="E525" s="1" t="s">
        <v>74</v>
      </c>
      <c r="F525" s="1" t="s">
        <v>5266</v>
      </c>
      <c r="G525" s="1" t="s">
        <v>74</v>
      </c>
      <c r="H525" s="1" t="s">
        <v>74</v>
      </c>
      <c r="I525" s="1" t="s">
        <v>5267</v>
      </c>
      <c r="J525" s="1" t="s">
        <v>5268</v>
      </c>
      <c r="K525" s="1" t="s">
        <v>74</v>
      </c>
      <c r="L525" s="1" t="s">
        <v>74</v>
      </c>
      <c r="M525" s="1" t="s">
        <v>74</v>
      </c>
      <c r="N525" s="1" t="s">
        <v>74</v>
      </c>
      <c r="O525" s="1" t="s">
        <v>5269</v>
      </c>
      <c r="P525" s="1" t="s">
        <v>5270</v>
      </c>
      <c r="Q525" s="1" t="s">
        <v>5271</v>
      </c>
      <c r="R525" s="1" t="s">
        <v>74</v>
      </c>
      <c r="S525" s="1" t="s">
        <v>74</v>
      </c>
      <c r="T525" s="1" t="s">
        <v>74</v>
      </c>
      <c r="U525" s="1" t="s">
        <v>74</v>
      </c>
      <c r="V525" s="1" t="s">
        <v>5272</v>
      </c>
      <c r="W525" s="1" t="s">
        <v>74</v>
      </c>
      <c r="X525" s="1" t="s">
        <v>74</v>
      </c>
      <c r="Y525" s="1" t="s">
        <v>74</v>
      </c>
      <c r="Z525" s="1" t="s">
        <v>74</v>
      </c>
      <c r="AA525" s="1" t="s">
        <v>5273</v>
      </c>
      <c r="AB525" s="1" t="s">
        <v>5274</v>
      </c>
      <c r="AC525" s="1" t="s">
        <v>74</v>
      </c>
      <c r="AD525" s="1" t="s">
        <v>74</v>
      </c>
      <c r="AE525" s="1" t="s">
        <v>74</v>
      </c>
      <c r="AF525" s="1" t="s">
        <v>74</v>
      </c>
      <c r="AG525" s="1" t="s">
        <v>74</v>
      </c>
      <c r="AH525" s="1" t="s">
        <v>74</v>
      </c>
      <c r="AI525" s="1" t="s">
        <v>74</v>
      </c>
      <c r="AJ525" s="1" t="s">
        <v>74</v>
      </c>
      <c r="AK525" s="1" t="s">
        <v>74</v>
      </c>
      <c r="AL525" s="1" t="s">
        <v>74</v>
      </c>
      <c r="AM525" s="1" t="s">
        <v>74</v>
      </c>
      <c r="AN525" s="1" t="s">
        <v>74</v>
      </c>
      <c r="AO525" s="1" t="s">
        <v>5275</v>
      </c>
      <c r="AP525" s="1" t="s">
        <v>74</v>
      </c>
      <c r="AQ525" s="1" t="s">
        <v>74</v>
      </c>
      <c r="AR525" s="1" t="s">
        <v>74</v>
      </c>
      <c r="AS525" s="1" t="s">
        <v>74</v>
      </c>
      <c r="AT525" s="1" t="s">
        <v>74</v>
      </c>
      <c r="AU525" s="1">
        <v>2023.0</v>
      </c>
      <c r="AV525" s="1">
        <v>56.0</v>
      </c>
      <c r="AW525" s="1">
        <v>2.0</v>
      </c>
      <c r="AX525" s="1" t="s">
        <v>74</v>
      </c>
      <c r="AY525" s="1" t="s">
        <v>74</v>
      </c>
      <c r="AZ525" s="1" t="s">
        <v>74</v>
      </c>
      <c r="BA525" s="1" t="s">
        <v>74</v>
      </c>
      <c r="BB525" s="1">
        <v>10246.0</v>
      </c>
      <c r="BC525" s="1">
        <v>10251.0</v>
      </c>
      <c r="BD525" s="1" t="s">
        <v>74</v>
      </c>
      <c r="BE525" s="1" t="s">
        <v>5276</v>
      </c>
      <c r="BF525" s="2" t="str">
        <f>HYPERLINK("http://dx.doi.org/10.1016/j.ifacol.2023.10.906","http://dx.doi.org/10.1016/j.ifacol.2023.10.906")</f>
        <v>http://dx.doi.org/10.1016/j.ifacol.2023.10.906</v>
      </c>
      <c r="BG525" s="1" t="s">
        <v>74</v>
      </c>
      <c r="BH525" s="1" t="s">
        <v>816</v>
      </c>
      <c r="BI525" s="1" t="s">
        <v>74</v>
      </c>
      <c r="BJ525" s="1" t="s">
        <v>74</v>
      </c>
      <c r="BK525" s="1" t="s">
        <v>74</v>
      </c>
      <c r="BL525" s="1" t="s">
        <v>74</v>
      </c>
      <c r="BM525" s="1" t="s">
        <v>74</v>
      </c>
      <c r="BN525" s="1" t="s">
        <v>74</v>
      </c>
      <c r="BO525" s="1" t="s">
        <v>74</v>
      </c>
      <c r="BP525" s="1" t="s">
        <v>74</v>
      </c>
      <c r="BQ525" s="1" t="s">
        <v>74</v>
      </c>
      <c r="BR525" s="1" t="s">
        <v>74</v>
      </c>
      <c r="BS525" s="1" t="s">
        <v>5277</v>
      </c>
      <c r="BT525" s="1" t="str">
        <f>HYPERLINK("https%3A%2F%2Fwww.webofscience.com%2Fwos%2Fwoscc%2Ffull-record%2FWOS:001122557300643","View Full Record in Web of Science")</f>
        <v>View Full Record in Web of Science</v>
      </c>
    </row>
    <row r="526" ht="12.75" customHeight="1">
      <c r="A526" s="1" t="s">
        <v>72</v>
      </c>
      <c r="B526" s="1" t="s">
        <v>5278</v>
      </c>
      <c r="C526" s="1" t="s">
        <v>74</v>
      </c>
      <c r="D526" s="1" t="s">
        <v>74</v>
      </c>
      <c r="E526" s="1" t="s">
        <v>74</v>
      </c>
      <c r="F526" s="1" t="s">
        <v>5279</v>
      </c>
      <c r="G526" s="1" t="s">
        <v>74</v>
      </c>
      <c r="H526" s="1" t="s">
        <v>74</v>
      </c>
      <c r="I526" s="1" t="s">
        <v>5280</v>
      </c>
      <c r="J526" s="1" t="s">
        <v>242</v>
      </c>
      <c r="K526" s="1" t="s">
        <v>74</v>
      </c>
      <c r="L526" s="1" t="s">
        <v>74</v>
      </c>
      <c r="M526" s="1" t="s">
        <v>74</v>
      </c>
      <c r="N526" s="1" t="s">
        <v>74</v>
      </c>
      <c r="O526" s="1" t="s">
        <v>74</v>
      </c>
      <c r="P526" s="1" t="s">
        <v>74</v>
      </c>
      <c r="Q526" s="1" t="s">
        <v>74</v>
      </c>
      <c r="R526" s="1" t="s">
        <v>74</v>
      </c>
      <c r="S526" s="1" t="s">
        <v>74</v>
      </c>
      <c r="T526" s="1" t="s">
        <v>74</v>
      </c>
      <c r="U526" s="1" t="s">
        <v>74</v>
      </c>
      <c r="V526" s="1" t="s">
        <v>5281</v>
      </c>
      <c r="W526" s="1" t="s">
        <v>74</v>
      </c>
      <c r="X526" s="1" t="s">
        <v>74</v>
      </c>
      <c r="Y526" s="1" t="s">
        <v>74</v>
      </c>
      <c r="Z526" s="1" t="s">
        <v>74</v>
      </c>
      <c r="AA526" s="1" t="s">
        <v>5282</v>
      </c>
      <c r="AB526" s="1" t="s">
        <v>5283</v>
      </c>
      <c r="AC526" s="1" t="s">
        <v>74</v>
      </c>
      <c r="AD526" s="1" t="s">
        <v>74</v>
      </c>
      <c r="AE526" s="1" t="s">
        <v>74</v>
      </c>
      <c r="AF526" s="1" t="s">
        <v>74</v>
      </c>
      <c r="AG526" s="1" t="s">
        <v>74</v>
      </c>
      <c r="AH526" s="1" t="s">
        <v>74</v>
      </c>
      <c r="AI526" s="1" t="s">
        <v>74</v>
      </c>
      <c r="AJ526" s="1" t="s">
        <v>74</v>
      </c>
      <c r="AK526" s="1" t="s">
        <v>74</v>
      </c>
      <c r="AL526" s="1" t="s">
        <v>74</v>
      </c>
      <c r="AM526" s="1" t="s">
        <v>74</v>
      </c>
      <c r="AN526" s="1" t="s">
        <v>74</v>
      </c>
      <c r="AO526" s="1" t="s">
        <v>74</v>
      </c>
      <c r="AP526" s="1" t="s">
        <v>246</v>
      </c>
      <c r="AQ526" s="1" t="s">
        <v>74</v>
      </c>
      <c r="AR526" s="1" t="s">
        <v>74</v>
      </c>
      <c r="AS526" s="1" t="s">
        <v>74</v>
      </c>
      <c r="AT526" s="1" t="s">
        <v>678</v>
      </c>
      <c r="AU526" s="1">
        <v>2023.0</v>
      </c>
      <c r="AV526" s="1">
        <v>13.0</v>
      </c>
      <c r="AW526" s="1">
        <v>21.0</v>
      </c>
      <c r="AX526" s="1" t="s">
        <v>74</v>
      </c>
      <c r="AY526" s="1" t="s">
        <v>74</v>
      </c>
      <c r="AZ526" s="1" t="s">
        <v>74</v>
      </c>
      <c r="BA526" s="1" t="s">
        <v>74</v>
      </c>
      <c r="BB526" s="1" t="s">
        <v>74</v>
      </c>
      <c r="BC526" s="1" t="s">
        <v>74</v>
      </c>
      <c r="BD526" s="1">
        <v>11994.0</v>
      </c>
      <c r="BE526" s="1" t="s">
        <v>5284</v>
      </c>
      <c r="BF526" s="2" t="str">
        <f>HYPERLINK("http://dx.doi.org/10.3390/app132111994","http://dx.doi.org/10.3390/app132111994")</f>
        <v>http://dx.doi.org/10.3390/app132111994</v>
      </c>
      <c r="BG526" s="1" t="s">
        <v>74</v>
      </c>
      <c r="BH526" s="1" t="s">
        <v>74</v>
      </c>
      <c r="BI526" s="1" t="s">
        <v>74</v>
      </c>
      <c r="BJ526" s="1" t="s">
        <v>74</v>
      </c>
      <c r="BK526" s="1" t="s">
        <v>74</v>
      </c>
      <c r="BL526" s="1" t="s">
        <v>74</v>
      </c>
      <c r="BM526" s="1" t="s">
        <v>74</v>
      </c>
      <c r="BN526" s="1" t="s">
        <v>74</v>
      </c>
      <c r="BO526" s="1" t="s">
        <v>74</v>
      </c>
      <c r="BP526" s="1" t="s">
        <v>74</v>
      </c>
      <c r="BQ526" s="1" t="s">
        <v>74</v>
      </c>
      <c r="BR526" s="1" t="s">
        <v>74</v>
      </c>
      <c r="BS526" s="1" t="s">
        <v>5285</v>
      </c>
      <c r="BT526" s="1" t="str">
        <f>HYPERLINK("https%3A%2F%2Fwww.webofscience.com%2Fwos%2Fwoscc%2Ffull-record%2FWOS:001100537300001","View Full Record in Web of Science")</f>
        <v>View Full Record in Web of Science</v>
      </c>
    </row>
    <row r="527" ht="12.75" customHeight="1">
      <c r="A527" s="1" t="s">
        <v>72</v>
      </c>
      <c r="B527" s="1" t="s">
        <v>5286</v>
      </c>
      <c r="C527" s="1" t="s">
        <v>74</v>
      </c>
      <c r="D527" s="1" t="s">
        <v>74</v>
      </c>
      <c r="E527" s="1" t="s">
        <v>74</v>
      </c>
      <c r="F527" s="1" t="s">
        <v>5287</v>
      </c>
      <c r="G527" s="1" t="s">
        <v>74</v>
      </c>
      <c r="H527" s="1" t="s">
        <v>74</v>
      </c>
      <c r="I527" s="1" t="s">
        <v>5288</v>
      </c>
      <c r="J527" s="1" t="s">
        <v>5289</v>
      </c>
      <c r="K527" s="1" t="s">
        <v>74</v>
      </c>
      <c r="L527" s="1" t="s">
        <v>74</v>
      </c>
      <c r="M527" s="1" t="s">
        <v>74</v>
      </c>
      <c r="N527" s="1" t="s">
        <v>74</v>
      </c>
      <c r="O527" s="1" t="s">
        <v>74</v>
      </c>
      <c r="P527" s="1" t="s">
        <v>74</v>
      </c>
      <c r="Q527" s="1" t="s">
        <v>74</v>
      </c>
      <c r="R527" s="1" t="s">
        <v>74</v>
      </c>
      <c r="S527" s="1" t="s">
        <v>74</v>
      </c>
      <c r="T527" s="1" t="s">
        <v>74</v>
      </c>
      <c r="U527" s="1" t="s">
        <v>74</v>
      </c>
      <c r="V527" s="1" t="s">
        <v>5290</v>
      </c>
      <c r="W527" s="1" t="s">
        <v>74</v>
      </c>
      <c r="X527" s="1" t="s">
        <v>74</v>
      </c>
      <c r="Y527" s="1" t="s">
        <v>74</v>
      </c>
      <c r="Z527" s="1" t="s">
        <v>74</v>
      </c>
      <c r="AA527" s="1" t="s">
        <v>290</v>
      </c>
      <c r="AB527" s="1" t="s">
        <v>3392</v>
      </c>
      <c r="AC527" s="1" t="s">
        <v>74</v>
      </c>
      <c r="AD527" s="1" t="s">
        <v>74</v>
      </c>
      <c r="AE527" s="1" t="s">
        <v>74</v>
      </c>
      <c r="AF527" s="1" t="s">
        <v>74</v>
      </c>
      <c r="AG527" s="1" t="s">
        <v>74</v>
      </c>
      <c r="AH527" s="1" t="s">
        <v>74</v>
      </c>
      <c r="AI527" s="1" t="s">
        <v>74</v>
      </c>
      <c r="AJ527" s="1" t="s">
        <v>74</v>
      </c>
      <c r="AK527" s="1" t="s">
        <v>74</v>
      </c>
      <c r="AL527" s="1" t="s">
        <v>74</v>
      </c>
      <c r="AM527" s="1" t="s">
        <v>74</v>
      </c>
      <c r="AN527" s="1" t="s">
        <v>74</v>
      </c>
      <c r="AO527" s="1" t="s">
        <v>5291</v>
      </c>
      <c r="AP527" s="1" t="s">
        <v>5292</v>
      </c>
      <c r="AQ527" s="1" t="s">
        <v>74</v>
      </c>
      <c r="AR527" s="1" t="s">
        <v>74</v>
      </c>
      <c r="AS527" s="1" t="s">
        <v>74</v>
      </c>
      <c r="AT527" s="1" t="s">
        <v>235</v>
      </c>
      <c r="AU527" s="1">
        <v>2023.0</v>
      </c>
      <c r="AV527" s="1">
        <v>376.0</v>
      </c>
      <c r="AW527" s="1">
        <v>2.0</v>
      </c>
      <c r="AX527" s="1" t="s">
        <v>74</v>
      </c>
      <c r="AY527" s="1" t="s">
        <v>74</v>
      </c>
      <c r="AZ527" s="1" t="s">
        <v>74</v>
      </c>
      <c r="BA527" s="1" t="s">
        <v>74</v>
      </c>
      <c r="BB527" s="1">
        <v>1299.0</v>
      </c>
      <c r="BC527" s="1">
        <v>1342.0</v>
      </c>
      <c r="BD527" s="1" t="s">
        <v>74</v>
      </c>
      <c r="BE527" s="1" t="s">
        <v>5293</v>
      </c>
      <c r="BF527" s="2" t="str">
        <f>HYPERLINK("http://dx.doi.org/10.1090/tran/8810","http://dx.doi.org/10.1090/tran/8810")</f>
        <v>http://dx.doi.org/10.1090/tran/8810</v>
      </c>
      <c r="BG527" s="1" t="s">
        <v>74</v>
      </c>
      <c r="BH527" s="1" t="s">
        <v>868</v>
      </c>
      <c r="BI527" s="1" t="s">
        <v>74</v>
      </c>
      <c r="BJ527" s="1" t="s">
        <v>74</v>
      </c>
      <c r="BK527" s="1" t="s">
        <v>74</v>
      </c>
      <c r="BL527" s="1" t="s">
        <v>74</v>
      </c>
      <c r="BM527" s="1" t="s">
        <v>74</v>
      </c>
      <c r="BN527" s="1" t="s">
        <v>74</v>
      </c>
      <c r="BO527" s="1" t="s">
        <v>74</v>
      </c>
      <c r="BP527" s="1" t="s">
        <v>74</v>
      </c>
      <c r="BQ527" s="1" t="s">
        <v>74</v>
      </c>
      <c r="BR527" s="1" t="s">
        <v>74</v>
      </c>
      <c r="BS527" s="1" t="s">
        <v>5294</v>
      </c>
      <c r="BT527" s="1" t="str">
        <f>HYPERLINK("https%3A%2F%2Fwww.webofscience.com%2Fwos%2Fwoscc%2Ffull-record%2FWOS:000886305500001","View Full Record in Web of Science")</f>
        <v>View Full Record in Web of Science</v>
      </c>
    </row>
    <row r="528" ht="12.75" customHeight="1">
      <c r="A528" s="1" t="s">
        <v>72</v>
      </c>
      <c r="B528" s="1" t="s">
        <v>5295</v>
      </c>
      <c r="C528" s="1" t="s">
        <v>74</v>
      </c>
      <c r="D528" s="1" t="s">
        <v>74</v>
      </c>
      <c r="E528" s="1" t="s">
        <v>74</v>
      </c>
      <c r="F528" s="1" t="s">
        <v>5296</v>
      </c>
      <c r="G528" s="1" t="s">
        <v>74</v>
      </c>
      <c r="H528" s="1" t="s">
        <v>74</v>
      </c>
      <c r="I528" s="1" t="s">
        <v>5297</v>
      </c>
      <c r="J528" s="1" t="s">
        <v>5298</v>
      </c>
      <c r="K528" s="1" t="s">
        <v>74</v>
      </c>
      <c r="L528" s="1" t="s">
        <v>74</v>
      </c>
      <c r="M528" s="1" t="s">
        <v>74</v>
      </c>
      <c r="N528" s="1" t="s">
        <v>74</v>
      </c>
      <c r="O528" s="1" t="s">
        <v>74</v>
      </c>
      <c r="P528" s="1" t="s">
        <v>74</v>
      </c>
      <c r="Q528" s="1" t="s">
        <v>74</v>
      </c>
      <c r="R528" s="1" t="s">
        <v>74</v>
      </c>
      <c r="S528" s="1" t="s">
        <v>74</v>
      </c>
      <c r="T528" s="1" t="s">
        <v>74</v>
      </c>
      <c r="U528" s="1" t="s">
        <v>74</v>
      </c>
      <c r="V528" s="1" t="s">
        <v>5299</v>
      </c>
      <c r="W528" s="1" t="s">
        <v>74</v>
      </c>
      <c r="X528" s="1" t="s">
        <v>74</v>
      </c>
      <c r="Y528" s="1" t="s">
        <v>74</v>
      </c>
      <c r="Z528" s="1" t="s">
        <v>74</v>
      </c>
      <c r="AA528" s="1" t="s">
        <v>5300</v>
      </c>
      <c r="AB528" s="1" t="s">
        <v>5301</v>
      </c>
      <c r="AC528" s="1" t="s">
        <v>74</v>
      </c>
      <c r="AD528" s="1" t="s">
        <v>74</v>
      </c>
      <c r="AE528" s="1" t="s">
        <v>74</v>
      </c>
      <c r="AF528" s="1" t="s">
        <v>74</v>
      </c>
      <c r="AG528" s="1" t="s">
        <v>74</v>
      </c>
      <c r="AH528" s="1" t="s">
        <v>74</v>
      </c>
      <c r="AI528" s="1" t="s">
        <v>74</v>
      </c>
      <c r="AJ528" s="1" t="s">
        <v>74</v>
      </c>
      <c r="AK528" s="1" t="s">
        <v>74</v>
      </c>
      <c r="AL528" s="1" t="s">
        <v>74</v>
      </c>
      <c r="AM528" s="1" t="s">
        <v>74</v>
      </c>
      <c r="AN528" s="1" t="s">
        <v>74</v>
      </c>
      <c r="AO528" s="1" t="s">
        <v>74</v>
      </c>
      <c r="AP528" s="1" t="s">
        <v>5302</v>
      </c>
      <c r="AQ528" s="1" t="s">
        <v>74</v>
      </c>
      <c r="AR528" s="1" t="s">
        <v>74</v>
      </c>
      <c r="AS528" s="1" t="s">
        <v>74</v>
      </c>
      <c r="AT528" s="1" t="s">
        <v>158</v>
      </c>
      <c r="AU528" s="1">
        <v>2022.0</v>
      </c>
      <c r="AV528" s="1">
        <v>15.0</v>
      </c>
      <c r="AW528" s="1">
        <v>13.0</v>
      </c>
      <c r="AX528" s="1" t="s">
        <v>74</v>
      </c>
      <c r="AY528" s="1" t="s">
        <v>74</v>
      </c>
      <c r="AZ528" s="1" t="s">
        <v>74</v>
      </c>
      <c r="BA528" s="1" t="s">
        <v>74</v>
      </c>
      <c r="BB528" s="1" t="s">
        <v>74</v>
      </c>
      <c r="BC528" s="1" t="s">
        <v>74</v>
      </c>
      <c r="BD528" s="1">
        <v>4542.0</v>
      </c>
      <c r="BE528" s="1" t="s">
        <v>5303</v>
      </c>
      <c r="BF528" s="2" t="str">
        <f>HYPERLINK("http://dx.doi.org/10.3390/en15134542","http://dx.doi.org/10.3390/en15134542")</f>
        <v>http://dx.doi.org/10.3390/en15134542</v>
      </c>
      <c r="BG528" s="1" t="s">
        <v>74</v>
      </c>
      <c r="BH528" s="1" t="s">
        <v>74</v>
      </c>
      <c r="BI528" s="1" t="s">
        <v>74</v>
      </c>
      <c r="BJ528" s="1" t="s">
        <v>74</v>
      </c>
      <c r="BK528" s="1" t="s">
        <v>74</v>
      </c>
      <c r="BL528" s="1" t="s">
        <v>74</v>
      </c>
      <c r="BM528" s="1" t="s">
        <v>74</v>
      </c>
      <c r="BN528" s="1" t="s">
        <v>74</v>
      </c>
      <c r="BO528" s="1" t="s">
        <v>74</v>
      </c>
      <c r="BP528" s="1" t="s">
        <v>74</v>
      </c>
      <c r="BQ528" s="1" t="s">
        <v>74</v>
      </c>
      <c r="BR528" s="1" t="s">
        <v>74</v>
      </c>
      <c r="BS528" s="1" t="s">
        <v>5304</v>
      </c>
      <c r="BT528" s="1" t="str">
        <f>HYPERLINK("https%3A%2F%2Fwww.webofscience.com%2Fwos%2Fwoscc%2Ffull-record%2FWOS:000825676800001","View Full Record in Web of Science")</f>
        <v>View Full Record in Web of Science</v>
      </c>
    </row>
    <row r="529" ht="12.75" customHeight="1">
      <c r="A529" s="1" t="s">
        <v>72</v>
      </c>
      <c r="B529" s="1" t="s">
        <v>5305</v>
      </c>
      <c r="C529" s="1" t="s">
        <v>74</v>
      </c>
      <c r="D529" s="1" t="s">
        <v>74</v>
      </c>
      <c r="E529" s="1" t="s">
        <v>74</v>
      </c>
      <c r="F529" s="1" t="s">
        <v>5306</v>
      </c>
      <c r="G529" s="1" t="s">
        <v>74</v>
      </c>
      <c r="H529" s="1" t="s">
        <v>74</v>
      </c>
      <c r="I529" s="1" t="s">
        <v>5307</v>
      </c>
      <c r="J529" s="1" t="s">
        <v>2591</v>
      </c>
      <c r="K529" s="1" t="s">
        <v>74</v>
      </c>
      <c r="L529" s="1" t="s">
        <v>74</v>
      </c>
      <c r="M529" s="1" t="s">
        <v>74</v>
      </c>
      <c r="N529" s="1" t="s">
        <v>74</v>
      </c>
      <c r="O529" s="1" t="s">
        <v>74</v>
      </c>
      <c r="P529" s="1" t="s">
        <v>74</v>
      </c>
      <c r="Q529" s="1" t="s">
        <v>74</v>
      </c>
      <c r="R529" s="1" t="s">
        <v>74</v>
      </c>
      <c r="S529" s="1" t="s">
        <v>74</v>
      </c>
      <c r="T529" s="1" t="s">
        <v>74</v>
      </c>
      <c r="U529" s="1" t="s">
        <v>74</v>
      </c>
      <c r="V529" s="1" t="s">
        <v>5308</v>
      </c>
      <c r="W529" s="1" t="s">
        <v>74</v>
      </c>
      <c r="X529" s="1" t="s">
        <v>74</v>
      </c>
      <c r="Y529" s="1" t="s">
        <v>74</v>
      </c>
      <c r="Z529" s="1" t="s">
        <v>74</v>
      </c>
      <c r="AA529" s="1" t="s">
        <v>74</v>
      </c>
      <c r="AB529" s="1" t="s">
        <v>74</v>
      </c>
      <c r="AC529" s="1" t="s">
        <v>74</v>
      </c>
      <c r="AD529" s="1" t="s">
        <v>74</v>
      </c>
      <c r="AE529" s="1" t="s">
        <v>74</v>
      </c>
      <c r="AF529" s="1" t="s">
        <v>74</v>
      </c>
      <c r="AG529" s="1" t="s">
        <v>74</v>
      </c>
      <c r="AH529" s="1" t="s">
        <v>74</v>
      </c>
      <c r="AI529" s="1" t="s">
        <v>74</v>
      </c>
      <c r="AJ529" s="1" t="s">
        <v>74</v>
      </c>
      <c r="AK529" s="1" t="s">
        <v>74</v>
      </c>
      <c r="AL529" s="1" t="s">
        <v>74</v>
      </c>
      <c r="AM529" s="1" t="s">
        <v>74</v>
      </c>
      <c r="AN529" s="1" t="s">
        <v>74</v>
      </c>
      <c r="AO529" s="1" t="s">
        <v>5309</v>
      </c>
      <c r="AP529" s="1" t="s">
        <v>2594</v>
      </c>
      <c r="AQ529" s="1" t="s">
        <v>74</v>
      </c>
      <c r="AR529" s="1" t="s">
        <v>74</v>
      </c>
      <c r="AS529" s="1" t="s">
        <v>74</v>
      </c>
      <c r="AT529" s="1" t="s">
        <v>294</v>
      </c>
      <c r="AU529" s="1">
        <v>2022.0</v>
      </c>
      <c r="AV529" s="1">
        <v>79.0</v>
      </c>
      <c r="AW529" s="1">
        <v>1.0</v>
      </c>
      <c r="AX529" s="1" t="s">
        <v>74</v>
      </c>
      <c r="AY529" s="1" t="s">
        <v>74</v>
      </c>
      <c r="AZ529" s="1" t="s">
        <v>74</v>
      </c>
      <c r="BA529" s="1" t="s">
        <v>74</v>
      </c>
      <c r="BB529" s="1">
        <v>37.0</v>
      </c>
      <c r="BC529" s="1">
        <v>43.0</v>
      </c>
      <c r="BD529" s="1" t="s">
        <v>74</v>
      </c>
      <c r="BE529" s="1" t="s">
        <v>74</v>
      </c>
      <c r="BF529" s="1" t="s">
        <v>74</v>
      </c>
      <c r="BG529" s="1" t="s">
        <v>74</v>
      </c>
      <c r="BH529" s="1" t="s">
        <v>74</v>
      </c>
      <c r="BI529" s="1" t="s">
        <v>74</v>
      </c>
      <c r="BJ529" s="1" t="s">
        <v>74</v>
      </c>
      <c r="BK529" s="1" t="s">
        <v>74</v>
      </c>
      <c r="BL529" s="1" t="s">
        <v>74</v>
      </c>
      <c r="BM529" s="1" t="s">
        <v>74</v>
      </c>
      <c r="BN529" s="1" t="s">
        <v>74</v>
      </c>
      <c r="BO529" s="1" t="s">
        <v>74</v>
      </c>
      <c r="BP529" s="1" t="s">
        <v>74</v>
      </c>
      <c r="BQ529" s="1" t="s">
        <v>74</v>
      </c>
      <c r="BR529" s="1" t="s">
        <v>74</v>
      </c>
      <c r="BS529" s="1" t="s">
        <v>5310</v>
      </c>
      <c r="BT529" s="1" t="str">
        <f>HYPERLINK("https%3A%2F%2Fwww.webofscience.com%2Fwos%2Fwoscc%2Ffull-record%2FWOS:000933200700004","View Full Record in Web of Science")</f>
        <v>View Full Record in Web of Science</v>
      </c>
    </row>
    <row r="530" ht="12.75" customHeight="1">
      <c r="A530" s="1" t="s">
        <v>72</v>
      </c>
      <c r="B530" s="1" t="s">
        <v>5311</v>
      </c>
      <c r="C530" s="1" t="s">
        <v>74</v>
      </c>
      <c r="D530" s="1" t="s">
        <v>74</v>
      </c>
      <c r="E530" s="1" t="s">
        <v>74</v>
      </c>
      <c r="F530" s="1" t="s">
        <v>5312</v>
      </c>
      <c r="G530" s="1" t="s">
        <v>74</v>
      </c>
      <c r="H530" s="1" t="s">
        <v>74</v>
      </c>
      <c r="I530" s="1" t="s">
        <v>5313</v>
      </c>
      <c r="J530" s="1" t="s">
        <v>5314</v>
      </c>
      <c r="K530" s="1" t="s">
        <v>74</v>
      </c>
      <c r="L530" s="1" t="s">
        <v>74</v>
      </c>
      <c r="M530" s="1" t="s">
        <v>74</v>
      </c>
      <c r="N530" s="1" t="s">
        <v>74</v>
      </c>
      <c r="O530" s="1" t="s">
        <v>74</v>
      </c>
      <c r="P530" s="1" t="s">
        <v>74</v>
      </c>
      <c r="Q530" s="1" t="s">
        <v>74</v>
      </c>
      <c r="R530" s="1" t="s">
        <v>74</v>
      </c>
      <c r="S530" s="1" t="s">
        <v>74</v>
      </c>
      <c r="T530" s="1" t="s">
        <v>74</v>
      </c>
      <c r="U530" s="1" t="s">
        <v>74</v>
      </c>
      <c r="V530" s="1" t="s">
        <v>5315</v>
      </c>
      <c r="W530" s="1" t="s">
        <v>74</v>
      </c>
      <c r="X530" s="1" t="s">
        <v>74</v>
      </c>
      <c r="Y530" s="1" t="s">
        <v>74</v>
      </c>
      <c r="Z530" s="1" t="s">
        <v>74</v>
      </c>
      <c r="AA530" s="1" t="s">
        <v>5316</v>
      </c>
      <c r="AB530" s="1" t="s">
        <v>2039</v>
      </c>
      <c r="AC530" s="1" t="s">
        <v>74</v>
      </c>
      <c r="AD530" s="1" t="s">
        <v>74</v>
      </c>
      <c r="AE530" s="1" t="s">
        <v>74</v>
      </c>
      <c r="AF530" s="1" t="s">
        <v>74</v>
      </c>
      <c r="AG530" s="1" t="s">
        <v>74</v>
      </c>
      <c r="AH530" s="1" t="s">
        <v>74</v>
      </c>
      <c r="AI530" s="1" t="s">
        <v>74</v>
      </c>
      <c r="AJ530" s="1" t="s">
        <v>74</v>
      </c>
      <c r="AK530" s="1" t="s">
        <v>74</v>
      </c>
      <c r="AL530" s="1" t="s">
        <v>74</v>
      </c>
      <c r="AM530" s="1" t="s">
        <v>74</v>
      </c>
      <c r="AN530" s="1" t="s">
        <v>74</v>
      </c>
      <c r="AO530" s="1" t="s">
        <v>5317</v>
      </c>
      <c r="AP530" s="1" t="s">
        <v>74</v>
      </c>
      <c r="AQ530" s="1" t="s">
        <v>74</v>
      </c>
      <c r="AR530" s="1" t="s">
        <v>74</v>
      </c>
      <c r="AS530" s="1" t="s">
        <v>74</v>
      </c>
      <c r="AT530" s="1" t="s">
        <v>678</v>
      </c>
      <c r="AU530" s="1">
        <v>2022.0</v>
      </c>
      <c r="AV530" s="1">
        <v>28.0</v>
      </c>
      <c r="AW530" s="1" t="s">
        <v>74</v>
      </c>
      <c r="AX530" s="1" t="s">
        <v>74</v>
      </c>
      <c r="AY530" s="1" t="s">
        <v>74</v>
      </c>
      <c r="AZ530" s="1" t="s">
        <v>74</v>
      </c>
      <c r="BA530" s="1" t="s">
        <v>74</v>
      </c>
      <c r="BB530" s="1" t="s">
        <v>74</v>
      </c>
      <c r="BC530" s="1" t="s">
        <v>74</v>
      </c>
      <c r="BD530" s="1">
        <v>102677.0</v>
      </c>
      <c r="BE530" s="1" t="s">
        <v>5318</v>
      </c>
      <c r="BF530" s="2" t="str">
        <f>HYPERLINK("http://dx.doi.org/10.1016/j.eti.2022.102677","http://dx.doi.org/10.1016/j.eti.2022.102677")</f>
        <v>http://dx.doi.org/10.1016/j.eti.2022.102677</v>
      </c>
      <c r="BG530" s="1" t="s">
        <v>74</v>
      </c>
      <c r="BH530" s="1" t="s">
        <v>2229</v>
      </c>
      <c r="BI530" s="1" t="s">
        <v>74</v>
      </c>
      <c r="BJ530" s="1" t="s">
        <v>74</v>
      </c>
      <c r="BK530" s="1" t="s">
        <v>74</v>
      </c>
      <c r="BL530" s="1" t="s">
        <v>74</v>
      </c>
      <c r="BM530" s="1" t="s">
        <v>74</v>
      </c>
      <c r="BN530" s="1" t="s">
        <v>74</v>
      </c>
      <c r="BO530" s="1" t="s">
        <v>74</v>
      </c>
      <c r="BP530" s="1" t="s">
        <v>74</v>
      </c>
      <c r="BQ530" s="1" t="s">
        <v>74</v>
      </c>
      <c r="BR530" s="1" t="s">
        <v>74</v>
      </c>
      <c r="BS530" s="1" t="s">
        <v>5319</v>
      </c>
      <c r="BT530" s="1" t="str">
        <f>HYPERLINK("https%3A%2F%2Fwww.webofscience.com%2Fwos%2Fwoscc%2Ffull-record%2FWOS:000809657100007","View Full Record in Web of Science")</f>
        <v>View Full Record in Web of Science</v>
      </c>
    </row>
    <row r="531" ht="12.75" customHeight="1">
      <c r="A531" s="1" t="s">
        <v>72</v>
      </c>
      <c r="B531" s="1" t="s">
        <v>5320</v>
      </c>
      <c r="C531" s="1" t="s">
        <v>74</v>
      </c>
      <c r="D531" s="1" t="s">
        <v>74</v>
      </c>
      <c r="E531" s="1" t="s">
        <v>74</v>
      </c>
      <c r="F531" s="1" t="s">
        <v>5321</v>
      </c>
      <c r="G531" s="1" t="s">
        <v>74</v>
      </c>
      <c r="H531" s="1" t="s">
        <v>74</v>
      </c>
      <c r="I531" s="1" t="s">
        <v>5322</v>
      </c>
      <c r="J531" s="1" t="s">
        <v>2886</v>
      </c>
      <c r="K531" s="1" t="s">
        <v>74</v>
      </c>
      <c r="L531" s="1" t="s">
        <v>74</v>
      </c>
      <c r="M531" s="1" t="s">
        <v>74</v>
      </c>
      <c r="N531" s="1" t="s">
        <v>74</v>
      </c>
      <c r="O531" s="1" t="s">
        <v>74</v>
      </c>
      <c r="P531" s="1" t="s">
        <v>74</v>
      </c>
      <c r="Q531" s="1" t="s">
        <v>74</v>
      </c>
      <c r="R531" s="1" t="s">
        <v>74</v>
      </c>
      <c r="S531" s="1" t="s">
        <v>74</v>
      </c>
      <c r="T531" s="1" t="s">
        <v>74</v>
      </c>
      <c r="U531" s="1" t="s">
        <v>74</v>
      </c>
      <c r="V531" s="1" t="s">
        <v>5323</v>
      </c>
      <c r="W531" s="1" t="s">
        <v>74</v>
      </c>
      <c r="X531" s="1" t="s">
        <v>74</v>
      </c>
      <c r="Y531" s="1" t="s">
        <v>74</v>
      </c>
      <c r="Z531" s="1" t="s">
        <v>74</v>
      </c>
      <c r="AA531" s="1" t="s">
        <v>5324</v>
      </c>
      <c r="AB531" s="1" t="s">
        <v>5325</v>
      </c>
      <c r="AC531" s="1" t="s">
        <v>74</v>
      </c>
      <c r="AD531" s="1" t="s">
        <v>74</v>
      </c>
      <c r="AE531" s="1" t="s">
        <v>74</v>
      </c>
      <c r="AF531" s="1" t="s">
        <v>74</v>
      </c>
      <c r="AG531" s="1" t="s">
        <v>74</v>
      </c>
      <c r="AH531" s="1" t="s">
        <v>74</v>
      </c>
      <c r="AI531" s="1" t="s">
        <v>74</v>
      </c>
      <c r="AJ531" s="1" t="s">
        <v>74</v>
      </c>
      <c r="AK531" s="1" t="s">
        <v>74</v>
      </c>
      <c r="AL531" s="1" t="s">
        <v>74</v>
      </c>
      <c r="AM531" s="1" t="s">
        <v>74</v>
      </c>
      <c r="AN531" s="1" t="s">
        <v>74</v>
      </c>
      <c r="AO531" s="1" t="s">
        <v>2890</v>
      </c>
      <c r="AP531" s="1" t="s">
        <v>2891</v>
      </c>
      <c r="AQ531" s="1" t="s">
        <v>74</v>
      </c>
      <c r="AR531" s="1" t="s">
        <v>74</v>
      </c>
      <c r="AS531" s="1" t="s">
        <v>74</v>
      </c>
      <c r="AT531" s="1" t="s">
        <v>5326</v>
      </c>
      <c r="AU531" s="1">
        <v>2022.0</v>
      </c>
      <c r="AV531" s="1">
        <v>102.0</v>
      </c>
      <c r="AW531" s="1">
        <v>5.0</v>
      </c>
      <c r="AX531" s="1" t="s">
        <v>74</v>
      </c>
      <c r="AY531" s="1" t="s">
        <v>74</v>
      </c>
      <c r="AZ531" s="1" t="s">
        <v>74</v>
      </c>
      <c r="BA531" s="1" t="s">
        <v>74</v>
      </c>
      <c r="BB531" s="1">
        <v>1771.0</v>
      </c>
      <c r="BC531" s="1">
        <v>1781.0</v>
      </c>
      <c r="BD531" s="1" t="s">
        <v>74</v>
      </c>
      <c r="BE531" s="1" t="s">
        <v>5327</v>
      </c>
      <c r="BF531" s="2" t="str">
        <f>HYPERLINK("http://dx.doi.org/10.1002/jsfa.11672","http://dx.doi.org/10.1002/jsfa.11672")</f>
        <v>http://dx.doi.org/10.1002/jsfa.11672</v>
      </c>
      <c r="BG531" s="1" t="s">
        <v>74</v>
      </c>
      <c r="BH531" s="1" t="s">
        <v>5328</v>
      </c>
      <c r="BI531" s="1" t="s">
        <v>74</v>
      </c>
      <c r="BJ531" s="1" t="s">
        <v>74</v>
      </c>
      <c r="BK531" s="1" t="s">
        <v>74</v>
      </c>
      <c r="BL531" s="1" t="s">
        <v>74</v>
      </c>
      <c r="BM531" s="1" t="s">
        <v>74</v>
      </c>
      <c r="BN531" s="1">
        <v>3.4796497E7</v>
      </c>
      <c r="BO531" s="1" t="s">
        <v>74</v>
      </c>
      <c r="BP531" s="1" t="s">
        <v>74</v>
      </c>
      <c r="BQ531" s="1" t="s">
        <v>74</v>
      </c>
      <c r="BR531" s="1" t="s">
        <v>74</v>
      </c>
      <c r="BS531" s="1" t="s">
        <v>5329</v>
      </c>
      <c r="BT531" s="1" t="str">
        <f>HYPERLINK("https%3A%2F%2Fwww.webofscience.com%2Fwos%2Fwoscc%2Ffull-record%2FWOS:000726755200001","View Full Record in Web of Science")</f>
        <v>View Full Record in Web of Science</v>
      </c>
    </row>
    <row r="532" ht="12.75" customHeight="1">
      <c r="A532" s="1" t="s">
        <v>72</v>
      </c>
      <c r="B532" s="1" t="s">
        <v>5330</v>
      </c>
      <c r="C532" s="1" t="s">
        <v>74</v>
      </c>
      <c r="D532" s="1" t="s">
        <v>74</v>
      </c>
      <c r="E532" s="1" t="s">
        <v>74</v>
      </c>
      <c r="F532" s="1" t="s">
        <v>5331</v>
      </c>
      <c r="G532" s="1" t="s">
        <v>74</v>
      </c>
      <c r="H532" s="1" t="s">
        <v>74</v>
      </c>
      <c r="I532" s="1" t="s">
        <v>5332</v>
      </c>
      <c r="J532" s="1" t="s">
        <v>5333</v>
      </c>
      <c r="K532" s="1" t="s">
        <v>74</v>
      </c>
      <c r="L532" s="1" t="s">
        <v>74</v>
      </c>
      <c r="M532" s="1" t="s">
        <v>74</v>
      </c>
      <c r="N532" s="1" t="s">
        <v>74</v>
      </c>
      <c r="O532" s="1" t="s">
        <v>74</v>
      </c>
      <c r="P532" s="1" t="s">
        <v>74</v>
      </c>
      <c r="Q532" s="1" t="s">
        <v>74</v>
      </c>
      <c r="R532" s="1" t="s">
        <v>74</v>
      </c>
      <c r="S532" s="1" t="s">
        <v>74</v>
      </c>
      <c r="T532" s="1" t="s">
        <v>74</v>
      </c>
      <c r="U532" s="1" t="s">
        <v>74</v>
      </c>
      <c r="V532" s="1" t="s">
        <v>5334</v>
      </c>
      <c r="W532" s="1" t="s">
        <v>74</v>
      </c>
      <c r="X532" s="1" t="s">
        <v>74</v>
      </c>
      <c r="Y532" s="1" t="s">
        <v>74</v>
      </c>
      <c r="Z532" s="1" t="s">
        <v>74</v>
      </c>
      <c r="AA532" s="1" t="s">
        <v>5335</v>
      </c>
      <c r="AB532" s="1" t="s">
        <v>5336</v>
      </c>
      <c r="AC532" s="1" t="s">
        <v>74</v>
      </c>
      <c r="AD532" s="1" t="s">
        <v>74</v>
      </c>
      <c r="AE532" s="1" t="s">
        <v>74</v>
      </c>
      <c r="AF532" s="1" t="s">
        <v>74</v>
      </c>
      <c r="AG532" s="1" t="s">
        <v>74</v>
      </c>
      <c r="AH532" s="1" t="s">
        <v>74</v>
      </c>
      <c r="AI532" s="1" t="s">
        <v>74</v>
      </c>
      <c r="AJ532" s="1" t="s">
        <v>74</v>
      </c>
      <c r="AK532" s="1" t="s">
        <v>74</v>
      </c>
      <c r="AL532" s="1" t="s">
        <v>74</v>
      </c>
      <c r="AM532" s="1" t="s">
        <v>74</v>
      </c>
      <c r="AN532" s="1" t="s">
        <v>74</v>
      </c>
      <c r="AO532" s="1" t="s">
        <v>5337</v>
      </c>
      <c r="AP532" s="1" t="s">
        <v>5338</v>
      </c>
      <c r="AQ532" s="1" t="s">
        <v>74</v>
      </c>
      <c r="AR532" s="1" t="s">
        <v>74</v>
      </c>
      <c r="AS532" s="1" t="s">
        <v>74</v>
      </c>
      <c r="AT532" s="1" t="s">
        <v>678</v>
      </c>
      <c r="AU532" s="1">
        <v>2021.0</v>
      </c>
      <c r="AV532" s="1">
        <v>36.0</v>
      </c>
      <c r="AW532" s="1">
        <v>11.0</v>
      </c>
      <c r="AX532" s="1" t="s">
        <v>74</v>
      </c>
      <c r="AY532" s="1" t="s">
        <v>74</v>
      </c>
      <c r="AZ532" s="1" t="s">
        <v>74</v>
      </c>
      <c r="BA532" s="1" t="s">
        <v>74</v>
      </c>
      <c r="BB532" s="1">
        <v>12540.0</v>
      </c>
      <c r="BC532" s="1">
        <v>12550.0</v>
      </c>
      <c r="BD532" s="1" t="s">
        <v>74</v>
      </c>
      <c r="BE532" s="1" t="s">
        <v>5339</v>
      </c>
      <c r="BF532" s="2" t="str">
        <f>HYPERLINK("http://dx.doi.org/10.1109/TPEL.2021.3078235","http://dx.doi.org/10.1109/TPEL.2021.3078235")</f>
        <v>http://dx.doi.org/10.1109/TPEL.2021.3078235</v>
      </c>
      <c r="BG532" s="1" t="s">
        <v>74</v>
      </c>
      <c r="BH532" s="1" t="s">
        <v>74</v>
      </c>
      <c r="BI532" s="1" t="s">
        <v>74</v>
      </c>
      <c r="BJ532" s="1" t="s">
        <v>74</v>
      </c>
      <c r="BK532" s="1" t="s">
        <v>74</v>
      </c>
      <c r="BL532" s="1" t="s">
        <v>74</v>
      </c>
      <c r="BM532" s="1" t="s">
        <v>74</v>
      </c>
      <c r="BN532" s="1" t="s">
        <v>74</v>
      </c>
      <c r="BO532" s="1" t="s">
        <v>74</v>
      </c>
      <c r="BP532" s="1" t="s">
        <v>74</v>
      </c>
      <c r="BQ532" s="1" t="s">
        <v>74</v>
      </c>
      <c r="BR532" s="1" t="s">
        <v>74</v>
      </c>
      <c r="BS532" s="1" t="s">
        <v>5340</v>
      </c>
      <c r="BT532" s="1" t="str">
        <f>HYPERLINK("https%3A%2F%2Fwww.webofscience.com%2Fwos%2Fwoscc%2Ffull-record%2FWOS:000678445700043","View Full Record in Web of Science")</f>
        <v>View Full Record in Web of Science</v>
      </c>
    </row>
    <row r="533" ht="12.75" customHeight="1">
      <c r="A533" s="1" t="s">
        <v>72</v>
      </c>
      <c r="B533" s="1" t="s">
        <v>5341</v>
      </c>
      <c r="C533" s="1" t="s">
        <v>74</v>
      </c>
      <c r="D533" s="1" t="s">
        <v>74</v>
      </c>
      <c r="E533" s="1" t="s">
        <v>74</v>
      </c>
      <c r="F533" s="1" t="s">
        <v>5342</v>
      </c>
      <c r="G533" s="1" t="s">
        <v>74</v>
      </c>
      <c r="H533" s="1" t="s">
        <v>74</v>
      </c>
      <c r="I533" s="1" t="s">
        <v>5343</v>
      </c>
      <c r="J533" s="1" t="s">
        <v>5344</v>
      </c>
      <c r="K533" s="1" t="s">
        <v>74</v>
      </c>
      <c r="L533" s="1" t="s">
        <v>74</v>
      </c>
      <c r="M533" s="1" t="s">
        <v>74</v>
      </c>
      <c r="N533" s="1" t="s">
        <v>74</v>
      </c>
      <c r="O533" s="1" t="s">
        <v>74</v>
      </c>
      <c r="P533" s="1" t="s">
        <v>74</v>
      </c>
      <c r="Q533" s="1" t="s">
        <v>74</v>
      </c>
      <c r="R533" s="1" t="s">
        <v>74</v>
      </c>
      <c r="S533" s="1" t="s">
        <v>74</v>
      </c>
      <c r="T533" s="1" t="s">
        <v>74</v>
      </c>
      <c r="U533" s="1" t="s">
        <v>74</v>
      </c>
      <c r="V533" s="1" t="s">
        <v>5345</v>
      </c>
      <c r="W533" s="1" t="s">
        <v>74</v>
      </c>
      <c r="X533" s="1" t="s">
        <v>74</v>
      </c>
      <c r="Y533" s="1" t="s">
        <v>74</v>
      </c>
      <c r="Z533" s="1" t="s">
        <v>74</v>
      </c>
      <c r="AA533" s="1" t="s">
        <v>3577</v>
      </c>
      <c r="AB533" s="1" t="s">
        <v>5346</v>
      </c>
      <c r="AC533" s="1" t="s">
        <v>74</v>
      </c>
      <c r="AD533" s="1" t="s">
        <v>74</v>
      </c>
      <c r="AE533" s="1" t="s">
        <v>74</v>
      </c>
      <c r="AF533" s="1" t="s">
        <v>74</v>
      </c>
      <c r="AG533" s="1" t="s">
        <v>74</v>
      </c>
      <c r="AH533" s="1" t="s">
        <v>74</v>
      </c>
      <c r="AI533" s="1" t="s">
        <v>74</v>
      </c>
      <c r="AJ533" s="1" t="s">
        <v>74</v>
      </c>
      <c r="AK533" s="1" t="s">
        <v>74</v>
      </c>
      <c r="AL533" s="1" t="s">
        <v>74</v>
      </c>
      <c r="AM533" s="1" t="s">
        <v>74</v>
      </c>
      <c r="AN533" s="1" t="s">
        <v>74</v>
      </c>
      <c r="AO533" s="1" t="s">
        <v>5347</v>
      </c>
      <c r="AP533" s="1" t="s">
        <v>5348</v>
      </c>
      <c r="AQ533" s="1" t="s">
        <v>74</v>
      </c>
      <c r="AR533" s="1" t="s">
        <v>74</v>
      </c>
      <c r="AS533" s="1" t="s">
        <v>74</v>
      </c>
      <c r="AT533" s="1" t="s">
        <v>5349</v>
      </c>
      <c r="AU533" s="1">
        <v>2022.0</v>
      </c>
      <c r="AV533" s="1">
        <v>32.0</v>
      </c>
      <c r="AW533" s="1">
        <v>5.0</v>
      </c>
      <c r="AX533" s="1" t="s">
        <v>74</v>
      </c>
      <c r="AY533" s="1" t="s">
        <v>74</v>
      </c>
      <c r="AZ533" s="1" t="s">
        <v>74</v>
      </c>
      <c r="BA533" s="1" t="s">
        <v>74</v>
      </c>
      <c r="BB533" s="1">
        <v>629.0</v>
      </c>
      <c r="BC533" s="1">
        <v>645.0</v>
      </c>
      <c r="BD533" s="1" t="s">
        <v>74</v>
      </c>
      <c r="BE533" s="1" t="s">
        <v>5350</v>
      </c>
      <c r="BF533" s="2" t="str">
        <f>HYPERLINK("http://dx.doi.org/10.1080/10439463.2021.1957887","http://dx.doi.org/10.1080/10439463.2021.1957887")</f>
        <v>http://dx.doi.org/10.1080/10439463.2021.1957887</v>
      </c>
      <c r="BG533" s="1" t="s">
        <v>74</v>
      </c>
      <c r="BH533" s="1" t="s">
        <v>5351</v>
      </c>
      <c r="BI533" s="1" t="s">
        <v>74</v>
      </c>
      <c r="BJ533" s="1" t="s">
        <v>74</v>
      </c>
      <c r="BK533" s="1" t="s">
        <v>74</v>
      </c>
      <c r="BL533" s="1" t="s">
        <v>74</v>
      </c>
      <c r="BM533" s="1" t="s">
        <v>74</v>
      </c>
      <c r="BN533" s="1" t="s">
        <v>74</v>
      </c>
      <c r="BO533" s="1" t="s">
        <v>74</v>
      </c>
      <c r="BP533" s="1" t="s">
        <v>74</v>
      </c>
      <c r="BQ533" s="1" t="s">
        <v>74</v>
      </c>
      <c r="BR533" s="1" t="s">
        <v>74</v>
      </c>
      <c r="BS533" s="1" t="s">
        <v>5352</v>
      </c>
      <c r="BT533" s="1" t="str">
        <f>HYPERLINK("https%3A%2F%2Fwww.webofscience.com%2Fwos%2Fwoscc%2Ffull-record%2FWOS:000678897900001","View Full Record in Web of Science")</f>
        <v>View Full Record in Web of Science</v>
      </c>
    </row>
    <row r="534" ht="12.75" customHeight="1">
      <c r="A534" s="1" t="s">
        <v>72</v>
      </c>
      <c r="B534" s="1" t="s">
        <v>5353</v>
      </c>
      <c r="C534" s="1" t="s">
        <v>74</v>
      </c>
      <c r="D534" s="1" t="s">
        <v>74</v>
      </c>
      <c r="E534" s="1" t="s">
        <v>74</v>
      </c>
      <c r="F534" s="1" t="s">
        <v>5354</v>
      </c>
      <c r="G534" s="1" t="s">
        <v>74</v>
      </c>
      <c r="H534" s="1" t="s">
        <v>74</v>
      </c>
      <c r="I534" s="1" t="s">
        <v>5355</v>
      </c>
      <c r="J534" s="1" t="s">
        <v>5356</v>
      </c>
      <c r="K534" s="1" t="s">
        <v>74</v>
      </c>
      <c r="L534" s="1" t="s">
        <v>74</v>
      </c>
      <c r="M534" s="1" t="s">
        <v>74</v>
      </c>
      <c r="N534" s="1" t="s">
        <v>74</v>
      </c>
      <c r="O534" s="1" t="s">
        <v>74</v>
      </c>
      <c r="P534" s="1" t="s">
        <v>74</v>
      </c>
      <c r="Q534" s="1" t="s">
        <v>74</v>
      </c>
      <c r="R534" s="1" t="s">
        <v>74</v>
      </c>
      <c r="S534" s="1" t="s">
        <v>74</v>
      </c>
      <c r="T534" s="1" t="s">
        <v>74</v>
      </c>
      <c r="U534" s="1" t="s">
        <v>74</v>
      </c>
      <c r="V534" s="1" t="s">
        <v>5357</v>
      </c>
      <c r="W534" s="1" t="s">
        <v>74</v>
      </c>
      <c r="X534" s="1" t="s">
        <v>74</v>
      </c>
      <c r="Y534" s="1" t="s">
        <v>74</v>
      </c>
      <c r="Z534" s="1" t="s">
        <v>74</v>
      </c>
      <c r="AA534" s="1" t="s">
        <v>5358</v>
      </c>
      <c r="AB534" s="1" t="s">
        <v>5359</v>
      </c>
      <c r="AC534" s="1" t="s">
        <v>74</v>
      </c>
      <c r="AD534" s="1" t="s">
        <v>74</v>
      </c>
      <c r="AE534" s="1" t="s">
        <v>74</v>
      </c>
      <c r="AF534" s="1" t="s">
        <v>74</v>
      </c>
      <c r="AG534" s="1" t="s">
        <v>74</v>
      </c>
      <c r="AH534" s="1" t="s">
        <v>74</v>
      </c>
      <c r="AI534" s="1" t="s">
        <v>74</v>
      </c>
      <c r="AJ534" s="1" t="s">
        <v>74</v>
      </c>
      <c r="AK534" s="1" t="s">
        <v>74</v>
      </c>
      <c r="AL534" s="1" t="s">
        <v>74</v>
      </c>
      <c r="AM534" s="1" t="s">
        <v>74</v>
      </c>
      <c r="AN534" s="1" t="s">
        <v>74</v>
      </c>
      <c r="AO534" s="1" t="s">
        <v>5360</v>
      </c>
      <c r="AP534" s="1" t="s">
        <v>5361</v>
      </c>
      <c r="AQ534" s="1" t="s">
        <v>74</v>
      </c>
      <c r="AR534" s="1" t="s">
        <v>74</v>
      </c>
      <c r="AS534" s="1" t="s">
        <v>74</v>
      </c>
      <c r="AT534" s="1" t="s">
        <v>339</v>
      </c>
      <c r="AU534" s="1">
        <v>2021.0</v>
      </c>
      <c r="AV534" s="1">
        <v>36.0</v>
      </c>
      <c r="AW534" s="1">
        <v>10.0</v>
      </c>
      <c r="AX534" s="1" t="s">
        <v>74</v>
      </c>
      <c r="AY534" s="1" t="s">
        <v>74</v>
      </c>
      <c r="AZ534" s="1" t="s">
        <v>74</v>
      </c>
      <c r="BA534" s="1" t="s">
        <v>74</v>
      </c>
      <c r="BB534" s="1">
        <v>853.0</v>
      </c>
      <c r="BC534" s="1">
        <v>866.0</v>
      </c>
      <c r="BD534" s="1">
        <v>8.83073821989164E14</v>
      </c>
      <c r="BE534" s="1" t="s">
        <v>5362</v>
      </c>
      <c r="BF534" s="2" t="str">
        <f>HYPERLINK("http://dx.doi.org/10.1177/0883073821989164","http://dx.doi.org/10.1177/0883073821989164")</f>
        <v>http://dx.doi.org/10.1177/0883073821989164</v>
      </c>
      <c r="BG534" s="1" t="s">
        <v>74</v>
      </c>
      <c r="BH534" s="1" t="s">
        <v>5363</v>
      </c>
      <c r="BI534" s="1" t="s">
        <v>74</v>
      </c>
      <c r="BJ534" s="1" t="s">
        <v>74</v>
      </c>
      <c r="BK534" s="1" t="s">
        <v>74</v>
      </c>
      <c r="BL534" s="1" t="s">
        <v>74</v>
      </c>
      <c r="BM534" s="1" t="s">
        <v>74</v>
      </c>
      <c r="BN534" s="1">
        <v>3.3646895E7</v>
      </c>
      <c r="BO534" s="1" t="s">
        <v>74</v>
      </c>
      <c r="BP534" s="1" t="s">
        <v>74</v>
      </c>
      <c r="BQ534" s="1" t="s">
        <v>74</v>
      </c>
      <c r="BR534" s="1" t="s">
        <v>74</v>
      </c>
      <c r="BS534" s="1" t="s">
        <v>5364</v>
      </c>
      <c r="BT534" s="1" t="str">
        <f>HYPERLINK("https%3A%2F%2Fwww.webofscience.com%2Fwos%2Fwoscc%2Ffull-record%2FWOS:000637142700001","View Full Record in Web of Science")</f>
        <v>View Full Record in Web of Science</v>
      </c>
    </row>
    <row r="535" ht="12.75" customHeight="1">
      <c r="A535" s="1" t="s">
        <v>72</v>
      </c>
      <c r="B535" s="1" t="s">
        <v>5365</v>
      </c>
      <c r="C535" s="1" t="s">
        <v>74</v>
      </c>
      <c r="D535" s="1" t="s">
        <v>74</v>
      </c>
      <c r="E535" s="1" t="s">
        <v>74</v>
      </c>
      <c r="F535" s="1" t="s">
        <v>5366</v>
      </c>
      <c r="G535" s="1" t="s">
        <v>74</v>
      </c>
      <c r="H535" s="1" t="s">
        <v>74</v>
      </c>
      <c r="I535" s="1" t="s">
        <v>5367</v>
      </c>
      <c r="J535" s="1" t="s">
        <v>5368</v>
      </c>
      <c r="K535" s="1" t="s">
        <v>74</v>
      </c>
      <c r="L535" s="1" t="s">
        <v>74</v>
      </c>
      <c r="M535" s="1" t="s">
        <v>74</v>
      </c>
      <c r="N535" s="1" t="s">
        <v>74</v>
      </c>
      <c r="O535" s="1" t="s">
        <v>74</v>
      </c>
      <c r="P535" s="1" t="s">
        <v>74</v>
      </c>
      <c r="Q535" s="1" t="s">
        <v>74</v>
      </c>
      <c r="R535" s="1" t="s">
        <v>74</v>
      </c>
      <c r="S535" s="1" t="s">
        <v>74</v>
      </c>
      <c r="T535" s="1" t="s">
        <v>74</v>
      </c>
      <c r="U535" s="1" t="s">
        <v>74</v>
      </c>
      <c r="V535" s="1" t="s">
        <v>5369</v>
      </c>
      <c r="W535" s="1" t="s">
        <v>74</v>
      </c>
      <c r="X535" s="1" t="s">
        <v>74</v>
      </c>
      <c r="Y535" s="1" t="s">
        <v>74</v>
      </c>
      <c r="Z535" s="1" t="s">
        <v>74</v>
      </c>
      <c r="AA535" s="1" t="s">
        <v>74</v>
      </c>
      <c r="AB535" s="1" t="s">
        <v>5370</v>
      </c>
      <c r="AC535" s="1" t="s">
        <v>74</v>
      </c>
      <c r="AD535" s="1" t="s">
        <v>74</v>
      </c>
      <c r="AE535" s="1" t="s">
        <v>74</v>
      </c>
      <c r="AF535" s="1" t="s">
        <v>74</v>
      </c>
      <c r="AG535" s="1" t="s">
        <v>74</v>
      </c>
      <c r="AH535" s="1" t="s">
        <v>74</v>
      </c>
      <c r="AI535" s="1" t="s">
        <v>74</v>
      </c>
      <c r="AJ535" s="1" t="s">
        <v>74</v>
      </c>
      <c r="AK535" s="1" t="s">
        <v>74</v>
      </c>
      <c r="AL535" s="1" t="s">
        <v>74</v>
      </c>
      <c r="AM535" s="1" t="s">
        <v>74</v>
      </c>
      <c r="AN535" s="1" t="s">
        <v>74</v>
      </c>
      <c r="AO535" s="1" t="s">
        <v>5371</v>
      </c>
      <c r="AP535" s="1" t="s">
        <v>74</v>
      </c>
      <c r="AQ535" s="1" t="s">
        <v>74</v>
      </c>
      <c r="AR535" s="1" t="s">
        <v>74</v>
      </c>
      <c r="AS535" s="1" t="s">
        <v>74</v>
      </c>
      <c r="AT535" s="1" t="s">
        <v>678</v>
      </c>
      <c r="AU535" s="1">
        <v>2020.0</v>
      </c>
      <c r="AV535" s="1">
        <v>20.0</v>
      </c>
      <c r="AW535" s="1">
        <v>10.0</v>
      </c>
      <c r="AX535" s="1" t="s">
        <v>74</v>
      </c>
      <c r="AY535" s="1" t="s">
        <v>74</v>
      </c>
      <c r="AZ535" s="1" t="s">
        <v>74</v>
      </c>
      <c r="BA535" s="1" t="s">
        <v>74</v>
      </c>
      <c r="BB535" s="1" t="s">
        <v>74</v>
      </c>
      <c r="BC535" s="1" t="s">
        <v>74</v>
      </c>
      <c r="BD535" s="1" t="s">
        <v>5372</v>
      </c>
      <c r="BE535" s="1" t="s">
        <v>5373</v>
      </c>
      <c r="BF535" s="2" t="str">
        <f>HYPERLINK("http://dx.doi.org/10.5867/medwave.2020.10.8060","http://dx.doi.org/10.5867/medwave.2020.10.8060")</f>
        <v>http://dx.doi.org/10.5867/medwave.2020.10.8060</v>
      </c>
      <c r="BG535" s="1" t="s">
        <v>74</v>
      </c>
      <c r="BH535" s="1" t="s">
        <v>74</v>
      </c>
      <c r="BI535" s="1" t="s">
        <v>74</v>
      </c>
      <c r="BJ535" s="1" t="s">
        <v>74</v>
      </c>
      <c r="BK535" s="1" t="s">
        <v>74</v>
      </c>
      <c r="BL535" s="1" t="s">
        <v>74</v>
      </c>
      <c r="BM535" s="1" t="s">
        <v>74</v>
      </c>
      <c r="BN535" s="1">
        <v>3.3231572E7</v>
      </c>
      <c r="BO535" s="1" t="s">
        <v>74</v>
      </c>
      <c r="BP535" s="1" t="s">
        <v>74</v>
      </c>
      <c r="BQ535" s="1" t="s">
        <v>74</v>
      </c>
      <c r="BR535" s="1" t="s">
        <v>74</v>
      </c>
      <c r="BS535" s="1" t="s">
        <v>5374</v>
      </c>
      <c r="BT535" s="1" t="str">
        <f>HYPERLINK("https%3A%2F%2Fwww.webofscience.com%2Fwos%2Fwoscc%2Ffull-record%2FWOS:000603383400003","View Full Record in Web of Science")</f>
        <v>View Full Record in Web of Science</v>
      </c>
    </row>
    <row r="536" ht="12.75" customHeight="1">
      <c r="A536" s="1" t="s">
        <v>72</v>
      </c>
      <c r="B536" s="1" t="s">
        <v>5375</v>
      </c>
      <c r="C536" s="1" t="s">
        <v>74</v>
      </c>
      <c r="D536" s="1" t="s">
        <v>74</v>
      </c>
      <c r="E536" s="1" t="s">
        <v>74</v>
      </c>
      <c r="F536" s="1" t="s">
        <v>5376</v>
      </c>
      <c r="G536" s="1" t="s">
        <v>74</v>
      </c>
      <c r="H536" s="1" t="s">
        <v>74</v>
      </c>
      <c r="I536" s="1" t="s">
        <v>5377</v>
      </c>
      <c r="J536" s="1" t="s">
        <v>489</v>
      </c>
      <c r="K536" s="1" t="s">
        <v>74</v>
      </c>
      <c r="L536" s="1" t="s">
        <v>74</v>
      </c>
      <c r="M536" s="1" t="s">
        <v>74</v>
      </c>
      <c r="N536" s="1" t="s">
        <v>74</v>
      </c>
      <c r="O536" s="1" t="s">
        <v>74</v>
      </c>
      <c r="P536" s="1" t="s">
        <v>74</v>
      </c>
      <c r="Q536" s="1" t="s">
        <v>74</v>
      </c>
      <c r="R536" s="1" t="s">
        <v>74</v>
      </c>
      <c r="S536" s="1" t="s">
        <v>74</v>
      </c>
      <c r="T536" s="1" t="s">
        <v>74</v>
      </c>
      <c r="U536" s="1" t="s">
        <v>74</v>
      </c>
      <c r="V536" s="1" t="s">
        <v>5378</v>
      </c>
      <c r="W536" s="1" t="s">
        <v>74</v>
      </c>
      <c r="X536" s="1" t="s">
        <v>74</v>
      </c>
      <c r="Y536" s="1" t="s">
        <v>74</v>
      </c>
      <c r="Z536" s="1" t="s">
        <v>74</v>
      </c>
      <c r="AA536" s="1" t="s">
        <v>5379</v>
      </c>
      <c r="AB536" s="1" t="s">
        <v>5380</v>
      </c>
      <c r="AC536" s="1" t="s">
        <v>74</v>
      </c>
      <c r="AD536" s="1" t="s">
        <v>74</v>
      </c>
      <c r="AE536" s="1" t="s">
        <v>74</v>
      </c>
      <c r="AF536" s="1" t="s">
        <v>74</v>
      </c>
      <c r="AG536" s="1" t="s">
        <v>74</v>
      </c>
      <c r="AH536" s="1" t="s">
        <v>74</v>
      </c>
      <c r="AI536" s="1" t="s">
        <v>74</v>
      </c>
      <c r="AJ536" s="1" t="s">
        <v>74</v>
      </c>
      <c r="AK536" s="1" t="s">
        <v>74</v>
      </c>
      <c r="AL536" s="1" t="s">
        <v>74</v>
      </c>
      <c r="AM536" s="1" t="s">
        <v>74</v>
      </c>
      <c r="AN536" s="1" t="s">
        <v>74</v>
      </c>
      <c r="AO536" s="1" t="s">
        <v>492</v>
      </c>
      <c r="AP536" s="1" t="s">
        <v>74</v>
      </c>
      <c r="AQ536" s="1" t="s">
        <v>74</v>
      </c>
      <c r="AR536" s="1" t="s">
        <v>74</v>
      </c>
      <c r="AS536" s="1" t="s">
        <v>74</v>
      </c>
      <c r="AT536" s="1" t="s">
        <v>257</v>
      </c>
      <c r="AU536" s="1">
        <v>2020.0</v>
      </c>
      <c r="AV536" s="1">
        <v>65.0</v>
      </c>
      <c r="AW536" s="1">
        <v>1.0</v>
      </c>
      <c r="AX536" s="1" t="s">
        <v>74</v>
      </c>
      <c r="AY536" s="1" t="s">
        <v>74</v>
      </c>
      <c r="AZ536" s="1" t="s">
        <v>74</v>
      </c>
      <c r="BA536" s="1" t="s">
        <v>74</v>
      </c>
      <c r="BB536" s="1">
        <v>4682.0</v>
      </c>
      <c r="BC536" s="1">
        <v>4685.0</v>
      </c>
      <c r="BD536" s="1" t="s">
        <v>74</v>
      </c>
      <c r="BE536" s="1" t="s">
        <v>74</v>
      </c>
      <c r="BF536" s="1" t="s">
        <v>74</v>
      </c>
      <c r="BG536" s="1" t="s">
        <v>74</v>
      </c>
      <c r="BH536" s="1" t="s">
        <v>74</v>
      </c>
      <c r="BI536" s="1" t="s">
        <v>74</v>
      </c>
      <c r="BJ536" s="1" t="s">
        <v>74</v>
      </c>
      <c r="BK536" s="1" t="s">
        <v>74</v>
      </c>
      <c r="BL536" s="1" t="s">
        <v>74</v>
      </c>
      <c r="BM536" s="1" t="s">
        <v>74</v>
      </c>
      <c r="BN536" s="1" t="s">
        <v>74</v>
      </c>
      <c r="BO536" s="1" t="s">
        <v>74</v>
      </c>
      <c r="BP536" s="1" t="s">
        <v>74</v>
      </c>
      <c r="BQ536" s="1" t="s">
        <v>74</v>
      </c>
      <c r="BR536" s="1" t="s">
        <v>74</v>
      </c>
      <c r="BS536" s="1" t="s">
        <v>5381</v>
      </c>
      <c r="BT536" s="1" t="str">
        <f>HYPERLINK("https%3A%2F%2Fwww.webofscience.com%2Fwos%2Fwoscc%2Ffull-record%2FWOS:000528017500006","View Full Record in Web of Science")</f>
        <v>View Full Record in Web of Science</v>
      </c>
    </row>
    <row r="537" ht="12.75" customHeight="1">
      <c r="A537" s="1" t="s">
        <v>182</v>
      </c>
      <c r="B537" s="1" t="s">
        <v>5382</v>
      </c>
      <c r="C537" s="1" t="s">
        <v>74</v>
      </c>
      <c r="D537" s="1" t="s">
        <v>74</v>
      </c>
      <c r="E537" s="1" t="s">
        <v>184</v>
      </c>
      <c r="F537" s="1" t="s">
        <v>5383</v>
      </c>
      <c r="G537" s="1" t="s">
        <v>74</v>
      </c>
      <c r="H537" s="1" t="s">
        <v>74</v>
      </c>
      <c r="I537" s="1" t="s">
        <v>5384</v>
      </c>
      <c r="J537" s="1" t="s">
        <v>5385</v>
      </c>
      <c r="K537" s="1" t="s">
        <v>74</v>
      </c>
      <c r="L537" s="1" t="s">
        <v>74</v>
      </c>
      <c r="M537" s="1" t="s">
        <v>74</v>
      </c>
      <c r="N537" s="1" t="s">
        <v>74</v>
      </c>
      <c r="O537" s="1" t="s">
        <v>5386</v>
      </c>
      <c r="P537" s="1" t="s">
        <v>5387</v>
      </c>
      <c r="Q537" s="1" t="s">
        <v>5388</v>
      </c>
      <c r="R537" s="1" t="s">
        <v>5389</v>
      </c>
      <c r="S537" s="1" t="s">
        <v>74</v>
      </c>
      <c r="T537" s="1" t="s">
        <v>74</v>
      </c>
      <c r="U537" s="1" t="s">
        <v>74</v>
      </c>
      <c r="V537" s="1" t="s">
        <v>5390</v>
      </c>
      <c r="W537" s="1" t="s">
        <v>74</v>
      </c>
      <c r="X537" s="1" t="s">
        <v>74</v>
      </c>
      <c r="Y537" s="1" t="s">
        <v>74</v>
      </c>
      <c r="Z537" s="1" t="s">
        <v>74</v>
      </c>
      <c r="AA537" s="1" t="s">
        <v>5391</v>
      </c>
      <c r="AB537" s="1" t="s">
        <v>5392</v>
      </c>
      <c r="AC537" s="1" t="s">
        <v>74</v>
      </c>
      <c r="AD537" s="1" t="s">
        <v>74</v>
      </c>
      <c r="AE537" s="1" t="s">
        <v>74</v>
      </c>
      <c r="AF537" s="1" t="s">
        <v>74</v>
      </c>
      <c r="AG537" s="1" t="s">
        <v>74</v>
      </c>
      <c r="AH537" s="1" t="s">
        <v>74</v>
      </c>
      <c r="AI537" s="1" t="s">
        <v>74</v>
      </c>
      <c r="AJ537" s="1" t="s">
        <v>74</v>
      </c>
      <c r="AK537" s="1" t="s">
        <v>74</v>
      </c>
      <c r="AL537" s="1" t="s">
        <v>74</v>
      </c>
      <c r="AM537" s="1" t="s">
        <v>74</v>
      </c>
      <c r="AN537" s="1" t="s">
        <v>74</v>
      </c>
      <c r="AO537" s="1" t="s">
        <v>74</v>
      </c>
      <c r="AP537" s="1" t="s">
        <v>74</v>
      </c>
      <c r="AQ537" s="1" t="s">
        <v>5393</v>
      </c>
      <c r="AR537" s="1" t="s">
        <v>74</v>
      </c>
      <c r="AS537" s="1" t="s">
        <v>74</v>
      </c>
      <c r="AT537" s="1" t="s">
        <v>74</v>
      </c>
      <c r="AU537" s="1">
        <v>2020.0</v>
      </c>
      <c r="AV537" s="1" t="s">
        <v>74</v>
      </c>
      <c r="AW537" s="1" t="s">
        <v>74</v>
      </c>
      <c r="AX537" s="1" t="s">
        <v>74</v>
      </c>
      <c r="AY537" s="1" t="s">
        <v>74</v>
      </c>
      <c r="AZ537" s="1" t="s">
        <v>74</v>
      </c>
      <c r="BA537" s="1" t="s">
        <v>74</v>
      </c>
      <c r="BB537" s="1" t="s">
        <v>74</v>
      </c>
      <c r="BC537" s="1" t="s">
        <v>74</v>
      </c>
      <c r="BD537" s="1" t="s">
        <v>74</v>
      </c>
      <c r="BE537" s="1" t="s">
        <v>74</v>
      </c>
      <c r="BF537" s="1" t="s">
        <v>74</v>
      </c>
      <c r="BG537" s="1" t="s">
        <v>74</v>
      </c>
      <c r="BH537" s="1" t="s">
        <v>74</v>
      </c>
      <c r="BI537" s="1" t="s">
        <v>74</v>
      </c>
      <c r="BJ537" s="1" t="s">
        <v>74</v>
      </c>
      <c r="BK537" s="1" t="s">
        <v>74</v>
      </c>
      <c r="BL537" s="1" t="s">
        <v>74</v>
      </c>
      <c r="BM537" s="1" t="s">
        <v>74</v>
      </c>
      <c r="BN537" s="1" t="s">
        <v>74</v>
      </c>
      <c r="BO537" s="1" t="s">
        <v>74</v>
      </c>
      <c r="BP537" s="1" t="s">
        <v>74</v>
      </c>
      <c r="BQ537" s="1" t="s">
        <v>74</v>
      </c>
      <c r="BR537" s="1" t="s">
        <v>74</v>
      </c>
      <c r="BS537" s="1" t="s">
        <v>5394</v>
      </c>
      <c r="BT537" s="1" t="str">
        <f>HYPERLINK("https%3A%2F%2Fwww.webofscience.com%2Fwos%2Fwoscc%2Ffull-record%2FWOS:000681647700065","View Full Record in Web of Science")</f>
        <v>View Full Record in Web of Science</v>
      </c>
    </row>
    <row r="538" ht="12.75" customHeight="1">
      <c r="A538" s="1" t="s">
        <v>72</v>
      </c>
      <c r="B538" s="1" t="s">
        <v>5395</v>
      </c>
      <c r="C538" s="1" t="s">
        <v>74</v>
      </c>
      <c r="D538" s="1" t="s">
        <v>74</v>
      </c>
      <c r="E538" s="1" t="s">
        <v>74</v>
      </c>
      <c r="F538" s="1" t="s">
        <v>5396</v>
      </c>
      <c r="G538" s="1" t="s">
        <v>74</v>
      </c>
      <c r="H538" s="1" t="s">
        <v>74</v>
      </c>
      <c r="I538" s="1" t="s">
        <v>5397</v>
      </c>
      <c r="J538" s="1" t="s">
        <v>5398</v>
      </c>
      <c r="K538" s="1" t="s">
        <v>74</v>
      </c>
      <c r="L538" s="1" t="s">
        <v>74</v>
      </c>
      <c r="M538" s="1" t="s">
        <v>74</v>
      </c>
      <c r="N538" s="1" t="s">
        <v>74</v>
      </c>
      <c r="O538" s="1" t="s">
        <v>74</v>
      </c>
      <c r="P538" s="1" t="s">
        <v>74</v>
      </c>
      <c r="Q538" s="1" t="s">
        <v>74</v>
      </c>
      <c r="R538" s="1" t="s">
        <v>74</v>
      </c>
      <c r="S538" s="1" t="s">
        <v>74</v>
      </c>
      <c r="T538" s="1" t="s">
        <v>74</v>
      </c>
      <c r="U538" s="1" t="s">
        <v>74</v>
      </c>
      <c r="V538" s="1" t="s">
        <v>5399</v>
      </c>
      <c r="W538" s="1" t="s">
        <v>74</v>
      </c>
      <c r="X538" s="1" t="s">
        <v>74</v>
      </c>
      <c r="Y538" s="1" t="s">
        <v>74</v>
      </c>
      <c r="Z538" s="1" t="s">
        <v>74</v>
      </c>
      <c r="AA538" s="1" t="s">
        <v>5400</v>
      </c>
      <c r="AB538" s="1" t="s">
        <v>5401</v>
      </c>
      <c r="AC538" s="1" t="s">
        <v>74</v>
      </c>
      <c r="AD538" s="1" t="s">
        <v>74</v>
      </c>
      <c r="AE538" s="1" t="s">
        <v>74</v>
      </c>
      <c r="AF538" s="1" t="s">
        <v>74</v>
      </c>
      <c r="AG538" s="1" t="s">
        <v>74</v>
      </c>
      <c r="AH538" s="1" t="s">
        <v>74</v>
      </c>
      <c r="AI538" s="1" t="s">
        <v>74</v>
      </c>
      <c r="AJ538" s="1" t="s">
        <v>74</v>
      </c>
      <c r="AK538" s="1" t="s">
        <v>74</v>
      </c>
      <c r="AL538" s="1" t="s">
        <v>74</v>
      </c>
      <c r="AM538" s="1" t="s">
        <v>74</v>
      </c>
      <c r="AN538" s="1" t="s">
        <v>74</v>
      </c>
      <c r="AO538" s="1" t="s">
        <v>5402</v>
      </c>
      <c r="AP538" s="1" t="s">
        <v>5403</v>
      </c>
      <c r="AQ538" s="1" t="s">
        <v>74</v>
      </c>
      <c r="AR538" s="1" t="s">
        <v>74</v>
      </c>
      <c r="AS538" s="1" t="s">
        <v>74</v>
      </c>
      <c r="AT538" s="1" t="s">
        <v>5404</v>
      </c>
      <c r="AU538" s="1">
        <v>2021.0</v>
      </c>
      <c r="AV538" s="1">
        <v>100.0</v>
      </c>
      <c r="AW538" s="1">
        <v>14.0</v>
      </c>
      <c r="AX538" s="1" t="s">
        <v>74</v>
      </c>
      <c r="AY538" s="1" t="s">
        <v>74</v>
      </c>
      <c r="AZ538" s="1" t="s">
        <v>74</v>
      </c>
      <c r="BA538" s="1" t="s">
        <v>74</v>
      </c>
      <c r="BB538" s="1">
        <v>2965.0</v>
      </c>
      <c r="BC538" s="1">
        <v>2988.0</v>
      </c>
      <c r="BD538" s="1" t="s">
        <v>74</v>
      </c>
      <c r="BE538" s="1" t="s">
        <v>5405</v>
      </c>
      <c r="BF538" s="2" t="str">
        <f>HYPERLINK("http://dx.doi.org/10.1080/00036811.2019.1704737","http://dx.doi.org/10.1080/00036811.2019.1704737")</f>
        <v>http://dx.doi.org/10.1080/00036811.2019.1704737</v>
      </c>
      <c r="BG538" s="1" t="s">
        <v>74</v>
      </c>
      <c r="BH538" s="1" t="s">
        <v>5406</v>
      </c>
      <c r="BI538" s="1" t="s">
        <v>74</v>
      </c>
      <c r="BJ538" s="1" t="s">
        <v>74</v>
      </c>
      <c r="BK538" s="1" t="s">
        <v>74</v>
      </c>
      <c r="BL538" s="1" t="s">
        <v>74</v>
      </c>
      <c r="BM538" s="1" t="s">
        <v>74</v>
      </c>
      <c r="BN538" s="1" t="s">
        <v>74</v>
      </c>
      <c r="BO538" s="1" t="s">
        <v>74</v>
      </c>
      <c r="BP538" s="1" t="s">
        <v>74</v>
      </c>
      <c r="BQ538" s="1" t="s">
        <v>74</v>
      </c>
      <c r="BR538" s="1" t="s">
        <v>74</v>
      </c>
      <c r="BS538" s="1" t="s">
        <v>5407</v>
      </c>
      <c r="BT538" s="1" t="str">
        <f>HYPERLINK("https%3A%2F%2Fwww.webofscience.com%2Fwos%2Fwoscc%2Ffull-record%2FWOS:000504532500001","View Full Record in Web of Science")</f>
        <v>View Full Record in Web of Science</v>
      </c>
    </row>
    <row r="539" ht="12.75" customHeight="1">
      <c r="A539" s="1" t="s">
        <v>72</v>
      </c>
      <c r="B539" s="1" t="s">
        <v>5408</v>
      </c>
      <c r="C539" s="1" t="s">
        <v>74</v>
      </c>
      <c r="D539" s="1" t="s">
        <v>74</v>
      </c>
      <c r="E539" s="1" t="s">
        <v>74</v>
      </c>
      <c r="F539" s="1" t="s">
        <v>5409</v>
      </c>
      <c r="G539" s="1" t="s">
        <v>74</v>
      </c>
      <c r="H539" s="1" t="s">
        <v>74</v>
      </c>
      <c r="I539" s="1" t="s">
        <v>5410</v>
      </c>
      <c r="J539" s="1" t="s">
        <v>1873</v>
      </c>
      <c r="K539" s="1" t="s">
        <v>74</v>
      </c>
      <c r="L539" s="1" t="s">
        <v>74</v>
      </c>
      <c r="M539" s="1" t="s">
        <v>74</v>
      </c>
      <c r="N539" s="1" t="s">
        <v>74</v>
      </c>
      <c r="O539" s="1" t="s">
        <v>74</v>
      </c>
      <c r="P539" s="1" t="s">
        <v>74</v>
      </c>
      <c r="Q539" s="1" t="s">
        <v>74</v>
      </c>
      <c r="R539" s="1" t="s">
        <v>74</v>
      </c>
      <c r="S539" s="1" t="s">
        <v>74</v>
      </c>
      <c r="T539" s="1" t="s">
        <v>74</v>
      </c>
      <c r="U539" s="1" t="s">
        <v>74</v>
      </c>
      <c r="V539" s="1" t="s">
        <v>5411</v>
      </c>
      <c r="W539" s="1" t="s">
        <v>74</v>
      </c>
      <c r="X539" s="1" t="s">
        <v>74</v>
      </c>
      <c r="Y539" s="1" t="s">
        <v>74</v>
      </c>
      <c r="Z539" s="1" t="s">
        <v>74</v>
      </c>
      <c r="AA539" s="1" t="s">
        <v>5412</v>
      </c>
      <c r="AB539" s="1" t="s">
        <v>74</v>
      </c>
      <c r="AC539" s="1" t="s">
        <v>74</v>
      </c>
      <c r="AD539" s="1" t="s">
        <v>74</v>
      </c>
      <c r="AE539" s="1" t="s">
        <v>74</v>
      </c>
      <c r="AF539" s="1" t="s">
        <v>74</v>
      </c>
      <c r="AG539" s="1" t="s">
        <v>74</v>
      </c>
      <c r="AH539" s="1" t="s">
        <v>74</v>
      </c>
      <c r="AI539" s="1" t="s">
        <v>74</v>
      </c>
      <c r="AJ539" s="1" t="s">
        <v>74</v>
      </c>
      <c r="AK539" s="1" t="s">
        <v>74</v>
      </c>
      <c r="AL539" s="1" t="s">
        <v>74</v>
      </c>
      <c r="AM539" s="1" t="s">
        <v>74</v>
      </c>
      <c r="AN539" s="1" t="s">
        <v>74</v>
      </c>
      <c r="AO539" s="1" t="s">
        <v>74</v>
      </c>
      <c r="AP539" s="1" t="s">
        <v>1877</v>
      </c>
      <c r="AQ539" s="1" t="s">
        <v>74</v>
      </c>
      <c r="AR539" s="1" t="s">
        <v>74</v>
      </c>
      <c r="AS539" s="1" t="s">
        <v>74</v>
      </c>
      <c r="AT539" s="1" t="s">
        <v>158</v>
      </c>
      <c r="AU539" s="1">
        <v>2019.0</v>
      </c>
      <c r="AV539" s="1">
        <v>19.0</v>
      </c>
      <c r="AW539" s="1" t="s">
        <v>74</v>
      </c>
      <c r="AX539" s="1" t="s">
        <v>74</v>
      </c>
      <c r="AY539" s="1" t="s">
        <v>74</v>
      </c>
      <c r="AZ539" s="1" t="s">
        <v>74</v>
      </c>
      <c r="BA539" s="1" t="s">
        <v>74</v>
      </c>
      <c r="BB539" s="1" t="s">
        <v>74</v>
      </c>
      <c r="BC539" s="1" t="s">
        <v>74</v>
      </c>
      <c r="BD539" s="1" t="s">
        <v>5413</v>
      </c>
      <c r="BE539" s="1" t="s">
        <v>5414</v>
      </c>
      <c r="BF539" s="2" t="str">
        <f>HYPERLINK("http://dx.doi.org/10.1016/j.gecco.2019.e00658","http://dx.doi.org/10.1016/j.gecco.2019.e00658")</f>
        <v>http://dx.doi.org/10.1016/j.gecco.2019.e00658</v>
      </c>
      <c r="BG539" s="1" t="s">
        <v>74</v>
      </c>
      <c r="BH539" s="1" t="s">
        <v>74</v>
      </c>
      <c r="BI539" s="1" t="s">
        <v>74</v>
      </c>
      <c r="BJ539" s="1" t="s">
        <v>74</v>
      </c>
      <c r="BK539" s="1" t="s">
        <v>74</v>
      </c>
      <c r="BL539" s="1" t="s">
        <v>74</v>
      </c>
      <c r="BM539" s="1" t="s">
        <v>74</v>
      </c>
      <c r="BN539" s="1" t="s">
        <v>74</v>
      </c>
      <c r="BO539" s="1" t="s">
        <v>74</v>
      </c>
      <c r="BP539" s="1" t="s">
        <v>74</v>
      </c>
      <c r="BQ539" s="1" t="s">
        <v>74</v>
      </c>
      <c r="BR539" s="1" t="s">
        <v>74</v>
      </c>
      <c r="BS539" s="1" t="s">
        <v>5415</v>
      </c>
      <c r="BT539" s="1" t="str">
        <f>HYPERLINK("https%3A%2F%2Fwww.webofscience.com%2Fwos%2Fwoscc%2Ffull-record%2FWOS:000477695200012","View Full Record in Web of Science")</f>
        <v>View Full Record in Web of Science</v>
      </c>
    </row>
    <row r="540" ht="12.75" customHeight="1">
      <c r="A540" s="1" t="s">
        <v>72</v>
      </c>
      <c r="B540" s="1" t="s">
        <v>5416</v>
      </c>
      <c r="C540" s="1" t="s">
        <v>74</v>
      </c>
      <c r="D540" s="1" t="s">
        <v>74</v>
      </c>
      <c r="E540" s="1" t="s">
        <v>74</v>
      </c>
      <c r="F540" s="1" t="s">
        <v>5417</v>
      </c>
      <c r="G540" s="1" t="s">
        <v>74</v>
      </c>
      <c r="H540" s="1" t="s">
        <v>74</v>
      </c>
      <c r="I540" s="1" t="s">
        <v>5418</v>
      </c>
      <c r="J540" s="1" t="s">
        <v>5419</v>
      </c>
      <c r="K540" s="1" t="s">
        <v>74</v>
      </c>
      <c r="L540" s="1" t="s">
        <v>74</v>
      </c>
      <c r="M540" s="1" t="s">
        <v>74</v>
      </c>
      <c r="N540" s="1" t="s">
        <v>74</v>
      </c>
      <c r="O540" s="1" t="s">
        <v>74</v>
      </c>
      <c r="P540" s="1" t="s">
        <v>74</v>
      </c>
      <c r="Q540" s="1" t="s">
        <v>74</v>
      </c>
      <c r="R540" s="1" t="s">
        <v>74</v>
      </c>
      <c r="S540" s="1" t="s">
        <v>74</v>
      </c>
      <c r="T540" s="1" t="s">
        <v>74</v>
      </c>
      <c r="U540" s="1" t="s">
        <v>74</v>
      </c>
      <c r="V540" s="1" t="s">
        <v>5420</v>
      </c>
      <c r="W540" s="1" t="s">
        <v>74</v>
      </c>
      <c r="X540" s="1" t="s">
        <v>74</v>
      </c>
      <c r="Y540" s="1" t="s">
        <v>74</v>
      </c>
      <c r="Z540" s="1" t="s">
        <v>74</v>
      </c>
      <c r="AA540" s="1" t="s">
        <v>5421</v>
      </c>
      <c r="AB540" s="1" t="s">
        <v>5422</v>
      </c>
      <c r="AC540" s="1" t="s">
        <v>74</v>
      </c>
      <c r="AD540" s="1" t="s">
        <v>74</v>
      </c>
      <c r="AE540" s="1" t="s">
        <v>74</v>
      </c>
      <c r="AF540" s="1" t="s">
        <v>74</v>
      </c>
      <c r="AG540" s="1" t="s">
        <v>74</v>
      </c>
      <c r="AH540" s="1" t="s">
        <v>74</v>
      </c>
      <c r="AI540" s="1" t="s">
        <v>74</v>
      </c>
      <c r="AJ540" s="1" t="s">
        <v>74</v>
      </c>
      <c r="AK540" s="1" t="s">
        <v>74</v>
      </c>
      <c r="AL540" s="1" t="s">
        <v>74</v>
      </c>
      <c r="AM540" s="1" t="s">
        <v>74</v>
      </c>
      <c r="AN540" s="1" t="s">
        <v>74</v>
      </c>
      <c r="AO540" s="1" t="s">
        <v>5423</v>
      </c>
      <c r="AP540" s="1" t="s">
        <v>5424</v>
      </c>
      <c r="AQ540" s="1" t="s">
        <v>74</v>
      </c>
      <c r="AR540" s="1" t="s">
        <v>74</v>
      </c>
      <c r="AS540" s="1" t="s">
        <v>74</v>
      </c>
      <c r="AT540" s="1" t="s">
        <v>235</v>
      </c>
      <c r="AU540" s="1">
        <v>2019.0</v>
      </c>
      <c r="AV540" s="1">
        <v>15.0</v>
      </c>
      <c r="AW540" s="1">
        <v>2.0</v>
      </c>
      <c r="AX540" s="1" t="s">
        <v>74</v>
      </c>
      <c r="AY540" s="1" t="s">
        <v>74</v>
      </c>
      <c r="AZ540" s="1" t="s">
        <v>74</v>
      </c>
      <c r="BA540" s="1" t="s">
        <v>74</v>
      </c>
      <c r="BB540" s="1">
        <v>1463.0</v>
      </c>
      <c r="BC540" s="1">
        <v>1475.0</v>
      </c>
      <c r="BD540" s="1" t="s">
        <v>74</v>
      </c>
      <c r="BE540" s="1" t="s">
        <v>5425</v>
      </c>
      <c r="BF540" s="2" t="str">
        <f>HYPERLINK("http://dx.doi.org/10.1021/acs.jctc.8b00772","http://dx.doi.org/10.1021/acs.jctc.8b00772")</f>
        <v>http://dx.doi.org/10.1021/acs.jctc.8b00772</v>
      </c>
      <c r="BG540" s="1" t="s">
        <v>74</v>
      </c>
      <c r="BH540" s="1" t="s">
        <v>74</v>
      </c>
      <c r="BI540" s="1" t="s">
        <v>74</v>
      </c>
      <c r="BJ540" s="1" t="s">
        <v>74</v>
      </c>
      <c r="BK540" s="1" t="s">
        <v>74</v>
      </c>
      <c r="BL540" s="1" t="s">
        <v>74</v>
      </c>
      <c r="BM540" s="1" t="s">
        <v>74</v>
      </c>
      <c r="BN540" s="1">
        <v>3.054375E7</v>
      </c>
      <c r="BO540" s="1" t="s">
        <v>74</v>
      </c>
      <c r="BP540" s="1" t="s">
        <v>74</v>
      </c>
      <c r="BQ540" s="1" t="s">
        <v>74</v>
      </c>
      <c r="BR540" s="1" t="s">
        <v>74</v>
      </c>
      <c r="BS540" s="1" t="s">
        <v>5426</v>
      </c>
      <c r="BT540" s="1" t="str">
        <f>HYPERLINK("https%3A%2F%2Fwww.webofscience.com%2Fwos%2Fwoscc%2Ffull-record%2FWOS:000458937600054","View Full Record in Web of Science")</f>
        <v>View Full Record in Web of Science</v>
      </c>
    </row>
    <row r="541" ht="12.75" customHeight="1">
      <c r="A541" s="1" t="s">
        <v>274</v>
      </c>
      <c r="B541" s="1" t="s">
        <v>1344</v>
      </c>
      <c r="C541" s="1" t="s">
        <v>74</v>
      </c>
      <c r="D541" s="1" t="s">
        <v>5427</v>
      </c>
      <c r="E541" s="1" t="s">
        <v>74</v>
      </c>
      <c r="F541" s="1" t="s">
        <v>3555</v>
      </c>
      <c r="G541" s="1" t="s">
        <v>74</v>
      </c>
      <c r="H541" s="1" t="s">
        <v>74</v>
      </c>
      <c r="I541" s="1" t="s">
        <v>5428</v>
      </c>
      <c r="J541" s="1" t="s">
        <v>5429</v>
      </c>
      <c r="K541" s="1" t="s">
        <v>74</v>
      </c>
      <c r="L541" s="1" t="s">
        <v>74</v>
      </c>
      <c r="M541" s="1" t="s">
        <v>74</v>
      </c>
      <c r="N541" s="1" t="s">
        <v>74</v>
      </c>
      <c r="O541" s="1" t="s">
        <v>74</v>
      </c>
      <c r="P541" s="1" t="s">
        <v>74</v>
      </c>
      <c r="Q541" s="1" t="s">
        <v>74</v>
      </c>
      <c r="R541" s="1" t="s">
        <v>74</v>
      </c>
      <c r="S541" s="1" t="s">
        <v>74</v>
      </c>
      <c r="T541" s="1" t="s">
        <v>74</v>
      </c>
      <c r="U541" s="1" t="s">
        <v>74</v>
      </c>
      <c r="V541" s="1" t="s">
        <v>74</v>
      </c>
      <c r="W541" s="1" t="s">
        <v>74</v>
      </c>
      <c r="X541" s="1" t="s">
        <v>74</v>
      </c>
      <c r="Y541" s="1" t="s">
        <v>74</v>
      </c>
      <c r="Z541" s="1" t="s">
        <v>74</v>
      </c>
      <c r="AA541" s="1" t="s">
        <v>74</v>
      </c>
      <c r="AB541" s="1" t="s">
        <v>74</v>
      </c>
      <c r="AC541" s="1" t="s">
        <v>74</v>
      </c>
      <c r="AD541" s="1" t="s">
        <v>74</v>
      </c>
      <c r="AE541" s="1" t="s">
        <v>74</v>
      </c>
      <c r="AF541" s="1" t="s">
        <v>74</v>
      </c>
      <c r="AG541" s="1" t="s">
        <v>74</v>
      </c>
      <c r="AH541" s="1" t="s">
        <v>74</v>
      </c>
      <c r="AI541" s="1" t="s">
        <v>74</v>
      </c>
      <c r="AJ541" s="1" t="s">
        <v>74</v>
      </c>
      <c r="AK541" s="1" t="s">
        <v>74</v>
      </c>
      <c r="AL541" s="1" t="s">
        <v>74</v>
      </c>
      <c r="AM541" s="1" t="s">
        <v>74</v>
      </c>
      <c r="AN541" s="1" t="s">
        <v>74</v>
      </c>
      <c r="AO541" s="1" t="s">
        <v>74</v>
      </c>
      <c r="AP541" s="1" t="s">
        <v>74</v>
      </c>
      <c r="AQ541" s="1" t="s">
        <v>5430</v>
      </c>
      <c r="AR541" s="1" t="s">
        <v>74</v>
      </c>
      <c r="AS541" s="1" t="s">
        <v>74</v>
      </c>
      <c r="AT541" s="1" t="s">
        <v>74</v>
      </c>
      <c r="AU541" s="1">
        <v>2019.0</v>
      </c>
      <c r="AV541" s="1" t="s">
        <v>74</v>
      </c>
      <c r="AW541" s="1" t="s">
        <v>74</v>
      </c>
      <c r="AX541" s="1" t="s">
        <v>74</v>
      </c>
      <c r="AY541" s="1" t="s">
        <v>74</v>
      </c>
      <c r="AZ541" s="1" t="s">
        <v>74</v>
      </c>
      <c r="BA541" s="1" t="s">
        <v>74</v>
      </c>
      <c r="BB541" s="1">
        <v>119.0</v>
      </c>
      <c r="BC541" s="1">
        <v>153.0</v>
      </c>
      <c r="BD541" s="1" t="s">
        <v>74</v>
      </c>
      <c r="BE541" s="1" t="s">
        <v>74</v>
      </c>
      <c r="BF541" s="1" t="s">
        <v>74</v>
      </c>
      <c r="BG541" s="1" t="s">
        <v>5431</v>
      </c>
      <c r="BH541" s="1" t="s">
        <v>74</v>
      </c>
      <c r="BI541" s="1" t="s">
        <v>74</v>
      </c>
      <c r="BJ541" s="1" t="s">
        <v>74</v>
      </c>
      <c r="BK541" s="1" t="s">
        <v>74</v>
      </c>
      <c r="BL541" s="1" t="s">
        <v>74</v>
      </c>
      <c r="BM541" s="1" t="s">
        <v>74</v>
      </c>
      <c r="BN541" s="1" t="s">
        <v>74</v>
      </c>
      <c r="BO541" s="1" t="s">
        <v>74</v>
      </c>
      <c r="BP541" s="1" t="s">
        <v>74</v>
      </c>
      <c r="BQ541" s="1" t="s">
        <v>74</v>
      </c>
      <c r="BR541" s="1" t="s">
        <v>74</v>
      </c>
      <c r="BS541" s="1" t="s">
        <v>5432</v>
      </c>
      <c r="BT541" s="1" t="str">
        <f>HYPERLINK("https%3A%2F%2Fwww.webofscience.com%2Fwos%2Fwoscc%2Ffull-record%2FWOS:000576728000008","View Full Record in Web of Science")</f>
        <v>View Full Record in Web of Science</v>
      </c>
    </row>
    <row r="542" ht="12.75" customHeight="1">
      <c r="A542" s="1" t="s">
        <v>72</v>
      </c>
      <c r="B542" s="1" t="s">
        <v>5433</v>
      </c>
      <c r="C542" s="1" t="s">
        <v>74</v>
      </c>
      <c r="D542" s="1" t="s">
        <v>74</v>
      </c>
      <c r="E542" s="1" t="s">
        <v>74</v>
      </c>
      <c r="F542" s="1" t="s">
        <v>5434</v>
      </c>
      <c r="G542" s="1" t="s">
        <v>74</v>
      </c>
      <c r="H542" s="1" t="s">
        <v>74</v>
      </c>
      <c r="I542" s="1" t="s">
        <v>5435</v>
      </c>
      <c r="J542" s="1" t="s">
        <v>568</v>
      </c>
      <c r="K542" s="1" t="s">
        <v>74</v>
      </c>
      <c r="L542" s="1" t="s">
        <v>74</v>
      </c>
      <c r="M542" s="1" t="s">
        <v>74</v>
      </c>
      <c r="N542" s="1" t="s">
        <v>74</v>
      </c>
      <c r="O542" s="1" t="s">
        <v>74</v>
      </c>
      <c r="P542" s="1" t="s">
        <v>74</v>
      </c>
      <c r="Q542" s="1" t="s">
        <v>74</v>
      </c>
      <c r="R542" s="1" t="s">
        <v>74</v>
      </c>
      <c r="S542" s="1" t="s">
        <v>74</v>
      </c>
      <c r="T542" s="1" t="s">
        <v>74</v>
      </c>
      <c r="U542" s="1" t="s">
        <v>74</v>
      </c>
      <c r="V542" s="1" t="s">
        <v>5436</v>
      </c>
      <c r="W542" s="1" t="s">
        <v>74</v>
      </c>
      <c r="X542" s="1" t="s">
        <v>74</v>
      </c>
      <c r="Y542" s="1" t="s">
        <v>74</v>
      </c>
      <c r="Z542" s="1" t="s">
        <v>74</v>
      </c>
      <c r="AA542" s="1" t="s">
        <v>5437</v>
      </c>
      <c r="AB542" s="1" t="s">
        <v>5438</v>
      </c>
      <c r="AC542" s="1" t="s">
        <v>74</v>
      </c>
      <c r="AD542" s="1" t="s">
        <v>74</v>
      </c>
      <c r="AE542" s="1" t="s">
        <v>74</v>
      </c>
      <c r="AF542" s="1" t="s">
        <v>74</v>
      </c>
      <c r="AG542" s="1" t="s">
        <v>74</v>
      </c>
      <c r="AH542" s="1" t="s">
        <v>74</v>
      </c>
      <c r="AI542" s="1" t="s">
        <v>74</v>
      </c>
      <c r="AJ542" s="1" t="s">
        <v>74</v>
      </c>
      <c r="AK542" s="1" t="s">
        <v>74</v>
      </c>
      <c r="AL542" s="1" t="s">
        <v>74</v>
      </c>
      <c r="AM542" s="1" t="s">
        <v>74</v>
      </c>
      <c r="AN542" s="1" t="s">
        <v>74</v>
      </c>
      <c r="AO542" s="1" t="s">
        <v>572</v>
      </c>
      <c r="AP542" s="1" t="s">
        <v>573</v>
      </c>
      <c r="AQ542" s="1" t="s">
        <v>74</v>
      </c>
      <c r="AR542" s="1" t="s">
        <v>74</v>
      </c>
      <c r="AS542" s="1" t="s">
        <v>74</v>
      </c>
      <c r="AT542" s="1" t="s">
        <v>257</v>
      </c>
      <c r="AU542" s="1">
        <v>2018.0</v>
      </c>
      <c r="AV542" s="1">
        <v>32.0</v>
      </c>
      <c r="AW542" s="1">
        <v>3.0</v>
      </c>
      <c r="AX542" s="1" t="s">
        <v>74</v>
      </c>
      <c r="AY542" s="1" t="s">
        <v>74</v>
      </c>
      <c r="AZ542" s="1" t="s">
        <v>74</v>
      </c>
      <c r="BA542" s="1" t="s">
        <v>74</v>
      </c>
      <c r="BB542" s="1" t="s">
        <v>74</v>
      </c>
      <c r="BC542" s="1" t="s">
        <v>74</v>
      </c>
      <c r="BD542" s="1" t="s">
        <v>5439</v>
      </c>
      <c r="BE542" s="1" t="s">
        <v>5440</v>
      </c>
      <c r="BF542" s="2" t="str">
        <f>HYPERLINK("http://dx.doi.org/10.1002/aoc.4115","http://dx.doi.org/10.1002/aoc.4115")</f>
        <v>http://dx.doi.org/10.1002/aoc.4115</v>
      </c>
      <c r="BG542" s="1" t="s">
        <v>74</v>
      </c>
      <c r="BH542" s="1" t="s">
        <v>74</v>
      </c>
      <c r="BI542" s="1" t="s">
        <v>74</v>
      </c>
      <c r="BJ542" s="1" t="s">
        <v>74</v>
      </c>
      <c r="BK542" s="1" t="s">
        <v>74</v>
      </c>
      <c r="BL542" s="1" t="s">
        <v>74</v>
      </c>
      <c r="BM542" s="1" t="s">
        <v>74</v>
      </c>
      <c r="BN542" s="1" t="s">
        <v>74</v>
      </c>
      <c r="BO542" s="1" t="s">
        <v>74</v>
      </c>
      <c r="BP542" s="1" t="s">
        <v>74</v>
      </c>
      <c r="BQ542" s="1" t="s">
        <v>74</v>
      </c>
      <c r="BR542" s="1" t="s">
        <v>74</v>
      </c>
      <c r="BS542" s="1" t="s">
        <v>5441</v>
      </c>
      <c r="BT542" s="1" t="str">
        <f>HYPERLINK("https%3A%2F%2Fwww.webofscience.com%2Fwos%2Fwoscc%2Ffull-record%2FWOS:000426058000008","View Full Record in Web of Science")</f>
        <v>View Full Record in Web of Science</v>
      </c>
    </row>
    <row r="543" ht="12.75" customHeight="1">
      <c r="A543" s="1" t="s">
        <v>72</v>
      </c>
      <c r="B543" s="1" t="s">
        <v>5442</v>
      </c>
      <c r="C543" s="1" t="s">
        <v>74</v>
      </c>
      <c r="D543" s="1" t="s">
        <v>74</v>
      </c>
      <c r="E543" s="1" t="s">
        <v>74</v>
      </c>
      <c r="F543" s="1" t="s">
        <v>5443</v>
      </c>
      <c r="G543" s="1" t="s">
        <v>74</v>
      </c>
      <c r="H543" s="1" t="s">
        <v>74</v>
      </c>
      <c r="I543" s="1" t="s">
        <v>5444</v>
      </c>
      <c r="J543" s="1" t="s">
        <v>3083</v>
      </c>
      <c r="K543" s="1" t="s">
        <v>74</v>
      </c>
      <c r="L543" s="1" t="s">
        <v>74</v>
      </c>
      <c r="M543" s="1" t="s">
        <v>74</v>
      </c>
      <c r="N543" s="1" t="s">
        <v>74</v>
      </c>
      <c r="O543" s="1" t="s">
        <v>74</v>
      </c>
      <c r="P543" s="1" t="s">
        <v>74</v>
      </c>
      <c r="Q543" s="1" t="s">
        <v>74</v>
      </c>
      <c r="R543" s="1" t="s">
        <v>74</v>
      </c>
      <c r="S543" s="1" t="s">
        <v>74</v>
      </c>
      <c r="T543" s="1" t="s">
        <v>74</v>
      </c>
      <c r="U543" s="1" t="s">
        <v>74</v>
      </c>
      <c r="V543" s="1" t="s">
        <v>5445</v>
      </c>
      <c r="W543" s="1" t="s">
        <v>74</v>
      </c>
      <c r="X543" s="1" t="s">
        <v>74</v>
      </c>
      <c r="Y543" s="1" t="s">
        <v>74</v>
      </c>
      <c r="Z543" s="1" t="s">
        <v>74</v>
      </c>
      <c r="AA543" s="1" t="s">
        <v>5446</v>
      </c>
      <c r="AB543" s="1" t="s">
        <v>5447</v>
      </c>
      <c r="AC543" s="1" t="s">
        <v>74</v>
      </c>
      <c r="AD543" s="1" t="s">
        <v>74</v>
      </c>
      <c r="AE543" s="1" t="s">
        <v>74</v>
      </c>
      <c r="AF543" s="1" t="s">
        <v>74</v>
      </c>
      <c r="AG543" s="1" t="s">
        <v>74</v>
      </c>
      <c r="AH543" s="1" t="s">
        <v>74</v>
      </c>
      <c r="AI543" s="1" t="s">
        <v>74</v>
      </c>
      <c r="AJ543" s="1" t="s">
        <v>74</v>
      </c>
      <c r="AK543" s="1" t="s">
        <v>74</v>
      </c>
      <c r="AL543" s="1" t="s">
        <v>74</v>
      </c>
      <c r="AM543" s="1" t="s">
        <v>74</v>
      </c>
      <c r="AN543" s="1" t="s">
        <v>74</v>
      </c>
      <c r="AO543" s="1" t="s">
        <v>3087</v>
      </c>
      <c r="AP543" s="1" t="s">
        <v>3088</v>
      </c>
      <c r="AQ543" s="1" t="s">
        <v>74</v>
      </c>
      <c r="AR543" s="1" t="s">
        <v>74</v>
      </c>
      <c r="AS543" s="1" t="s">
        <v>74</v>
      </c>
      <c r="AT543" s="1" t="s">
        <v>74</v>
      </c>
      <c r="AU543" s="1">
        <v>2018.0</v>
      </c>
      <c r="AV543" s="1">
        <v>65.0</v>
      </c>
      <c r="AW543" s="1">
        <v>4.0</v>
      </c>
      <c r="AX543" s="1" t="s">
        <v>74</v>
      </c>
      <c r="AY543" s="1" t="s">
        <v>74</v>
      </c>
      <c r="AZ543" s="1" t="s">
        <v>74</v>
      </c>
      <c r="BA543" s="1" t="s">
        <v>74</v>
      </c>
      <c r="BB543" s="1">
        <v>340.0</v>
      </c>
      <c r="BC543" s="1">
        <v>349.0</v>
      </c>
      <c r="BD543" s="1" t="s">
        <v>74</v>
      </c>
      <c r="BE543" s="1" t="s">
        <v>5448</v>
      </c>
      <c r="BF543" s="2" t="str">
        <f>HYPERLINK("http://dx.doi.org/10.1108/ACMM-04-2017-1790","http://dx.doi.org/10.1108/ACMM-04-2017-1790")</f>
        <v>http://dx.doi.org/10.1108/ACMM-04-2017-1790</v>
      </c>
      <c r="BG543" s="1" t="s">
        <v>74</v>
      </c>
      <c r="BH543" s="1" t="s">
        <v>74</v>
      </c>
      <c r="BI543" s="1" t="s">
        <v>74</v>
      </c>
      <c r="BJ543" s="1" t="s">
        <v>74</v>
      </c>
      <c r="BK543" s="1" t="s">
        <v>74</v>
      </c>
      <c r="BL543" s="1" t="s">
        <v>74</v>
      </c>
      <c r="BM543" s="1" t="s">
        <v>74</v>
      </c>
      <c r="BN543" s="1" t="s">
        <v>74</v>
      </c>
      <c r="BO543" s="1" t="s">
        <v>74</v>
      </c>
      <c r="BP543" s="1" t="s">
        <v>74</v>
      </c>
      <c r="BQ543" s="1" t="s">
        <v>74</v>
      </c>
      <c r="BR543" s="1" t="s">
        <v>74</v>
      </c>
      <c r="BS543" s="1" t="s">
        <v>5449</v>
      </c>
      <c r="BT543" s="1" t="str">
        <f>HYPERLINK("https%3A%2F%2Fwww.webofscience.com%2Fwos%2Fwoscc%2Ffull-record%2FWOS:000439562400002","View Full Record in Web of Science")</f>
        <v>View Full Record in Web of Science</v>
      </c>
    </row>
    <row r="544" ht="12.75" customHeight="1">
      <c r="A544" s="1" t="s">
        <v>72</v>
      </c>
      <c r="B544" s="1" t="s">
        <v>5450</v>
      </c>
      <c r="C544" s="1" t="s">
        <v>74</v>
      </c>
      <c r="D544" s="1" t="s">
        <v>74</v>
      </c>
      <c r="E544" s="1" t="s">
        <v>74</v>
      </c>
      <c r="F544" s="1" t="s">
        <v>5451</v>
      </c>
      <c r="G544" s="1" t="s">
        <v>74</v>
      </c>
      <c r="H544" s="1" t="s">
        <v>74</v>
      </c>
      <c r="I544" s="1" t="s">
        <v>5452</v>
      </c>
      <c r="J544" s="1" t="s">
        <v>5453</v>
      </c>
      <c r="K544" s="1" t="s">
        <v>74</v>
      </c>
      <c r="L544" s="1" t="s">
        <v>74</v>
      </c>
      <c r="M544" s="1" t="s">
        <v>74</v>
      </c>
      <c r="N544" s="1" t="s">
        <v>74</v>
      </c>
      <c r="O544" s="1" t="s">
        <v>74</v>
      </c>
      <c r="P544" s="1" t="s">
        <v>74</v>
      </c>
      <c r="Q544" s="1" t="s">
        <v>74</v>
      </c>
      <c r="R544" s="1" t="s">
        <v>74</v>
      </c>
      <c r="S544" s="1" t="s">
        <v>74</v>
      </c>
      <c r="T544" s="1" t="s">
        <v>74</v>
      </c>
      <c r="U544" s="1" t="s">
        <v>74</v>
      </c>
      <c r="V544" s="1" t="s">
        <v>5454</v>
      </c>
      <c r="W544" s="1" t="s">
        <v>74</v>
      </c>
      <c r="X544" s="1" t="s">
        <v>74</v>
      </c>
      <c r="Y544" s="1" t="s">
        <v>74</v>
      </c>
      <c r="Z544" s="1" t="s">
        <v>74</v>
      </c>
      <c r="AA544" s="1" t="s">
        <v>5455</v>
      </c>
      <c r="AB544" s="1" t="s">
        <v>5456</v>
      </c>
      <c r="AC544" s="1" t="s">
        <v>74</v>
      </c>
      <c r="AD544" s="1" t="s">
        <v>74</v>
      </c>
      <c r="AE544" s="1" t="s">
        <v>74</v>
      </c>
      <c r="AF544" s="1" t="s">
        <v>74</v>
      </c>
      <c r="AG544" s="1" t="s">
        <v>74</v>
      </c>
      <c r="AH544" s="1" t="s">
        <v>74</v>
      </c>
      <c r="AI544" s="1" t="s">
        <v>74</v>
      </c>
      <c r="AJ544" s="1" t="s">
        <v>74</v>
      </c>
      <c r="AK544" s="1" t="s">
        <v>74</v>
      </c>
      <c r="AL544" s="1" t="s">
        <v>74</v>
      </c>
      <c r="AM544" s="1" t="s">
        <v>74</v>
      </c>
      <c r="AN544" s="1" t="s">
        <v>74</v>
      </c>
      <c r="AO544" s="1" t="s">
        <v>5457</v>
      </c>
      <c r="AP544" s="1" t="s">
        <v>5458</v>
      </c>
      <c r="AQ544" s="1" t="s">
        <v>74</v>
      </c>
      <c r="AR544" s="1" t="s">
        <v>74</v>
      </c>
      <c r="AS544" s="1" t="s">
        <v>74</v>
      </c>
      <c r="AT544" s="1" t="s">
        <v>652</v>
      </c>
      <c r="AU544" s="1">
        <v>2017.0</v>
      </c>
      <c r="AV544" s="1">
        <v>7.0</v>
      </c>
      <c r="AW544" s="1">
        <v>4.0</v>
      </c>
      <c r="AX544" s="1" t="s">
        <v>74</v>
      </c>
      <c r="AY544" s="1" t="s">
        <v>74</v>
      </c>
      <c r="AZ544" s="1" t="s">
        <v>74</v>
      </c>
      <c r="BA544" s="1" t="s">
        <v>74</v>
      </c>
      <c r="BB544" s="1">
        <v>848.0</v>
      </c>
      <c r="BC544" s="1">
        <v>853.0</v>
      </c>
      <c r="BD544" s="1" t="s">
        <v>74</v>
      </c>
      <c r="BE544" s="1" t="s">
        <v>5459</v>
      </c>
      <c r="BF544" s="2" t="str">
        <f>HYPERLINK("http://dx.doi.org/10.1557/mrc.2017.94","http://dx.doi.org/10.1557/mrc.2017.94")</f>
        <v>http://dx.doi.org/10.1557/mrc.2017.94</v>
      </c>
      <c r="BG544" s="1" t="s">
        <v>74</v>
      </c>
      <c r="BH544" s="1" t="s">
        <v>74</v>
      </c>
      <c r="BI544" s="1" t="s">
        <v>74</v>
      </c>
      <c r="BJ544" s="1" t="s">
        <v>74</v>
      </c>
      <c r="BK544" s="1" t="s">
        <v>74</v>
      </c>
      <c r="BL544" s="1" t="s">
        <v>74</v>
      </c>
      <c r="BM544" s="1" t="s">
        <v>74</v>
      </c>
      <c r="BN544" s="1" t="s">
        <v>74</v>
      </c>
      <c r="BO544" s="1" t="s">
        <v>74</v>
      </c>
      <c r="BP544" s="1" t="s">
        <v>74</v>
      </c>
      <c r="BQ544" s="1" t="s">
        <v>74</v>
      </c>
      <c r="BR544" s="1" t="s">
        <v>74</v>
      </c>
      <c r="BS544" s="1" t="s">
        <v>5460</v>
      </c>
      <c r="BT544" s="1" t="str">
        <f>HYPERLINK("https%3A%2F%2Fwww.webofscience.com%2Fwos%2Fwoscc%2Ffull-record%2FWOS:000418852000012","View Full Record in Web of Science")</f>
        <v>View Full Record in Web of Science</v>
      </c>
    </row>
    <row r="545" ht="12.75" customHeight="1">
      <c r="A545" s="1" t="s">
        <v>72</v>
      </c>
      <c r="B545" s="1" t="s">
        <v>5461</v>
      </c>
      <c r="C545" s="1" t="s">
        <v>74</v>
      </c>
      <c r="D545" s="1" t="s">
        <v>74</v>
      </c>
      <c r="E545" s="1" t="s">
        <v>74</v>
      </c>
      <c r="F545" s="1" t="s">
        <v>5462</v>
      </c>
      <c r="G545" s="1" t="s">
        <v>74</v>
      </c>
      <c r="H545" s="1" t="s">
        <v>74</v>
      </c>
      <c r="I545" s="1" t="s">
        <v>5463</v>
      </c>
      <c r="J545" s="1" t="s">
        <v>5464</v>
      </c>
      <c r="K545" s="1" t="s">
        <v>74</v>
      </c>
      <c r="L545" s="1" t="s">
        <v>74</v>
      </c>
      <c r="M545" s="1" t="s">
        <v>74</v>
      </c>
      <c r="N545" s="1" t="s">
        <v>74</v>
      </c>
      <c r="O545" s="1" t="s">
        <v>74</v>
      </c>
      <c r="P545" s="1" t="s">
        <v>74</v>
      </c>
      <c r="Q545" s="1" t="s">
        <v>74</v>
      </c>
      <c r="R545" s="1" t="s">
        <v>74</v>
      </c>
      <c r="S545" s="1" t="s">
        <v>74</v>
      </c>
      <c r="T545" s="1" t="s">
        <v>74</v>
      </c>
      <c r="U545" s="1" t="s">
        <v>74</v>
      </c>
      <c r="V545" s="1" t="s">
        <v>74</v>
      </c>
      <c r="W545" s="1" t="s">
        <v>74</v>
      </c>
      <c r="X545" s="1" t="s">
        <v>74</v>
      </c>
      <c r="Y545" s="1" t="s">
        <v>74</v>
      </c>
      <c r="Z545" s="1" t="s">
        <v>74</v>
      </c>
      <c r="AA545" s="1" t="s">
        <v>5465</v>
      </c>
      <c r="AB545" s="1" t="s">
        <v>74</v>
      </c>
      <c r="AC545" s="1" t="s">
        <v>74</v>
      </c>
      <c r="AD545" s="1" t="s">
        <v>74</v>
      </c>
      <c r="AE545" s="1" t="s">
        <v>74</v>
      </c>
      <c r="AF545" s="1" t="s">
        <v>74</v>
      </c>
      <c r="AG545" s="1" t="s">
        <v>74</v>
      </c>
      <c r="AH545" s="1" t="s">
        <v>74</v>
      </c>
      <c r="AI545" s="1" t="s">
        <v>74</v>
      </c>
      <c r="AJ545" s="1" t="s">
        <v>74</v>
      </c>
      <c r="AK545" s="1" t="s">
        <v>74</v>
      </c>
      <c r="AL545" s="1" t="s">
        <v>74</v>
      </c>
      <c r="AM545" s="1" t="s">
        <v>74</v>
      </c>
      <c r="AN545" s="1" t="s">
        <v>74</v>
      </c>
      <c r="AO545" s="1" t="s">
        <v>5466</v>
      </c>
      <c r="AP545" s="1" t="s">
        <v>5467</v>
      </c>
      <c r="AQ545" s="1" t="s">
        <v>74</v>
      </c>
      <c r="AR545" s="1" t="s">
        <v>74</v>
      </c>
      <c r="AS545" s="1" t="s">
        <v>74</v>
      </c>
      <c r="AT545" s="1" t="s">
        <v>652</v>
      </c>
      <c r="AU545" s="1">
        <v>2017.0</v>
      </c>
      <c r="AV545" s="1">
        <v>40.0</v>
      </c>
      <c r="AW545" s="1" t="s">
        <v>74</v>
      </c>
      <c r="AX545" s="1" t="s">
        <v>74</v>
      </c>
      <c r="AY545" s="1">
        <v>1.0</v>
      </c>
      <c r="AZ545" s="1" t="s">
        <v>74</v>
      </c>
      <c r="BA545" s="1" t="s">
        <v>74</v>
      </c>
      <c r="BB545" s="1" t="s">
        <v>5468</v>
      </c>
      <c r="BC545" s="1" t="s">
        <v>5469</v>
      </c>
      <c r="BD545" s="1" t="s">
        <v>74</v>
      </c>
      <c r="BE545" s="1" t="s">
        <v>5470</v>
      </c>
      <c r="BF545" s="2" t="str">
        <f>HYPERLINK("http://dx.doi.org/10.1016/j.sleep.2017.11.226","http://dx.doi.org/10.1016/j.sleep.2017.11.226")</f>
        <v>http://dx.doi.org/10.1016/j.sleep.2017.11.226</v>
      </c>
      <c r="BG545" s="1" t="s">
        <v>74</v>
      </c>
      <c r="BH545" s="1" t="s">
        <v>74</v>
      </c>
      <c r="BI545" s="1" t="s">
        <v>74</v>
      </c>
      <c r="BJ545" s="1" t="s">
        <v>74</v>
      </c>
      <c r="BK545" s="1" t="s">
        <v>74</v>
      </c>
      <c r="BL545" s="1" t="s">
        <v>74</v>
      </c>
      <c r="BM545" s="1" t="s">
        <v>74</v>
      </c>
      <c r="BN545" s="1" t="s">
        <v>74</v>
      </c>
      <c r="BO545" s="1" t="s">
        <v>74</v>
      </c>
      <c r="BP545" s="1" t="s">
        <v>74</v>
      </c>
      <c r="BQ545" s="1" t="s">
        <v>74</v>
      </c>
      <c r="BR545" s="1" t="s">
        <v>74</v>
      </c>
      <c r="BS545" s="1" t="s">
        <v>5471</v>
      </c>
      <c r="BT545" s="1" t="str">
        <f>HYPERLINK("https%3A%2F%2Fwww.webofscience.com%2Fwos%2Fwoscc%2Ffull-record%2FWOS:000444558902226","View Full Record in Web of Science")</f>
        <v>View Full Record in Web of Science</v>
      </c>
    </row>
    <row r="546" ht="12.75" customHeight="1">
      <c r="A546" s="1" t="s">
        <v>72</v>
      </c>
      <c r="B546" s="1" t="s">
        <v>5472</v>
      </c>
      <c r="C546" s="1" t="s">
        <v>74</v>
      </c>
      <c r="D546" s="1" t="s">
        <v>74</v>
      </c>
      <c r="E546" s="1" t="s">
        <v>74</v>
      </c>
      <c r="F546" s="1" t="s">
        <v>5473</v>
      </c>
      <c r="G546" s="1" t="s">
        <v>74</v>
      </c>
      <c r="H546" s="1" t="s">
        <v>74</v>
      </c>
      <c r="I546" s="1" t="s">
        <v>5474</v>
      </c>
      <c r="J546" s="1" t="s">
        <v>4284</v>
      </c>
      <c r="K546" s="1" t="s">
        <v>74</v>
      </c>
      <c r="L546" s="1" t="s">
        <v>74</v>
      </c>
      <c r="M546" s="1" t="s">
        <v>74</v>
      </c>
      <c r="N546" s="1" t="s">
        <v>74</v>
      </c>
      <c r="O546" s="1" t="s">
        <v>74</v>
      </c>
      <c r="P546" s="1" t="s">
        <v>74</v>
      </c>
      <c r="Q546" s="1" t="s">
        <v>74</v>
      </c>
      <c r="R546" s="1" t="s">
        <v>74</v>
      </c>
      <c r="S546" s="1" t="s">
        <v>74</v>
      </c>
      <c r="T546" s="1" t="s">
        <v>74</v>
      </c>
      <c r="U546" s="1" t="s">
        <v>74</v>
      </c>
      <c r="V546" s="1" t="s">
        <v>5475</v>
      </c>
      <c r="W546" s="1" t="s">
        <v>74</v>
      </c>
      <c r="X546" s="1" t="s">
        <v>74</v>
      </c>
      <c r="Y546" s="1" t="s">
        <v>74</v>
      </c>
      <c r="Z546" s="1" t="s">
        <v>74</v>
      </c>
      <c r="AA546" s="1" t="s">
        <v>5476</v>
      </c>
      <c r="AB546" s="1" t="s">
        <v>5477</v>
      </c>
      <c r="AC546" s="1" t="s">
        <v>74</v>
      </c>
      <c r="AD546" s="1" t="s">
        <v>74</v>
      </c>
      <c r="AE546" s="1" t="s">
        <v>74</v>
      </c>
      <c r="AF546" s="1" t="s">
        <v>74</v>
      </c>
      <c r="AG546" s="1" t="s">
        <v>74</v>
      </c>
      <c r="AH546" s="1" t="s">
        <v>74</v>
      </c>
      <c r="AI546" s="1" t="s">
        <v>74</v>
      </c>
      <c r="AJ546" s="1" t="s">
        <v>74</v>
      </c>
      <c r="AK546" s="1" t="s">
        <v>74</v>
      </c>
      <c r="AL546" s="1" t="s">
        <v>74</v>
      </c>
      <c r="AM546" s="1" t="s">
        <v>74</v>
      </c>
      <c r="AN546" s="1" t="s">
        <v>74</v>
      </c>
      <c r="AO546" s="1" t="s">
        <v>4287</v>
      </c>
      <c r="AP546" s="1" t="s">
        <v>74</v>
      </c>
      <c r="AQ546" s="1" t="s">
        <v>74</v>
      </c>
      <c r="AR546" s="1" t="s">
        <v>74</v>
      </c>
      <c r="AS546" s="1" t="s">
        <v>74</v>
      </c>
      <c r="AT546" s="1" t="s">
        <v>5478</v>
      </c>
      <c r="AU546" s="1">
        <v>2017.0</v>
      </c>
      <c r="AV546" s="1">
        <v>8.0</v>
      </c>
      <c r="AW546" s="1" t="s">
        <v>74</v>
      </c>
      <c r="AX546" s="1" t="s">
        <v>74</v>
      </c>
      <c r="AY546" s="1" t="s">
        <v>74</v>
      </c>
      <c r="AZ546" s="1" t="s">
        <v>74</v>
      </c>
      <c r="BA546" s="1" t="s">
        <v>74</v>
      </c>
      <c r="BB546" s="1" t="s">
        <v>74</v>
      </c>
      <c r="BC546" s="1" t="s">
        <v>74</v>
      </c>
      <c r="BD546" s="1">
        <v>483.0</v>
      </c>
      <c r="BE546" s="1" t="s">
        <v>5479</v>
      </c>
      <c r="BF546" s="2" t="str">
        <f>HYPERLINK("http://dx.doi.org/10.3389/fphar.2017.00483","http://dx.doi.org/10.3389/fphar.2017.00483")</f>
        <v>http://dx.doi.org/10.3389/fphar.2017.00483</v>
      </c>
      <c r="BG546" s="1" t="s">
        <v>74</v>
      </c>
      <c r="BH546" s="1" t="s">
        <v>74</v>
      </c>
      <c r="BI546" s="1" t="s">
        <v>74</v>
      </c>
      <c r="BJ546" s="1" t="s">
        <v>74</v>
      </c>
      <c r="BK546" s="1" t="s">
        <v>74</v>
      </c>
      <c r="BL546" s="1" t="s">
        <v>74</v>
      </c>
      <c r="BM546" s="1" t="s">
        <v>74</v>
      </c>
      <c r="BN546" s="1">
        <v>2.8790916E7</v>
      </c>
      <c r="BO546" s="1" t="s">
        <v>74</v>
      </c>
      <c r="BP546" s="1" t="s">
        <v>74</v>
      </c>
      <c r="BQ546" s="1" t="s">
        <v>74</v>
      </c>
      <c r="BR546" s="1" t="s">
        <v>74</v>
      </c>
      <c r="BS546" s="1" t="s">
        <v>5480</v>
      </c>
      <c r="BT546" s="1" t="str">
        <f>HYPERLINK("https%3A%2F%2Fwww.webofscience.com%2Fwos%2Fwoscc%2Ffull-record%2FWOS:000406202800001","View Full Record in Web of Science")</f>
        <v>View Full Record in Web of Science</v>
      </c>
    </row>
    <row r="547" ht="12.75" customHeight="1">
      <c r="A547" s="1" t="s">
        <v>72</v>
      </c>
      <c r="B547" s="1" t="s">
        <v>5481</v>
      </c>
      <c r="C547" s="1" t="s">
        <v>74</v>
      </c>
      <c r="D547" s="1" t="s">
        <v>74</v>
      </c>
      <c r="E547" s="1" t="s">
        <v>74</v>
      </c>
      <c r="F547" s="1" t="s">
        <v>5482</v>
      </c>
      <c r="G547" s="1" t="s">
        <v>74</v>
      </c>
      <c r="H547" s="1" t="s">
        <v>74</v>
      </c>
      <c r="I547" s="1" t="s">
        <v>5483</v>
      </c>
      <c r="J547" s="1" t="s">
        <v>5484</v>
      </c>
      <c r="K547" s="1" t="s">
        <v>74</v>
      </c>
      <c r="L547" s="1" t="s">
        <v>74</v>
      </c>
      <c r="M547" s="1" t="s">
        <v>74</v>
      </c>
      <c r="N547" s="1" t="s">
        <v>74</v>
      </c>
      <c r="O547" s="1" t="s">
        <v>74</v>
      </c>
      <c r="P547" s="1" t="s">
        <v>74</v>
      </c>
      <c r="Q547" s="1" t="s">
        <v>74</v>
      </c>
      <c r="R547" s="1" t="s">
        <v>74</v>
      </c>
      <c r="S547" s="1" t="s">
        <v>74</v>
      </c>
      <c r="T547" s="1" t="s">
        <v>74</v>
      </c>
      <c r="U547" s="1" t="s">
        <v>74</v>
      </c>
      <c r="V547" s="1" t="s">
        <v>5485</v>
      </c>
      <c r="W547" s="1" t="s">
        <v>74</v>
      </c>
      <c r="X547" s="1" t="s">
        <v>74</v>
      </c>
      <c r="Y547" s="1" t="s">
        <v>74</v>
      </c>
      <c r="Z547" s="1" t="s">
        <v>74</v>
      </c>
      <c r="AA547" s="1" t="s">
        <v>5486</v>
      </c>
      <c r="AB547" s="1" t="s">
        <v>5487</v>
      </c>
      <c r="AC547" s="1" t="s">
        <v>74</v>
      </c>
      <c r="AD547" s="1" t="s">
        <v>74</v>
      </c>
      <c r="AE547" s="1" t="s">
        <v>74</v>
      </c>
      <c r="AF547" s="1" t="s">
        <v>74</v>
      </c>
      <c r="AG547" s="1" t="s">
        <v>74</v>
      </c>
      <c r="AH547" s="1" t="s">
        <v>74</v>
      </c>
      <c r="AI547" s="1" t="s">
        <v>74</v>
      </c>
      <c r="AJ547" s="1" t="s">
        <v>74</v>
      </c>
      <c r="AK547" s="1" t="s">
        <v>74</v>
      </c>
      <c r="AL547" s="1" t="s">
        <v>74</v>
      </c>
      <c r="AM547" s="1" t="s">
        <v>74</v>
      </c>
      <c r="AN547" s="1" t="s">
        <v>74</v>
      </c>
      <c r="AO547" s="1" t="s">
        <v>5488</v>
      </c>
      <c r="AP547" s="1" t="s">
        <v>5489</v>
      </c>
      <c r="AQ547" s="1" t="s">
        <v>74</v>
      </c>
      <c r="AR547" s="1" t="s">
        <v>74</v>
      </c>
      <c r="AS547" s="1" t="s">
        <v>74</v>
      </c>
      <c r="AT547" s="1" t="s">
        <v>74</v>
      </c>
      <c r="AU547" s="1">
        <v>2017.0</v>
      </c>
      <c r="AV547" s="1">
        <v>21.0</v>
      </c>
      <c r="AW547" s="1">
        <v>20.0</v>
      </c>
      <c r="AX547" s="1" t="s">
        <v>74</v>
      </c>
      <c r="AY547" s="1" t="s">
        <v>74</v>
      </c>
      <c r="AZ547" s="1" t="s">
        <v>74</v>
      </c>
      <c r="BA547" s="1" t="s">
        <v>74</v>
      </c>
      <c r="BB547" s="1">
        <v>2062.0</v>
      </c>
      <c r="BC547" s="1">
        <v>2067.0</v>
      </c>
      <c r="BD547" s="1" t="s">
        <v>74</v>
      </c>
      <c r="BE547" s="1" t="s">
        <v>5490</v>
      </c>
      <c r="BF547" s="2" t="str">
        <f>HYPERLINK("http://dx.doi.org/10.2174/1385272821666170228131324","http://dx.doi.org/10.2174/1385272821666170228131324")</f>
        <v>http://dx.doi.org/10.2174/1385272821666170228131324</v>
      </c>
      <c r="BG547" s="1" t="s">
        <v>74</v>
      </c>
      <c r="BH547" s="1" t="s">
        <v>74</v>
      </c>
      <c r="BI547" s="1" t="s">
        <v>74</v>
      </c>
      <c r="BJ547" s="1" t="s">
        <v>74</v>
      </c>
      <c r="BK547" s="1" t="s">
        <v>74</v>
      </c>
      <c r="BL547" s="1" t="s">
        <v>74</v>
      </c>
      <c r="BM547" s="1" t="s">
        <v>74</v>
      </c>
      <c r="BN547" s="1" t="s">
        <v>74</v>
      </c>
      <c r="BO547" s="1" t="s">
        <v>74</v>
      </c>
      <c r="BP547" s="1" t="s">
        <v>74</v>
      </c>
      <c r="BQ547" s="1" t="s">
        <v>74</v>
      </c>
      <c r="BR547" s="1" t="s">
        <v>74</v>
      </c>
      <c r="BS547" s="1" t="s">
        <v>5491</v>
      </c>
      <c r="BT547" s="1" t="str">
        <f>HYPERLINK("https%3A%2F%2Fwww.webofscience.com%2Fwos%2Fwoscc%2Ffull-record%2FWOS:000413564500004","View Full Record in Web of Science")</f>
        <v>View Full Record in Web of Science</v>
      </c>
    </row>
    <row r="548" ht="12.75" customHeight="1">
      <c r="A548" s="1" t="s">
        <v>72</v>
      </c>
      <c r="B548" s="1" t="s">
        <v>5492</v>
      </c>
      <c r="C548" s="1" t="s">
        <v>74</v>
      </c>
      <c r="D548" s="1" t="s">
        <v>74</v>
      </c>
      <c r="E548" s="1" t="s">
        <v>74</v>
      </c>
      <c r="F548" s="1" t="s">
        <v>5493</v>
      </c>
      <c r="G548" s="1" t="s">
        <v>74</v>
      </c>
      <c r="H548" s="1" t="s">
        <v>74</v>
      </c>
      <c r="I548" s="1" t="s">
        <v>5494</v>
      </c>
      <c r="J548" s="1" t="s">
        <v>5495</v>
      </c>
      <c r="K548" s="1" t="s">
        <v>74</v>
      </c>
      <c r="L548" s="1" t="s">
        <v>74</v>
      </c>
      <c r="M548" s="1" t="s">
        <v>74</v>
      </c>
      <c r="N548" s="1" t="s">
        <v>74</v>
      </c>
      <c r="O548" s="1" t="s">
        <v>74</v>
      </c>
      <c r="P548" s="1" t="s">
        <v>74</v>
      </c>
      <c r="Q548" s="1" t="s">
        <v>74</v>
      </c>
      <c r="R548" s="1" t="s">
        <v>74</v>
      </c>
      <c r="S548" s="1" t="s">
        <v>74</v>
      </c>
      <c r="T548" s="1" t="s">
        <v>74</v>
      </c>
      <c r="U548" s="1" t="s">
        <v>74</v>
      </c>
      <c r="V548" s="1" t="s">
        <v>5496</v>
      </c>
      <c r="W548" s="1" t="s">
        <v>74</v>
      </c>
      <c r="X548" s="1" t="s">
        <v>74</v>
      </c>
      <c r="Y548" s="1" t="s">
        <v>74</v>
      </c>
      <c r="Z548" s="1" t="s">
        <v>74</v>
      </c>
      <c r="AA548" s="1" t="s">
        <v>5497</v>
      </c>
      <c r="AB548" s="1" t="s">
        <v>5498</v>
      </c>
      <c r="AC548" s="1" t="s">
        <v>74</v>
      </c>
      <c r="AD548" s="1" t="s">
        <v>74</v>
      </c>
      <c r="AE548" s="1" t="s">
        <v>74</v>
      </c>
      <c r="AF548" s="1" t="s">
        <v>74</v>
      </c>
      <c r="AG548" s="1" t="s">
        <v>74</v>
      </c>
      <c r="AH548" s="1" t="s">
        <v>74</v>
      </c>
      <c r="AI548" s="1" t="s">
        <v>74</v>
      </c>
      <c r="AJ548" s="1" t="s">
        <v>74</v>
      </c>
      <c r="AK548" s="1" t="s">
        <v>74</v>
      </c>
      <c r="AL548" s="1" t="s">
        <v>74</v>
      </c>
      <c r="AM548" s="1" t="s">
        <v>74</v>
      </c>
      <c r="AN548" s="1" t="s">
        <v>74</v>
      </c>
      <c r="AO548" s="1" t="s">
        <v>5499</v>
      </c>
      <c r="AP548" s="1" t="s">
        <v>5500</v>
      </c>
      <c r="AQ548" s="1" t="s">
        <v>74</v>
      </c>
      <c r="AR548" s="1" t="s">
        <v>74</v>
      </c>
      <c r="AS548" s="1" t="s">
        <v>74</v>
      </c>
      <c r="AT548" s="1" t="s">
        <v>1773</v>
      </c>
      <c r="AU548" s="1">
        <v>2016.0</v>
      </c>
      <c r="AV548" s="1">
        <v>319.0</v>
      </c>
      <c r="AW548" s="1" t="s">
        <v>74</v>
      </c>
      <c r="AX548" s="1" t="s">
        <v>74</v>
      </c>
      <c r="AY548" s="1" t="s">
        <v>74</v>
      </c>
      <c r="AZ548" s="1" t="s">
        <v>445</v>
      </c>
      <c r="BA548" s="1" t="s">
        <v>74</v>
      </c>
      <c r="BB548" s="1">
        <v>24.0</v>
      </c>
      <c r="BC548" s="1">
        <v>33.0</v>
      </c>
      <c r="BD548" s="1" t="s">
        <v>74</v>
      </c>
      <c r="BE548" s="1" t="s">
        <v>5501</v>
      </c>
      <c r="BF548" s="2" t="str">
        <f>HYPERLINK("http://dx.doi.org/10.1016/j.jhazmat.2016.03.003","http://dx.doi.org/10.1016/j.jhazmat.2016.03.003")</f>
        <v>http://dx.doi.org/10.1016/j.jhazmat.2016.03.003</v>
      </c>
      <c r="BG548" s="1" t="s">
        <v>74</v>
      </c>
      <c r="BH548" s="1" t="s">
        <v>74</v>
      </c>
      <c r="BI548" s="1" t="s">
        <v>74</v>
      </c>
      <c r="BJ548" s="1" t="s">
        <v>74</v>
      </c>
      <c r="BK548" s="1" t="s">
        <v>74</v>
      </c>
      <c r="BL548" s="1" t="s">
        <v>74</v>
      </c>
      <c r="BM548" s="1" t="s">
        <v>74</v>
      </c>
      <c r="BN548" s="1">
        <v>2.6971051E7</v>
      </c>
      <c r="BO548" s="1" t="s">
        <v>74</v>
      </c>
      <c r="BP548" s="1" t="s">
        <v>74</v>
      </c>
      <c r="BQ548" s="1" t="s">
        <v>74</v>
      </c>
      <c r="BR548" s="1" t="s">
        <v>74</v>
      </c>
      <c r="BS548" s="1" t="s">
        <v>5502</v>
      </c>
      <c r="BT548" s="1" t="str">
        <f>HYPERLINK("https%3A%2F%2Fwww.webofscience.com%2Fwos%2Fwoscc%2Ffull-record%2FWOS:000383299100004","View Full Record in Web of Science")</f>
        <v>View Full Record in Web of Science</v>
      </c>
    </row>
    <row r="549" ht="12.75" customHeight="1">
      <c r="A549" s="1" t="s">
        <v>72</v>
      </c>
      <c r="B549" s="1" t="s">
        <v>5503</v>
      </c>
      <c r="C549" s="1" t="s">
        <v>74</v>
      </c>
      <c r="D549" s="1" t="s">
        <v>74</v>
      </c>
      <c r="E549" s="1" t="s">
        <v>74</v>
      </c>
      <c r="F549" s="1" t="s">
        <v>5504</v>
      </c>
      <c r="G549" s="1" t="s">
        <v>74</v>
      </c>
      <c r="H549" s="1" t="s">
        <v>74</v>
      </c>
      <c r="I549" s="1" t="s">
        <v>5505</v>
      </c>
      <c r="J549" s="1" t="s">
        <v>5506</v>
      </c>
      <c r="K549" s="1" t="s">
        <v>74</v>
      </c>
      <c r="L549" s="1" t="s">
        <v>74</v>
      </c>
      <c r="M549" s="1" t="s">
        <v>74</v>
      </c>
      <c r="N549" s="1" t="s">
        <v>74</v>
      </c>
      <c r="O549" s="1" t="s">
        <v>74</v>
      </c>
      <c r="P549" s="1" t="s">
        <v>74</v>
      </c>
      <c r="Q549" s="1" t="s">
        <v>74</v>
      </c>
      <c r="R549" s="1" t="s">
        <v>74</v>
      </c>
      <c r="S549" s="1" t="s">
        <v>74</v>
      </c>
      <c r="T549" s="1" t="s">
        <v>74</v>
      </c>
      <c r="U549" s="1" t="s">
        <v>74</v>
      </c>
      <c r="V549" s="1" t="s">
        <v>5507</v>
      </c>
      <c r="W549" s="1" t="s">
        <v>74</v>
      </c>
      <c r="X549" s="1" t="s">
        <v>74</v>
      </c>
      <c r="Y549" s="1" t="s">
        <v>74</v>
      </c>
      <c r="Z549" s="1" t="s">
        <v>74</v>
      </c>
      <c r="AA549" s="1" t="s">
        <v>5508</v>
      </c>
      <c r="AB549" s="1" t="s">
        <v>5509</v>
      </c>
      <c r="AC549" s="1" t="s">
        <v>74</v>
      </c>
      <c r="AD549" s="1" t="s">
        <v>74</v>
      </c>
      <c r="AE549" s="1" t="s">
        <v>74</v>
      </c>
      <c r="AF549" s="1" t="s">
        <v>74</v>
      </c>
      <c r="AG549" s="1" t="s">
        <v>74</v>
      </c>
      <c r="AH549" s="1" t="s">
        <v>74</v>
      </c>
      <c r="AI549" s="1" t="s">
        <v>74</v>
      </c>
      <c r="AJ549" s="1" t="s">
        <v>74</v>
      </c>
      <c r="AK549" s="1" t="s">
        <v>74</v>
      </c>
      <c r="AL549" s="1" t="s">
        <v>74</v>
      </c>
      <c r="AM549" s="1" t="s">
        <v>74</v>
      </c>
      <c r="AN549" s="1" t="s">
        <v>74</v>
      </c>
      <c r="AO549" s="1" t="s">
        <v>5510</v>
      </c>
      <c r="AP549" s="1" t="s">
        <v>5511</v>
      </c>
      <c r="AQ549" s="1" t="s">
        <v>74</v>
      </c>
      <c r="AR549" s="1" t="s">
        <v>74</v>
      </c>
      <c r="AS549" s="1" t="s">
        <v>74</v>
      </c>
      <c r="AT549" s="1" t="s">
        <v>5512</v>
      </c>
      <c r="AU549" s="1">
        <v>2016.0</v>
      </c>
      <c r="AV549" s="1">
        <v>33.0</v>
      </c>
      <c r="AW549" s="1">
        <v>2.0</v>
      </c>
      <c r="AX549" s="1" t="s">
        <v>74</v>
      </c>
      <c r="AY549" s="1" t="s">
        <v>74</v>
      </c>
      <c r="AZ549" s="1" t="s">
        <v>74</v>
      </c>
      <c r="BA549" s="1" t="s">
        <v>74</v>
      </c>
      <c r="BB549" s="1">
        <v>314.0</v>
      </c>
      <c r="BC549" s="1">
        <v>318.0</v>
      </c>
      <c r="BD549" s="1" t="s">
        <v>74</v>
      </c>
      <c r="BE549" s="1" t="s">
        <v>74</v>
      </c>
      <c r="BF549" s="1" t="s">
        <v>74</v>
      </c>
      <c r="BG549" s="1" t="s">
        <v>74</v>
      </c>
      <c r="BH549" s="1" t="s">
        <v>74</v>
      </c>
      <c r="BI549" s="1" t="s">
        <v>74</v>
      </c>
      <c r="BJ549" s="1" t="s">
        <v>74</v>
      </c>
      <c r="BK549" s="1" t="s">
        <v>74</v>
      </c>
      <c r="BL549" s="1" t="s">
        <v>74</v>
      </c>
      <c r="BM549" s="1" t="s">
        <v>74</v>
      </c>
      <c r="BN549" s="1" t="s">
        <v>74</v>
      </c>
      <c r="BO549" s="1" t="s">
        <v>74</v>
      </c>
      <c r="BP549" s="1" t="s">
        <v>74</v>
      </c>
      <c r="BQ549" s="1" t="s">
        <v>74</v>
      </c>
      <c r="BR549" s="1" t="s">
        <v>74</v>
      </c>
      <c r="BS549" s="1" t="s">
        <v>5513</v>
      </c>
      <c r="BT549" s="1" t="str">
        <f>HYPERLINK("https%3A%2F%2Fwww.webofscience.com%2Fwos%2Fwoscc%2Ffull-record%2FWOS:000378466100021","View Full Record in Web of Science")</f>
        <v>View Full Record in Web of Science</v>
      </c>
    </row>
    <row r="550" ht="12.75" customHeight="1">
      <c r="A550" s="1" t="s">
        <v>182</v>
      </c>
      <c r="B550" s="1" t="s">
        <v>5514</v>
      </c>
      <c r="C550" s="1" t="s">
        <v>74</v>
      </c>
      <c r="D550" s="1" t="s">
        <v>74</v>
      </c>
      <c r="E550" s="1" t="s">
        <v>184</v>
      </c>
      <c r="F550" s="1" t="s">
        <v>5515</v>
      </c>
      <c r="G550" s="1" t="s">
        <v>74</v>
      </c>
      <c r="H550" s="1" t="s">
        <v>74</v>
      </c>
      <c r="I550" s="1" t="s">
        <v>5516</v>
      </c>
      <c r="J550" s="1" t="s">
        <v>5517</v>
      </c>
      <c r="K550" s="1" t="s">
        <v>74</v>
      </c>
      <c r="L550" s="1" t="s">
        <v>74</v>
      </c>
      <c r="M550" s="1" t="s">
        <v>74</v>
      </c>
      <c r="N550" s="1" t="s">
        <v>74</v>
      </c>
      <c r="O550" s="1" t="s">
        <v>5518</v>
      </c>
      <c r="P550" s="1" t="s">
        <v>5519</v>
      </c>
      <c r="Q550" s="1" t="s">
        <v>5520</v>
      </c>
      <c r="R550" s="1" t="s">
        <v>184</v>
      </c>
      <c r="S550" s="1" t="s">
        <v>5521</v>
      </c>
      <c r="T550" s="1" t="s">
        <v>74</v>
      </c>
      <c r="U550" s="1" t="s">
        <v>74</v>
      </c>
      <c r="V550" s="1" t="s">
        <v>5522</v>
      </c>
      <c r="W550" s="1" t="s">
        <v>74</v>
      </c>
      <c r="X550" s="1" t="s">
        <v>74</v>
      </c>
      <c r="Y550" s="1" t="s">
        <v>74</v>
      </c>
      <c r="Z550" s="1" t="s">
        <v>74</v>
      </c>
      <c r="AA550" s="1" t="s">
        <v>5523</v>
      </c>
      <c r="AB550" s="1" t="s">
        <v>74</v>
      </c>
      <c r="AC550" s="1" t="s">
        <v>74</v>
      </c>
      <c r="AD550" s="1" t="s">
        <v>74</v>
      </c>
      <c r="AE550" s="1" t="s">
        <v>74</v>
      </c>
      <c r="AF550" s="1" t="s">
        <v>74</v>
      </c>
      <c r="AG550" s="1" t="s">
        <v>74</v>
      </c>
      <c r="AH550" s="1" t="s">
        <v>74</v>
      </c>
      <c r="AI550" s="1" t="s">
        <v>74</v>
      </c>
      <c r="AJ550" s="1" t="s">
        <v>74</v>
      </c>
      <c r="AK550" s="1" t="s">
        <v>74</v>
      </c>
      <c r="AL550" s="1" t="s">
        <v>74</v>
      </c>
      <c r="AM550" s="1" t="s">
        <v>74</v>
      </c>
      <c r="AN550" s="1" t="s">
        <v>74</v>
      </c>
      <c r="AO550" s="1" t="s">
        <v>74</v>
      </c>
      <c r="AP550" s="1" t="s">
        <v>74</v>
      </c>
      <c r="AQ550" s="1" t="s">
        <v>5524</v>
      </c>
      <c r="AR550" s="1" t="s">
        <v>74</v>
      </c>
      <c r="AS550" s="1" t="s">
        <v>74</v>
      </c>
      <c r="AT550" s="1" t="s">
        <v>74</v>
      </c>
      <c r="AU550" s="1">
        <v>2016.0</v>
      </c>
      <c r="AV550" s="1" t="s">
        <v>74</v>
      </c>
      <c r="AW550" s="1" t="s">
        <v>74</v>
      </c>
      <c r="AX550" s="1" t="s">
        <v>74</v>
      </c>
      <c r="AY550" s="1" t="s">
        <v>74</v>
      </c>
      <c r="AZ550" s="1" t="s">
        <v>74</v>
      </c>
      <c r="BA550" s="1" t="s">
        <v>74</v>
      </c>
      <c r="BB550" s="1" t="s">
        <v>74</v>
      </c>
      <c r="BC550" s="1" t="s">
        <v>74</v>
      </c>
      <c r="BD550" s="1" t="s">
        <v>74</v>
      </c>
      <c r="BE550" s="1" t="s">
        <v>74</v>
      </c>
      <c r="BF550" s="1" t="s">
        <v>74</v>
      </c>
      <c r="BG550" s="1" t="s">
        <v>74</v>
      </c>
      <c r="BH550" s="1" t="s">
        <v>74</v>
      </c>
      <c r="BI550" s="1" t="s">
        <v>74</v>
      </c>
      <c r="BJ550" s="1" t="s">
        <v>74</v>
      </c>
      <c r="BK550" s="1" t="s">
        <v>74</v>
      </c>
      <c r="BL550" s="1" t="s">
        <v>74</v>
      </c>
      <c r="BM550" s="1" t="s">
        <v>74</v>
      </c>
      <c r="BN550" s="1" t="s">
        <v>74</v>
      </c>
      <c r="BO550" s="1" t="s">
        <v>74</v>
      </c>
      <c r="BP550" s="1" t="s">
        <v>74</v>
      </c>
      <c r="BQ550" s="1" t="s">
        <v>74</v>
      </c>
      <c r="BR550" s="1" t="s">
        <v>74</v>
      </c>
      <c r="BS550" s="1" t="s">
        <v>5525</v>
      </c>
      <c r="BT550" s="1" t="str">
        <f>HYPERLINK("https%3A%2F%2Fwww.webofscience.com%2Fwos%2Fwoscc%2Ffull-record%2FWOS:000390556300025","View Full Record in Web of Science")</f>
        <v>View Full Record in Web of Science</v>
      </c>
    </row>
    <row r="551" ht="12.75" customHeight="1">
      <c r="A551" s="1" t="s">
        <v>72</v>
      </c>
      <c r="B551" s="1" t="s">
        <v>5526</v>
      </c>
      <c r="C551" s="1" t="s">
        <v>74</v>
      </c>
      <c r="D551" s="1" t="s">
        <v>74</v>
      </c>
      <c r="E551" s="1" t="s">
        <v>74</v>
      </c>
      <c r="F551" s="1" t="s">
        <v>1012</v>
      </c>
      <c r="G551" s="1" t="s">
        <v>74</v>
      </c>
      <c r="H551" s="1" t="s">
        <v>74</v>
      </c>
      <c r="I551" s="1" t="s">
        <v>1013</v>
      </c>
      <c r="J551" s="1" t="s">
        <v>1026</v>
      </c>
      <c r="K551" s="1" t="s">
        <v>74</v>
      </c>
      <c r="L551" s="1" t="s">
        <v>74</v>
      </c>
      <c r="M551" s="1" t="s">
        <v>74</v>
      </c>
      <c r="N551" s="1" t="s">
        <v>74</v>
      </c>
      <c r="O551" s="1" t="s">
        <v>74</v>
      </c>
      <c r="P551" s="1" t="s">
        <v>74</v>
      </c>
      <c r="Q551" s="1" t="s">
        <v>74</v>
      </c>
      <c r="R551" s="1" t="s">
        <v>74</v>
      </c>
      <c r="S551" s="1" t="s">
        <v>74</v>
      </c>
      <c r="T551" s="1" t="s">
        <v>74</v>
      </c>
      <c r="U551" s="1" t="s">
        <v>74</v>
      </c>
      <c r="V551" s="1" t="s">
        <v>5527</v>
      </c>
      <c r="W551" s="1" t="s">
        <v>74</v>
      </c>
      <c r="X551" s="1" t="s">
        <v>74</v>
      </c>
      <c r="Y551" s="1" t="s">
        <v>74</v>
      </c>
      <c r="Z551" s="1" t="s">
        <v>74</v>
      </c>
      <c r="AA551" s="1" t="s">
        <v>74</v>
      </c>
      <c r="AB551" s="1" t="s">
        <v>5528</v>
      </c>
      <c r="AC551" s="1" t="s">
        <v>74</v>
      </c>
      <c r="AD551" s="1" t="s">
        <v>74</v>
      </c>
      <c r="AE551" s="1" t="s">
        <v>74</v>
      </c>
      <c r="AF551" s="1" t="s">
        <v>74</v>
      </c>
      <c r="AG551" s="1" t="s">
        <v>74</v>
      </c>
      <c r="AH551" s="1" t="s">
        <v>74</v>
      </c>
      <c r="AI551" s="1" t="s">
        <v>74</v>
      </c>
      <c r="AJ551" s="1" t="s">
        <v>74</v>
      </c>
      <c r="AK551" s="1" t="s">
        <v>74</v>
      </c>
      <c r="AL551" s="1" t="s">
        <v>74</v>
      </c>
      <c r="AM551" s="1" t="s">
        <v>74</v>
      </c>
      <c r="AN551" s="1" t="s">
        <v>74</v>
      </c>
      <c r="AO551" s="1" t="s">
        <v>1029</v>
      </c>
      <c r="AP551" s="1" t="s">
        <v>74</v>
      </c>
      <c r="AQ551" s="1" t="s">
        <v>74</v>
      </c>
      <c r="AR551" s="1" t="s">
        <v>74</v>
      </c>
      <c r="AS551" s="1" t="s">
        <v>74</v>
      </c>
      <c r="AT551" s="1" t="s">
        <v>158</v>
      </c>
      <c r="AU551" s="1">
        <v>2015.0</v>
      </c>
      <c r="AV551" s="1">
        <v>6.0</v>
      </c>
      <c r="AW551" s="1">
        <v>3.0</v>
      </c>
      <c r="AX551" s="1" t="s">
        <v>74</v>
      </c>
      <c r="AY551" s="1" t="s">
        <v>74</v>
      </c>
      <c r="AZ551" s="1" t="s">
        <v>74</v>
      </c>
      <c r="BA551" s="1" t="s">
        <v>74</v>
      </c>
      <c r="BB551" s="1">
        <v>959.0</v>
      </c>
      <c r="BC551" s="1">
        <v>966.0</v>
      </c>
      <c r="BD551" s="1" t="s">
        <v>74</v>
      </c>
      <c r="BE551" s="1" t="s">
        <v>5529</v>
      </c>
      <c r="BF551" s="2" t="str">
        <f>HYPERLINK("http://dx.doi.org/10.1109/TSTE.2015.2417315","http://dx.doi.org/10.1109/TSTE.2015.2417315")</f>
        <v>http://dx.doi.org/10.1109/TSTE.2015.2417315</v>
      </c>
      <c r="BG551" s="1" t="s">
        <v>74</v>
      </c>
      <c r="BH551" s="1" t="s">
        <v>74</v>
      </c>
      <c r="BI551" s="1" t="s">
        <v>74</v>
      </c>
      <c r="BJ551" s="1" t="s">
        <v>74</v>
      </c>
      <c r="BK551" s="1" t="s">
        <v>74</v>
      </c>
      <c r="BL551" s="1" t="s">
        <v>74</v>
      </c>
      <c r="BM551" s="1" t="s">
        <v>74</v>
      </c>
      <c r="BN551" s="1" t="s">
        <v>74</v>
      </c>
      <c r="BO551" s="1" t="s">
        <v>74</v>
      </c>
      <c r="BP551" s="1" t="s">
        <v>74</v>
      </c>
      <c r="BQ551" s="1" t="s">
        <v>74</v>
      </c>
      <c r="BR551" s="1" t="s">
        <v>74</v>
      </c>
      <c r="BS551" s="1" t="s">
        <v>5530</v>
      </c>
      <c r="BT551" s="1" t="str">
        <f>HYPERLINK("https%3A%2F%2Fwww.webofscience.com%2Fwos%2Fwoscc%2Ffull-record%2FWOS:000356461100033","View Full Record in Web of Science")</f>
        <v>View Full Record in Web of Science</v>
      </c>
    </row>
    <row r="552" ht="12.75" customHeight="1">
      <c r="A552" s="1" t="s">
        <v>72</v>
      </c>
      <c r="B552" s="1" t="s">
        <v>5531</v>
      </c>
      <c r="C552" s="1" t="s">
        <v>74</v>
      </c>
      <c r="D552" s="1" t="s">
        <v>74</v>
      </c>
      <c r="E552" s="1" t="s">
        <v>74</v>
      </c>
      <c r="F552" s="1" t="s">
        <v>5532</v>
      </c>
      <c r="G552" s="1" t="s">
        <v>74</v>
      </c>
      <c r="H552" s="1" t="s">
        <v>74</v>
      </c>
      <c r="I552" s="1" t="s">
        <v>5533</v>
      </c>
      <c r="J552" s="1" t="s">
        <v>5534</v>
      </c>
      <c r="K552" s="1" t="s">
        <v>74</v>
      </c>
      <c r="L552" s="1" t="s">
        <v>74</v>
      </c>
      <c r="M552" s="1" t="s">
        <v>74</v>
      </c>
      <c r="N552" s="1" t="s">
        <v>74</v>
      </c>
      <c r="O552" s="1" t="s">
        <v>74</v>
      </c>
      <c r="P552" s="1" t="s">
        <v>74</v>
      </c>
      <c r="Q552" s="1" t="s">
        <v>74</v>
      </c>
      <c r="R552" s="1" t="s">
        <v>74</v>
      </c>
      <c r="S552" s="1" t="s">
        <v>74</v>
      </c>
      <c r="T552" s="1" t="s">
        <v>74</v>
      </c>
      <c r="U552" s="1" t="s">
        <v>74</v>
      </c>
      <c r="V552" s="1" t="s">
        <v>5535</v>
      </c>
      <c r="W552" s="1" t="s">
        <v>74</v>
      </c>
      <c r="X552" s="1" t="s">
        <v>74</v>
      </c>
      <c r="Y552" s="1" t="s">
        <v>74</v>
      </c>
      <c r="Z552" s="1" t="s">
        <v>74</v>
      </c>
      <c r="AA552" s="1" t="s">
        <v>5536</v>
      </c>
      <c r="AB552" s="1" t="s">
        <v>5537</v>
      </c>
      <c r="AC552" s="1" t="s">
        <v>74</v>
      </c>
      <c r="AD552" s="1" t="s">
        <v>74</v>
      </c>
      <c r="AE552" s="1" t="s">
        <v>74</v>
      </c>
      <c r="AF552" s="1" t="s">
        <v>74</v>
      </c>
      <c r="AG552" s="1" t="s">
        <v>74</v>
      </c>
      <c r="AH552" s="1" t="s">
        <v>74</v>
      </c>
      <c r="AI552" s="1" t="s">
        <v>74</v>
      </c>
      <c r="AJ552" s="1" t="s">
        <v>74</v>
      </c>
      <c r="AK552" s="1" t="s">
        <v>74</v>
      </c>
      <c r="AL552" s="1" t="s">
        <v>74</v>
      </c>
      <c r="AM552" s="1" t="s">
        <v>74</v>
      </c>
      <c r="AN552" s="1" t="s">
        <v>74</v>
      </c>
      <c r="AO552" s="1" t="s">
        <v>5538</v>
      </c>
      <c r="AP552" s="1" t="s">
        <v>5539</v>
      </c>
      <c r="AQ552" s="1" t="s">
        <v>74</v>
      </c>
      <c r="AR552" s="1" t="s">
        <v>74</v>
      </c>
      <c r="AS552" s="1" t="s">
        <v>74</v>
      </c>
      <c r="AT552" s="1" t="s">
        <v>294</v>
      </c>
      <c r="AU552" s="1">
        <v>2015.0</v>
      </c>
      <c r="AV552" s="1">
        <v>29.0</v>
      </c>
      <c r="AW552" s="1">
        <v>6.0</v>
      </c>
      <c r="AX552" s="1" t="s">
        <v>74</v>
      </c>
      <c r="AY552" s="1" t="s">
        <v>74</v>
      </c>
      <c r="AZ552" s="1" t="s">
        <v>74</v>
      </c>
      <c r="BA552" s="1" t="s">
        <v>74</v>
      </c>
      <c r="BB552" s="1">
        <v>1640.0</v>
      </c>
      <c r="BC552" s="1">
        <v>1647.0</v>
      </c>
      <c r="BD552" s="1" t="s">
        <v>74</v>
      </c>
      <c r="BE552" s="1" t="s">
        <v>74</v>
      </c>
      <c r="BF552" s="1" t="s">
        <v>74</v>
      </c>
      <c r="BG552" s="1" t="s">
        <v>74</v>
      </c>
      <c r="BH552" s="1" t="s">
        <v>74</v>
      </c>
      <c r="BI552" s="1" t="s">
        <v>74</v>
      </c>
      <c r="BJ552" s="1" t="s">
        <v>74</v>
      </c>
      <c r="BK552" s="1" t="s">
        <v>74</v>
      </c>
      <c r="BL552" s="1" t="s">
        <v>74</v>
      </c>
      <c r="BM552" s="1" t="s">
        <v>74</v>
      </c>
      <c r="BN552" s="1">
        <v>2.6010798E7</v>
      </c>
      <c r="BO552" s="1" t="s">
        <v>74</v>
      </c>
      <c r="BP552" s="1" t="s">
        <v>74</v>
      </c>
      <c r="BQ552" s="1" t="s">
        <v>74</v>
      </c>
      <c r="BR552" s="1" t="s">
        <v>74</v>
      </c>
      <c r="BS552" s="1" t="s">
        <v>5540</v>
      </c>
      <c r="BT552" s="1" t="str">
        <f>HYPERLINK("https%3A%2F%2Fwww.webofscience.com%2Fwos%2Fwoscc%2Ffull-record%2FWOS:000355322300025","View Full Record in Web of Science")</f>
        <v>View Full Record in Web of Science</v>
      </c>
    </row>
    <row r="553" ht="12.75" customHeight="1">
      <c r="A553" s="1" t="s">
        <v>72</v>
      </c>
      <c r="B553" s="1" t="s">
        <v>5541</v>
      </c>
      <c r="C553" s="1" t="s">
        <v>74</v>
      </c>
      <c r="D553" s="1" t="s">
        <v>74</v>
      </c>
      <c r="E553" s="1" t="s">
        <v>74</v>
      </c>
      <c r="F553" s="1" t="s">
        <v>5542</v>
      </c>
      <c r="G553" s="1" t="s">
        <v>74</v>
      </c>
      <c r="H553" s="1" t="s">
        <v>74</v>
      </c>
      <c r="I553" s="1" t="s">
        <v>5543</v>
      </c>
      <c r="J553" s="1" t="s">
        <v>2088</v>
      </c>
      <c r="K553" s="1" t="s">
        <v>74</v>
      </c>
      <c r="L553" s="1" t="s">
        <v>74</v>
      </c>
      <c r="M553" s="1" t="s">
        <v>74</v>
      </c>
      <c r="N553" s="1" t="s">
        <v>74</v>
      </c>
      <c r="O553" s="1" t="s">
        <v>74</v>
      </c>
      <c r="P553" s="1" t="s">
        <v>74</v>
      </c>
      <c r="Q553" s="1" t="s">
        <v>74</v>
      </c>
      <c r="R553" s="1" t="s">
        <v>74</v>
      </c>
      <c r="S553" s="1" t="s">
        <v>74</v>
      </c>
      <c r="T553" s="1" t="s">
        <v>74</v>
      </c>
      <c r="U553" s="1" t="s">
        <v>74</v>
      </c>
      <c r="V553" s="1" t="s">
        <v>5544</v>
      </c>
      <c r="W553" s="1" t="s">
        <v>74</v>
      </c>
      <c r="X553" s="1" t="s">
        <v>74</v>
      </c>
      <c r="Y553" s="1" t="s">
        <v>74</v>
      </c>
      <c r="Z553" s="1" t="s">
        <v>74</v>
      </c>
      <c r="AA553" s="1" t="s">
        <v>5545</v>
      </c>
      <c r="AB553" s="1" t="s">
        <v>5546</v>
      </c>
      <c r="AC553" s="1" t="s">
        <v>74</v>
      </c>
      <c r="AD553" s="1" t="s">
        <v>74</v>
      </c>
      <c r="AE553" s="1" t="s">
        <v>74</v>
      </c>
      <c r="AF553" s="1" t="s">
        <v>74</v>
      </c>
      <c r="AG553" s="1" t="s">
        <v>74</v>
      </c>
      <c r="AH553" s="1" t="s">
        <v>74</v>
      </c>
      <c r="AI553" s="1" t="s">
        <v>74</v>
      </c>
      <c r="AJ553" s="1" t="s">
        <v>74</v>
      </c>
      <c r="AK553" s="1" t="s">
        <v>74</v>
      </c>
      <c r="AL553" s="1" t="s">
        <v>74</v>
      </c>
      <c r="AM553" s="1" t="s">
        <v>74</v>
      </c>
      <c r="AN553" s="1" t="s">
        <v>74</v>
      </c>
      <c r="AO553" s="1" t="s">
        <v>2092</v>
      </c>
      <c r="AP553" s="1" t="s">
        <v>2093</v>
      </c>
      <c r="AQ553" s="1" t="s">
        <v>74</v>
      </c>
      <c r="AR553" s="1" t="s">
        <v>74</v>
      </c>
      <c r="AS553" s="1" t="s">
        <v>74</v>
      </c>
      <c r="AT553" s="1" t="s">
        <v>74</v>
      </c>
      <c r="AU553" s="1">
        <v>2015.0</v>
      </c>
      <c r="AV553" s="1">
        <v>17.0</v>
      </c>
      <c r="AW553" s="1">
        <v>7.0</v>
      </c>
      <c r="AX553" s="1" t="s">
        <v>74</v>
      </c>
      <c r="AY553" s="1" t="s">
        <v>74</v>
      </c>
      <c r="AZ553" s="1" t="s">
        <v>74</v>
      </c>
      <c r="BA553" s="1" t="s">
        <v>74</v>
      </c>
      <c r="BB553" s="1">
        <v>5033.0</v>
      </c>
      <c r="BC553" s="1">
        <v>5038.0</v>
      </c>
      <c r="BD553" s="1" t="s">
        <v>74</v>
      </c>
      <c r="BE553" s="1" t="s">
        <v>5547</v>
      </c>
      <c r="BF553" s="2" t="str">
        <f>HYPERLINK("http://dx.doi.org/10.1039/c4cp05665e","http://dx.doi.org/10.1039/c4cp05665e")</f>
        <v>http://dx.doi.org/10.1039/c4cp05665e</v>
      </c>
      <c r="BG553" s="1" t="s">
        <v>74</v>
      </c>
      <c r="BH553" s="1" t="s">
        <v>74</v>
      </c>
      <c r="BI553" s="1" t="s">
        <v>74</v>
      </c>
      <c r="BJ553" s="1" t="s">
        <v>74</v>
      </c>
      <c r="BK553" s="1" t="s">
        <v>74</v>
      </c>
      <c r="BL553" s="1" t="s">
        <v>74</v>
      </c>
      <c r="BM553" s="1" t="s">
        <v>74</v>
      </c>
      <c r="BN553" s="1">
        <v>2.5597517E7</v>
      </c>
      <c r="BO553" s="1" t="s">
        <v>74</v>
      </c>
      <c r="BP553" s="1" t="s">
        <v>74</v>
      </c>
      <c r="BQ553" s="1" t="s">
        <v>74</v>
      </c>
      <c r="BR553" s="1" t="s">
        <v>74</v>
      </c>
      <c r="BS553" s="1" t="s">
        <v>5548</v>
      </c>
      <c r="BT553" s="1" t="str">
        <f>HYPERLINK("https%3A%2F%2Fwww.webofscience.com%2Fwos%2Fwoscc%2Ffull-record%2FWOS:000349616400025","View Full Record in Web of Science")</f>
        <v>View Full Record in Web of Science</v>
      </c>
    </row>
    <row r="554" ht="12.75" customHeight="1">
      <c r="A554" s="1" t="s">
        <v>182</v>
      </c>
      <c r="B554" s="1" t="s">
        <v>5549</v>
      </c>
      <c r="C554" s="1" t="s">
        <v>74</v>
      </c>
      <c r="D554" s="1" t="s">
        <v>5550</v>
      </c>
      <c r="E554" s="1" t="s">
        <v>74</v>
      </c>
      <c r="F554" s="1" t="s">
        <v>5551</v>
      </c>
      <c r="G554" s="1" t="s">
        <v>74</v>
      </c>
      <c r="H554" s="1" t="s">
        <v>74</v>
      </c>
      <c r="I554" s="1" t="s">
        <v>5552</v>
      </c>
      <c r="J554" s="1" t="s">
        <v>5553</v>
      </c>
      <c r="K554" s="1" t="s">
        <v>5554</v>
      </c>
      <c r="L554" s="1" t="s">
        <v>74</v>
      </c>
      <c r="M554" s="1" t="s">
        <v>74</v>
      </c>
      <c r="N554" s="1" t="s">
        <v>74</v>
      </c>
      <c r="O554" s="1" t="s">
        <v>5555</v>
      </c>
      <c r="P554" s="1" t="s">
        <v>5556</v>
      </c>
      <c r="Q554" s="1" t="s">
        <v>5557</v>
      </c>
      <c r="R554" s="1" t="s">
        <v>5558</v>
      </c>
      <c r="S554" s="1" t="s">
        <v>74</v>
      </c>
      <c r="T554" s="1" t="s">
        <v>74</v>
      </c>
      <c r="U554" s="1" t="s">
        <v>74</v>
      </c>
      <c r="V554" s="1" t="s">
        <v>74</v>
      </c>
      <c r="W554" s="1" t="s">
        <v>74</v>
      </c>
      <c r="X554" s="1" t="s">
        <v>74</v>
      </c>
      <c r="Y554" s="1" t="s">
        <v>74</v>
      </c>
      <c r="Z554" s="1" t="s">
        <v>74</v>
      </c>
      <c r="AA554" s="1" t="s">
        <v>5559</v>
      </c>
      <c r="AB554" s="1" t="s">
        <v>5560</v>
      </c>
      <c r="AC554" s="1" t="s">
        <v>74</v>
      </c>
      <c r="AD554" s="1" t="s">
        <v>74</v>
      </c>
      <c r="AE554" s="1" t="s">
        <v>74</v>
      </c>
      <c r="AF554" s="1" t="s">
        <v>74</v>
      </c>
      <c r="AG554" s="1" t="s">
        <v>74</v>
      </c>
      <c r="AH554" s="1" t="s">
        <v>74</v>
      </c>
      <c r="AI554" s="1" t="s">
        <v>74</v>
      </c>
      <c r="AJ554" s="1" t="s">
        <v>74</v>
      </c>
      <c r="AK554" s="1" t="s">
        <v>74</v>
      </c>
      <c r="AL554" s="1" t="s">
        <v>74</v>
      </c>
      <c r="AM554" s="1" t="s">
        <v>74</v>
      </c>
      <c r="AN554" s="1" t="s">
        <v>74</v>
      </c>
      <c r="AO554" s="1" t="s">
        <v>74</v>
      </c>
      <c r="AP554" s="1" t="s">
        <v>74</v>
      </c>
      <c r="AQ554" s="1" t="s">
        <v>5561</v>
      </c>
      <c r="AR554" s="1" t="s">
        <v>74</v>
      </c>
      <c r="AS554" s="1" t="s">
        <v>74</v>
      </c>
      <c r="AT554" s="1" t="s">
        <v>74</v>
      </c>
      <c r="AU554" s="1">
        <v>2015.0</v>
      </c>
      <c r="AV554" s="1" t="s">
        <v>74</v>
      </c>
      <c r="AW554" s="1" t="s">
        <v>74</v>
      </c>
      <c r="AX554" s="1" t="s">
        <v>74</v>
      </c>
      <c r="AY554" s="1" t="s">
        <v>74</v>
      </c>
      <c r="AZ554" s="1" t="s">
        <v>74</v>
      </c>
      <c r="BA554" s="1" t="s">
        <v>74</v>
      </c>
      <c r="BB554" s="1">
        <v>509.0</v>
      </c>
      <c r="BC554" s="1">
        <v>518.0</v>
      </c>
      <c r="BD554" s="1" t="s">
        <v>74</v>
      </c>
      <c r="BE554" s="1" t="s">
        <v>5562</v>
      </c>
      <c r="BF554" s="2" t="str">
        <f>HYPERLINK("http://dx.doi.org/10.1007/978-1-4939-2578-0_46","http://dx.doi.org/10.1007/978-1-4939-2578-0_46")</f>
        <v>http://dx.doi.org/10.1007/978-1-4939-2578-0_46</v>
      </c>
      <c r="BG554" s="1" t="s">
        <v>74</v>
      </c>
      <c r="BH554" s="1" t="s">
        <v>74</v>
      </c>
      <c r="BI554" s="1" t="s">
        <v>74</v>
      </c>
      <c r="BJ554" s="1" t="s">
        <v>74</v>
      </c>
      <c r="BK554" s="1" t="s">
        <v>74</v>
      </c>
      <c r="BL554" s="1" t="s">
        <v>74</v>
      </c>
      <c r="BM554" s="1" t="s">
        <v>74</v>
      </c>
      <c r="BN554" s="1" t="s">
        <v>74</v>
      </c>
      <c r="BO554" s="1" t="s">
        <v>74</v>
      </c>
      <c r="BP554" s="1" t="s">
        <v>74</v>
      </c>
      <c r="BQ554" s="1" t="s">
        <v>74</v>
      </c>
      <c r="BR554" s="1" t="s">
        <v>74</v>
      </c>
      <c r="BS554" s="1" t="s">
        <v>5563</v>
      </c>
      <c r="BT554" s="1" t="str">
        <f>HYPERLINK("https%3A%2F%2Fwww.webofscience.com%2Fwos%2Fwoscc%2Ffull-record%2FWOS:000380529900046","View Full Record in Web of Science")</f>
        <v>View Full Record in Web of Science</v>
      </c>
    </row>
    <row r="555" ht="12.75" customHeight="1">
      <c r="A555" s="1" t="s">
        <v>72</v>
      </c>
      <c r="B555" s="1" t="s">
        <v>5564</v>
      </c>
      <c r="C555" s="1" t="s">
        <v>74</v>
      </c>
      <c r="D555" s="1" t="s">
        <v>74</v>
      </c>
      <c r="E555" s="1" t="s">
        <v>74</v>
      </c>
      <c r="F555" s="1" t="s">
        <v>5565</v>
      </c>
      <c r="G555" s="1" t="s">
        <v>74</v>
      </c>
      <c r="H555" s="1" t="s">
        <v>74</v>
      </c>
      <c r="I555" s="1" t="s">
        <v>5566</v>
      </c>
      <c r="J555" s="1" t="s">
        <v>1045</v>
      </c>
      <c r="K555" s="1" t="s">
        <v>74</v>
      </c>
      <c r="L555" s="1" t="s">
        <v>74</v>
      </c>
      <c r="M555" s="1" t="s">
        <v>74</v>
      </c>
      <c r="N555" s="1" t="s">
        <v>74</v>
      </c>
      <c r="O555" s="1" t="s">
        <v>74</v>
      </c>
      <c r="P555" s="1" t="s">
        <v>74</v>
      </c>
      <c r="Q555" s="1" t="s">
        <v>74</v>
      </c>
      <c r="R555" s="1" t="s">
        <v>74</v>
      </c>
      <c r="S555" s="1" t="s">
        <v>74</v>
      </c>
      <c r="T555" s="1" t="s">
        <v>74</v>
      </c>
      <c r="U555" s="1" t="s">
        <v>74</v>
      </c>
      <c r="V555" s="1" t="s">
        <v>5567</v>
      </c>
      <c r="W555" s="1" t="s">
        <v>74</v>
      </c>
      <c r="X555" s="1" t="s">
        <v>74</v>
      </c>
      <c r="Y555" s="1" t="s">
        <v>74</v>
      </c>
      <c r="Z555" s="1" t="s">
        <v>74</v>
      </c>
      <c r="AA555" s="1" t="s">
        <v>1791</v>
      </c>
      <c r="AB555" s="1" t="s">
        <v>5568</v>
      </c>
      <c r="AC555" s="1" t="s">
        <v>74</v>
      </c>
      <c r="AD555" s="1" t="s">
        <v>74</v>
      </c>
      <c r="AE555" s="1" t="s">
        <v>74</v>
      </c>
      <c r="AF555" s="1" t="s">
        <v>74</v>
      </c>
      <c r="AG555" s="1" t="s">
        <v>74</v>
      </c>
      <c r="AH555" s="1" t="s">
        <v>74</v>
      </c>
      <c r="AI555" s="1" t="s">
        <v>74</v>
      </c>
      <c r="AJ555" s="1" t="s">
        <v>74</v>
      </c>
      <c r="AK555" s="1" t="s">
        <v>74</v>
      </c>
      <c r="AL555" s="1" t="s">
        <v>74</v>
      </c>
      <c r="AM555" s="1" t="s">
        <v>74</v>
      </c>
      <c r="AN555" s="1" t="s">
        <v>74</v>
      </c>
      <c r="AO555" s="1" t="s">
        <v>1047</v>
      </c>
      <c r="AP555" s="1" t="s">
        <v>1048</v>
      </c>
      <c r="AQ555" s="1" t="s">
        <v>74</v>
      </c>
      <c r="AR555" s="1" t="s">
        <v>74</v>
      </c>
      <c r="AS555" s="1" t="s">
        <v>74</v>
      </c>
      <c r="AT555" s="1" t="s">
        <v>617</v>
      </c>
      <c r="AU555" s="1">
        <v>2014.0</v>
      </c>
      <c r="AV555" s="1">
        <v>419.0</v>
      </c>
      <c r="AW555" s="1">
        <v>1.0</v>
      </c>
      <c r="AX555" s="1" t="s">
        <v>74</v>
      </c>
      <c r="AY555" s="1" t="s">
        <v>74</v>
      </c>
      <c r="AZ555" s="1" t="s">
        <v>74</v>
      </c>
      <c r="BA555" s="1" t="s">
        <v>74</v>
      </c>
      <c r="BB555" s="1">
        <v>373.0</v>
      </c>
      <c r="BC555" s="1">
        <v>394.0</v>
      </c>
      <c r="BD555" s="1" t="s">
        <v>74</v>
      </c>
      <c r="BE555" s="1" t="s">
        <v>5569</v>
      </c>
      <c r="BF555" s="2" t="str">
        <f>HYPERLINK("http://dx.doi.org/10.1016/j.jmaa.2014.04.047","http://dx.doi.org/10.1016/j.jmaa.2014.04.047")</f>
        <v>http://dx.doi.org/10.1016/j.jmaa.2014.04.047</v>
      </c>
      <c r="BG555" s="1" t="s">
        <v>74</v>
      </c>
      <c r="BH555" s="1" t="s">
        <v>74</v>
      </c>
      <c r="BI555" s="1" t="s">
        <v>74</v>
      </c>
      <c r="BJ555" s="1" t="s">
        <v>74</v>
      </c>
      <c r="BK555" s="1" t="s">
        <v>74</v>
      </c>
      <c r="BL555" s="1" t="s">
        <v>74</v>
      </c>
      <c r="BM555" s="1" t="s">
        <v>74</v>
      </c>
      <c r="BN555" s="1" t="s">
        <v>74</v>
      </c>
      <c r="BO555" s="1" t="s">
        <v>74</v>
      </c>
      <c r="BP555" s="1" t="s">
        <v>74</v>
      </c>
      <c r="BQ555" s="1" t="s">
        <v>74</v>
      </c>
      <c r="BR555" s="1" t="s">
        <v>74</v>
      </c>
      <c r="BS555" s="1" t="s">
        <v>5570</v>
      </c>
      <c r="BT555" s="1" t="str">
        <f>HYPERLINK("https%3A%2F%2Fwww.webofscience.com%2Fwos%2Fwoscc%2Ffull-record%2FWOS:000338482600026","View Full Record in Web of Science")</f>
        <v>View Full Record in Web of Science</v>
      </c>
    </row>
    <row r="556" ht="12.75" customHeight="1">
      <c r="A556" s="1" t="s">
        <v>72</v>
      </c>
      <c r="B556" s="1" t="s">
        <v>5571</v>
      </c>
      <c r="C556" s="1" t="s">
        <v>74</v>
      </c>
      <c r="D556" s="1" t="s">
        <v>74</v>
      </c>
      <c r="E556" s="1" t="s">
        <v>74</v>
      </c>
      <c r="F556" s="1" t="s">
        <v>5572</v>
      </c>
      <c r="G556" s="1" t="s">
        <v>74</v>
      </c>
      <c r="H556" s="1" t="s">
        <v>74</v>
      </c>
      <c r="I556" s="1" t="s">
        <v>5573</v>
      </c>
      <c r="J556" s="1" t="s">
        <v>5574</v>
      </c>
      <c r="K556" s="1" t="s">
        <v>74</v>
      </c>
      <c r="L556" s="1" t="s">
        <v>74</v>
      </c>
      <c r="M556" s="1" t="s">
        <v>74</v>
      </c>
      <c r="N556" s="1" t="s">
        <v>74</v>
      </c>
      <c r="O556" s="1" t="s">
        <v>74</v>
      </c>
      <c r="P556" s="1" t="s">
        <v>74</v>
      </c>
      <c r="Q556" s="1" t="s">
        <v>74</v>
      </c>
      <c r="R556" s="1" t="s">
        <v>74</v>
      </c>
      <c r="S556" s="1" t="s">
        <v>74</v>
      </c>
      <c r="T556" s="1" t="s">
        <v>74</v>
      </c>
      <c r="U556" s="1" t="s">
        <v>74</v>
      </c>
      <c r="V556" s="1" t="s">
        <v>5575</v>
      </c>
      <c r="W556" s="1" t="s">
        <v>74</v>
      </c>
      <c r="X556" s="1" t="s">
        <v>74</v>
      </c>
      <c r="Y556" s="1" t="s">
        <v>74</v>
      </c>
      <c r="Z556" s="1" t="s">
        <v>74</v>
      </c>
      <c r="AA556" s="1" t="s">
        <v>74</v>
      </c>
      <c r="AB556" s="1" t="s">
        <v>74</v>
      </c>
      <c r="AC556" s="1" t="s">
        <v>74</v>
      </c>
      <c r="AD556" s="1" t="s">
        <v>74</v>
      </c>
      <c r="AE556" s="1" t="s">
        <v>74</v>
      </c>
      <c r="AF556" s="1" t="s">
        <v>74</v>
      </c>
      <c r="AG556" s="1" t="s">
        <v>74</v>
      </c>
      <c r="AH556" s="1" t="s">
        <v>74</v>
      </c>
      <c r="AI556" s="1" t="s">
        <v>74</v>
      </c>
      <c r="AJ556" s="1" t="s">
        <v>74</v>
      </c>
      <c r="AK556" s="1" t="s">
        <v>74</v>
      </c>
      <c r="AL556" s="1" t="s">
        <v>74</v>
      </c>
      <c r="AM556" s="1" t="s">
        <v>74</v>
      </c>
      <c r="AN556" s="1" t="s">
        <v>74</v>
      </c>
      <c r="AO556" s="1" t="s">
        <v>5576</v>
      </c>
      <c r="AP556" s="1" t="s">
        <v>5577</v>
      </c>
      <c r="AQ556" s="1" t="s">
        <v>74</v>
      </c>
      <c r="AR556" s="1" t="s">
        <v>74</v>
      </c>
      <c r="AS556" s="1" t="s">
        <v>74</v>
      </c>
      <c r="AT556" s="1" t="s">
        <v>235</v>
      </c>
      <c r="AU556" s="1">
        <v>2014.0</v>
      </c>
      <c r="AV556" s="1">
        <v>90.0</v>
      </c>
      <c r="AW556" s="1">
        <v>2.0</v>
      </c>
      <c r="AX556" s="1" t="s">
        <v>74</v>
      </c>
      <c r="AY556" s="1" t="s">
        <v>74</v>
      </c>
      <c r="AZ556" s="1" t="s">
        <v>74</v>
      </c>
      <c r="BA556" s="1" t="s">
        <v>74</v>
      </c>
      <c r="BB556" s="1" t="s">
        <v>74</v>
      </c>
      <c r="BC556" s="1" t="s">
        <v>74</v>
      </c>
      <c r="BD556" s="1">
        <v>23.0</v>
      </c>
      <c r="BE556" s="1" t="s">
        <v>5578</v>
      </c>
      <c r="BF556" s="2" t="str">
        <f>HYPERLINK("http://dx.doi.org/10.1095/biolreprod.113.109660","http://dx.doi.org/10.1095/biolreprod.113.109660")</f>
        <v>http://dx.doi.org/10.1095/biolreprod.113.109660</v>
      </c>
      <c r="BG556" s="1" t="s">
        <v>74</v>
      </c>
      <c r="BH556" s="1" t="s">
        <v>74</v>
      </c>
      <c r="BI556" s="1" t="s">
        <v>74</v>
      </c>
      <c r="BJ556" s="1" t="s">
        <v>74</v>
      </c>
      <c r="BK556" s="1" t="s">
        <v>74</v>
      </c>
      <c r="BL556" s="1" t="s">
        <v>74</v>
      </c>
      <c r="BM556" s="1" t="s">
        <v>74</v>
      </c>
      <c r="BN556" s="1">
        <v>2.4352557E7</v>
      </c>
      <c r="BO556" s="1" t="s">
        <v>74</v>
      </c>
      <c r="BP556" s="1" t="s">
        <v>74</v>
      </c>
      <c r="BQ556" s="1" t="s">
        <v>74</v>
      </c>
      <c r="BR556" s="1" t="s">
        <v>74</v>
      </c>
      <c r="BS556" s="1" t="s">
        <v>5579</v>
      </c>
      <c r="BT556" s="1" t="str">
        <f>HYPERLINK("https%3A%2F%2Fwww.webofscience.com%2Fwos%2Fwoscc%2Ffull-record%2FWOS:000331272300002","View Full Record in Web of Science")</f>
        <v>View Full Record in Web of Science</v>
      </c>
    </row>
    <row r="557" ht="12.75" customHeight="1">
      <c r="A557" s="1" t="s">
        <v>182</v>
      </c>
      <c r="B557" s="1" t="s">
        <v>5580</v>
      </c>
      <c r="C557" s="1" t="s">
        <v>74</v>
      </c>
      <c r="D557" s="1" t="s">
        <v>74</v>
      </c>
      <c r="E557" s="1" t="s">
        <v>5581</v>
      </c>
      <c r="F557" s="1" t="s">
        <v>5582</v>
      </c>
      <c r="G557" s="1" t="s">
        <v>74</v>
      </c>
      <c r="H557" s="1" t="s">
        <v>74</v>
      </c>
      <c r="I557" s="1" t="s">
        <v>5583</v>
      </c>
      <c r="J557" s="1" t="s">
        <v>5584</v>
      </c>
      <c r="K557" s="1" t="s">
        <v>74</v>
      </c>
      <c r="L557" s="1" t="s">
        <v>74</v>
      </c>
      <c r="M557" s="1" t="s">
        <v>74</v>
      </c>
      <c r="N557" s="1" t="s">
        <v>74</v>
      </c>
      <c r="O557" s="1" t="s">
        <v>5585</v>
      </c>
      <c r="P557" s="1" t="s">
        <v>5586</v>
      </c>
      <c r="Q557" s="1" t="s">
        <v>5587</v>
      </c>
      <c r="R557" s="1" t="s">
        <v>5581</v>
      </c>
      <c r="S557" s="1" t="s">
        <v>74</v>
      </c>
      <c r="T557" s="1" t="s">
        <v>74</v>
      </c>
      <c r="U557" s="1" t="s">
        <v>74</v>
      </c>
      <c r="V557" s="1" t="s">
        <v>5588</v>
      </c>
      <c r="W557" s="1" t="s">
        <v>74</v>
      </c>
      <c r="X557" s="1" t="s">
        <v>74</v>
      </c>
      <c r="Y557" s="1" t="s">
        <v>74</v>
      </c>
      <c r="Z557" s="1" t="s">
        <v>74</v>
      </c>
      <c r="AA557" s="1" t="s">
        <v>5589</v>
      </c>
      <c r="AB557" s="1" t="s">
        <v>74</v>
      </c>
      <c r="AC557" s="1" t="s">
        <v>74</v>
      </c>
      <c r="AD557" s="1" t="s">
        <v>74</v>
      </c>
      <c r="AE557" s="1" t="s">
        <v>74</v>
      </c>
      <c r="AF557" s="1" t="s">
        <v>74</v>
      </c>
      <c r="AG557" s="1" t="s">
        <v>74</v>
      </c>
      <c r="AH557" s="1" t="s">
        <v>74</v>
      </c>
      <c r="AI557" s="1" t="s">
        <v>74</v>
      </c>
      <c r="AJ557" s="1" t="s">
        <v>74</v>
      </c>
      <c r="AK557" s="1" t="s">
        <v>74</v>
      </c>
      <c r="AL557" s="1" t="s">
        <v>74</v>
      </c>
      <c r="AM557" s="1" t="s">
        <v>74</v>
      </c>
      <c r="AN557" s="1" t="s">
        <v>74</v>
      </c>
      <c r="AO557" s="1" t="s">
        <v>74</v>
      </c>
      <c r="AP557" s="1" t="s">
        <v>74</v>
      </c>
      <c r="AQ557" s="1" t="s">
        <v>5590</v>
      </c>
      <c r="AR557" s="1" t="s">
        <v>74</v>
      </c>
      <c r="AS557" s="1" t="s">
        <v>74</v>
      </c>
      <c r="AT557" s="1" t="s">
        <v>74</v>
      </c>
      <c r="AU557" s="1">
        <v>2014.0</v>
      </c>
      <c r="AV557" s="1" t="s">
        <v>74</v>
      </c>
      <c r="AW557" s="1" t="s">
        <v>74</v>
      </c>
      <c r="AX557" s="1" t="s">
        <v>74</v>
      </c>
      <c r="AY557" s="1" t="s">
        <v>74</v>
      </c>
      <c r="AZ557" s="1" t="s">
        <v>74</v>
      </c>
      <c r="BA557" s="1" t="s">
        <v>74</v>
      </c>
      <c r="BB557" s="1" t="s">
        <v>74</v>
      </c>
      <c r="BC557" s="1" t="s">
        <v>74</v>
      </c>
      <c r="BD557" s="1" t="s">
        <v>5591</v>
      </c>
      <c r="BE557" s="1" t="s">
        <v>74</v>
      </c>
      <c r="BF557" s="1" t="s">
        <v>74</v>
      </c>
      <c r="BG557" s="1" t="s">
        <v>74</v>
      </c>
      <c r="BH557" s="1" t="s">
        <v>74</v>
      </c>
      <c r="BI557" s="1" t="s">
        <v>74</v>
      </c>
      <c r="BJ557" s="1" t="s">
        <v>74</v>
      </c>
      <c r="BK557" s="1" t="s">
        <v>74</v>
      </c>
      <c r="BL557" s="1" t="s">
        <v>74</v>
      </c>
      <c r="BM557" s="1" t="s">
        <v>74</v>
      </c>
      <c r="BN557" s="1" t="s">
        <v>74</v>
      </c>
      <c r="BO557" s="1" t="s">
        <v>74</v>
      </c>
      <c r="BP557" s="1" t="s">
        <v>74</v>
      </c>
      <c r="BQ557" s="1" t="s">
        <v>74</v>
      </c>
      <c r="BR557" s="1" t="s">
        <v>74</v>
      </c>
      <c r="BS557" s="1" t="s">
        <v>5592</v>
      </c>
      <c r="BT557" s="1" t="str">
        <f>HYPERLINK("https%3A%2F%2Fwww.webofscience.com%2Fwos%2Fwoscc%2Ffull-record%2FWOS:000359682100002","View Full Record in Web of Science")</f>
        <v>View Full Record in Web of Science</v>
      </c>
    </row>
    <row r="558" ht="12.75" customHeight="1">
      <c r="A558" s="1" t="s">
        <v>72</v>
      </c>
      <c r="B558" s="1" t="s">
        <v>5593</v>
      </c>
      <c r="C558" s="1" t="s">
        <v>74</v>
      </c>
      <c r="D558" s="1" t="s">
        <v>74</v>
      </c>
      <c r="E558" s="1" t="s">
        <v>74</v>
      </c>
      <c r="F558" s="1" t="s">
        <v>5594</v>
      </c>
      <c r="G558" s="1" t="s">
        <v>74</v>
      </c>
      <c r="H558" s="1" t="s">
        <v>74</v>
      </c>
      <c r="I558" s="1" t="s">
        <v>5595</v>
      </c>
      <c r="J558" s="1" t="s">
        <v>5596</v>
      </c>
      <c r="K558" s="1" t="s">
        <v>74</v>
      </c>
      <c r="L558" s="1" t="s">
        <v>74</v>
      </c>
      <c r="M558" s="1" t="s">
        <v>74</v>
      </c>
      <c r="N558" s="1" t="s">
        <v>74</v>
      </c>
      <c r="O558" s="1" t="s">
        <v>74</v>
      </c>
      <c r="P558" s="1" t="s">
        <v>74</v>
      </c>
      <c r="Q558" s="1" t="s">
        <v>74</v>
      </c>
      <c r="R558" s="1" t="s">
        <v>74</v>
      </c>
      <c r="S558" s="1" t="s">
        <v>74</v>
      </c>
      <c r="T558" s="1" t="s">
        <v>74</v>
      </c>
      <c r="U558" s="1" t="s">
        <v>74</v>
      </c>
      <c r="V558" s="1" t="s">
        <v>5597</v>
      </c>
      <c r="W558" s="1" t="s">
        <v>74</v>
      </c>
      <c r="X558" s="1" t="s">
        <v>74</v>
      </c>
      <c r="Y558" s="1" t="s">
        <v>74</v>
      </c>
      <c r="Z558" s="1" t="s">
        <v>74</v>
      </c>
      <c r="AA558" s="1" t="s">
        <v>74</v>
      </c>
      <c r="AB558" s="1" t="s">
        <v>5598</v>
      </c>
      <c r="AC558" s="1" t="s">
        <v>74</v>
      </c>
      <c r="AD558" s="1" t="s">
        <v>74</v>
      </c>
      <c r="AE558" s="1" t="s">
        <v>74</v>
      </c>
      <c r="AF558" s="1" t="s">
        <v>74</v>
      </c>
      <c r="AG558" s="1" t="s">
        <v>74</v>
      </c>
      <c r="AH558" s="1" t="s">
        <v>74</v>
      </c>
      <c r="AI558" s="1" t="s">
        <v>74</v>
      </c>
      <c r="AJ558" s="1" t="s">
        <v>74</v>
      </c>
      <c r="AK558" s="1" t="s">
        <v>74</v>
      </c>
      <c r="AL558" s="1" t="s">
        <v>74</v>
      </c>
      <c r="AM558" s="1" t="s">
        <v>74</v>
      </c>
      <c r="AN558" s="1" t="s">
        <v>74</v>
      </c>
      <c r="AO558" s="1" t="s">
        <v>5599</v>
      </c>
      <c r="AP558" s="1" t="s">
        <v>74</v>
      </c>
      <c r="AQ558" s="1" t="s">
        <v>74</v>
      </c>
      <c r="AR558" s="1" t="s">
        <v>74</v>
      </c>
      <c r="AS558" s="1" t="s">
        <v>74</v>
      </c>
      <c r="AT558" s="1" t="s">
        <v>339</v>
      </c>
      <c r="AU558" s="1">
        <v>2013.0</v>
      </c>
      <c r="AV558" s="1">
        <v>82.0</v>
      </c>
      <c r="AW558" s="1">
        <v>3.0</v>
      </c>
      <c r="AX558" s="1" t="s">
        <v>74</v>
      </c>
      <c r="AY558" s="1" t="s">
        <v>74</v>
      </c>
      <c r="AZ558" s="1" t="s">
        <v>74</v>
      </c>
      <c r="BA558" s="1" t="s">
        <v>74</v>
      </c>
      <c r="BB558" s="1">
        <v>317.0</v>
      </c>
      <c r="BC558" s="1">
        <v>325.0</v>
      </c>
      <c r="BD558" s="1" t="s">
        <v>74</v>
      </c>
      <c r="BE558" s="1" t="s">
        <v>5600</v>
      </c>
      <c r="BF558" s="2" t="str">
        <f>HYPERLINK("http://dx.doi.org/10.1111/cbdd.12157","http://dx.doi.org/10.1111/cbdd.12157")</f>
        <v>http://dx.doi.org/10.1111/cbdd.12157</v>
      </c>
      <c r="BG558" s="1" t="s">
        <v>74</v>
      </c>
      <c r="BH558" s="1" t="s">
        <v>74</v>
      </c>
      <c r="BI558" s="1" t="s">
        <v>74</v>
      </c>
      <c r="BJ558" s="1" t="s">
        <v>74</v>
      </c>
      <c r="BK558" s="1" t="s">
        <v>74</v>
      </c>
      <c r="BL558" s="1" t="s">
        <v>74</v>
      </c>
      <c r="BM558" s="1" t="s">
        <v>74</v>
      </c>
      <c r="BN558" s="1">
        <v>2.3663316E7</v>
      </c>
      <c r="BO558" s="1" t="s">
        <v>74</v>
      </c>
      <c r="BP558" s="1" t="s">
        <v>74</v>
      </c>
      <c r="BQ558" s="1" t="s">
        <v>74</v>
      </c>
      <c r="BR558" s="1" t="s">
        <v>74</v>
      </c>
      <c r="BS558" s="1" t="s">
        <v>5601</v>
      </c>
      <c r="BT558" s="1" t="str">
        <f>HYPERLINK("https%3A%2F%2Fwww.webofscience.com%2Fwos%2Fwoscc%2Ffull-record%2FWOS:000323376300009","View Full Record in Web of Science")</f>
        <v>View Full Record in Web of Science</v>
      </c>
    </row>
    <row r="559" ht="12.75" customHeight="1">
      <c r="A559" s="1" t="s">
        <v>72</v>
      </c>
      <c r="B559" s="1" t="s">
        <v>5602</v>
      </c>
      <c r="C559" s="1" t="s">
        <v>74</v>
      </c>
      <c r="D559" s="1" t="s">
        <v>74</v>
      </c>
      <c r="E559" s="1" t="s">
        <v>74</v>
      </c>
      <c r="F559" s="1" t="s">
        <v>5603</v>
      </c>
      <c r="G559" s="1" t="s">
        <v>74</v>
      </c>
      <c r="H559" s="1" t="s">
        <v>74</v>
      </c>
      <c r="I559" s="1" t="s">
        <v>5604</v>
      </c>
      <c r="J559" s="1" t="s">
        <v>5605</v>
      </c>
      <c r="K559" s="1" t="s">
        <v>74</v>
      </c>
      <c r="L559" s="1" t="s">
        <v>74</v>
      </c>
      <c r="M559" s="1" t="s">
        <v>74</v>
      </c>
      <c r="N559" s="1" t="s">
        <v>74</v>
      </c>
      <c r="O559" s="1" t="s">
        <v>74</v>
      </c>
      <c r="P559" s="1" t="s">
        <v>74</v>
      </c>
      <c r="Q559" s="1" t="s">
        <v>74</v>
      </c>
      <c r="R559" s="1" t="s">
        <v>74</v>
      </c>
      <c r="S559" s="1" t="s">
        <v>74</v>
      </c>
      <c r="T559" s="1" t="s">
        <v>74</v>
      </c>
      <c r="U559" s="1" t="s">
        <v>74</v>
      </c>
      <c r="V559" s="1" t="s">
        <v>5606</v>
      </c>
      <c r="W559" s="1" t="s">
        <v>74</v>
      </c>
      <c r="X559" s="1" t="s">
        <v>74</v>
      </c>
      <c r="Y559" s="1" t="s">
        <v>74</v>
      </c>
      <c r="Z559" s="1" t="s">
        <v>74</v>
      </c>
      <c r="AA559" s="1" t="s">
        <v>5607</v>
      </c>
      <c r="AB559" s="1" t="s">
        <v>74</v>
      </c>
      <c r="AC559" s="1" t="s">
        <v>74</v>
      </c>
      <c r="AD559" s="1" t="s">
        <v>74</v>
      </c>
      <c r="AE559" s="1" t="s">
        <v>74</v>
      </c>
      <c r="AF559" s="1" t="s">
        <v>74</v>
      </c>
      <c r="AG559" s="1" t="s">
        <v>74</v>
      </c>
      <c r="AH559" s="1" t="s">
        <v>74</v>
      </c>
      <c r="AI559" s="1" t="s">
        <v>74</v>
      </c>
      <c r="AJ559" s="1" t="s">
        <v>74</v>
      </c>
      <c r="AK559" s="1" t="s">
        <v>74</v>
      </c>
      <c r="AL559" s="1" t="s">
        <v>74</v>
      </c>
      <c r="AM559" s="1" t="s">
        <v>74</v>
      </c>
      <c r="AN559" s="1" t="s">
        <v>74</v>
      </c>
      <c r="AO559" s="1" t="s">
        <v>5608</v>
      </c>
      <c r="AP559" s="1" t="s">
        <v>74</v>
      </c>
      <c r="AQ559" s="1" t="s">
        <v>74</v>
      </c>
      <c r="AR559" s="1" t="s">
        <v>74</v>
      </c>
      <c r="AS559" s="1" t="s">
        <v>74</v>
      </c>
      <c r="AT559" s="1" t="s">
        <v>5609</v>
      </c>
      <c r="AU559" s="1">
        <v>2013.0</v>
      </c>
      <c r="AV559" s="1">
        <v>80.0</v>
      </c>
      <c r="AW559" s="1">
        <v>317.0</v>
      </c>
      <c r="AX559" s="1" t="s">
        <v>74</v>
      </c>
      <c r="AY559" s="1" t="s">
        <v>74</v>
      </c>
      <c r="AZ559" s="1" t="s">
        <v>74</v>
      </c>
      <c r="BA559" s="1" t="s">
        <v>74</v>
      </c>
      <c r="BB559" s="1">
        <v>143.0</v>
      </c>
      <c r="BC559" s="1">
        <v>168.0</v>
      </c>
      <c r="BD559" s="1" t="s">
        <v>74</v>
      </c>
      <c r="BE559" s="1" t="s">
        <v>74</v>
      </c>
      <c r="BF559" s="1" t="s">
        <v>74</v>
      </c>
      <c r="BG559" s="1" t="s">
        <v>74</v>
      </c>
      <c r="BH559" s="1" t="s">
        <v>74</v>
      </c>
      <c r="BI559" s="1" t="s">
        <v>74</v>
      </c>
      <c r="BJ559" s="1" t="s">
        <v>74</v>
      </c>
      <c r="BK559" s="1" t="s">
        <v>74</v>
      </c>
      <c r="BL559" s="1" t="s">
        <v>74</v>
      </c>
      <c r="BM559" s="1" t="s">
        <v>74</v>
      </c>
      <c r="BN559" s="1" t="s">
        <v>74</v>
      </c>
      <c r="BO559" s="1" t="s">
        <v>74</v>
      </c>
      <c r="BP559" s="1" t="s">
        <v>74</v>
      </c>
      <c r="BQ559" s="1" t="s">
        <v>74</v>
      </c>
      <c r="BR559" s="1" t="s">
        <v>74</v>
      </c>
      <c r="BS559" s="1" t="s">
        <v>5610</v>
      </c>
      <c r="BT559" s="1" t="str">
        <f>HYPERLINK("https%3A%2F%2Fwww.webofscience.com%2Fwos%2Fwoscc%2Ffull-record%2FWOS:000337714300005","View Full Record in Web of Science")</f>
        <v>View Full Record in Web of Science</v>
      </c>
    </row>
    <row r="560" ht="12.75" customHeight="1">
      <c r="A560" s="1" t="s">
        <v>72</v>
      </c>
      <c r="B560" s="1" t="s">
        <v>5611</v>
      </c>
      <c r="C560" s="1" t="s">
        <v>74</v>
      </c>
      <c r="D560" s="1" t="s">
        <v>74</v>
      </c>
      <c r="E560" s="1" t="s">
        <v>74</v>
      </c>
      <c r="F560" s="1" t="s">
        <v>5612</v>
      </c>
      <c r="G560" s="1" t="s">
        <v>74</v>
      </c>
      <c r="H560" s="1" t="s">
        <v>74</v>
      </c>
      <c r="I560" s="1" t="s">
        <v>5613</v>
      </c>
      <c r="J560" s="1" t="s">
        <v>5614</v>
      </c>
      <c r="K560" s="1" t="s">
        <v>74</v>
      </c>
      <c r="L560" s="1" t="s">
        <v>74</v>
      </c>
      <c r="M560" s="1" t="s">
        <v>74</v>
      </c>
      <c r="N560" s="1" t="s">
        <v>74</v>
      </c>
      <c r="O560" s="1" t="s">
        <v>74</v>
      </c>
      <c r="P560" s="1" t="s">
        <v>74</v>
      </c>
      <c r="Q560" s="1" t="s">
        <v>74</v>
      </c>
      <c r="R560" s="1" t="s">
        <v>74</v>
      </c>
      <c r="S560" s="1" t="s">
        <v>74</v>
      </c>
      <c r="T560" s="1" t="s">
        <v>74</v>
      </c>
      <c r="U560" s="1" t="s">
        <v>74</v>
      </c>
      <c r="V560" s="1" t="s">
        <v>5615</v>
      </c>
      <c r="W560" s="1" t="s">
        <v>74</v>
      </c>
      <c r="X560" s="1" t="s">
        <v>74</v>
      </c>
      <c r="Y560" s="1" t="s">
        <v>74</v>
      </c>
      <c r="Z560" s="1" t="s">
        <v>74</v>
      </c>
      <c r="AA560" s="1" t="s">
        <v>5616</v>
      </c>
      <c r="AB560" s="1" t="s">
        <v>5617</v>
      </c>
      <c r="AC560" s="1" t="s">
        <v>74</v>
      </c>
      <c r="AD560" s="1" t="s">
        <v>74</v>
      </c>
      <c r="AE560" s="1" t="s">
        <v>74</v>
      </c>
      <c r="AF560" s="1" t="s">
        <v>74</v>
      </c>
      <c r="AG560" s="1" t="s">
        <v>74</v>
      </c>
      <c r="AH560" s="1" t="s">
        <v>74</v>
      </c>
      <c r="AI560" s="1" t="s">
        <v>74</v>
      </c>
      <c r="AJ560" s="1" t="s">
        <v>74</v>
      </c>
      <c r="AK560" s="1" t="s">
        <v>74</v>
      </c>
      <c r="AL560" s="1" t="s">
        <v>74</v>
      </c>
      <c r="AM560" s="1" t="s">
        <v>74</v>
      </c>
      <c r="AN560" s="1" t="s">
        <v>74</v>
      </c>
      <c r="AO560" s="1" t="s">
        <v>5618</v>
      </c>
      <c r="AP560" s="1" t="s">
        <v>74</v>
      </c>
      <c r="AQ560" s="1" t="s">
        <v>74</v>
      </c>
      <c r="AR560" s="1" t="s">
        <v>74</v>
      </c>
      <c r="AS560" s="1" t="s">
        <v>74</v>
      </c>
      <c r="AT560" s="1" t="s">
        <v>5609</v>
      </c>
      <c r="AU560" s="1">
        <v>2012.0</v>
      </c>
      <c r="AV560" s="1">
        <v>72.0</v>
      </c>
      <c r="AW560" s="1">
        <v>1.0</v>
      </c>
      <c r="AX560" s="1" t="s">
        <v>74</v>
      </c>
      <c r="AY560" s="1" t="s">
        <v>74</v>
      </c>
      <c r="AZ560" s="1" t="s">
        <v>74</v>
      </c>
      <c r="BA560" s="1" t="s">
        <v>74</v>
      </c>
      <c r="BB560" s="1">
        <v>3.0</v>
      </c>
      <c r="BC560" s="1">
        <v>9.0</v>
      </c>
      <c r="BD560" s="1" t="s">
        <v>74</v>
      </c>
      <c r="BE560" s="1" t="s">
        <v>5619</v>
      </c>
      <c r="BF560" s="2" t="str">
        <f>HYPERLINK("http://dx.doi.org/10.4067/S0718-58392012000100001","http://dx.doi.org/10.4067/S0718-58392012000100001")</f>
        <v>http://dx.doi.org/10.4067/S0718-58392012000100001</v>
      </c>
      <c r="BG560" s="1" t="s">
        <v>74</v>
      </c>
      <c r="BH560" s="1" t="s">
        <v>74</v>
      </c>
      <c r="BI560" s="1" t="s">
        <v>74</v>
      </c>
      <c r="BJ560" s="1" t="s">
        <v>74</v>
      </c>
      <c r="BK560" s="1" t="s">
        <v>74</v>
      </c>
      <c r="BL560" s="1" t="s">
        <v>74</v>
      </c>
      <c r="BM560" s="1" t="s">
        <v>74</v>
      </c>
      <c r="BN560" s="1" t="s">
        <v>74</v>
      </c>
      <c r="BO560" s="1" t="s">
        <v>74</v>
      </c>
      <c r="BP560" s="1" t="s">
        <v>74</v>
      </c>
      <c r="BQ560" s="1" t="s">
        <v>74</v>
      </c>
      <c r="BR560" s="1" t="s">
        <v>74</v>
      </c>
      <c r="BS560" s="1" t="s">
        <v>5620</v>
      </c>
      <c r="BT560" s="1" t="str">
        <f>HYPERLINK("https%3A%2F%2Fwww.webofscience.com%2Fwos%2Fwoscc%2Ffull-record%2FWOS:000302267300001","View Full Record in Web of Science")</f>
        <v>View Full Record in Web of Science</v>
      </c>
    </row>
    <row r="561" ht="12.75" customHeight="1">
      <c r="A561" s="1" t="s">
        <v>72</v>
      </c>
      <c r="B561" s="1" t="s">
        <v>5621</v>
      </c>
      <c r="C561" s="1" t="s">
        <v>74</v>
      </c>
      <c r="D561" s="1" t="s">
        <v>74</v>
      </c>
      <c r="E561" s="1" t="s">
        <v>74</v>
      </c>
      <c r="F561" s="1" t="s">
        <v>5622</v>
      </c>
      <c r="G561" s="1" t="s">
        <v>74</v>
      </c>
      <c r="H561" s="1" t="s">
        <v>74</v>
      </c>
      <c r="I561" s="1" t="s">
        <v>5623</v>
      </c>
      <c r="J561" s="1" t="s">
        <v>5624</v>
      </c>
      <c r="K561" s="1" t="s">
        <v>74</v>
      </c>
      <c r="L561" s="1" t="s">
        <v>74</v>
      </c>
      <c r="M561" s="1" t="s">
        <v>74</v>
      </c>
      <c r="N561" s="1" t="s">
        <v>74</v>
      </c>
      <c r="O561" s="1" t="s">
        <v>74</v>
      </c>
      <c r="P561" s="1" t="s">
        <v>74</v>
      </c>
      <c r="Q561" s="1" t="s">
        <v>74</v>
      </c>
      <c r="R561" s="1" t="s">
        <v>74</v>
      </c>
      <c r="S561" s="1" t="s">
        <v>74</v>
      </c>
      <c r="T561" s="1" t="s">
        <v>74</v>
      </c>
      <c r="U561" s="1" t="s">
        <v>74</v>
      </c>
      <c r="V561" s="1" t="s">
        <v>5625</v>
      </c>
      <c r="W561" s="1" t="s">
        <v>74</v>
      </c>
      <c r="X561" s="1" t="s">
        <v>74</v>
      </c>
      <c r="Y561" s="1" t="s">
        <v>74</v>
      </c>
      <c r="Z561" s="1" t="s">
        <v>74</v>
      </c>
      <c r="AA561" s="1" t="s">
        <v>5626</v>
      </c>
      <c r="AB561" s="1" t="s">
        <v>5627</v>
      </c>
      <c r="AC561" s="1" t="s">
        <v>74</v>
      </c>
      <c r="AD561" s="1" t="s">
        <v>74</v>
      </c>
      <c r="AE561" s="1" t="s">
        <v>74</v>
      </c>
      <c r="AF561" s="1" t="s">
        <v>74</v>
      </c>
      <c r="AG561" s="1" t="s">
        <v>74</v>
      </c>
      <c r="AH561" s="1" t="s">
        <v>74</v>
      </c>
      <c r="AI561" s="1" t="s">
        <v>74</v>
      </c>
      <c r="AJ561" s="1" t="s">
        <v>74</v>
      </c>
      <c r="AK561" s="1" t="s">
        <v>74</v>
      </c>
      <c r="AL561" s="1" t="s">
        <v>74</v>
      </c>
      <c r="AM561" s="1" t="s">
        <v>74</v>
      </c>
      <c r="AN561" s="1" t="s">
        <v>74</v>
      </c>
      <c r="AO561" s="1" t="s">
        <v>5628</v>
      </c>
      <c r="AP561" s="1" t="s">
        <v>5629</v>
      </c>
      <c r="AQ561" s="1" t="s">
        <v>74</v>
      </c>
      <c r="AR561" s="1" t="s">
        <v>74</v>
      </c>
      <c r="AS561" s="1" t="s">
        <v>74</v>
      </c>
      <c r="AT561" s="1" t="s">
        <v>5630</v>
      </c>
      <c r="AU561" s="1">
        <v>2011.0</v>
      </c>
      <c r="AV561" s="1">
        <v>111.0</v>
      </c>
      <c r="AW561" s="1" t="s">
        <v>2031</v>
      </c>
      <c r="AX561" s="1" t="s">
        <v>74</v>
      </c>
      <c r="AY561" s="1" t="s">
        <v>74</v>
      </c>
      <c r="AZ561" s="1" t="s">
        <v>445</v>
      </c>
      <c r="BA561" s="1" t="s">
        <v>74</v>
      </c>
      <c r="BB561" s="1">
        <v>1570.0</v>
      </c>
      <c r="BC561" s="1">
        <v>1582.0</v>
      </c>
      <c r="BD561" s="1" t="s">
        <v>74</v>
      </c>
      <c r="BE561" s="1" t="s">
        <v>5631</v>
      </c>
      <c r="BF561" s="2" t="str">
        <f>HYPERLINK("http://dx.doi.org/10.1002/qua.22731","http://dx.doi.org/10.1002/qua.22731")</f>
        <v>http://dx.doi.org/10.1002/qua.22731</v>
      </c>
      <c r="BG561" s="1" t="s">
        <v>74</v>
      </c>
      <c r="BH561" s="1" t="s">
        <v>74</v>
      </c>
      <c r="BI561" s="1" t="s">
        <v>74</v>
      </c>
      <c r="BJ561" s="1" t="s">
        <v>74</v>
      </c>
      <c r="BK561" s="1" t="s">
        <v>74</v>
      </c>
      <c r="BL561" s="1" t="s">
        <v>74</v>
      </c>
      <c r="BM561" s="1" t="s">
        <v>74</v>
      </c>
      <c r="BN561" s="1" t="s">
        <v>74</v>
      </c>
      <c r="BO561" s="1" t="s">
        <v>74</v>
      </c>
      <c r="BP561" s="1" t="s">
        <v>74</v>
      </c>
      <c r="BQ561" s="1" t="s">
        <v>74</v>
      </c>
      <c r="BR561" s="1" t="s">
        <v>74</v>
      </c>
      <c r="BS561" s="1" t="s">
        <v>5632</v>
      </c>
      <c r="BT561" s="1" t="str">
        <f>HYPERLINK("https%3A%2F%2Fwww.webofscience.com%2Fwos%2Fwoscc%2Ffull-record%2FWOS:000288873300036","View Full Record in Web of Science")</f>
        <v>View Full Record in Web of Science</v>
      </c>
    </row>
    <row r="562" ht="12.75" customHeight="1">
      <c r="A562" s="1" t="s">
        <v>72</v>
      </c>
      <c r="B562" s="1" t="s">
        <v>5633</v>
      </c>
      <c r="C562" s="1" t="s">
        <v>74</v>
      </c>
      <c r="D562" s="1" t="s">
        <v>74</v>
      </c>
      <c r="E562" s="1" t="s">
        <v>74</v>
      </c>
      <c r="F562" s="1" t="s">
        <v>5634</v>
      </c>
      <c r="G562" s="1" t="s">
        <v>74</v>
      </c>
      <c r="H562" s="1" t="s">
        <v>74</v>
      </c>
      <c r="I562" s="1" t="s">
        <v>5635</v>
      </c>
      <c r="J562" s="1" t="s">
        <v>5636</v>
      </c>
      <c r="K562" s="1" t="s">
        <v>74</v>
      </c>
      <c r="L562" s="1" t="s">
        <v>74</v>
      </c>
      <c r="M562" s="1" t="s">
        <v>74</v>
      </c>
      <c r="N562" s="1" t="s">
        <v>74</v>
      </c>
      <c r="O562" s="1" t="s">
        <v>5637</v>
      </c>
      <c r="P562" s="1" t="s">
        <v>5638</v>
      </c>
      <c r="Q562" s="1" t="s">
        <v>5639</v>
      </c>
      <c r="R562" s="1" t="s">
        <v>5640</v>
      </c>
      <c r="S562" s="1" t="s">
        <v>74</v>
      </c>
      <c r="T562" s="1" t="s">
        <v>74</v>
      </c>
      <c r="U562" s="1" t="s">
        <v>74</v>
      </c>
      <c r="V562" s="1" t="s">
        <v>5641</v>
      </c>
      <c r="W562" s="1" t="s">
        <v>74</v>
      </c>
      <c r="X562" s="1" t="s">
        <v>74</v>
      </c>
      <c r="Y562" s="1" t="s">
        <v>74</v>
      </c>
      <c r="Z562" s="1" t="s">
        <v>74</v>
      </c>
      <c r="AA562" s="1" t="s">
        <v>5642</v>
      </c>
      <c r="AB562" s="1" t="s">
        <v>5643</v>
      </c>
      <c r="AC562" s="1" t="s">
        <v>74</v>
      </c>
      <c r="AD562" s="1" t="s">
        <v>74</v>
      </c>
      <c r="AE562" s="1" t="s">
        <v>74</v>
      </c>
      <c r="AF562" s="1" t="s">
        <v>74</v>
      </c>
      <c r="AG562" s="1" t="s">
        <v>74</v>
      </c>
      <c r="AH562" s="1" t="s">
        <v>74</v>
      </c>
      <c r="AI562" s="1" t="s">
        <v>74</v>
      </c>
      <c r="AJ562" s="1" t="s">
        <v>74</v>
      </c>
      <c r="AK562" s="1" t="s">
        <v>74</v>
      </c>
      <c r="AL562" s="1" t="s">
        <v>74</v>
      </c>
      <c r="AM562" s="1" t="s">
        <v>74</v>
      </c>
      <c r="AN562" s="1" t="s">
        <v>74</v>
      </c>
      <c r="AO562" s="1" t="s">
        <v>5644</v>
      </c>
      <c r="AP562" s="1" t="s">
        <v>5645</v>
      </c>
      <c r="AQ562" s="1" t="s">
        <v>74</v>
      </c>
      <c r="AR562" s="1" t="s">
        <v>74</v>
      </c>
      <c r="AS562" s="1" t="s">
        <v>74</v>
      </c>
      <c r="AT562" s="1" t="s">
        <v>158</v>
      </c>
      <c r="AU562" s="1">
        <v>2008.0</v>
      </c>
      <c r="AV562" s="1">
        <v>320.0</v>
      </c>
      <c r="AW562" s="1">
        <v>14.0</v>
      </c>
      <c r="AX562" s="1" t="s">
        <v>74</v>
      </c>
      <c r="AY562" s="1" t="s">
        <v>74</v>
      </c>
      <c r="AZ562" s="1" t="s">
        <v>74</v>
      </c>
      <c r="BA562" s="1" t="s">
        <v>74</v>
      </c>
      <c r="BB562" s="1" t="s">
        <v>5646</v>
      </c>
      <c r="BC562" s="1" t="s">
        <v>5647</v>
      </c>
      <c r="BD562" s="1" t="s">
        <v>74</v>
      </c>
      <c r="BE562" s="1" t="s">
        <v>5648</v>
      </c>
      <c r="BF562" s="2" t="str">
        <f>HYPERLINK("http://dx.doi.org/10.1016/j.jmmm.2008.02.063","http://dx.doi.org/10.1016/j.jmmm.2008.02.063")</f>
        <v>http://dx.doi.org/10.1016/j.jmmm.2008.02.063</v>
      </c>
      <c r="BG562" s="1" t="s">
        <v>74</v>
      </c>
      <c r="BH562" s="1" t="s">
        <v>74</v>
      </c>
      <c r="BI562" s="1" t="s">
        <v>74</v>
      </c>
      <c r="BJ562" s="1" t="s">
        <v>74</v>
      </c>
      <c r="BK562" s="1" t="s">
        <v>74</v>
      </c>
      <c r="BL562" s="1" t="s">
        <v>74</v>
      </c>
      <c r="BM562" s="1" t="s">
        <v>74</v>
      </c>
      <c r="BN562" s="1" t="s">
        <v>74</v>
      </c>
      <c r="BO562" s="1" t="s">
        <v>74</v>
      </c>
      <c r="BP562" s="1" t="s">
        <v>74</v>
      </c>
      <c r="BQ562" s="1" t="s">
        <v>74</v>
      </c>
      <c r="BR562" s="1" t="s">
        <v>74</v>
      </c>
      <c r="BS562" s="1" t="s">
        <v>5649</v>
      </c>
      <c r="BT562" s="1" t="str">
        <f>HYPERLINK("https%3A%2F%2Fwww.webofscience.com%2Fwos%2Fwoscc%2Ffull-record%2FWOS:000255512600094","View Full Record in Web of Science")</f>
        <v>View Full Record in Web of Science</v>
      </c>
    </row>
    <row r="563" ht="12.75" customHeight="1">
      <c r="A563" s="1" t="s">
        <v>72</v>
      </c>
      <c r="B563" s="1" t="s">
        <v>5650</v>
      </c>
      <c r="C563" s="1" t="s">
        <v>74</v>
      </c>
      <c r="D563" s="1" t="s">
        <v>74</v>
      </c>
      <c r="E563" s="1" t="s">
        <v>74</v>
      </c>
      <c r="F563" s="1" t="s">
        <v>5651</v>
      </c>
      <c r="G563" s="1" t="s">
        <v>74</v>
      </c>
      <c r="H563" s="1" t="s">
        <v>74</v>
      </c>
      <c r="I563" s="1" t="s">
        <v>5652</v>
      </c>
      <c r="J563" s="1" t="s">
        <v>5653</v>
      </c>
      <c r="K563" s="1" t="s">
        <v>74</v>
      </c>
      <c r="L563" s="1" t="s">
        <v>74</v>
      </c>
      <c r="M563" s="1" t="s">
        <v>74</v>
      </c>
      <c r="N563" s="1" t="s">
        <v>74</v>
      </c>
      <c r="O563" s="1" t="s">
        <v>74</v>
      </c>
      <c r="P563" s="1" t="s">
        <v>74</v>
      </c>
      <c r="Q563" s="1" t="s">
        <v>74</v>
      </c>
      <c r="R563" s="1" t="s">
        <v>74</v>
      </c>
      <c r="S563" s="1" t="s">
        <v>74</v>
      </c>
      <c r="T563" s="1" t="s">
        <v>74</v>
      </c>
      <c r="U563" s="1" t="s">
        <v>74</v>
      </c>
      <c r="V563" s="1" t="s">
        <v>74</v>
      </c>
      <c r="W563" s="1" t="s">
        <v>74</v>
      </c>
      <c r="X563" s="1" t="s">
        <v>74</v>
      </c>
      <c r="Y563" s="1" t="s">
        <v>74</v>
      </c>
      <c r="Z563" s="1" t="s">
        <v>74</v>
      </c>
      <c r="AA563" s="1" t="s">
        <v>547</v>
      </c>
      <c r="AB563" s="1" t="s">
        <v>74</v>
      </c>
      <c r="AC563" s="1" t="s">
        <v>74</v>
      </c>
      <c r="AD563" s="1" t="s">
        <v>74</v>
      </c>
      <c r="AE563" s="1" t="s">
        <v>74</v>
      </c>
      <c r="AF563" s="1" t="s">
        <v>74</v>
      </c>
      <c r="AG563" s="1" t="s">
        <v>74</v>
      </c>
      <c r="AH563" s="1" t="s">
        <v>74</v>
      </c>
      <c r="AI563" s="1" t="s">
        <v>74</v>
      </c>
      <c r="AJ563" s="1" t="s">
        <v>74</v>
      </c>
      <c r="AK563" s="1" t="s">
        <v>74</v>
      </c>
      <c r="AL563" s="1" t="s">
        <v>74</v>
      </c>
      <c r="AM563" s="1" t="s">
        <v>74</v>
      </c>
      <c r="AN563" s="1" t="s">
        <v>74</v>
      </c>
      <c r="AO563" s="1" t="s">
        <v>5654</v>
      </c>
      <c r="AP563" s="1" t="s">
        <v>74</v>
      </c>
      <c r="AQ563" s="1" t="s">
        <v>74</v>
      </c>
      <c r="AR563" s="1" t="s">
        <v>74</v>
      </c>
      <c r="AS563" s="1" t="s">
        <v>74</v>
      </c>
      <c r="AT563" s="1" t="s">
        <v>652</v>
      </c>
      <c r="AU563" s="1">
        <v>2007.0</v>
      </c>
      <c r="AV563" s="1">
        <v>10.0</v>
      </c>
      <c r="AW563" s="1">
        <v>1.0</v>
      </c>
      <c r="AX563" s="1" t="s">
        <v>74</v>
      </c>
      <c r="AY563" s="1" t="s">
        <v>74</v>
      </c>
      <c r="AZ563" s="1" t="s">
        <v>74</v>
      </c>
      <c r="BA563" s="1" t="s">
        <v>74</v>
      </c>
      <c r="BB563" s="1">
        <v>1.0</v>
      </c>
      <c r="BC563" s="1">
        <v>2.0</v>
      </c>
      <c r="BD563" s="1" t="s">
        <v>74</v>
      </c>
      <c r="BE563" s="1" t="s">
        <v>5655</v>
      </c>
      <c r="BF563" s="2" t="str">
        <f>HYPERLINK("http://dx.doi.org/10.1007/s10035-007-0060-4","http://dx.doi.org/10.1007/s10035-007-0060-4")</f>
        <v>http://dx.doi.org/10.1007/s10035-007-0060-4</v>
      </c>
      <c r="BG563" s="1" t="s">
        <v>74</v>
      </c>
      <c r="BH563" s="1" t="s">
        <v>74</v>
      </c>
      <c r="BI563" s="1" t="s">
        <v>74</v>
      </c>
      <c r="BJ563" s="1" t="s">
        <v>74</v>
      </c>
      <c r="BK563" s="1" t="s">
        <v>74</v>
      </c>
      <c r="BL563" s="1" t="s">
        <v>74</v>
      </c>
      <c r="BM563" s="1" t="s">
        <v>74</v>
      </c>
      <c r="BN563" s="1" t="s">
        <v>74</v>
      </c>
      <c r="BO563" s="1" t="s">
        <v>74</v>
      </c>
      <c r="BP563" s="1" t="s">
        <v>74</v>
      </c>
      <c r="BQ563" s="1" t="s">
        <v>74</v>
      </c>
      <c r="BR563" s="1" t="s">
        <v>74</v>
      </c>
      <c r="BS563" s="1" t="s">
        <v>5656</v>
      </c>
      <c r="BT563" s="1" t="str">
        <f>HYPERLINK("https%3A%2F%2Fwww.webofscience.com%2Fwos%2Fwoscc%2Ffull-record%2FWOS:000250883500001","View Full Record in Web of Science")</f>
        <v>View Full Record in Web of Science</v>
      </c>
    </row>
    <row r="564" ht="12.75" customHeight="1">
      <c r="A564" s="1" t="s">
        <v>72</v>
      </c>
      <c r="B564" s="1" t="s">
        <v>5657</v>
      </c>
      <c r="C564" s="1" t="s">
        <v>74</v>
      </c>
      <c r="D564" s="1" t="s">
        <v>74</v>
      </c>
      <c r="E564" s="1" t="s">
        <v>74</v>
      </c>
      <c r="F564" s="1" t="s">
        <v>5657</v>
      </c>
      <c r="G564" s="1" t="s">
        <v>74</v>
      </c>
      <c r="H564" s="1" t="s">
        <v>74</v>
      </c>
      <c r="I564" s="1" t="s">
        <v>5658</v>
      </c>
      <c r="J564" s="1" t="s">
        <v>4401</v>
      </c>
      <c r="K564" s="1" t="s">
        <v>74</v>
      </c>
      <c r="L564" s="1" t="s">
        <v>74</v>
      </c>
      <c r="M564" s="1" t="s">
        <v>74</v>
      </c>
      <c r="N564" s="1" t="s">
        <v>74</v>
      </c>
      <c r="O564" s="1" t="s">
        <v>74</v>
      </c>
      <c r="P564" s="1" t="s">
        <v>74</v>
      </c>
      <c r="Q564" s="1" t="s">
        <v>74</v>
      </c>
      <c r="R564" s="1" t="s">
        <v>74</v>
      </c>
      <c r="S564" s="1" t="s">
        <v>74</v>
      </c>
      <c r="T564" s="1" t="s">
        <v>74</v>
      </c>
      <c r="U564" s="1" t="s">
        <v>74</v>
      </c>
      <c r="V564" s="1" t="s">
        <v>5659</v>
      </c>
      <c r="W564" s="1" t="s">
        <v>74</v>
      </c>
      <c r="X564" s="1" t="s">
        <v>74</v>
      </c>
      <c r="Y564" s="1" t="s">
        <v>74</v>
      </c>
      <c r="Z564" s="1" t="s">
        <v>74</v>
      </c>
      <c r="AA564" s="1" t="s">
        <v>5660</v>
      </c>
      <c r="AB564" s="1" t="s">
        <v>5661</v>
      </c>
      <c r="AC564" s="1" t="s">
        <v>74</v>
      </c>
      <c r="AD564" s="1" t="s">
        <v>74</v>
      </c>
      <c r="AE564" s="1" t="s">
        <v>74</v>
      </c>
      <c r="AF564" s="1" t="s">
        <v>74</v>
      </c>
      <c r="AG564" s="1" t="s">
        <v>74</v>
      </c>
      <c r="AH564" s="1" t="s">
        <v>74</v>
      </c>
      <c r="AI564" s="1" t="s">
        <v>74</v>
      </c>
      <c r="AJ564" s="1" t="s">
        <v>74</v>
      </c>
      <c r="AK564" s="1" t="s">
        <v>74</v>
      </c>
      <c r="AL564" s="1" t="s">
        <v>74</v>
      </c>
      <c r="AM564" s="1" t="s">
        <v>74</v>
      </c>
      <c r="AN564" s="1" t="s">
        <v>74</v>
      </c>
      <c r="AO564" s="1" t="s">
        <v>4405</v>
      </c>
      <c r="AP564" s="1" t="s">
        <v>74</v>
      </c>
      <c r="AQ564" s="1" t="s">
        <v>74</v>
      </c>
      <c r="AR564" s="1" t="s">
        <v>74</v>
      </c>
      <c r="AS564" s="1" t="s">
        <v>74</v>
      </c>
      <c r="AT564" s="1" t="s">
        <v>2210</v>
      </c>
      <c r="AU564" s="1">
        <v>2003.0</v>
      </c>
      <c r="AV564" s="1">
        <v>376.0</v>
      </c>
      <c r="AW564" s="1" t="s">
        <v>1659</v>
      </c>
      <c r="AX564" s="1" t="s">
        <v>74</v>
      </c>
      <c r="AY564" s="1" t="s">
        <v>74</v>
      </c>
      <c r="AZ564" s="1" t="s">
        <v>74</v>
      </c>
      <c r="BA564" s="1" t="s">
        <v>74</v>
      </c>
      <c r="BB564" s="1">
        <v>690.0</v>
      </c>
      <c r="BC564" s="1">
        <v>697.0</v>
      </c>
      <c r="BD564" s="1" t="s">
        <v>74</v>
      </c>
      <c r="BE564" s="1" t="s">
        <v>5662</v>
      </c>
      <c r="BF564" s="2" t="str">
        <f>HYPERLINK("http://dx.doi.org/10.1016/S0009-2614(03)01013-3","http://dx.doi.org/10.1016/S0009-2614(03)01013-3")</f>
        <v>http://dx.doi.org/10.1016/S0009-2614(03)01013-3</v>
      </c>
      <c r="BG564" s="1" t="s">
        <v>74</v>
      </c>
      <c r="BH564" s="1" t="s">
        <v>74</v>
      </c>
      <c r="BI564" s="1" t="s">
        <v>74</v>
      </c>
      <c r="BJ564" s="1" t="s">
        <v>74</v>
      </c>
      <c r="BK564" s="1" t="s">
        <v>74</v>
      </c>
      <c r="BL564" s="1" t="s">
        <v>74</v>
      </c>
      <c r="BM564" s="1" t="s">
        <v>74</v>
      </c>
      <c r="BN564" s="1" t="s">
        <v>74</v>
      </c>
      <c r="BO564" s="1" t="s">
        <v>74</v>
      </c>
      <c r="BP564" s="1" t="s">
        <v>74</v>
      </c>
      <c r="BQ564" s="1" t="s">
        <v>74</v>
      </c>
      <c r="BR564" s="1" t="s">
        <v>74</v>
      </c>
      <c r="BS564" s="1" t="s">
        <v>5663</v>
      </c>
      <c r="BT564" s="1" t="str">
        <f>HYPERLINK("https%3A%2F%2Fwww.webofscience.com%2Fwos%2Fwoscc%2Ffull-record%2FWOS:000184565900023","View Full Record in Web of Science")</f>
        <v>View Full Record in Web of Science</v>
      </c>
    </row>
    <row r="565" ht="12.75" customHeight="1">
      <c r="A565" s="1" t="s">
        <v>72</v>
      </c>
      <c r="B565" s="1" t="s">
        <v>5664</v>
      </c>
      <c r="C565" s="1" t="s">
        <v>74</v>
      </c>
      <c r="D565" s="1" t="s">
        <v>74</v>
      </c>
      <c r="E565" s="1" t="s">
        <v>74</v>
      </c>
      <c r="F565" s="1" t="s">
        <v>5664</v>
      </c>
      <c r="G565" s="1" t="s">
        <v>74</v>
      </c>
      <c r="H565" s="1" t="s">
        <v>74</v>
      </c>
      <c r="I565" s="1" t="s">
        <v>5665</v>
      </c>
      <c r="J565" s="1" t="s">
        <v>545</v>
      </c>
      <c r="K565" s="1" t="s">
        <v>74</v>
      </c>
      <c r="L565" s="1" t="s">
        <v>74</v>
      </c>
      <c r="M565" s="1" t="s">
        <v>74</v>
      </c>
      <c r="N565" s="1" t="s">
        <v>74</v>
      </c>
      <c r="O565" s="1" t="s">
        <v>74</v>
      </c>
      <c r="P565" s="1" t="s">
        <v>74</v>
      </c>
      <c r="Q565" s="1" t="s">
        <v>74</v>
      </c>
      <c r="R565" s="1" t="s">
        <v>74</v>
      </c>
      <c r="S565" s="1" t="s">
        <v>74</v>
      </c>
      <c r="T565" s="1" t="s">
        <v>74</v>
      </c>
      <c r="U565" s="1" t="s">
        <v>74</v>
      </c>
      <c r="V565" s="1" t="s">
        <v>5666</v>
      </c>
      <c r="W565" s="1" t="s">
        <v>74</v>
      </c>
      <c r="X565" s="1" t="s">
        <v>74</v>
      </c>
      <c r="Y565" s="1" t="s">
        <v>74</v>
      </c>
      <c r="Z565" s="1" t="s">
        <v>74</v>
      </c>
      <c r="AA565" s="1" t="s">
        <v>5667</v>
      </c>
      <c r="AB565" s="1" t="s">
        <v>5668</v>
      </c>
      <c r="AC565" s="1" t="s">
        <v>74</v>
      </c>
      <c r="AD565" s="1" t="s">
        <v>74</v>
      </c>
      <c r="AE565" s="1" t="s">
        <v>74</v>
      </c>
      <c r="AF565" s="1" t="s">
        <v>74</v>
      </c>
      <c r="AG565" s="1" t="s">
        <v>74</v>
      </c>
      <c r="AH565" s="1" t="s">
        <v>74</v>
      </c>
      <c r="AI565" s="1" t="s">
        <v>74</v>
      </c>
      <c r="AJ565" s="1" t="s">
        <v>74</v>
      </c>
      <c r="AK565" s="1" t="s">
        <v>74</v>
      </c>
      <c r="AL565" s="1" t="s">
        <v>74</v>
      </c>
      <c r="AM565" s="1" t="s">
        <v>74</v>
      </c>
      <c r="AN565" s="1" t="s">
        <v>74</v>
      </c>
      <c r="AO565" s="1" t="s">
        <v>549</v>
      </c>
      <c r="AP565" s="1" t="s">
        <v>74</v>
      </c>
      <c r="AQ565" s="1" t="s">
        <v>74</v>
      </c>
      <c r="AR565" s="1" t="s">
        <v>74</v>
      </c>
      <c r="AS565" s="1" t="s">
        <v>74</v>
      </c>
      <c r="AT565" s="1" t="s">
        <v>5669</v>
      </c>
      <c r="AU565" s="1">
        <v>2003.0</v>
      </c>
      <c r="AV565" s="1">
        <v>30.0</v>
      </c>
      <c r="AW565" s="1">
        <v>3.0</v>
      </c>
      <c r="AX565" s="1" t="s">
        <v>74</v>
      </c>
      <c r="AY565" s="1" t="s">
        <v>74</v>
      </c>
      <c r="AZ565" s="1" t="s">
        <v>74</v>
      </c>
      <c r="BA565" s="1" t="s">
        <v>74</v>
      </c>
      <c r="BB565" s="1" t="s">
        <v>74</v>
      </c>
      <c r="BC565" s="1" t="s">
        <v>74</v>
      </c>
      <c r="BD565" s="1">
        <v>1127.0</v>
      </c>
      <c r="BE565" s="1" t="s">
        <v>5670</v>
      </c>
      <c r="BF565" s="2" t="str">
        <f>HYPERLINK("http://dx.doi.org/10.1029/2002GL016070","http://dx.doi.org/10.1029/2002GL016070")</f>
        <v>http://dx.doi.org/10.1029/2002GL016070</v>
      </c>
      <c r="BG565" s="1" t="s">
        <v>74</v>
      </c>
      <c r="BH565" s="1" t="s">
        <v>74</v>
      </c>
      <c r="BI565" s="1" t="s">
        <v>74</v>
      </c>
      <c r="BJ565" s="1" t="s">
        <v>74</v>
      </c>
      <c r="BK565" s="1" t="s">
        <v>74</v>
      </c>
      <c r="BL565" s="1" t="s">
        <v>74</v>
      </c>
      <c r="BM565" s="1" t="s">
        <v>74</v>
      </c>
      <c r="BN565" s="1" t="s">
        <v>74</v>
      </c>
      <c r="BO565" s="1" t="s">
        <v>74</v>
      </c>
      <c r="BP565" s="1" t="s">
        <v>74</v>
      </c>
      <c r="BQ565" s="1" t="s">
        <v>74</v>
      </c>
      <c r="BR565" s="1" t="s">
        <v>74</v>
      </c>
      <c r="BS565" s="1" t="s">
        <v>5671</v>
      </c>
      <c r="BT565" s="1" t="str">
        <f>HYPERLINK("https%3A%2F%2Fwww.webofscience.com%2Fwos%2Fwoscc%2Ffull-record%2FWOS:000181887900001","View Full Record in Web of Science")</f>
        <v>View Full Record in Web of Science</v>
      </c>
    </row>
    <row r="566" ht="12.75" customHeight="1">
      <c r="A566" s="1" t="s">
        <v>72</v>
      </c>
      <c r="B566" s="1" t="s">
        <v>5672</v>
      </c>
      <c r="C566" s="1" t="s">
        <v>74</v>
      </c>
      <c r="D566" s="1" t="s">
        <v>74</v>
      </c>
      <c r="E566" s="1" t="s">
        <v>74</v>
      </c>
      <c r="F566" s="1" t="s">
        <v>5672</v>
      </c>
      <c r="G566" s="1" t="s">
        <v>74</v>
      </c>
      <c r="H566" s="1" t="s">
        <v>74</v>
      </c>
      <c r="I566" s="1" t="s">
        <v>5673</v>
      </c>
      <c r="J566" s="1" t="s">
        <v>690</v>
      </c>
      <c r="K566" s="1" t="s">
        <v>74</v>
      </c>
      <c r="L566" s="1" t="s">
        <v>74</v>
      </c>
      <c r="M566" s="1" t="s">
        <v>74</v>
      </c>
      <c r="N566" s="1" t="s">
        <v>74</v>
      </c>
      <c r="O566" s="1" t="s">
        <v>74</v>
      </c>
      <c r="P566" s="1" t="s">
        <v>74</v>
      </c>
      <c r="Q566" s="1" t="s">
        <v>74</v>
      </c>
      <c r="R566" s="1" t="s">
        <v>74</v>
      </c>
      <c r="S566" s="1" t="s">
        <v>74</v>
      </c>
      <c r="T566" s="1" t="s">
        <v>74</v>
      </c>
      <c r="U566" s="1" t="s">
        <v>74</v>
      </c>
      <c r="V566" s="1" t="s">
        <v>5674</v>
      </c>
      <c r="W566" s="1" t="s">
        <v>74</v>
      </c>
      <c r="X566" s="1" t="s">
        <v>74</v>
      </c>
      <c r="Y566" s="1" t="s">
        <v>74</v>
      </c>
      <c r="Z566" s="1" t="s">
        <v>74</v>
      </c>
      <c r="AA566" s="1" t="s">
        <v>5675</v>
      </c>
      <c r="AB566" s="1" t="s">
        <v>5676</v>
      </c>
      <c r="AC566" s="1" t="s">
        <v>74</v>
      </c>
      <c r="AD566" s="1" t="s">
        <v>74</v>
      </c>
      <c r="AE566" s="1" t="s">
        <v>74</v>
      </c>
      <c r="AF566" s="1" t="s">
        <v>74</v>
      </c>
      <c r="AG566" s="1" t="s">
        <v>74</v>
      </c>
      <c r="AH566" s="1" t="s">
        <v>74</v>
      </c>
      <c r="AI566" s="1" t="s">
        <v>74</v>
      </c>
      <c r="AJ566" s="1" t="s">
        <v>74</v>
      </c>
      <c r="AK566" s="1" t="s">
        <v>74</v>
      </c>
      <c r="AL566" s="1" t="s">
        <v>74</v>
      </c>
      <c r="AM566" s="1" t="s">
        <v>74</v>
      </c>
      <c r="AN566" s="1" t="s">
        <v>74</v>
      </c>
      <c r="AO566" s="1" t="s">
        <v>694</v>
      </c>
      <c r="AP566" s="1" t="s">
        <v>695</v>
      </c>
      <c r="AQ566" s="1" t="s">
        <v>74</v>
      </c>
      <c r="AR566" s="1" t="s">
        <v>74</v>
      </c>
      <c r="AS566" s="1" t="s">
        <v>74</v>
      </c>
      <c r="AT566" s="1" t="s">
        <v>257</v>
      </c>
      <c r="AU566" s="1">
        <v>2001.0</v>
      </c>
      <c r="AV566" s="1">
        <v>63.0</v>
      </c>
      <c r="AW566" s="1">
        <v>3.0</v>
      </c>
      <c r="AX566" s="1" t="s">
        <v>74</v>
      </c>
      <c r="AY566" s="1" t="s">
        <v>74</v>
      </c>
      <c r="AZ566" s="1" t="s">
        <v>74</v>
      </c>
      <c r="BA566" s="1" t="s">
        <v>74</v>
      </c>
      <c r="BB566" s="1" t="s">
        <v>74</v>
      </c>
      <c r="BC566" s="1" t="s">
        <v>74</v>
      </c>
      <c r="BD566" s="1">
        <v>32106.0</v>
      </c>
      <c r="BE566" s="1" t="s">
        <v>5677</v>
      </c>
      <c r="BF566" s="2" t="str">
        <f>HYPERLINK("http://dx.doi.org/10.1103/PhysRevA.63.032106","http://dx.doi.org/10.1103/PhysRevA.63.032106")</f>
        <v>http://dx.doi.org/10.1103/PhysRevA.63.032106</v>
      </c>
      <c r="BG566" s="1" t="s">
        <v>74</v>
      </c>
      <c r="BH566" s="1" t="s">
        <v>74</v>
      </c>
      <c r="BI566" s="1" t="s">
        <v>74</v>
      </c>
      <c r="BJ566" s="1" t="s">
        <v>74</v>
      </c>
      <c r="BK566" s="1" t="s">
        <v>74</v>
      </c>
      <c r="BL566" s="1" t="s">
        <v>74</v>
      </c>
      <c r="BM566" s="1" t="s">
        <v>74</v>
      </c>
      <c r="BN566" s="1" t="s">
        <v>74</v>
      </c>
      <c r="BO566" s="1" t="s">
        <v>74</v>
      </c>
      <c r="BP566" s="1" t="s">
        <v>74</v>
      </c>
      <c r="BQ566" s="1" t="s">
        <v>74</v>
      </c>
      <c r="BR566" s="1" t="s">
        <v>74</v>
      </c>
      <c r="BS566" s="1" t="s">
        <v>5678</v>
      </c>
      <c r="BT566" s="1" t="str">
        <f>HYPERLINK("https%3A%2F%2Fwww.webofscience.com%2Fwos%2Fwoscc%2Ffull-record%2FWOS:000167321000021","View Full Record in Web of Science")</f>
        <v>View Full Record in Web of Science</v>
      </c>
    </row>
    <row r="567" ht="12.75" customHeight="1">
      <c r="A567" s="1" t="s">
        <v>72</v>
      </c>
      <c r="B567" s="1" t="s">
        <v>5679</v>
      </c>
      <c r="C567" s="1" t="s">
        <v>74</v>
      </c>
      <c r="D567" s="1" t="s">
        <v>74</v>
      </c>
      <c r="E567" s="1" t="s">
        <v>74</v>
      </c>
      <c r="F567" s="1" t="s">
        <v>5679</v>
      </c>
      <c r="G567" s="1" t="s">
        <v>74</v>
      </c>
      <c r="H567" s="1" t="s">
        <v>74</v>
      </c>
      <c r="I567" s="1" t="s">
        <v>5680</v>
      </c>
      <c r="J567" s="1" t="s">
        <v>5681</v>
      </c>
      <c r="K567" s="1" t="s">
        <v>74</v>
      </c>
      <c r="L567" s="1" t="s">
        <v>74</v>
      </c>
      <c r="M567" s="1" t="s">
        <v>74</v>
      </c>
      <c r="N567" s="1" t="s">
        <v>74</v>
      </c>
      <c r="O567" s="1" t="s">
        <v>74</v>
      </c>
      <c r="P567" s="1" t="s">
        <v>74</v>
      </c>
      <c r="Q567" s="1" t="s">
        <v>74</v>
      </c>
      <c r="R567" s="1" t="s">
        <v>74</v>
      </c>
      <c r="S567" s="1" t="s">
        <v>74</v>
      </c>
      <c r="T567" s="1" t="s">
        <v>74</v>
      </c>
      <c r="U567" s="1" t="s">
        <v>74</v>
      </c>
      <c r="V567" s="1" t="s">
        <v>5682</v>
      </c>
      <c r="W567" s="1" t="s">
        <v>74</v>
      </c>
      <c r="X567" s="1" t="s">
        <v>74</v>
      </c>
      <c r="Y567" s="1" t="s">
        <v>74</v>
      </c>
      <c r="Z567" s="1" t="s">
        <v>74</v>
      </c>
      <c r="AA567" s="1" t="s">
        <v>74</v>
      </c>
      <c r="AB567" s="1" t="s">
        <v>5683</v>
      </c>
      <c r="AC567" s="1" t="s">
        <v>74</v>
      </c>
      <c r="AD567" s="1" t="s">
        <v>74</v>
      </c>
      <c r="AE567" s="1" t="s">
        <v>74</v>
      </c>
      <c r="AF567" s="1" t="s">
        <v>74</v>
      </c>
      <c r="AG567" s="1" t="s">
        <v>74</v>
      </c>
      <c r="AH567" s="1" t="s">
        <v>74</v>
      </c>
      <c r="AI567" s="1" t="s">
        <v>74</v>
      </c>
      <c r="AJ567" s="1" t="s">
        <v>74</v>
      </c>
      <c r="AK567" s="1" t="s">
        <v>74</v>
      </c>
      <c r="AL567" s="1" t="s">
        <v>74</v>
      </c>
      <c r="AM567" s="1" t="s">
        <v>74</v>
      </c>
      <c r="AN567" s="1" t="s">
        <v>74</v>
      </c>
      <c r="AO567" s="1" t="s">
        <v>5684</v>
      </c>
      <c r="AP567" s="1" t="s">
        <v>74</v>
      </c>
      <c r="AQ567" s="1" t="s">
        <v>74</v>
      </c>
      <c r="AR567" s="1" t="s">
        <v>74</v>
      </c>
      <c r="AS567" s="1" t="s">
        <v>74</v>
      </c>
      <c r="AT567" s="1" t="s">
        <v>74</v>
      </c>
      <c r="AU567" s="1">
        <v>1996.0</v>
      </c>
      <c r="AV567" s="1">
        <v>58.0</v>
      </c>
      <c r="AW567" s="1">
        <v>4.0</v>
      </c>
      <c r="AX567" s="1" t="s">
        <v>74</v>
      </c>
      <c r="AY567" s="1" t="s">
        <v>74</v>
      </c>
      <c r="AZ567" s="1" t="s">
        <v>74</v>
      </c>
      <c r="BA567" s="1" t="s">
        <v>74</v>
      </c>
      <c r="BB567" s="1">
        <v>327.0</v>
      </c>
      <c r="BC567" s="1">
        <v>354.0</v>
      </c>
      <c r="BD567" s="1" t="s">
        <v>74</v>
      </c>
      <c r="BE567" s="1" t="s">
        <v>5685</v>
      </c>
      <c r="BF567" s="2" t="str">
        <f>HYPERLINK("http://dx.doi.org/10.1007/BF00877474","http://dx.doi.org/10.1007/BF00877474")</f>
        <v>http://dx.doi.org/10.1007/BF00877474</v>
      </c>
      <c r="BG567" s="1" t="s">
        <v>74</v>
      </c>
      <c r="BH567" s="1" t="s">
        <v>74</v>
      </c>
      <c r="BI567" s="1" t="s">
        <v>74</v>
      </c>
      <c r="BJ567" s="1" t="s">
        <v>74</v>
      </c>
      <c r="BK567" s="1" t="s">
        <v>74</v>
      </c>
      <c r="BL567" s="1" t="s">
        <v>74</v>
      </c>
      <c r="BM567" s="1" t="s">
        <v>74</v>
      </c>
      <c r="BN567" s="1" t="s">
        <v>74</v>
      </c>
      <c r="BO567" s="1" t="s">
        <v>74</v>
      </c>
      <c r="BP567" s="1" t="s">
        <v>74</v>
      </c>
      <c r="BQ567" s="1" t="s">
        <v>74</v>
      </c>
      <c r="BR567" s="1" t="s">
        <v>74</v>
      </c>
      <c r="BS567" s="1" t="s">
        <v>5686</v>
      </c>
      <c r="BT567" s="1" t="str">
        <f>HYPERLINK("https%3A%2F%2Fwww.webofscience.com%2Fwos%2Fwoscc%2Ffull-record%2FWOS:A1996WL10100003","View Full Record in Web of Science")</f>
        <v>View Full Record in Web of Science</v>
      </c>
    </row>
    <row r="568" ht="12.75" customHeight="1">
      <c r="A568" s="1" t="s">
        <v>72</v>
      </c>
      <c r="B568" s="1" t="s">
        <v>5687</v>
      </c>
      <c r="C568" s="1" t="s">
        <v>74</v>
      </c>
      <c r="D568" s="1" t="s">
        <v>74</v>
      </c>
      <c r="E568" s="1" t="s">
        <v>74</v>
      </c>
      <c r="F568" s="1" t="s">
        <v>5687</v>
      </c>
      <c r="G568" s="1" t="s">
        <v>74</v>
      </c>
      <c r="H568" s="1" t="s">
        <v>74</v>
      </c>
      <c r="I568" s="1" t="s">
        <v>5688</v>
      </c>
      <c r="J568" s="1" t="s">
        <v>716</v>
      </c>
      <c r="K568" s="1" t="s">
        <v>74</v>
      </c>
      <c r="L568" s="1" t="s">
        <v>74</v>
      </c>
      <c r="M568" s="1" t="s">
        <v>74</v>
      </c>
      <c r="N568" s="1" t="s">
        <v>74</v>
      </c>
      <c r="O568" s="1" t="s">
        <v>74</v>
      </c>
      <c r="P568" s="1" t="s">
        <v>74</v>
      </c>
      <c r="Q568" s="1" t="s">
        <v>74</v>
      </c>
      <c r="R568" s="1" t="s">
        <v>74</v>
      </c>
      <c r="S568" s="1" t="s">
        <v>74</v>
      </c>
      <c r="T568" s="1" t="s">
        <v>74</v>
      </c>
      <c r="U568" s="1" t="s">
        <v>74</v>
      </c>
      <c r="V568" s="1" t="s">
        <v>5689</v>
      </c>
      <c r="W568" s="1" t="s">
        <v>74</v>
      </c>
      <c r="X568" s="1" t="s">
        <v>74</v>
      </c>
      <c r="Y568" s="1" t="s">
        <v>74</v>
      </c>
      <c r="Z568" s="1" t="s">
        <v>74</v>
      </c>
      <c r="AA568" s="1" t="s">
        <v>727</v>
      </c>
      <c r="AB568" s="1" t="s">
        <v>74</v>
      </c>
      <c r="AC568" s="1" t="s">
        <v>74</v>
      </c>
      <c r="AD568" s="1" t="s">
        <v>74</v>
      </c>
      <c r="AE568" s="1" t="s">
        <v>74</v>
      </c>
      <c r="AF568" s="1" t="s">
        <v>74</v>
      </c>
      <c r="AG568" s="1" t="s">
        <v>74</v>
      </c>
      <c r="AH568" s="1" t="s">
        <v>74</v>
      </c>
      <c r="AI568" s="1" t="s">
        <v>74</v>
      </c>
      <c r="AJ568" s="1" t="s">
        <v>74</v>
      </c>
      <c r="AK568" s="1" t="s">
        <v>74</v>
      </c>
      <c r="AL568" s="1" t="s">
        <v>74</v>
      </c>
      <c r="AM568" s="1" t="s">
        <v>74</v>
      </c>
      <c r="AN568" s="1" t="s">
        <v>74</v>
      </c>
      <c r="AO568" s="1" t="s">
        <v>720</v>
      </c>
      <c r="AP568" s="1" t="s">
        <v>74</v>
      </c>
      <c r="AQ568" s="1" t="s">
        <v>74</v>
      </c>
      <c r="AR568" s="1" t="s">
        <v>74</v>
      </c>
      <c r="AS568" s="1" t="s">
        <v>74</v>
      </c>
      <c r="AT568" s="1" t="s">
        <v>3030</v>
      </c>
      <c r="AU568" s="1">
        <v>1995.0</v>
      </c>
      <c r="AV568" s="1">
        <v>389.0</v>
      </c>
      <c r="AW568" s="1" t="s">
        <v>703</v>
      </c>
      <c r="AX568" s="1" t="s">
        <v>74</v>
      </c>
      <c r="AY568" s="1" t="s">
        <v>74</v>
      </c>
      <c r="AZ568" s="1" t="s">
        <v>74</v>
      </c>
      <c r="BA568" s="1" t="s">
        <v>74</v>
      </c>
      <c r="BB568" s="1">
        <v>197.0</v>
      </c>
      <c r="BC568" s="1">
        <v>200.0</v>
      </c>
      <c r="BD568" s="1" t="s">
        <v>74</v>
      </c>
      <c r="BE568" s="1" t="s">
        <v>5690</v>
      </c>
      <c r="BF568" s="2" t="str">
        <f>HYPERLINK("http://dx.doi.org/10.1016/0022-0728(95)03885-K","http://dx.doi.org/10.1016/0022-0728(95)03885-K")</f>
        <v>http://dx.doi.org/10.1016/0022-0728(95)03885-K</v>
      </c>
      <c r="BG568" s="1" t="s">
        <v>74</v>
      </c>
      <c r="BH568" s="1" t="s">
        <v>74</v>
      </c>
      <c r="BI568" s="1" t="s">
        <v>74</v>
      </c>
      <c r="BJ568" s="1" t="s">
        <v>74</v>
      </c>
      <c r="BK568" s="1" t="s">
        <v>74</v>
      </c>
      <c r="BL568" s="1" t="s">
        <v>74</v>
      </c>
      <c r="BM568" s="1" t="s">
        <v>74</v>
      </c>
      <c r="BN568" s="1" t="s">
        <v>74</v>
      </c>
      <c r="BO568" s="1" t="s">
        <v>74</v>
      </c>
      <c r="BP568" s="1" t="s">
        <v>74</v>
      </c>
      <c r="BQ568" s="1" t="s">
        <v>74</v>
      </c>
      <c r="BR568" s="1" t="s">
        <v>74</v>
      </c>
      <c r="BS568" s="1" t="s">
        <v>5691</v>
      </c>
      <c r="BT568" s="1" t="str">
        <f>HYPERLINK("https%3A%2F%2Fwww.webofscience.com%2Fwos%2Fwoscc%2Ffull-record%2FWOS:A1995RE72400023","View Full Record in Web of Science")</f>
        <v>View Full Record in Web of Science</v>
      </c>
    </row>
    <row r="569" ht="12.75" customHeight="1">
      <c r="A569" s="1" t="s">
        <v>72</v>
      </c>
      <c r="B569" s="1" t="s">
        <v>5692</v>
      </c>
      <c r="C569" s="1" t="s">
        <v>74</v>
      </c>
      <c r="D569" s="1" t="s">
        <v>74</v>
      </c>
      <c r="E569" s="1" t="s">
        <v>74</v>
      </c>
      <c r="F569" s="1" t="s">
        <v>5692</v>
      </c>
      <c r="G569" s="1" t="s">
        <v>74</v>
      </c>
      <c r="H569" s="1" t="s">
        <v>74</v>
      </c>
      <c r="I569" s="1" t="s">
        <v>5693</v>
      </c>
      <c r="J569" s="1" t="s">
        <v>5694</v>
      </c>
      <c r="K569" s="1" t="s">
        <v>74</v>
      </c>
      <c r="L569" s="1" t="s">
        <v>74</v>
      </c>
      <c r="M569" s="1" t="s">
        <v>74</v>
      </c>
      <c r="N569" s="1" t="s">
        <v>74</v>
      </c>
      <c r="O569" s="1" t="s">
        <v>74</v>
      </c>
      <c r="P569" s="1" t="s">
        <v>74</v>
      </c>
      <c r="Q569" s="1" t="s">
        <v>74</v>
      </c>
      <c r="R569" s="1" t="s">
        <v>74</v>
      </c>
      <c r="S569" s="1" t="s">
        <v>74</v>
      </c>
      <c r="T569" s="1" t="s">
        <v>74</v>
      </c>
      <c r="U569" s="1" t="s">
        <v>74</v>
      </c>
      <c r="V569" s="1" t="s">
        <v>5695</v>
      </c>
      <c r="W569" s="1" t="s">
        <v>74</v>
      </c>
      <c r="X569" s="1" t="s">
        <v>74</v>
      </c>
      <c r="Y569" s="1" t="s">
        <v>74</v>
      </c>
      <c r="Z569" s="1" t="s">
        <v>74</v>
      </c>
      <c r="AA569" s="1" t="s">
        <v>74</v>
      </c>
      <c r="AB569" s="1" t="s">
        <v>74</v>
      </c>
      <c r="AC569" s="1" t="s">
        <v>74</v>
      </c>
      <c r="AD569" s="1" t="s">
        <v>74</v>
      </c>
      <c r="AE569" s="1" t="s">
        <v>74</v>
      </c>
      <c r="AF569" s="1" t="s">
        <v>74</v>
      </c>
      <c r="AG569" s="1" t="s">
        <v>74</v>
      </c>
      <c r="AH569" s="1" t="s">
        <v>74</v>
      </c>
      <c r="AI569" s="1" t="s">
        <v>74</v>
      </c>
      <c r="AJ569" s="1" t="s">
        <v>74</v>
      </c>
      <c r="AK569" s="1" t="s">
        <v>74</v>
      </c>
      <c r="AL569" s="1" t="s">
        <v>74</v>
      </c>
      <c r="AM569" s="1" t="s">
        <v>74</v>
      </c>
      <c r="AN569" s="1" t="s">
        <v>74</v>
      </c>
      <c r="AO569" s="1" t="s">
        <v>5696</v>
      </c>
      <c r="AP569" s="1" t="s">
        <v>74</v>
      </c>
      <c r="AQ569" s="1" t="s">
        <v>74</v>
      </c>
      <c r="AR569" s="1" t="s">
        <v>74</v>
      </c>
      <c r="AS569" s="1" t="s">
        <v>74</v>
      </c>
      <c r="AT569" s="1" t="s">
        <v>3876</v>
      </c>
      <c r="AU569" s="1">
        <v>1994.0</v>
      </c>
      <c r="AV569" s="1">
        <v>6.0</v>
      </c>
      <c r="AW569" s="1">
        <v>23.0</v>
      </c>
      <c r="AX569" s="1" t="s">
        <v>74</v>
      </c>
      <c r="AY569" s="1" t="s">
        <v>74</v>
      </c>
      <c r="AZ569" s="1" t="s">
        <v>74</v>
      </c>
      <c r="BA569" s="1" t="s">
        <v>74</v>
      </c>
      <c r="BB569" s="1">
        <v>4361.0</v>
      </c>
      <c r="BC569" s="1">
        <v>4374.0</v>
      </c>
      <c r="BD569" s="1" t="s">
        <v>74</v>
      </c>
      <c r="BE569" s="1" t="s">
        <v>5697</v>
      </c>
      <c r="BF569" s="2" t="str">
        <f>HYPERLINK("http://dx.doi.org/10.1088/0953-8984/6/23/016","http://dx.doi.org/10.1088/0953-8984/6/23/016")</f>
        <v>http://dx.doi.org/10.1088/0953-8984/6/23/016</v>
      </c>
      <c r="BG569" s="1" t="s">
        <v>74</v>
      </c>
      <c r="BH569" s="1" t="s">
        <v>74</v>
      </c>
      <c r="BI569" s="1" t="s">
        <v>74</v>
      </c>
      <c r="BJ569" s="1" t="s">
        <v>74</v>
      </c>
      <c r="BK569" s="1" t="s">
        <v>74</v>
      </c>
      <c r="BL569" s="1" t="s">
        <v>74</v>
      </c>
      <c r="BM569" s="1" t="s">
        <v>74</v>
      </c>
      <c r="BN569" s="1" t="s">
        <v>74</v>
      </c>
      <c r="BO569" s="1" t="s">
        <v>74</v>
      </c>
      <c r="BP569" s="1" t="s">
        <v>74</v>
      </c>
      <c r="BQ569" s="1" t="s">
        <v>74</v>
      </c>
      <c r="BR569" s="1" t="s">
        <v>74</v>
      </c>
      <c r="BS569" s="1" t="s">
        <v>5698</v>
      </c>
      <c r="BT569" s="1" t="str">
        <f>HYPERLINK("https%3A%2F%2Fwww.webofscience.com%2Fwos%2Fwoscc%2Ffull-record%2FWOS:A1994NR77800016","View Full Record in Web of Science")</f>
        <v>View Full Record in Web of Science</v>
      </c>
    </row>
    <row r="570" ht="12.75" customHeight="1">
      <c r="A570" s="1" t="s">
        <v>72</v>
      </c>
      <c r="B570" s="1" t="s">
        <v>5699</v>
      </c>
      <c r="C570" s="1" t="s">
        <v>74</v>
      </c>
      <c r="D570" s="1" t="s">
        <v>74</v>
      </c>
      <c r="E570" s="1" t="s">
        <v>74</v>
      </c>
      <c r="F570" s="1" t="s">
        <v>5700</v>
      </c>
      <c r="G570" s="1" t="s">
        <v>74</v>
      </c>
      <c r="H570" s="1" t="s">
        <v>74</v>
      </c>
      <c r="I570" s="1" t="s">
        <v>5701</v>
      </c>
      <c r="J570" s="1" t="s">
        <v>5702</v>
      </c>
      <c r="K570" s="1" t="s">
        <v>74</v>
      </c>
      <c r="L570" s="1" t="s">
        <v>74</v>
      </c>
      <c r="M570" s="1" t="s">
        <v>74</v>
      </c>
      <c r="N570" s="1" t="s">
        <v>74</v>
      </c>
      <c r="O570" s="1" t="s">
        <v>74</v>
      </c>
      <c r="P570" s="1" t="s">
        <v>74</v>
      </c>
      <c r="Q570" s="1" t="s">
        <v>74</v>
      </c>
      <c r="R570" s="1" t="s">
        <v>74</v>
      </c>
      <c r="S570" s="1" t="s">
        <v>74</v>
      </c>
      <c r="T570" s="1" t="s">
        <v>74</v>
      </c>
      <c r="U570" s="1" t="s">
        <v>74</v>
      </c>
      <c r="V570" s="1" t="s">
        <v>5703</v>
      </c>
      <c r="W570" s="1" t="s">
        <v>74</v>
      </c>
      <c r="X570" s="1" t="s">
        <v>74</v>
      </c>
      <c r="Y570" s="1" t="s">
        <v>74</v>
      </c>
      <c r="Z570" s="1" t="s">
        <v>74</v>
      </c>
      <c r="AA570" s="1" t="s">
        <v>5704</v>
      </c>
      <c r="AB570" s="1" t="s">
        <v>5705</v>
      </c>
      <c r="AC570" s="1" t="s">
        <v>74</v>
      </c>
      <c r="AD570" s="1" t="s">
        <v>74</v>
      </c>
      <c r="AE570" s="1" t="s">
        <v>74</v>
      </c>
      <c r="AF570" s="1" t="s">
        <v>74</v>
      </c>
      <c r="AG570" s="1" t="s">
        <v>74</v>
      </c>
      <c r="AH570" s="1" t="s">
        <v>74</v>
      </c>
      <c r="AI570" s="1" t="s">
        <v>74</v>
      </c>
      <c r="AJ570" s="1" t="s">
        <v>74</v>
      </c>
      <c r="AK570" s="1" t="s">
        <v>74</v>
      </c>
      <c r="AL570" s="1" t="s">
        <v>74</v>
      </c>
      <c r="AM570" s="1" t="s">
        <v>74</v>
      </c>
      <c r="AN570" s="1" t="s">
        <v>74</v>
      </c>
      <c r="AO570" s="1" t="s">
        <v>74</v>
      </c>
      <c r="AP570" s="1" t="s">
        <v>5706</v>
      </c>
      <c r="AQ570" s="1" t="s">
        <v>74</v>
      </c>
      <c r="AR570" s="1" t="s">
        <v>74</v>
      </c>
      <c r="AS570" s="1" t="s">
        <v>74</v>
      </c>
      <c r="AT570" s="1" t="s">
        <v>5235</v>
      </c>
      <c r="AU570" s="1">
        <v>2025.0</v>
      </c>
      <c r="AV570" s="1">
        <v>15.0</v>
      </c>
      <c r="AW570" s="1">
        <v>3.0</v>
      </c>
      <c r="AX570" s="1" t="s">
        <v>74</v>
      </c>
      <c r="AY570" s="1" t="s">
        <v>74</v>
      </c>
      <c r="AZ570" s="1" t="s">
        <v>74</v>
      </c>
      <c r="BA570" s="1" t="s">
        <v>74</v>
      </c>
      <c r="BB570" s="1" t="s">
        <v>74</v>
      </c>
      <c r="BC570" s="1" t="s">
        <v>74</v>
      </c>
      <c r="BD570" s="1">
        <v>244.0</v>
      </c>
      <c r="BE570" s="1" t="s">
        <v>5707</v>
      </c>
      <c r="BF570" s="2" t="str">
        <f>HYPERLINK("http://dx.doi.org/10.3390/min15030244","http://dx.doi.org/10.3390/min15030244")</f>
        <v>http://dx.doi.org/10.3390/min15030244</v>
      </c>
      <c r="BG570" s="1" t="s">
        <v>74</v>
      </c>
      <c r="BH570" s="1" t="s">
        <v>74</v>
      </c>
      <c r="BI570" s="1" t="s">
        <v>74</v>
      </c>
      <c r="BJ570" s="1" t="s">
        <v>74</v>
      </c>
      <c r="BK570" s="1" t="s">
        <v>74</v>
      </c>
      <c r="BL570" s="1" t="s">
        <v>74</v>
      </c>
      <c r="BM570" s="1" t="s">
        <v>74</v>
      </c>
      <c r="BN570" s="1" t="s">
        <v>74</v>
      </c>
      <c r="BO570" s="1" t="s">
        <v>74</v>
      </c>
      <c r="BP570" s="1" t="s">
        <v>74</v>
      </c>
      <c r="BQ570" s="1" t="s">
        <v>74</v>
      </c>
      <c r="BR570" s="1" t="s">
        <v>74</v>
      </c>
      <c r="BS570" s="1" t="s">
        <v>5708</v>
      </c>
      <c r="BT570" s="1" t="str">
        <f>HYPERLINK("https%3A%2F%2Fwww.webofscience.com%2Fwos%2Fwoscc%2Ffull-record%2FWOS:001452760300001","View Full Record in Web of Science")</f>
        <v>View Full Record in Web of Science</v>
      </c>
    </row>
    <row r="571" ht="12.75" customHeight="1">
      <c r="A571" s="1" t="s">
        <v>72</v>
      </c>
      <c r="B571" s="1" t="s">
        <v>5709</v>
      </c>
      <c r="C571" s="1" t="s">
        <v>74</v>
      </c>
      <c r="D571" s="1" t="s">
        <v>74</v>
      </c>
      <c r="E571" s="1" t="s">
        <v>74</v>
      </c>
      <c r="F571" s="1" t="s">
        <v>5710</v>
      </c>
      <c r="G571" s="1" t="s">
        <v>74</v>
      </c>
      <c r="H571" s="1" t="s">
        <v>74</v>
      </c>
      <c r="I571" s="1" t="s">
        <v>5711</v>
      </c>
      <c r="J571" s="1" t="s">
        <v>3502</v>
      </c>
      <c r="K571" s="1" t="s">
        <v>74</v>
      </c>
      <c r="L571" s="1" t="s">
        <v>74</v>
      </c>
      <c r="M571" s="1" t="s">
        <v>74</v>
      </c>
      <c r="N571" s="1" t="s">
        <v>74</v>
      </c>
      <c r="O571" s="1" t="s">
        <v>74</v>
      </c>
      <c r="P571" s="1" t="s">
        <v>74</v>
      </c>
      <c r="Q571" s="1" t="s">
        <v>74</v>
      </c>
      <c r="R571" s="1" t="s">
        <v>74</v>
      </c>
      <c r="S571" s="1" t="s">
        <v>74</v>
      </c>
      <c r="T571" s="1" t="s">
        <v>74</v>
      </c>
      <c r="U571" s="1" t="s">
        <v>74</v>
      </c>
      <c r="V571" s="1" t="s">
        <v>5712</v>
      </c>
      <c r="W571" s="1" t="s">
        <v>74</v>
      </c>
      <c r="X571" s="1" t="s">
        <v>74</v>
      </c>
      <c r="Y571" s="1" t="s">
        <v>74</v>
      </c>
      <c r="Z571" s="1" t="s">
        <v>74</v>
      </c>
      <c r="AA571" s="1" t="s">
        <v>5713</v>
      </c>
      <c r="AB571" s="1" t="s">
        <v>74</v>
      </c>
      <c r="AC571" s="1" t="s">
        <v>74</v>
      </c>
      <c r="AD571" s="1" t="s">
        <v>74</v>
      </c>
      <c r="AE571" s="1" t="s">
        <v>74</v>
      </c>
      <c r="AF571" s="1" t="s">
        <v>74</v>
      </c>
      <c r="AG571" s="1" t="s">
        <v>74</v>
      </c>
      <c r="AH571" s="1" t="s">
        <v>74</v>
      </c>
      <c r="AI571" s="1" t="s">
        <v>74</v>
      </c>
      <c r="AJ571" s="1" t="s">
        <v>74</v>
      </c>
      <c r="AK571" s="1" t="s">
        <v>74</v>
      </c>
      <c r="AL571" s="1" t="s">
        <v>74</v>
      </c>
      <c r="AM571" s="1" t="s">
        <v>74</v>
      </c>
      <c r="AN571" s="1" t="s">
        <v>74</v>
      </c>
      <c r="AO571" s="1" t="s">
        <v>3505</v>
      </c>
      <c r="AP571" s="1" t="s">
        <v>3506</v>
      </c>
      <c r="AQ571" s="1" t="s">
        <v>74</v>
      </c>
      <c r="AR571" s="1" t="s">
        <v>74</v>
      </c>
      <c r="AS571" s="1" t="s">
        <v>74</v>
      </c>
      <c r="AT571" s="1" t="s">
        <v>74</v>
      </c>
      <c r="AU571" s="1">
        <v>2024.0</v>
      </c>
      <c r="AV571" s="1" t="s">
        <v>74</v>
      </c>
      <c r="AW571" s="1">
        <v>58.0</v>
      </c>
      <c r="AX571" s="1" t="s">
        <v>74</v>
      </c>
      <c r="AY571" s="1" t="s">
        <v>74</v>
      </c>
      <c r="AZ571" s="1" t="s">
        <v>74</v>
      </c>
      <c r="BA571" s="1" t="s">
        <v>74</v>
      </c>
      <c r="BB571" s="1">
        <v>95.0</v>
      </c>
      <c r="BC571" s="1">
        <v>107.0</v>
      </c>
      <c r="BD571" s="1" t="s">
        <v>74</v>
      </c>
      <c r="BE571" s="1" t="s">
        <v>74</v>
      </c>
      <c r="BF571" s="1" t="s">
        <v>74</v>
      </c>
      <c r="BG571" s="1" t="s">
        <v>74</v>
      </c>
      <c r="BH571" s="1" t="s">
        <v>74</v>
      </c>
      <c r="BI571" s="1" t="s">
        <v>74</v>
      </c>
      <c r="BJ571" s="1" t="s">
        <v>74</v>
      </c>
      <c r="BK571" s="1" t="s">
        <v>74</v>
      </c>
      <c r="BL571" s="1" t="s">
        <v>74</v>
      </c>
      <c r="BM571" s="1" t="s">
        <v>74</v>
      </c>
      <c r="BN571" s="1" t="s">
        <v>74</v>
      </c>
      <c r="BO571" s="1" t="s">
        <v>74</v>
      </c>
      <c r="BP571" s="1" t="s">
        <v>74</v>
      </c>
      <c r="BQ571" s="1" t="s">
        <v>74</v>
      </c>
      <c r="BR571" s="1" t="s">
        <v>74</v>
      </c>
      <c r="BS571" s="1" t="s">
        <v>5714</v>
      </c>
      <c r="BT571" s="1" t="str">
        <f>HYPERLINK("https%3A%2F%2Fwww.webofscience.com%2Fwos%2Fwoscc%2Ffull-record%2FWOS:001280532400001","View Full Record in Web of Science")</f>
        <v>View Full Record in Web of Science</v>
      </c>
    </row>
    <row r="572" ht="12.75" customHeight="1">
      <c r="A572" s="1" t="s">
        <v>72</v>
      </c>
      <c r="B572" s="1" t="s">
        <v>5715</v>
      </c>
      <c r="C572" s="1" t="s">
        <v>74</v>
      </c>
      <c r="D572" s="1" t="s">
        <v>74</v>
      </c>
      <c r="E572" s="1" t="s">
        <v>74</v>
      </c>
      <c r="F572" s="1" t="s">
        <v>5716</v>
      </c>
      <c r="G572" s="1" t="s">
        <v>74</v>
      </c>
      <c r="H572" s="1" t="s">
        <v>74</v>
      </c>
      <c r="I572" s="1" t="s">
        <v>5717</v>
      </c>
      <c r="J572" s="1" t="s">
        <v>5718</v>
      </c>
      <c r="K572" s="1" t="s">
        <v>74</v>
      </c>
      <c r="L572" s="1" t="s">
        <v>74</v>
      </c>
      <c r="M572" s="1" t="s">
        <v>74</v>
      </c>
      <c r="N572" s="1" t="s">
        <v>74</v>
      </c>
      <c r="O572" s="1" t="s">
        <v>74</v>
      </c>
      <c r="P572" s="1" t="s">
        <v>74</v>
      </c>
      <c r="Q572" s="1" t="s">
        <v>74</v>
      </c>
      <c r="R572" s="1" t="s">
        <v>74</v>
      </c>
      <c r="S572" s="1" t="s">
        <v>74</v>
      </c>
      <c r="T572" s="1" t="s">
        <v>74</v>
      </c>
      <c r="U572" s="1" t="s">
        <v>74</v>
      </c>
      <c r="V572" s="1" t="s">
        <v>5719</v>
      </c>
      <c r="W572" s="1" t="s">
        <v>74</v>
      </c>
      <c r="X572" s="1" t="s">
        <v>74</v>
      </c>
      <c r="Y572" s="1" t="s">
        <v>74</v>
      </c>
      <c r="Z572" s="1" t="s">
        <v>74</v>
      </c>
      <c r="AA572" s="1" t="s">
        <v>5720</v>
      </c>
      <c r="AB572" s="1" t="s">
        <v>5721</v>
      </c>
      <c r="AC572" s="1" t="s">
        <v>74</v>
      </c>
      <c r="AD572" s="1" t="s">
        <v>74</v>
      </c>
      <c r="AE572" s="1" t="s">
        <v>74</v>
      </c>
      <c r="AF572" s="1" t="s">
        <v>74</v>
      </c>
      <c r="AG572" s="1" t="s">
        <v>74</v>
      </c>
      <c r="AH572" s="1" t="s">
        <v>74</v>
      </c>
      <c r="AI572" s="1" t="s">
        <v>74</v>
      </c>
      <c r="AJ572" s="1" t="s">
        <v>74</v>
      </c>
      <c r="AK572" s="1" t="s">
        <v>74</v>
      </c>
      <c r="AL572" s="1" t="s">
        <v>74</v>
      </c>
      <c r="AM572" s="1" t="s">
        <v>74</v>
      </c>
      <c r="AN572" s="1" t="s">
        <v>74</v>
      </c>
      <c r="AO572" s="1" t="s">
        <v>5722</v>
      </c>
      <c r="AP572" s="1" t="s">
        <v>74</v>
      </c>
      <c r="AQ572" s="1" t="s">
        <v>74</v>
      </c>
      <c r="AR572" s="1" t="s">
        <v>74</v>
      </c>
      <c r="AS572" s="1" t="s">
        <v>74</v>
      </c>
      <c r="AT572" s="1" t="s">
        <v>696</v>
      </c>
      <c r="AU572" s="1">
        <v>2024.0</v>
      </c>
      <c r="AV572" s="1">
        <v>11.0</v>
      </c>
      <c r="AW572" s="1">
        <v>1.0</v>
      </c>
      <c r="AX572" s="1" t="s">
        <v>74</v>
      </c>
      <c r="AY572" s="1" t="s">
        <v>74</v>
      </c>
      <c r="AZ572" s="1" t="s">
        <v>74</v>
      </c>
      <c r="BA572" s="1" t="s">
        <v>74</v>
      </c>
      <c r="BB572" s="1">
        <v>1363.0</v>
      </c>
      <c r="BC572" s="1">
        <v>1373.0</v>
      </c>
      <c r="BD572" s="1" t="s">
        <v>74</v>
      </c>
      <c r="BE572" s="1" t="s">
        <v>5723</v>
      </c>
      <c r="BF572" s="2" t="str">
        <f>HYPERLINK("http://dx.doi.org/10.1109/TNSE.2023.3322514","http://dx.doi.org/10.1109/TNSE.2023.3322514")</f>
        <v>http://dx.doi.org/10.1109/TNSE.2023.3322514</v>
      </c>
      <c r="BG572" s="1" t="s">
        <v>74</v>
      </c>
      <c r="BH572" s="1" t="s">
        <v>74</v>
      </c>
      <c r="BI572" s="1" t="s">
        <v>74</v>
      </c>
      <c r="BJ572" s="1" t="s">
        <v>74</v>
      </c>
      <c r="BK572" s="1" t="s">
        <v>74</v>
      </c>
      <c r="BL572" s="1" t="s">
        <v>74</v>
      </c>
      <c r="BM572" s="1" t="s">
        <v>74</v>
      </c>
      <c r="BN572" s="1" t="s">
        <v>74</v>
      </c>
      <c r="BO572" s="1" t="s">
        <v>74</v>
      </c>
      <c r="BP572" s="1" t="s">
        <v>74</v>
      </c>
      <c r="BQ572" s="1" t="s">
        <v>74</v>
      </c>
      <c r="BR572" s="1" t="s">
        <v>74</v>
      </c>
      <c r="BS572" s="1" t="s">
        <v>5724</v>
      </c>
      <c r="BT572" s="1" t="str">
        <f>HYPERLINK("https%3A%2F%2Fwww.webofscience.com%2Fwos%2Fwoscc%2Ffull-record%2FWOS:001139144400084","View Full Record in Web of Science")</f>
        <v>View Full Record in Web of Science</v>
      </c>
    </row>
    <row r="573" ht="12.75" customHeight="1">
      <c r="A573" s="1" t="s">
        <v>72</v>
      </c>
      <c r="B573" s="1" t="s">
        <v>5725</v>
      </c>
      <c r="C573" s="1" t="s">
        <v>74</v>
      </c>
      <c r="D573" s="1" t="s">
        <v>74</v>
      </c>
      <c r="E573" s="1" t="s">
        <v>74</v>
      </c>
      <c r="F573" s="1" t="s">
        <v>5726</v>
      </c>
      <c r="G573" s="1" t="s">
        <v>74</v>
      </c>
      <c r="H573" s="1" t="s">
        <v>74</v>
      </c>
      <c r="I573" s="1" t="s">
        <v>5727</v>
      </c>
      <c r="J573" s="1" t="s">
        <v>5728</v>
      </c>
      <c r="K573" s="1" t="s">
        <v>74</v>
      </c>
      <c r="L573" s="1" t="s">
        <v>74</v>
      </c>
      <c r="M573" s="1" t="s">
        <v>74</v>
      </c>
      <c r="N573" s="1" t="s">
        <v>74</v>
      </c>
      <c r="O573" s="1" t="s">
        <v>74</v>
      </c>
      <c r="P573" s="1" t="s">
        <v>74</v>
      </c>
      <c r="Q573" s="1" t="s">
        <v>74</v>
      </c>
      <c r="R573" s="1" t="s">
        <v>74</v>
      </c>
      <c r="S573" s="1" t="s">
        <v>74</v>
      </c>
      <c r="T573" s="1" t="s">
        <v>74</v>
      </c>
      <c r="U573" s="1" t="s">
        <v>74</v>
      </c>
      <c r="V573" s="1" t="s">
        <v>5729</v>
      </c>
      <c r="W573" s="1" t="s">
        <v>74</v>
      </c>
      <c r="X573" s="1" t="s">
        <v>74</v>
      </c>
      <c r="Y573" s="1" t="s">
        <v>74</v>
      </c>
      <c r="Z573" s="1" t="s">
        <v>74</v>
      </c>
      <c r="AA573" s="1" t="s">
        <v>74</v>
      </c>
      <c r="AB573" s="1" t="s">
        <v>5730</v>
      </c>
      <c r="AC573" s="1" t="s">
        <v>74</v>
      </c>
      <c r="AD573" s="1" t="s">
        <v>74</v>
      </c>
      <c r="AE573" s="1" t="s">
        <v>74</v>
      </c>
      <c r="AF573" s="1" t="s">
        <v>74</v>
      </c>
      <c r="AG573" s="1" t="s">
        <v>74</v>
      </c>
      <c r="AH573" s="1" t="s">
        <v>74</v>
      </c>
      <c r="AI573" s="1" t="s">
        <v>74</v>
      </c>
      <c r="AJ573" s="1" t="s">
        <v>74</v>
      </c>
      <c r="AK573" s="1" t="s">
        <v>74</v>
      </c>
      <c r="AL573" s="1" t="s">
        <v>74</v>
      </c>
      <c r="AM573" s="1" t="s">
        <v>74</v>
      </c>
      <c r="AN573" s="1" t="s">
        <v>74</v>
      </c>
      <c r="AO573" s="1" t="s">
        <v>5731</v>
      </c>
      <c r="AP573" s="1" t="s">
        <v>5732</v>
      </c>
      <c r="AQ573" s="1" t="s">
        <v>74</v>
      </c>
      <c r="AR573" s="1" t="s">
        <v>74</v>
      </c>
      <c r="AS573" s="1" t="s">
        <v>74</v>
      </c>
      <c r="AT573" s="1" t="s">
        <v>652</v>
      </c>
      <c r="AU573" s="1">
        <v>2023.0</v>
      </c>
      <c r="AV573" s="1">
        <v>58.0</v>
      </c>
      <c r="AW573" s="1" t="s">
        <v>74</v>
      </c>
      <c r="AX573" s="1" t="s">
        <v>5733</v>
      </c>
      <c r="AY573" s="1" t="s">
        <v>74</v>
      </c>
      <c r="AZ573" s="1" t="s">
        <v>74</v>
      </c>
      <c r="BA573" s="1" t="s">
        <v>74</v>
      </c>
      <c r="BB573" s="1" t="s">
        <v>74</v>
      </c>
      <c r="BC573" s="1" t="s">
        <v>74</v>
      </c>
      <c r="BD573" s="1">
        <v>104642.0</v>
      </c>
      <c r="BE573" s="1" t="s">
        <v>5734</v>
      </c>
      <c r="BF573" s="2" t="str">
        <f>HYPERLINK("http://dx.doi.org/10.1016/j.frl.2023.104642","http://dx.doi.org/10.1016/j.frl.2023.104642")</f>
        <v>http://dx.doi.org/10.1016/j.frl.2023.104642</v>
      </c>
      <c r="BG573" s="1" t="s">
        <v>74</v>
      </c>
      <c r="BH573" s="1" t="s">
        <v>1806</v>
      </c>
      <c r="BI573" s="1" t="s">
        <v>74</v>
      </c>
      <c r="BJ573" s="1" t="s">
        <v>74</v>
      </c>
      <c r="BK573" s="1" t="s">
        <v>74</v>
      </c>
      <c r="BL573" s="1" t="s">
        <v>74</v>
      </c>
      <c r="BM573" s="1" t="s">
        <v>74</v>
      </c>
      <c r="BN573" s="1" t="s">
        <v>74</v>
      </c>
      <c r="BO573" s="1" t="s">
        <v>74</v>
      </c>
      <c r="BP573" s="1" t="s">
        <v>74</v>
      </c>
      <c r="BQ573" s="1" t="s">
        <v>74</v>
      </c>
      <c r="BR573" s="1" t="s">
        <v>74</v>
      </c>
      <c r="BS573" s="1" t="s">
        <v>5735</v>
      </c>
      <c r="BT573" s="1" t="str">
        <f>HYPERLINK("https%3A%2F%2Fwww.webofscience.com%2Fwos%2Fwoscc%2Ffull-record%2FWOS:001102463000001","View Full Record in Web of Science")</f>
        <v>View Full Record in Web of Science</v>
      </c>
    </row>
    <row r="574" ht="12.75" customHeight="1">
      <c r="A574" s="1" t="s">
        <v>72</v>
      </c>
      <c r="B574" s="1" t="s">
        <v>5736</v>
      </c>
      <c r="C574" s="1" t="s">
        <v>74</v>
      </c>
      <c r="D574" s="1" t="s">
        <v>74</v>
      </c>
      <c r="E574" s="1" t="s">
        <v>74</v>
      </c>
      <c r="F574" s="1" t="s">
        <v>5737</v>
      </c>
      <c r="G574" s="1" t="s">
        <v>74</v>
      </c>
      <c r="H574" s="1" t="s">
        <v>74</v>
      </c>
      <c r="I574" s="1" t="s">
        <v>5738</v>
      </c>
      <c r="J574" s="1" t="s">
        <v>5739</v>
      </c>
      <c r="K574" s="1" t="s">
        <v>74</v>
      </c>
      <c r="L574" s="1" t="s">
        <v>74</v>
      </c>
      <c r="M574" s="1" t="s">
        <v>74</v>
      </c>
      <c r="N574" s="1" t="s">
        <v>74</v>
      </c>
      <c r="O574" s="1" t="s">
        <v>74</v>
      </c>
      <c r="P574" s="1" t="s">
        <v>74</v>
      </c>
      <c r="Q574" s="1" t="s">
        <v>74</v>
      </c>
      <c r="R574" s="1" t="s">
        <v>74</v>
      </c>
      <c r="S574" s="1" t="s">
        <v>74</v>
      </c>
      <c r="T574" s="1" t="s">
        <v>74</v>
      </c>
      <c r="U574" s="1" t="s">
        <v>74</v>
      </c>
      <c r="V574" s="1" t="s">
        <v>5740</v>
      </c>
      <c r="W574" s="1" t="s">
        <v>74</v>
      </c>
      <c r="X574" s="1" t="s">
        <v>74</v>
      </c>
      <c r="Y574" s="1" t="s">
        <v>74</v>
      </c>
      <c r="Z574" s="1" t="s">
        <v>74</v>
      </c>
      <c r="AA574" s="1" t="s">
        <v>5741</v>
      </c>
      <c r="AB574" s="1" t="s">
        <v>5742</v>
      </c>
      <c r="AC574" s="1" t="s">
        <v>74</v>
      </c>
      <c r="AD574" s="1" t="s">
        <v>74</v>
      </c>
      <c r="AE574" s="1" t="s">
        <v>74</v>
      </c>
      <c r="AF574" s="1" t="s">
        <v>74</v>
      </c>
      <c r="AG574" s="1" t="s">
        <v>74</v>
      </c>
      <c r="AH574" s="1" t="s">
        <v>74</v>
      </c>
      <c r="AI574" s="1" t="s">
        <v>74</v>
      </c>
      <c r="AJ574" s="1" t="s">
        <v>74</v>
      </c>
      <c r="AK574" s="1" t="s">
        <v>74</v>
      </c>
      <c r="AL574" s="1" t="s">
        <v>74</v>
      </c>
      <c r="AM574" s="1" t="s">
        <v>74</v>
      </c>
      <c r="AN574" s="1" t="s">
        <v>74</v>
      </c>
      <c r="AO574" s="1" t="s">
        <v>5743</v>
      </c>
      <c r="AP574" s="1" t="s">
        <v>5744</v>
      </c>
      <c r="AQ574" s="1" t="s">
        <v>74</v>
      </c>
      <c r="AR574" s="1" t="s">
        <v>74</v>
      </c>
      <c r="AS574" s="1" t="s">
        <v>74</v>
      </c>
      <c r="AT574" s="1" t="s">
        <v>5745</v>
      </c>
      <c r="AU574" s="1">
        <v>2023.0</v>
      </c>
      <c r="AV574" s="1">
        <v>424.0</v>
      </c>
      <c r="AW574" s="1" t="s">
        <v>74</v>
      </c>
      <c r="AX574" s="1" t="s">
        <v>74</v>
      </c>
      <c r="AY574" s="1" t="s">
        <v>74</v>
      </c>
      <c r="AZ574" s="1" t="s">
        <v>74</v>
      </c>
      <c r="BA574" s="1" t="s">
        <v>74</v>
      </c>
      <c r="BB574" s="1" t="s">
        <v>74</v>
      </c>
      <c r="BC574" s="1" t="s">
        <v>74</v>
      </c>
      <c r="BD574" s="1">
        <v>138775.0</v>
      </c>
      <c r="BE574" s="1" t="s">
        <v>5746</v>
      </c>
      <c r="BF574" s="2" t="str">
        <f>HYPERLINK("http://dx.doi.org/10.1016/j.jclepro.2023.138775","http://dx.doi.org/10.1016/j.jclepro.2023.138775")</f>
        <v>http://dx.doi.org/10.1016/j.jclepro.2023.138775</v>
      </c>
      <c r="BG574" s="1" t="s">
        <v>74</v>
      </c>
      <c r="BH574" s="1" t="s">
        <v>5747</v>
      </c>
      <c r="BI574" s="1" t="s">
        <v>74</v>
      </c>
      <c r="BJ574" s="1" t="s">
        <v>74</v>
      </c>
      <c r="BK574" s="1" t="s">
        <v>74</v>
      </c>
      <c r="BL574" s="1" t="s">
        <v>74</v>
      </c>
      <c r="BM574" s="1" t="s">
        <v>74</v>
      </c>
      <c r="BN574" s="1" t="s">
        <v>74</v>
      </c>
      <c r="BO574" s="1" t="s">
        <v>74</v>
      </c>
      <c r="BP574" s="1" t="s">
        <v>74</v>
      </c>
      <c r="BQ574" s="1" t="s">
        <v>74</v>
      </c>
      <c r="BR574" s="1" t="s">
        <v>74</v>
      </c>
      <c r="BS574" s="1" t="s">
        <v>5748</v>
      </c>
      <c r="BT574" s="1" t="str">
        <f>HYPERLINK("https%3A%2F%2Fwww.webofscience.com%2Fwos%2Fwoscc%2Ffull-record%2FWOS:001078861900001","View Full Record in Web of Science")</f>
        <v>View Full Record in Web of Science</v>
      </c>
    </row>
    <row r="575" ht="12.75" customHeight="1">
      <c r="A575" s="1" t="s">
        <v>72</v>
      </c>
      <c r="B575" s="1" t="s">
        <v>5749</v>
      </c>
      <c r="C575" s="1" t="s">
        <v>74</v>
      </c>
      <c r="D575" s="1" t="s">
        <v>74</v>
      </c>
      <c r="E575" s="1" t="s">
        <v>74</v>
      </c>
      <c r="F575" s="1" t="s">
        <v>5750</v>
      </c>
      <c r="G575" s="1" t="s">
        <v>74</v>
      </c>
      <c r="H575" s="1" t="s">
        <v>74</v>
      </c>
      <c r="I575" s="1" t="s">
        <v>5751</v>
      </c>
      <c r="J575" s="1" t="s">
        <v>5752</v>
      </c>
      <c r="K575" s="1" t="s">
        <v>74</v>
      </c>
      <c r="L575" s="1" t="s">
        <v>74</v>
      </c>
      <c r="M575" s="1" t="s">
        <v>74</v>
      </c>
      <c r="N575" s="1" t="s">
        <v>74</v>
      </c>
      <c r="O575" s="1" t="s">
        <v>74</v>
      </c>
      <c r="P575" s="1" t="s">
        <v>74</v>
      </c>
      <c r="Q575" s="1" t="s">
        <v>74</v>
      </c>
      <c r="R575" s="1" t="s">
        <v>74</v>
      </c>
      <c r="S575" s="1" t="s">
        <v>74</v>
      </c>
      <c r="T575" s="1" t="s">
        <v>74</v>
      </c>
      <c r="U575" s="1" t="s">
        <v>74</v>
      </c>
      <c r="V575" s="1" t="s">
        <v>5753</v>
      </c>
      <c r="W575" s="1" t="s">
        <v>74</v>
      </c>
      <c r="X575" s="1" t="s">
        <v>74</v>
      </c>
      <c r="Y575" s="1" t="s">
        <v>74</v>
      </c>
      <c r="Z575" s="1" t="s">
        <v>74</v>
      </c>
      <c r="AA575" s="1" t="s">
        <v>5754</v>
      </c>
      <c r="AB575" s="1" t="s">
        <v>5755</v>
      </c>
      <c r="AC575" s="1" t="s">
        <v>74</v>
      </c>
      <c r="AD575" s="1" t="s">
        <v>74</v>
      </c>
      <c r="AE575" s="1" t="s">
        <v>74</v>
      </c>
      <c r="AF575" s="1" t="s">
        <v>74</v>
      </c>
      <c r="AG575" s="1" t="s">
        <v>74</v>
      </c>
      <c r="AH575" s="1" t="s">
        <v>74</v>
      </c>
      <c r="AI575" s="1" t="s">
        <v>74</v>
      </c>
      <c r="AJ575" s="1" t="s">
        <v>74</v>
      </c>
      <c r="AK575" s="1" t="s">
        <v>74</v>
      </c>
      <c r="AL575" s="1" t="s">
        <v>74</v>
      </c>
      <c r="AM575" s="1" t="s">
        <v>74</v>
      </c>
      <c r="AN575" s="1" t="s">
        <v>74</v>
      </c>
      <c r="AO575" s="1" t="s">
        <v>5756</v>
      </c>
      <c r="AP575" s="1" t="s">
        <v>5757</v>
      </c>
      <c r="AQ575" s="1" t="s">
        <v>74</v>
      </c>
      <c r="AR575" s="1" t="s">
        <v>74</v>
      </c>
      <c r="AS575" s="1" t="s">
        <v>74</v>
      </c>
      <c r="AT575" s="1" t="s">
        <v>606</v>
      </c>
      <c r="AU575" s="1">
        <v>2023.0</v>
      </c>
      <c r="AV575" s="1">
        <v>176.0</v>
      </c>
      <c r="AW575" s="1" t="s">
        <v>74</v>
      </c>
      <c r="AX575" s="1" t="s">
        <v>74</v>
      </c>
      <c r="AY575" s="1" t="s">
        <v>74</v>
      </c>
      <c r="AZ575" s="1" t="s">
        <v>74</v>
      </c>
      <c r="BA575" s="1" t="s">
        <v>74</v>
      </c>
      <c r="BB575" s="1" t="s">
        <v>74</v>
      </c>
      <c r="BC575" s="1" t="s">
        <v>74</v>
      </c>
      <c r="BD575" s="1">
        <v>103826.0</v>
      </c>
      <c r="BE575" s="1" t="s">
        <v>5758</v>
      </c>
      <c r="BF575" s="2" t="str">
        <f>HYPERLINK("http://dx.doi.org/10.1016/j.tra.2023.103826","http://dx.doi.org/10.1016/j.tra.2023.103826")</f>
        <v>http://dx.doi.org/10.1016/j.tra.2023.103826</v>
      </c>
      <c r="BG575" s="1" t="s">
        <v>74</v>
      </c>
      <c r="BH575" s="1" t="s">
        <v>5747</v>
      </c>
      <c r="BI575" s="1" t="s">
        <v>74</v>
      </c>
      <c r="BJ575" s="1" t="s">
        <v>74</v>
      </c>
      <c r="BK575" s="1" t="s">
        <v>74</v>
      </c>
      <c r="BL575" s="1" t="s">
        <v>74</v>
      </c>
      <c r="BM575" s="1" t="s">
        <v>74</v>
      </c>
      <c r="BN575" s="1" t="s">
        <v>74</v>
      </c>
      <c r="BO575" s="1" t="s">
        <v>74</v>
      </c>
      <c r="BP575" s="1" t="s">
        <v>74</v>
      </c>
      <c r="BQ575" s="1" t="s">
        <v>74</v>
      </c>
      <c r="BR575" s="1" t="s">
        <v>74</v>
      </c>
      <c r="BS575" s="1" t="s">
        <v>5759</v>
      </c>
      <c r="BT575" s="1" t="str">
        <f>HYPERLINK("https%3A%2F%2Fwww.webofscience.com%2Fwos%2Fwoscc%2Ffull-record%2FWOS:001081152500001","View Full Record in Web of Science")</f>
        <v>View Full Record in Web of Science</v>
      </c>
    </row>
    <row r="576" ht="12.75" customHeight="1">
      <c r="A576" s="1" t="s">
        <v>72</v>
      </c>
      <c r="B576" s="1" t="s">
        <v>5760</v>
      </c>
      <c r="C576" s="1" t="s">
        <v>74</v>
      </c>
      <c r="D576" s="1" t="s">
        <v>74</v>
      </c>
      <c r="E576" s="1" t="s">
        <v>74</v>
      </c>
      <c r="F576" s="1" t="s">
        <v>5761</v>
      </c>
      <c r="G576" s="1" t="s">
        <v>74</v>
      </c>
      <c r="H576" s="1" t="s">
        <v>74</v>
      </c>
      <c r="I576" s="1" t="s">
        <v>5762</v>
      </c>
      <c r="J576" s="1" t="s">
        <v>4734</v>
      </c>
      <c r="K576" s="1" t="s">
        <v>74</v>
      </c>
      <c r="L576" s="1" t="s">
        <v>74</v>
      </c>
      <c r="M576" s="1" t="s">
        <v>74</v>
      </c>
      <c r="N576" s="1" t="s">
        <v>74</v>
      </c>
      <c r="O576" s="1" t="s">
        <v>74</v>
      </c>
      <c r="P576" s="1" t="s">
        <v>74</v>
      </c>
      <c r="Q576" s="1" t="s">
        <v>74</v>
      </c>
      <c r="R576" s="1" t="s">
        <v>74</v>
      </c>
      <c r="S576" s="1" t="s">
        <v>74</v>
      </c>
      <c r="T576" s="1" t="s">
        <v>74</v>
      </c>
      <c r="U576" s="1" t="s">
        <v>74</v>
      </c>
      <c r="V576" s="1" t="s">
        <v>5763</v>
      </c>
      <c r="W576" s="1" t="s">
        <v>74</v>
      </c>
      <c r="X576" s="1" t="s">
        <v>74</v>
      </c>
      <c r="Y576" s="1" t="s">
        <v>74</v>
      </c>
      <c r="Z576" s="1" t="s">
        <v>74</v>
      </c>
      <c r="AA576" s="1" t="s">
        <v>5764</v>
      </c>
      <c r="AB576" s="1" t="s">
        <v>5765</v>
      </c>
      <c r="AC576" s="1" t="s">
        <v>74</v>
      </c>
      <c r="AD576" s="1" t="s">
        <v>74</v>
      </c>
      <c r="AE576" s="1" t="s">
        <v>74</v>
      </c>
      <c r="AF576" s="1" t="s">
        <v>74</v>
      </c>
      <c r="AG576" s="1" t="s">
        <v>74</v>
      </c>
      <c r="AH576" s="1" t="s">
        <v>74</v>
      </c>
      <c r="AI576" s="1" t="s">
        <v>74</v>
      </c>
      <c r="AJ576" s="1" t="s">
        <v>74</v>
      </c>
      <c r="AK576" s="1" t="s">
        <v>74</v>
      </c>
      <c r="AL576" s="1" t="s">
        <v>74</v>
      </c>
      <c r="AM576" s="1" t="s">
        <v>74</v>
      </c>
      <c r="AN576" s="1" t="s">
        <v>74</v>
      </c>
      <c r="AO576" s="1" t="s">
        <v>4738</v>
      </c>
      <c r="AP576" s="1" t="s">
        <v>4739</v>
      </c>
      <c r="AQ576" s="1" t="s">
        <v>74</v>
      </c>
      <c r="AR576" s="1" t="s">
        <v>74</v>
      </c>
      <c r="AS576" s="1" t="s">
        <v>74</v>
      </c>
      <c r="AT576" s="1" t="s">
        <v>652</v>
      </c>
      <c r="AU576" s="1">
        <v>2022.0</v>
      </c>
      <c r="AV576" s="1">
        <v>131.0</v>
      </c>
      <c r="AW576" s="1" t="s">
        <v>74</v>
      </c>
      <c r="AX576" s="1" t="s">
        <v>74</v>
      </c>
      <c r="AY576" s="1" t="s">
        <v>74</v>
      </c>
      <c r="AZ576" s="1" t="s">
        <v>74</v>
      </c>
      <c r="BA576" s="1" t="s">
        <v>74</v>
      </c>
      <c r="BB576" s="1">
        <v>785.0</v>
      </c>
      <c r="BC576" s="1">
        <v>795.0</v>
      </c>
      <c r="BD576" s="1" t="s">
        <v>74</v>
      </c>
      <c r="BE576" s="1" t="s">
        <v>5766</v>
      </c>
      <c r="BF576" s="2" t="str">
        <f>HYPERLINK("http://dx.doi.org/10.1016/j.fsi.2022.10.060","http://dx.doi.org/10.1016/j.fsi.2022.10.060")</f>
        <v>http://dx.doi.org/10.1016/j.fsi.2022.10.060</v>
      </c>
      <c r="BG576" s="1" t="s">
        <v>74</v>
      </c>
      <c r="BH576" s="1" t="s">
        <v>868</v>
      </c>
      <c r="BI576" s="1" t="s">
        <v>74</v>
      </c>
      <c r="BJ576" s="1" t="s">
        <v>74</v>
      </c>
      <c r="BK576" s="1" t="s">
        <v>74</v>
      </c>
      <c r="BL576" s="1" t="s">
        <v>74</v>
      </c>
      <c r="BM576" s="1" t="s">
        <v>74</v>
      </c>
      <c r="BN576" s="1">
        <v>3.6323384E7</v>
      </c>
      <c r="BO576" s="1" t="s">
        <v>74</v>
      </c>
      <c r="BP576" s="1" t="s">
        <v>74</v>
      </c>
      <c r="BQ576" s="1" t="s">
        <v>74</v>
      </c>
      <c r="BR576" s="1" t="s">
        <v>74</v>
      </c>
      <c r="BS576" s="1" t="s">
        <v>5767</v>
      </c>
      <c r="BT576" s="1" t="str">
        <f>HYPERLINK("https%3A%2F%2Fwww.webofscience.com%2Fwos%2Fwoscc%2Ffull-record%2FWOS:000895951300004","View Full Record in Web of Science")</f>
        <v>View Full Record in Web of Science</v>
      </c>
    </row>
    <row r="577" ht="12.75" customHeight="1">
      <c r="A577" s="1" t="s">
        <v>72</v>
      </c>
      <c r="B577" s="1" t="s">
        <v>5768</v>
      </c>
      <c r="C577" s="1" t="s">
        <v>74</v>
      </c>
      <c r="D577" s="1" t="s">
        <v>74</v>
      </c>
      <c r="E577" s="1" t="s">
        <v>74</v>
      </c>
      <c r="F577" s="1" t="s">
        <v>5769</v>
      </c>
      <c r="G577" s="1" t="s">
        <v>74</v>
      </c>
      <c r="H577" s="1" t="s">
        <v>74</v>
      </c>
      <c r="I577" s="1" t="s">
        <v>5770</v>
      </c>
      <c r="J577" s="1" t="s">
        <v>5771</v>
      </c>
      <c r="K577" s="1" t="s">
        <v>74</v>
      </c>
      <c r="L577" s="1" t="s">
        <v>74</v>
      </c>
      <c r="M577" s="1" t="s">
        <v>74</v>
      </c>
      <c r="N577" s="1" t="s">
        <v>74</v>
      </c>
      <c r="O577" s="1" t="s">
        <v>74</v>
      </c>
      <c r="P577" s="1" t="s">
        <v>74</v>
      </c>
      <c r="Q577" s="1" t="s">
        <v>74</v>
      </c>
      <c r="R577" s="1" t="s">
        <v>74</v>
      </c>
      <c r="S577" s="1" t="s">
        <v>74</v>
      </c>
      <c r="T577" s="1" t="s">
        <v>74</v>
      </c>
      <c r="U577" s="1" t="s">
        <v>74</v>
      </c>
      <c r="V577" s="1" t="s">
        <v>5772</v>
      </c>
      <c r="W577" s="1" t="s">
        <v>74</v>
      </c>
      <c r="X577" s="1" t="s">
        <v>74</v>
      </c>
      <c r="Y577" s="1" t="s">
        <v>74</v>
      </c>
      <c r="Z577" s="1" t="s">
        <v>74</v>
      </c>
      <c r="AA577" s="1" t="s">
        <v>74</v>
      </c>
      <c r="AB577" s="1" t="s">
        <v>5773</v>
      </c>
      <c r="AC577" s="1" t="s">
        <v>74</v>
      </c>
      <c r="AD577" s="1" t="s">
        <v>74</v>
      </c>
      <c r="AE577" s="1" t="s">
        <v>74</v>
      </c>
      <c r="AF577" s="1" t="s">
        <v>74</v>
      </c>
      <c r="AG577" s="1" t="s">
        <v>74</v>
      </c>
      <c r="AH577" s="1" t="s">
        <v>74</v>
      </c>
      <c r="AI577" s="1" t="s">
        <v>74</v>
      </c>
      <c r="AJ577" s="1" t="s">
        <v>74</v>
      </c>
      <c r="AK577" s="1" t="s">
        <v>74</v>
      </c>
      <c r="AL577" s="1" t="s">
        <v>74</v>
      </c>
      <c r="AM577" s="1" t="s">
        <v>74</v>
      </c>
      <c r="AN577" s="1" t="s">
        <v>74</v>
      </c>
      <c r="AO577" s="1" t="s">
        <v>5774</v>
      </c>
      <c r="AP577" s="1" t="s">
        <v>5775</v>
      </c>
      <c r="AQ577" s="1" t="s">
        <v>74</v>
      </c>
      <c r="AR577" s="1" t="s">
        <v>74</v>
      </c>
      <c r="AS577" s="1" t="s">
        <v>74</v>
      </c>
      <c r="AT577" s="1" t="s">
        <v>4967</v>
      </c>
      <c r="AU577" s="1">
        <v>2022.0</v>
      </c>
      <c r="AV577" s="1">
        <v>58.0</v>
      </c>
      <c r="AW577" s="1" t="s">
        <v>1659</v>
      </c>
      <c r="AX577" s="1" t="s">
        <v>74</v>
      </c>
      <c r="AY577" s="1" t="s">
        <v>74</v>
      </c>
      <c r="AZ577" s="1" t="s">
        <v>445</v>
      </c>
      <c r="BA577" s="1" t="s">
        <v>74</v>
      </c>
      <c r="BB577" s="1">
        <v>641.0</v>
      </c>
      <c r="BC577" s="1">
        <v>656.0</v>
      </c>
      <c r="BD577" s="1" t="s">
        <v>74</v>
      </c>
      <c r="BE577" s="1" t="s">
        <v>5776</v>
      </c>
      <c r="BF577" s="2" t="str">
        <f>HYPERLINK("http://dx.doi.org/10.1080/00131946.2022.2132394","http://dx.doi.org/10.1080/00131946.2022.2132394")</f>
        <v>http://dx.doi.org/10.1080/00131946.2022.2132394</v>
      </c>
      <c r="BG577" s="1" t="s">
        <v>74</v>
      </c>
      <c r="BH577" s="1" t="s">
        <v>4969</v>
      </c>
      <c r="BI577" s="1" t="s">
        <v>74</v>
      </c>
      <c r="BJ577" s="1" t="s">
        <v>74</v>
      </c>
      <c r="BK577" s="1" t="s">
        <v>74</v>
      </c>
      <c r="BL577" s="1" t="s">
        <v>74</v>
      </c>
      <c r="BM577" s="1" t="s">
        <v>74</v>
      </c>
      <c r="BN577" s="1" t="s">
        <v>74</v>
      </c>
      <c r="BO577" s="1" t="s">
        <v>74</v>
      </c>
      <c r="BP577" s="1" t="s">
        <v>74</v>
      </c>
      <c r="BQ577" s="1" t="s">
        <v>74</v>
      </c>
      <c r="BR577" s="1" t="s">
        <v>74</v>
      </c>
      <c r="BS577" s="1" t="s">
        <v>5777</v>
      </c>
      <c r="BT577" s="1" t="str">
        <f>HYPERLINK("https%3A%2F%2Fwww.webofscience.com%2Fwos%2Fwoscc%2Ffull-record%2FWOS:000879650800001","View Full Record in Web of Science")</f>
        <v>View Full Record in Web of Science</v>
      </c>
    </row>
    <row r="578" ht="12.75" customHeight="1">
      <c r="A578" s="1" t="s">
        <v>72</v>
      </c>
      <c r="B578" s="1" t="s">
        <v>5778</v>
      </c>
      <c r="C578" s="1" t="s">
        <v>74</v>
      </c>
      <c r="D578" s="1" t="s">
        <v>74</v>
      </c>
      <c r="E578" s="1" t="s">
        <v>74</v>
      </c>
      <c r="F578" s="1" t="s">
        <v>5779</v>
      </c>
      <c r="G578" s="1" t="s">
        <v>74</v>
      </c>
      <c r="H578" s="1" t="s">
        <v>74</v>
      </c>
      <c r="I578" s="1" t="s">
        <v>5780</v>
      </c>
      <c r="J578" s="1" t="s">
        <v>5781</v>
      </c>
      <c r="K578" s="1" t="s">
        <v>74</v>
      </c>
      <c r="L578" s="1" t="s">
        <v>74</v>
      </c>
      <c r="M578" s="1" t="s">
        <v>74</v>
      </c>
      <c r="N578" s="1" t="s">
        <v>74</v>
      </c>
      <c r="O578" s="1" t="s">
        <v>74</v>
      </c>
      <c r="P578" s="1" t="s">
        <v>74</v>
      </c>
      <c r="Q578" s="1" t="s">
        <v>74</v>
      </c>
      <c r="R578" s="1" t="s">
        <v>74</v>
      </c>
      <c r="S578" s="1" t="s">
        <v>74</v>
      </c>
      <c r="T578" s="1" t="s">
        <v>74</v>
      </c>
      <c r="U578" s="1" t="s">
        <v>74</v>
      </c>
      <c r="V578" s="1" t="s">
        <v>5782</v>
      </c>
      <c r="W578" s="1" t="s">
        <v>74</v>
      </c>
      <c r="X578" s="1" t="s">
        <v>74</v>
      </c>
      <c r="Y578" s="1" t="s">
        <v>74</v>
      </c>
      <c r="Z578" s="1" t="s">
        <v>74</v>
      </c>
      <c r="AA578" s="1" t="s">
        <v>5783</v>
      </c>
      <c r="AB578" s="1" t="s">
        <v>5784</v>
      </c>
      <c r="AC578" s="1" t="s">
        <v>74</v>
      </c>
      <c r="AD578" s="1" t="s">
        <v>74</v>
      </c>
      <c r="AE578" s="1" t="s">
        <v>74</v>
      </c>
      <c r="AF578" s="1" t="s">
        <v>74</v>
      </c>
      <c r="AG578" s="1" t="s">
        <v>74</v>
      </c>
      <c r="AH578" s="1" t="s">
        <v>74</v>
      </c>
      <c r="AI578" s="1" t="s">
        <v>74</v>
      </c>
      <c r="AJ578" s="1" t="s">
        <v>74</v>
      </c>
      <c r="AK578" s="1" t="s">
        <v>74</v>
      </c>
      <c r="AL578" s="1" t="s">
        <v>74</v>
      </c>
      <c r="AM578" s="1" t="s">
        <v>74</v>
      </c>
      <c r="AN578" s="1" t="s">
        <v>74</v>
      </c>
      <c r="AO578" s="1" t="s">
        <v>5785</v>
      </c>
      <c r="AP578" s="1" t="s">
        <v>5786</v>
      </c>
      <c r="AQ578" s="1" t="s">
        <v>74</v>
      </c>
      <c r="AR578" s="1" t="s">
        <v>74</v>
      </c>
      <c r="AS578" s="1" t="s">
        <v>74</v>
      </c>
      <c r="AT578" s="1" t="s">
        <v>5787</v>
      </c>
      <c r="AU578" s="1">
        <v>2022.0</v>
      </c>
      <c r="AV578" s="1">
        <v>22.0</v>
      </c>
      <c r="AW578" s="1">
        <v>6.0</v>
      </c>
      <c r="AX578" s="1" t="s">
        <v>74</v>
      </c>
      <c r="AY578" s="1" t="s">
        <v>74</v>
      </c>
      <c r="AZ578" s="1" t="s">
        <v>74</v>
      </c>
      <c r="BA578" s="1" t="s">
        <v>74</v>
      </c>
      <c r="BB578" s="1">
        <v>4755.0</v>
      </c>
      <c r="BC578" s="1">
        <v>4771.0</v>
      </c>
      <c r="BD578" s="1" t="s">
        <v>74</v>
      </c>
      <c r="BE578" s="1" t="s">
        <v>5788</v>
      </c>
      <c r="BF578" s="2" t="str">
        <f>HYPERLINK("http://dx.doi.org/10.1109/JSEN.2021.3112547","http://dx.doi.org/10.1109/JSEN.2021.3112547")</f>
        <v>http://dx.doi.org/10.1109/JSEN.2021.3112547</v>
      </c>
      <c r="BG578" s="1" t="s">
        <v>74</v>
      </c>
      <c r="BH578" s="1" t="s">
        <v>74</v>
      </c>
      <c r="BI578" s="1" t="s">
        <v>74</v>
      </c>
      <c r="BJ578" s="1" t="s">
        <v>74</v>
      </c>
      <c r="BK578" s="1" t="s">
        <v>74</v>
      </c>
      <c r="BL578" s="1" t="s">
        <v>74</v>
      </c>
      <c r="BM578" s="1" t="s">
        <v>74</v>
      </c>
      <c r="BN578" s="1" t="s">
        <v>74</v>
      </c>
      <c r="BO578" s="1" t="s">
        <v>74</v>
      </c>
      <c r="BP578" s="1" t="s">
        <v>74</v>
      </c>
      <c r="BQ578" s="1" t="s">
        <v>74</v>
      </c>
      <c r="BR578" s="1" t="s">
        <v>74</v>
      </c>
      <c r="BS578" s="1" t="s">
        <v>5789</v>
      </c>
      <c r="BT578" s="1" t="str">
        <f>HYPERLINK("https%3A%2F%2Fwww.webofscience.com%2Fwos%2Fwoscc%2Ffull-record%2FWOS:000770054800006","View Full Record in Web of Science")</f>
        <v>View Full Record in Web of Science</v>
      </c>
    </row>
    <row r="579" ht="12.75" customHeight="1">
      <c r="A579" s="1" t="s">
        <v>72</v>
      </c>
      <c r="B579" s="1" t="s">
        <v>5790</v>
      </c>
      <c r="C579" s="1" t="s">
        <v>74</v>
      </c>
      <c r="D579" s="1" t="s">
        <v>74</v>
      </c>
      <c r="E579" s="1" t="s">
        <v>74</v>
      </c>
      <c r="F579" s="1" t="s">
        <v>5791</v>
      </c>
      <c r="G579" s="1" t="s">
        <v>74</v>
      </c>
      <c r="H579" s="1" t="s">
        <v>74</v>
      </c>
      <c r="I579" s="1" t="s">
        <v>5792</v>
      </c>
      <c r="J579" s="1" t="s">
        <v>5793</v>
      </c>
      <c r="K579" s="1" t="s">
        <v>74</v>
      </c>
      <c r="L579" s="1" t="s">
        <v>74</v>
      </c>
      <c r="M579" s="1" t="s">
        <v>74</v>
      </c>
      <c r="N579" s="1" t="s">
        <v>74</v>
      </c>
      <c r="O579" s="1" t="s">
        <v>74</v>
      </c>
      <c r="P579" s="1" t="s">
        <v>74</v>
      </c>
      <c r="Q579" s="1" t="s">
        <v>74</v>
      </c>
      <c r="R579" s="1" t="s">
        <v>74</v>
      </c>
      <c r="S579" s="1" t="s">
        <v>74</v>
      </c>
      <c r="T579" s="1" t="s">
        <v>74</v>
      </c>
      <c r="U579" s="1" t="s">
        <v>74</v>
      </c>
      <c r="V579" s="1" t="s">
        <v>5794</v>
      </c>
      <c r="W579" s="1" t="s">
        <v>74</v>
      </c>
      <c r="X579" s="1" t="s">
        <v>74</v>
      </c>
      <c r="Y579" s="1" t="s">
        <v>74</v>
      </c>
      <c r="Z579" s="1" t="s">
        <v>74</v>
      </c>
      <c r="AA579" s="1" t="s">
        <v>5795</v>
      </c>
      <c r="AB579" s="1" t="s">
        <v>5796</v>
      </c>
      <c r="AC579" s="1" t="s">
        <v>74</v>
      </c>
      <c r="AD579" s="1" t="s">
        <v>74</v>
      </c>
      <c r="AE579" s="1" t="s">
        <v>74</v>
      </c>
      <c r="AF579" s="1" t="s">
        <v>74</v>
      </c>
      <c r="AG579" s="1" t="s">
        <v>74</v>
      </c>
      <c r="AH579" s="1" t="s">
        <v>74</v>
      </c>
      <c r="AI579" s="1" t="s">
        <v>74</v>
      </c>
      <c r="AJ579" s="1" t="s">
        <v>74</v>
      </c>
      <c r="AK579" s="1" t="s">
        <v>74</v>
      </c>
      <c r="AL579" s="1" t="s">
        <v>74</v>
      </c>
      <c r="AM579" s="1" t="s">
        <v>74</v>
      </c>
      <c r="AN579" s="1" t="s">
        <v>74</v>
      </c>
      <c r="AO579" s="1" t="s">
        <v>5797</v>
      </c>
      <c r="AP579" s="1" t="s">
        <v>5798</v>
      </c>
      <c r="AQ579" s="1" t="s">
        <v>74</v>
      </c>
      <c r="AR579" s="1" t="s">
        <v>74</v>
      </c>
      <c r="AS579" s="1" t="s">
        <v>74</v>
      </c>
      <c r="AT579" s="1" t="s">
        <v>235</v>
      </c>
      <c r="AU579" s="1">
        <v>2022.0</v>
      </c>
      <c r="AV579" s="1">
        <v>18.0</v>
      </c>
      <c r="AW579" s="1">
        <v>2.0</v>
      </c>
      <c r="AX579" s="1" t="s">
        <v>74</v>
      </c>
      <c r="AY579" s="1" t="s">
        <v>74</v>
      </c>
      <c r="AZ579" s="1" t="s">
        <v>74</v>
      </c>
      <c r="BA579" s="1" t="s">
        <v>74</v>
      </c>
      <c r="BB579" s="1" t="s">
        <v>74</v>
      </c>
      <c r="BC579" s="1" t="s">
        <v>74</v>
      </c>
      <c r="BD579" s="1">
        <v>49.0</v>
      </c>
      <c r="BE579" s="1" t="s">
        <v>5799</v>
      </c>
      <c r="BF579" s="2" t="str">
        <f>HYPERLINK("http://dx.doi.org/10.31083/j.jomh1802049","http://dx.doi.org/10.31083/j.jomh1802049")</f>
        <v>http://dx.doi.org/10.31083/j.jomh1802049</v>
      </c>
      <c r="BG579" s="1" t="s">
        <v>74</v>
      </c>
      <c r="BH579" s="1" t="s">
        <v>74</v>
      </c>
      <c r="BI579" s="1" t="s">
        <v>74</v>
      </c>
      <c r="BJ579" s="1" t="s">
        <v>74</v>
      </c>
      <c r="BK579" s="1" t="s">
        <v>74</v>
      </c>
      <c r="BL579" s="1" t="s">
        <v>74</v>
      </c>
      <c r="BM579" s="1" t="s">
        <v>74</v>
      </c>
      <c r="BN579" s="1" t="s">
        <v>74</v>
      </c>
      <c r="BO579" s="1" t="s">
        <v>74</v>
      </c>
      <c r="BP579" s="1" t="s">
        <v>74</v>
      </c>
      <c r="BQ579" s="1" t="s">
        <v>74</v>
      </c>
      <c r="BR579" s="1" t="s">
        <v>74</v>
      </c>
      <c r="BS579" s="1" t="s">
        <v>5800</v>
      </c>
      <c r="BT579" s="1" t="str">
        <f>HYPERLINK("https%3A%2F%2Fwww.webofscience.com%2Fwos%2Fwoscc%2Ffull-record%2FWOS:000766777600017","View Full Record in Web of Science")</f>
        <v>View Full Record in Web of Science</v>
      </c>
    </row>
    <row r="580" ht="12.75" customHeight="1">
      <c r="A580" s="1" t="s">
        <v>72</v>
      </c>
      <c r="B580" s="1" t="s">
        <v>1786</v>
      </c>
      <c r="C580" s="1" t="s">
        <v>74</v>
      </c>
      <c r="D580" s="1" t="s">
        <v>74</v>
      </c>
      <c r="E580" s="1" t="s">
        <v>74</v>
      </c>
      <c r="F580" s="1" t="s">
        <v>1787</v>
      </c>
      <c r="G580" s="1" t="s">
        <v>74</v>
      </c>
      <c r="H580" s="1" t="s">
        <v>74</v>
      </c>
      <c r="I580" s="1" t="s">
        <v>5801</v>
      </c>
      <c r="J580" s="1" t="s">
        <v>5802</v>
      </c>
      <c r="K580" s="1" t="s">
        <v>74</v>
      </c>
      <c r="L580" s="1" t="s">
        <v>74</v>
      </c>
      <c r="M580" s="1" t="s">
        <v>74</v>
      </c>
      <c r="N580" s="1" t="s">
        <v>74</v>
      </c>
      <c r="O580" s="1" t="s">
        <v>74</v>
      </c>
      <c r="P580" s="1" t="s">
        <v>74</v>
      </c>
      <c r="Q580" s="1" t="s">
        <v>74</v>
      </c>
      <c r="R580" s="1" t="s">
        <v>74</v>
      </c>
      <c r="S580" s="1" t="s">
        <v>74</v>
      </c>
      <c r="T580" s="1" t="s">
        <v>74</v>
      </c>
      <c r="U580" s="1" t="s">
        <v>74</v>
      </c>
      <c r="V580" s="1" t="s">
        <v>5803</v>
      </c>
      <c r="W580" s="1" t="s">
        <v>74</v>
      </c>
      <c r="X580" s="1" t="s">
        <v>74</v>
      </c>
      <c r="Y580" s="1" t="s">
        <v>74</v>
      </c>
      <c r="Z580" s="1" t="s">
        <v>74</v>
      </c>
      <c r="AA580" s="1" t="s">
        <v>1791</v>
      </c>
      <c r="AB580" s="1" t="s">
        <v>74</v>
      </c>
      <c r="AC580" s="1" t="s">
        <v>74</v>
      </c>
      <c r="AD580" s="1" t="s">
        <v>74</v>
      </c>
      <c r="AE580" s="1" t="s">
        <v>74</v>
      </c>
      <c r="AF580" s="1" t="s">
        <v>74</v>
      </c>
      <c r="AG580" s="1" t="s">
        <v>74</v>
      </c>
      <c r="AH580" s="1" t="s">
        <v>74</v>
      </c>
      <c r="AI580" s="1" t="s">
        <v>74</v>
      </c>
      <c r="AJ580" s="1" t="s">
        <v>74</v>
      </c>
      <c r="AK580" s="1" t="s">
        <v>74</v>
      </c>
      <c r="AL580" s="1" t="s">
        <v>74</v>
      </c>
      <c r="AM580" s="1" t="s">
        <v>74</v>
      </c>
      <c r="AN580" s="1" t="s">
        <v>74</v>
      </c>
      <c r="AO580" s="1" t="s">
        <v>5804</v>
      </c>
      <c r="AP580" s="1" t="s">
        <v>5805</v>
      </c>
      <c r="AQ580" s="1" t="s">
        <v>74</v>
      </c>
      <c r="AR580" s="1" t="s">
        <v>74</v>
      </c>
      <c r="AS580" s="1" t="s">
        <v>74</v>
      </c>
      <c r="AT580" s="1" t="s">
        <v>235</v>
      </c>
      <c r="AU580" s="1">
        <v>2022.0</v>
      </c>
      <c r="AV580" s="1">
        <v>152.0</v>
      </c>
      <c r="AW580" s="1">
        <v>1.0</v>
      </c>
      <c r="AX580" s="1" t="s">
        <v>74</v>
      </c>
      <c r="AY580" s="1" t="s">
        <v>74</v>
      </c>
      <c r="AZ580" s="1" t="s">
        <v>74</v>
      </c>
      <c r="BA580" s="1" t="s">
        <v>74</v>
      </c>
      <c r="BB580" s="1">
        <v>1.0</v>
      </c>
      <c r="BC580" s="1">
        <v>27.0</v>
      </c>
      <c r="BD580" s="1" t="s">
        <v>74</v>
      </c>
      <c r="BE580" s="1" t="s">
        <v>5806</v>
      </c>
      <c r="BF580" s="2" t="str">
        <f>HYPERLINK("http://dx.doi.org/10.1017/prm.2020.90","http://dx.doi.org/10.1017/prm.2020.90")</f>
        <v>http://dx.doi.org/10.1017/prm.2020.90</v>
      </c>
      <c r="BG580" s="1" t="s">
        <v>74</v>
      </c>
      <c r="BH580" s="1" t="s">
        <v>74</v>
      </c>
      <c r="BI580" s="1" t="s">
        <v>74</v>
      </c>
      <c r="BJ580" s="1" t="s">
        <v>74</v>
      </c>
      <c r="BK580" s="1" t="s">
        <v>74</v>
      </c>
      <c r="BL580" s="1" t="s">
        <v>74</v>
      </c>
      <c r="BM580" s="1" t="s">
        <v>74</v>
      </c>
      <c r="BN580" s="1" t="s">
        <v>74</v>
      </c>
      <c r="BO580" s="1" t="s">
        <v>74</v>
      </c>
      <c r="BP580" s="1" t="s">
        <v>74</v>
      </c>
      <c r="BQ580" s="1" t="s">
        <v>74</v>
      </c>
      <c r="BR580" s="1" t="s">
        <v>74</v>
      </c>
      <c r="BS580" s="1" t="s">
        <v>5807</v>
      </c>
      <c r="BT580" s="1" t="str">
        <f>HYPERLINK("https%3A%2F%2Fwww.webofscience.com%2Fwos%2Fwoscc%2Ffull-record%2FWOS:000757492400001","View Full Record in Web of Science")</f>
        <v>View Full Record in Web of Science</v>
      </c>
    </row>
    <row r="581" ht="12.75" customHeight="1">
      <c r="A581" s="1" t="s">
        <v>72</v>
      </c>
      <c r="B581" s="1" t="s">
        <v>5808</v>
      </c>
      <c r="C581" s="1" t="s">
        <v>74</v>
      </c>
      <c r="D581" s="1" t="s">
        <v>74</v>
      </c>
      <c r="E581" s="1" t="s">
        <v>74</v>
      </c>
      <c r="F581" s="1" t="s">
        <v>5809</v>
      </c>
      <c r="G581" s="1" t="s">
        <v>74</v>
      </c>
      <c r="H581" s="1" t="s">
        <v>74</v>
      </c>
      <c r="I581" s="1" t="s">
        <v>5810</v>
      </c>
      <c r="J581" s="1" t="s">
        <v>5811</v>
      </c>
      <c r="K581" s="1" t="s">
        <v>74</v>
      </c>
      <c r="L581" s="1" t="s">
        <v>74</v>
      </c>
      <c r="M581" s="1" t="s">
        <v>74</v>
      </c>
      <c r="N581" s="1" t="s">
        <v>74</v>
      </c>
      <c r="O581" s="1" t="s">
        <v>74</v>
      </c>
      <c r="P581" s="1" t="s">
        <v>74</v>
      </c>
      <c r="Q581" s="1" t="s">
        <v>74</v>
      </c>
      <c r="R581" s="1" t="s">
        <v>74</v>
      </c>
      <c r="S581" s="1" t="s">
        <v>74</v>
      </c>
      <c r="T581" s="1" t="s">
        <v>74</v>
      </c>
      <c r="U581" s="1" t="s">
        <v>74</v>
      </c>
      <c r="V581" s="1" t="s">
        <v>5812</v>
      </c>
      <c r="W581" s="1" t="s">
        <v>74</v>
      </c>
      <c r="X581" s="1" t="s">
        <v>74</v>
      </c>
      <c r="Y581" s="1" t="s">
        <v>74</v>
      </c>
      <c r="Z581" s="1" t="s">
        <v>74</v>
      </c>
      <c r="AA581" s="1" t="s">
        <v>5813</v>
      </c>
      <c r="AB581" s="1" t="s">
        <v>5814</v>
      </c>
      <c r="AC581" s="1" t="s">
        <v>74</v>
      </c>
      <c r="AD581" s="1" t="s">
        <v>74</v>
      </c>
      <c r="AE581" s="1" t="s">
        <v>74</v>
      </c>
      <c r="AF581" s="1" t="s">
        <v>74</v>
      </c>
      <c r="AG581" s="1" t="s">
        <v>74</v>
      </c>
      <c r="AH581" s="1" t="s">
        <v>74</v>
      </c>
      <c r="AI581" s="1" t="s">
        <v>74</v>
      </c>
      <c r="AJ581" s="1" t="s">
        <v>74</v>
      </c>
      <c r="AK581" s="1" t="s">
        <v>74</v>
      </c>
      <c r="AL581" s="1" t="s">
        <v>74</v>
      </c>
      <c r="AM581" s="1" t="s">
        <v>74</v>
      </c>
      <c r="AN581" s="1" t="s">
        <v>74</v>
      </c>
      <c r="AO581" s="1" t="s">
        <v>5815</v>
      </c>
      <c r="AP581" s="1" t="s">
        <v>5816</v>
      </c>
      <c r="AQ581" s="1" t="s">
        <v>74</v>
      </c>
      <c r="AR581" s="1" t="s">
        <v>74</v>
      </c>
      <c r="AS581" s="1" t="s">
        <v>74</v>
      </c>
      <c r="AT581" s="1" t="s">
        <v>606</v>
      </c>
      <c r="AU581" s="1">
        <v>2021.0</v>
      </c>
      <c r="AV581" s="1">
        <v>32.0</v>
      </c>
      <c r="AW581" s="1">
        <v>5.0</v>
      </c>
      <c r="AX581" s="1" t="s">
        <v>74</v>
      </c>
      <c r="AY581" s="1" t="s">
        <v>74</v>
      </c>
      <c r="AZ581" s="1" t="s">
        <v>74</v>
      </c>
      <c r="BA581" s="1" t="s">
        <v>74</v>
      </c>
      <c r="BB581" s="1">
        <v>1096.0</v>
      </c>
      <c r="BC581" s="1">
        <v>1112.0</v>
      </c>
      <c r="BD581" s="1" t="s">
        <v>74</v>
      </c>
      <c r="BE581" s="1" t="s">
        <v>5817</v>
      </c>
      <c r="BF581" s="2" t="str">
        <f>HYPERLINK("http://dx.doi.org/10.1007/s11266-021-00367-1","http://dx.doi.org/10.1007/s11266-021-00367-1")</f>
        <v>http://dx.doi.org/10.1007/s11266-021-00367-1</v>
      </c>
      <c r="BG581" s="1" t="s">
        <v>74</v>
      </c>
      <c r="BH581" s="1" t="s">
        <v>296</v>
      </c>
      <c r="BI581" s="1" t="s">
        <v>74</v>
      </c>
      <c r="BJ581" s="1" t="s">
        <v>74</v>
      </c>
      <c r="BK581" s="1" t="s">
        <v>74</v>
      </c>
      <c r="BL581" s="1" t="s">
        <v>74</v>
      </c>
      <c r="BM581" s="1" t="s">
        <v>74</v>
      </c>
      <c r="BN581" s="1" t="s">
        <v>74</v>
      </c>
      <c r="BO581" s="1" t="s">
        <v>74</v>
      </c>
      <c r="BP581" s="1" t="s">
        <v>74</v>
      </c>
      <c r="BQ581" s="1" t="s">
        <v>74</v>
      </c>
      <c r="BR581" s="1" t="s">
        <v>74</v>
      </c>
      <c r="BS581" s="1" t="s">
        <v>5818</v>
      </c>
      <c r="BT581" s="1" t="str">
        <f>HYPERLINK("https%3A%2F%2Fwww.webofscience.com%2Fwos%2Fwoscc%2Ffull-record%2FWOS:000663265900001","View Full Record in Web of Science")</f>
        <v>View Full Record in Web of Science</v>
      </c>
    </row>
    <row r="582" ht="12.75" customHeight="1">
      <c r="A582" s="1" t="s">
        <v>182</v>
      </c>
      <c r="B582" s="1" t="s">
        <v>5819</v>
      </c>
      <c r="C582" s="1" t="s">
        <v>74</v>
      </c>
      <c r="D582" s="1" t="s">
        <v>74</v>
      </c>
      <c r="E582" s="1" t="s">
        <v>184</v>
      </c>
      <c r="F582" s="1" t="s">
        <v>5820</v>
      </c>
      <c r="G582" s="1" t="s">
        <v>74</v>
      </c>
      <c r="H582" s="1" t="s">
        <v>74</v>
      </c>
      <c r="I582" s="1" t="s">
        <v>5821</v>
      </c>
      <c r="J582" s="1" t="s">
        <v>2270</v>
      </c>
      <c r="K582" s="1" t="s">
        <v>74</v>
      </c>
      <c r="L582" s="1" t="s">
        <v>74</v>
      </c>
      <c r="M582" s="1" t="s">
        <v>74</v>
      </c>
      <c r="N582" s="1" t="s">
        <v>74</v>
      </c>
      <c r="O582" s="1" t="s">
        <v>2271</v>
      </c>
      <c r="P582" s="1" t="s">
        <v>2272</v>
      </c>
      <c r="Q582" s="1" t="s">
        <v>2273</v>
      </c>
      <c r="R582" s="1" t="s">
        <v>2274</v>
      </c>
      <c r="S582" s="1" t="s">
        <v>74</v>
      </c>
      <c r="T582" s="1" t="s">
        <v>74</v>
      </c>
      <c r="U582" s="1" t="s">
        <v>74</v>
      </c>
      <c r="V582" s="1" t="s">
        <v>5822</v>
      </c>
      <c r="W582" s="1" t="s">
        <v>74</v>
      </c>
      <c r="X582" s="1" t="s">
        <v>74</v>
      </c>
      <c r="Y582" s="1" t="s">
        <v>74</v>
      </c>
      <c r="Z582" s="1" t="s">
        <v>74</v>
      </c>
      <c r="AA582" s="1" t="s">
        <v>5823</v>
      </c>
      <c r="AB582" s="1" t="s">
        <v>5824</v>
      </c>
      <c r="AC582" s="1" t="s">
        <v>74</v>
      </c>
      <c r="AD582" s="1" t="s">
        <v>74</v>
      </c>
      <c r="AE582" s="1" t="s">
        <v>74</v>
      </c>
      <c r="AF582" s="1" t="s">
        <v>74</v>
      </c>
      <c r="AG582" s="1" t="s">
        <v>74</v>
      </c>
      <c r="AH582" s="1" t="s">
        <v>74</v>
      </c>
      <c r="AI582" s="1" t="s">
        <v>74</v>
      </c>
      <c r="AJ582" s="1" t="s">
        <v>74</v>
      </c>
      <c r="AK582" s="1" t="s">
        <v>74</v>
      </c>
      <c r="AL582" s="1" t="s">
        <v>74</v>
      </c>
      <c r="AM582" s="1" t="s">
        <v>74</v>
      </c>
      <c r="AN582" s="1" t="s">
        <v>74</v>
      </c>
      <c r="AO582" s="1" t="s">
        <v>74</v>
      </c>
      <c r="AP582" s="1" t="s">
        <v>74</v>
      </c>
      <c r="AQ582" s="1" t="s">
        <v>2278</v>
      </c>
      <c r="AR582" s="1" t="s">
        <v>74</v>
      </c>
      <c r="AS582" s="1" t="s">
        <v>74</v>
      </c>
      <c r="AT582" s="1" t="s">
        <v>74</v>
      </c>
      <c r="AU582" s="1">
        <v>2021.0</v>
      </c>
      <c r="AV582" s="1" t="s">
        <v>74</v>
      </c>
      <c r="AW582" s="1" t="s">
        <v>74</v>
      </c>
      <c r="AX582" s="1" t="s">
        <v>74</v>
      </c>
      <c r="AY582" s="1" t="s">
        <v>74</v>
      </c>
      <c r="AZ582" s="1" t="s">
        <v>74</v>
      </c>
      <c r="BA582" s="1" t="s">
        <v>74</v>
      </c>
      <c r="BB582" s="1">
        <v>95.0</v>
      </c>
      <c r="BC582" s="1">
        <v>100.0</v>
      </c>
      <c r="BD582" s="1" t="s">
        <v>74</v>
      </c>
      <c r="BE582" s="1" t="s">
        <v>5825</v>
      </c>
      <c r="BF582" s="2" t="str">
        <f>HYPERLINK("http://dx.doi.org/10.1109/SACVLC53127.2021.9652332","http://dx.doi.org/10.1109/SACVLC53127.2021.9652332")</f>
        <v>http://dx.doi.org/10.1109/SACVLC53127.2021.9652332</v>
      </c>
      <c r="BG582" s="1" t="s">
        <v>74</v>
      </c>
      <c r="BH582" s="1" t="s">
        <v>74</v>
      </c>
      <c r="BI582" s="1" t="s">
        <v>74</v>
      </c>
      <c r="BJ582" s="1" t="s">
        <v>74</v>
      </c>
      <c r="BK582" s="1" t="s">
        <v>74</v>
      </c>
      <c r="BL582" s="1" t="s">
        <v>74</v>
      </c>
      <c r="BM582" s="1" t="s">
        <v>74</v>
      </c>
      <c r="BN582" s="1" t="s">
        <v>74</v>
      </c>
      <c r="BO582" s="1" t="s">
        <v>74</v>
      </c>
      <c r="BP582" s="1" t="s">
        <v>74</v>
      </c>
      <c r="BQ582" s="1" t="s">
        <v>74</v>
      </c>
      <c r="BR582" s="1" t="s">
        <v>74</v>
      </c>
      <c r="BS582" s="1" t="s">
        <v>5826</v>
      </c>
      <c r="BT582" s="1" t="str">
        <f>HYPERLINK("https%3A%2F%2Fwww.webofscience.com%2Fwos%2Fwoscc%2Ffull-record%2FWOS:000760247000017","View Full Record in Web of Science")</f>
        <v>View Full Record in Web of Science</v>
      </c>
    </row>
    <row r="583" ht="12.75" customHeight="1">
      <c r="A583" s="1" t="s">
        <v>72</v>
      </c>
      <c r="B583" s="1" t="s">
        <v>5827</v>
      </c>
      <c r="C583" s="1" t="s">
        <v>74</v>
      </c>
      <c r="D583" s="1" t="s">
        <v>74</v>
      </c>
      <c r="E583" s="1" t="s">
        <v>74</v>
      </c>
      <c r="F583" s="1" t="s">
        <v>5828</v>
      </c>
      <c r="G583" s="1" t="s">
        <v>74</v>
      </c>
      <c r="H583" s="1" t="s">
        <v>74</v>
      </c>
      <c r="I583" s="1" t="s">
        <v>5829</v>
      </c>
      <c r="J583" s="1" t="s">
        <v>4412</v>
      </c>
      <c r="K583" s="1" t="s">
        <v>74</v>
      </c>
      <c r="L583" s="1" t="s">
        <v>74</v>
      </c>
      <c r="M583" s="1" t="s">
        <v>74</v>
      </c>
      <c r="N583" s="1" t="s">
        <v>74</v>
      </c>
      <c r="O583" s="1" t="s">
        <v>74</v>
      </c>
      <c r="P583" s="1" t="s">
        <v>74</v>
      </c>
      <c r="Q583" s="1" t="s">
        <v>74</v>
      </c>
      <c r="R583" s="1" t="s">
        <v>74</v>
      </c>
      <c r="S583" s="1" t="s">
        <v>74</v>
      </c>
      <c r="T583" s="1" t="s">
        <v>74</v>
      </c>
      <c r="U583" s="1" t="s">
        <v>74</v>
      </c>
      <c r="V583" s="1" t="s">
        <v>5830</v>
      </c>
      <c r="W583" s="1" t="s">
        <v>74</v>
      </c>
      <c r="X583" s="1" t="s">
        <v>74</v>
      </c>
      <c r="Y583" s="1" t="s">
        <v>74</v>
      </c>
      <c r="Z583" s="1" t="s">
        <v>74</v>
      </c>
      <c r="AA583" s="1" t="s">
        <v>5831</v>
      </c>
      <c r="AB583" s="1" t="s">
        <v>5832</v>
      </c>
      <c r="AC583" s="1" t="s">
        <v>74</v>
      </c>
      <c r="AD583" s="1" t="s">
        <v>74</v>
      </c>
      <c r="AE583" s="1" t="s">
        <v>74</v>
      </c>
      <c r="AF583" s="1" t="s">
        <v>74</v>
      </c>
      <c r="AG583" s="1" t="s">
        <v>74</v>
      </c>
      <c r="AH583" s="1" t="s">
        <v>74</v>
      </c>
      <c r="AI583" s="1" t="s">
        <v>74</v>
      </c>
      <c r="AJ583" s="1" t="s">
        <v>74</v>
      </c>
      <c r="AK583" s="1" t="s">
        <v>74</v>
      </c>
      <c r="AL583" s="1" t="s">
        <v>74</v>
      </c>
      <c r="AM583" s="1" t="s">
        <v>74</v>
      </c>
      <c r="AN583" s="1" t="s">
        <v>74</v>
      </c>
      <c r="AO583" s="1" t="s">
        <v>74</v>
      </c>
      <c r="AP583" s="1" t="s">
        <v>4416</v>
      </c>
      <c r="AQ583" s="1" t="s">
        <v>74</v>
      </c>
      <c r="AR583" s="1" t="s">
        <v>74</v>
      </c>
      <c r="AS583" s="1" t="s">
        <v>74</v>
      </c>
      <c r="AT583" s="1" t="s">
        <v>678</v>
      </c>
      <c r="AU583" s="1">
        <v>2020.0</v>
      </c>
      <c r="AV583" s="1">
        <v>17.0</v>
      </c>
      <c r="AW583" s="1">
        <v>21.0</v>
      </c>
      <c r="AX583" s="1" t="s">
        <v>74</v>
      </c>
      <c r="AY583" s="1" t="s">
        <v>74</v>
      </c>
      <c r="AZ583" s="1" t="s">
        <v>74</v>
      </c>
      <c r="BA583" s="1" t="s">
        <v>74</v>
      </c>
      <c r="BB583" s="1" t="s">
        <v>74</v>
      </c>
      <c r="BC583" s="1" t="s">
        <v>74</v>
      </c>
      <c r="BD583" s="1">
        <v>7983.0</v>
      </c>
      <c r="BE583" s="1" t="s">
        <v>5833</v>
      </c>
      <c r="BF583" s="2" t="str">
        <f>HYPERLINK("http://dx.doi.org/10.3390/ijerph17217983","http://dx.doi.org/10.3390/ijerph17217983")</f>
        <v>http://dx.doi.org/10.3390/ijerph17217983</v>
      </c>
      <c r="BG583" s="1" t="s">
        <v>74</v>
      </c>
      <c r="BH583" s="1" t="s">
        <v>74</v>
      </c>
      <c r="BI583" s="1" t="s">
        <v>74</v>
      </c>
      <c r="BJ583" s="1" t="s">
        <v>74</v>
      </c>
      <c r="BK583" s="1" t="s">
        <v>74</v>
      </c>
      <c r="BL583" s="1" t="s">
        <v>74</v>
      </c>
      <c r="BM583" s="1" t="s">
        <v>74</v>
      </c>
      <c r="BN583" s="1">
        <v>3.3143067E7</v>
      </c>
      <c r="BO583" s="1" t="s">
        <v>74</v>
      </c>
      <c r="BP583" s="1" t="s">
        <v>74</v>
      </c>
      <c r="BQ583" s="1" t="s">
        <v>74</v>
      </c>
      <c r="BR583" s="1" t="s">
        <v>74</v>
      </c>
      <c r="BS583" s="1" t="s">
        <v>5834</v>
      </c>
      <c r="BT583" s="1" t="str">
        <f>HYPERLINK("https%3A%2F%2Fwww.webofscience.com%2Fwos%2Fwoscc%2Ffull-record%2FWOS:000588900200001","View Full Record in Web of Science")</f>
        <v>View Full Record in Web of Science</v>
      </c>
    </row>
    <row r="584" ht="12.75" customHeight="1">
      <c r="A584" s="1" t="s">
        <v>72</v>
      </c>
      <c r="B584" s="1" t="s">
        <v>5835</v>
      </c>
      <c r="C584" s="1" t="s">
        <v>74</v>
      </c>
      <c r="D584" s="1" t="s">
        <v>74</v>
      </c>
      <c r="E584" s="1" t="s">
        <v>74</v>
      </c>
      <c r="F584" s="1" t="s">
        <v>5836</v>
      </c>
      <c r="G584" s="1" t="s">
        <v>74</v>
      </c>
      <c r="H584" s="1" t="s">
        <v>74</v>
      </c>
      <c r="I584" s="1" t="s">
        <v>5837</v>
      </c>
      <c r="J584" s="1" t="s">
        <v>4900</v>
      </c>
      <c r="K584" s="1" t="s">
        <v>74</v>
      </c>
      <c r="L584" s="1" t="s">
        <v>74</v>
      </c>
      <c r="M584" s="1" t="s">
        <v>74</v>
      </c>
      <c r="N584" s="1" t="s">
        <v>74</v>
      </c>
      <c r="O584" s="1" t="s">
        <v>74</v>
      </c>
      <c r="P584" s="1" t="s">
        <v>74</v>
      </c>
      <c r="Q584" s="1" t="s">
        <v>74</v>
      </c>
      <c r="R584" s="1" t="s">
        <v>74</v>
      </c>
      <c r="S584" s="1" t="s">
        <v>74</v>
      </c>
      <c r="T584" s="1" t="s">
        <v>74</v>
      </c>
      <c r="U584" s="1" t="s">
        <v>74</v>
      </c>
      <c r="V584" s="1" t="s">
        <v>5838</v>
      </c>
      <c r="W584" s="1" t="s">
        <v>74</v>
      </c>
      <c r="X584" s="1" t="s">
        <v>74</v>
      </c>
      <c r="Y584" s="1" t="s">
        <v>74</v>
      </c>
      <c r="Z584" s="1" t="s">
        <v>74</v>
      </c>
      <c r="AA584" s="1" t="s">
        <v>5839</v>
      </c>
      <c r="AB584" s="1" t="s">
        <v>5840</v>
      </c>
      <c r="AC584" s="1" t="s">
        <v>74</v>
      </c>
      <c r="AD584" s="1" t="s">
        <v>74</v>
      </c>
      <c r="AE584" s="1" t="s">
        <v>74</v>
      </c>
      <c r="AF584" s="1" t="s">
        <v>74</v>
      </c>
      <c r="AG584" s="1" t="s">
        <v>74</v>
      </c>
      <c r="AH584" s="1" t="s">
        <v>74</v>
      </c>
      <c r="AI584" s="1" t="s">
        <v>74</v>
      </c>
      <c r="AJ584" s="1" t="s">
        <v>74</v>
      </c>
      <c r="AK584" s="1" t="s">
        <v>74</v>
      </c>
      <c r="AL584" s="1" t="s">
        <v>74</v>
      </c>
      <c r="AM584" s="1" t="s">
        <v>74</v>
      </c>
      <c r="AN584" s="1" t="s">
        <v>74</v>
      </c>
      <c r="AO584" s="1" t="s">
        <v>74</v>
      </c>
      <c r="AP584" s="1" t="s">
        <v>4905</v>
      </c>
      <c r="AQ584" s="1" t="s">
        <v>74</v>
      </c>
      <c r="AR584" s="1" t="s">
        <v>74</v>
      </c>
      <c r="AS584" s="1" t="s">
        <v>74</v>
      </c>
      <c r="AT584" s="1" t="s">
        <v>294</v>
      </c>
      <c r="AU584" s="1">
        <v>2020.0</v>
      </c>
      <c r="AV584" s="1">
        <v>8.0</v>
      </c>
      <c r="AW584" s="1">
        <v>3.0</v>
      </c>
      <c r="AX584" s="1" t="s">
        <v>74</v>
      </c>
      <c r="AY584" s="1" t="s">
        <v>74</v>
      </c>
      <c r="AZ584" s="1" t="s">
        <v>74</v>
      </c>
      <c r="BA584" s="1" t="s">
        <v>74</v>
      </c>
      <c r="BB584" s="1" t="s">
        <v>74</v>
      </c>
      <c r="BC584" s="1" t="s">
        <v>74</v>
      </c>
      <c r="BD584" s="1">
        <v>103729.0</v>
      </c>
      <c r="BE584" s="1" t="s">
        <v>5841</v>
      </c>
      <c r="BF584" s="2" t="str">
        <f>HYPERLINK("http://dx.doi.org/10.1016/j.jece.2020.103729","http://dx.doi.org/10.1016/j.jece.2020.103729")</f>
        <v>http://dx.doi.org/10.1016/j.jece.2020.103729</v>
      </c>
      <c r="BG584" s="1" t="s">
        <v>74</v>
      </c>
      <c r="BH584" s="1" t="s">
        <v>74</v>
      </c>
      <c r="BI584" s="1" t="s">
        <v>74</v>
      </c>
      <c r="BJ584" s="1" t="s">
        <v>74</v>
      </c>
      <c r="BK584" s="1" t="s">
        <v>74</v>
      </c>
      <c r="BL584" s="1" t="s">
        <v>74</v>
      </c>
      <c r="BM584" s="1" t="s">
        <v>74</v>
      </c>
      <c r="BN584" s="1" t="s">
        <v>74</v>
      </c>
      <c r="BO584" s="1" t="s">
        <v>74</v>
      </c>
      <c r="BP584" s="1" t="s">
        <v>74</v>
      </c>
      <c r="BQ584" s="1" t="s">
        <v>74</v>
      </c>
      <c r="BR584" s="1" t="s">
        <v>74</v>
      </c>
      <c r="BS584" s="1" t="s">
        <v>5842</v>
      </c>
      <c r="BT584" s="1" t="str">
        <f>HYPERLINK("https%3A%2F%2Fwww.webofscience.com%2Fwos%2Fwoscc%2Ffull-record%2FWOS:000545339700001","View Full Record in Web of Science")</f>
        <v>View Full Record in Web of Science</v>
      </c>
    </row>
    <row r="585" ht="12.75" customHeight="1">
      <c r="A585" s="1" t="s">
        <v>72</v>
      </c>
      <c r="B585" s="1" t="s">
        <v>5843</v>
      </c>
      <c r="C585" s="1" t="s">
        <v>74</v>
      </c>
      <c r="D585" s="1" t="s">
        <v>74</v>
      </c>
      <c r="E585" s="1" t="s">
        <v>74</v>
      </c>
      <c r="F585" s="1" t="s">
        <v>5844</v>
      </c>
      <c r="G585" s="1" t="s">
        <v>74</v>
      </c>
      <c r="H585" s="1" t="s">
        <v>74</v>
      </c>
      <c r="I585" s="1" t="s">
        <v>5845</v>
      </c>
      <c r="J585" s="1" t="s">
        <v>5846</v>
      </c>
      <c r="K585" s="1" t="s">
        <v>74</v>
      </c>
      <c r="L585" s="1" t="s">
        <v>74</v>
      </c>
      <c r="M585" s="1" t="s">
        <v>74</v>
      </c>
      <c r="N585" s="1" t="s">
        <v>74</v>
      </c>
      <c r="O585" s="1" t="s">
        <v>74</v>
      </c>
      <c r="P585" s="1" t="s">
        <v>74</v>
      </c>
      <c r="Q585" s="1" t="s">
        <v>74</v>
      </c>
      <c r="R585" s="1" t="s">
        <v>74</v>
      </c>
      <c r="S585" s="1" t="s">
        <v>74</v>
      </c>
      <c r="T585" s="1" t="s">
        <v>74</v>
      </c>
      <c r="U585" s="1" t="s">
        <v>74</v>
      </c>
      <c r="V585" s="1" t="s">
        <v>5847</v>
      </c>
      <c r="W585" s="1" t="s">
        <v>74</v>
      </c>
      <c r="X585" s="1" t="s">
        <v>74</v>
      </c>
      <c r="Y585" s="1" t="s">
        <v>74</v>
      </c>
      <c r="Z585" s="1" t="s">
        <v>74</v>
      </c>
      <c r="AA585" s="1" t="s">
        <v>5848</v>
      </c>
      <c r="AB585" s="1" t="s">
        <v>74</v>
      </c>
      <c r="AC585" s="1" t="s">
        <v>74</v>
      </c>
      <c r="AD585" s="1" t="s">
        <v>74</v>
      </c>
      <c r="AE585" s="1" t="s">
        <v>74</v>
      </c>
      <c r="AF585" s="1" t="s">
        <v>74</v>
      </c>
      <c r="AG585" s="1" t="s">
        <v>74</v>
      </c>
      <c r="AH585" s="1" t="s">
        <v>74</v>
      </c>
      <c r="AI585" s="1" t="s">
        <v>74</v>
      </c>
      <c r="AJ585" s="1" t="s">
        <v>74</v>
      </c>
      <c r="AK585" s="1" t="s">
        <v>74</v>
      </c>
      <c r="AL585" s="1" t="s">
        <v>74</v>
      </c>
      <c r="AM585" s="1" t="s">
        <v>74</v>
      </c>
      <c r="AN585" s="1" t="s">
        <v>74</v>
      </c>
      <c r="AO585" s="1" t="s">
        <v>5849</v>
      </c>
      <c r="AP585" s="1" t="s">
        <v>5850</v>
      </c>
      <c r="AQ585" s="1" t="s">
        <v>74</v>
      </c>
      <c r="AR585" s="1" t="s">
        <v>74</v>
      </c>
      <c r="AS585" s="1" t="s">
        <v>74</v>
      </c>
      <c r="AT585" s="1" t="s">
        <v>74</v>
      </c>
      <c r="AU585" s="1">
        <v>2020.0</v>
      </c>
      <c r="AV585" s="1">
        <v>15.0</v>
      </c>
      <c r="AW585" s="1" t="s">
        <v>74</v>
      </c>
      <c r="AX585" s="1" t="s">
        <v>74</v>
      </c>
      <c r="AY585" s="1" t="s">
        <v>74</v>
      </c>
      <c r="AZ585" s="1" t="s">
        <v>74</v>
      </c>
      <c r="BA585" s="1" t="s">
        <v>74</v>
      </c>
      <c r="BB585" s="1" t="s">
        <v>74</v>
      </c>
      <c r="BC585" s="1" t="s">
        <v>74</v>
      </c>
      <c r="BD585" s="1">
        <v>5.0</v>
      </c>
      <c r="BE585" s="1" t="s">
        <v>74</v>
      </c>
      <c r="BF585" s="1" t="s">
        <v>74</v>
      </c>
      <c r="BG585" s="1" t="s">
        <v>74</v>
      </c>
      <c r="BH585" s="1" t="s">
        <v>74</v>
      </c>
      <c r="BI585" s="1" t="s">
        <v>74</v>
      </c>
      <c r="BJ585" s="1" t="s">
        <v>74</v>
      </c>
      <c r="BK585" s="1" t="s">
        <v>74</v>
      </c>
      <c r="BL585" s="1" t="s">
        <v>74</v>
      </c>
      <c r="BM585" s="1" t="s">
        <v>74</v>
      </c>
      <c r="BN585" s="1" t="s">
        <v>74</v>
      </c>
      <c r="BO585" s="1" t="s">
        <v>74</v>
      </c>
      <c r="BP585" s="1" t="s">
        <v>74</v>
      </c>
      <c r="BQ585" s="1" t="s">
        <v>74</v>
      </c>
      <c r="BR585" s="1" t="s">
        <v>74</v>
      </c>
      <c r="BS585" s="1" t="s">
        <v>5851</v>
      </c>
      <c r="BT585" s="1" t="str">
        <f>HYPERLINK("https%3A%2F%2Fwww.webofscience.com%2Fwos%2Fwoscc%2Ffull-record%2FWOS:000617097000005","View Full Record in Web of Science")</f>
        <v>View Full Record in Web of Science</v>
      </c>
    </row>
    <row r="586" ht="12.75" customHeight="1">
      <c r="A586" s="1" t="s">
        <v>72</v>
      </c>
      <c r="B586" s="1" t="s">
        <v>5852</v>
      </c>
      <c r="C586" s="1" t="s">
        <v>74</v>
      </c>
      <c r="D586" s="1" t="s">
        <v>74</v>
      </c>
      <c r="E586" s="1" t="s">
        <v>74</v>
      </c>
      <c r="F586" s="1" t="s">
        <v>5853</v>
      </c>
      <c r="G586" s="1" t="s">
        <v>74</v>
      </c>
      <c r="H586" s="1" t="s">
        <v>74</v>
      </c>
      <c r="I586" s="1" t="s">
        <v>5854</v>
      </c>
      <c r="J586" s="1" t="s">
        <v>5855</v>
      </c>
      <c r="K586" s="1" t="s">
        <v>74</v>
      </c>
      <c r="L586" s="1" t="s">
        <v>74</v>
      </c>
      <c r="M586" s="1" t="s">
        <v>74</v>
      </c>
      <c r="N586" s="1" t="s">
        <v>74</v>
      </c>
      <c r="O586" s="1" t="s">
        <v>74</v>
      </c>
      <c r="P586" s="1" t="s">
        <v>74</v>
      </c>
      <c r="Q586" s="1" t="s">
        <v>74</v>
      </c>
      <c r="R586" s="1" t="s">
        <v>74</v>
      </c>
      <c r="S586" s="1" t="s">
        <v>74</v>
      </c>
      <c r="T586" s="1" t="s">
        <v>74</v>
      </c>
      <c r="U586" s="1" t="s">
        <v>74</v>
      </c>
      <c r="V586" s="1" t="s">
        <v>5856</v>
      </c>
      <c r="W586" s="1" t="s">
        <v>74</v>
      </c>
      <c r="X586" s="1" t="s">
        <v>74</v>
      </c>
      <c r="Y586" s="1" t="s">
        <v>74</v>
      </c>
      <c r="Z586" s="1" t="s">
        <v>74</v>
      </c>
      <c r="AA586" s="1" t="s">
        <v>5857</v>
      </c>
      <c r="AB586" s="1" t="s">
        <v>5858</v>
      </c>
      <c r="AC586" s="1" t="s">
        <v>74</v>
      </c>
      <c r="AD586" s="1" t="s">
        <v>74</v>
      </c>
      <c r="AE586" s="1" t="s">
        <v>74</v>
      </c>
      <c r="AF586" s="1" t="s">
        <v>74</v>
      </c>
      <c r="AG586" s="1" t="s">
        <v>74</v>
      </c>
      <c r="AH586" s="1" t="s">
        <v>74</v>
      </c>
      <c r="AI586" s="1" t="s">
        <v>74</v>
      </c>
      <c r="AJ586" s="1" t="s">
        <v>74</v>
      </c>
      <c r="AK586" s="1" t="s">
        <v>74</v>
      </c>
      <c r="AL586" s="1" t="s">
        <v>74</v>
      </c>
      <c r="AM586" s="1" t="s">
        <v>74</v>
      </c>
      <c r="AN586" s="1" t="s">
        <v>74</v>
      </c>
      <c r="AO586" s="1" t="s">
        <v>5859</v>
      </c>
      <c r="AP586" s="1" t="s">
        <v>74</v>
      </c>
      <c r="AQ586" s="1" t="s">
        <v>74</v>
      </c>
      <c r="AR586" s="1" t="s">
        <v>74</v>
      </c>
      <c r="AS586" s="1" t="s">
        <v>74</v>
      </c>
      <c r="AT586" s="1" t="s">
        <v>2976</v>
      </c>
      <c r="AU586" s="1">
        <v>2019.0</v>
      </c>
      <c r="AV586" s="1">
        <v>4.0</v>
      </c>
      <c r="AW586" s="1">
        <v>47.0</v>
      </c>
      <c r="AX586" s="1" t="s">
        <v>74</v>
      </c>
      <c r="AY586" s="1" t="s">
        <v>74</v>
      </c>
      <c r="AZ586" s="1" t="s">
        <v>74</v>
      </c>
      <c r="BA586" s="1" t="s">
        <v>74</v>
      </c>
      <c r="BB586" s="1">
        <v>13856.0</v>
      </c>
      <c r="BC586" s="1">
        <v>13866.0</v>
      </c>
      <c r="BD586" s="1" t="s">
        <v>74</v>
      </c>
      <c r="BE586" s="1" t="s">
        <v>5860</v>
      </c>
      <c r="BF586" s="2" t="str">
        <f>HYPERLINK("http://dx.doi.org/10.1002/slct.201903150","http://dx.doi.org/10.1002/slct.201903150")</f>
        <v>http://dx.doi.org/10.1002/slct.201903150</v>
      </c>
      <c r="BG586" s="1" t="s">
        <v>74</v>
      </c>
      <c r="BH586" s="1" t="s">
        <v>74</v>
      </c>
      <c r="BI586" s="1" t="s">
        <v>74</v>
      </c>
      <c r="BJ586" s="1" t="s">
        <v>74</v>
      </c>
      <c r="BK586" s="1" t="s">
        <v>74</v>
      </c>
      <c r="BL586" s="1" t="s">
        <v>74</v>
      </c>
      <c r="BM586" s="1" t="s">
        <v>74</v>
      </c>
      <c r="BN586" s="1" t="s">
        <v>74</v>
      </c>
      <c r="BO586" s="1" t="s">
        <v>74</v>
      </c>
      <c r="BP586" s="1" t="s">
        <v>74</v>
      </c>
      <c r="BQ586" s="1" t="s">
        <v>74</v>
      </c>
      <c r="BR586" s="1" t="s">
        <v>74</v>
      </c>
      <c r="BS586" s="1" t="s">
        <v>5861</v>
      </c>
      <c r="BT586" s="1" t="str">
        <f>HYPERLINK("https%3A%2F%2Fwww.webofscience.com%2Fwos%2Fwoscc%2Ffull-record%2FWOS:000514100300016","View Full Record in Web of Science")</f>
        <v>View Full Record in Web of Science</v>
      </c>
    </row>
    <row r="587" ht="12.75" customHeight="1">
      <c r="A587" s="1" t="s">
        <v>72</v>
      </c>
      <c r="B587" s="1" t="s">
        <v>5862</v>
      </c>
      <c r="C587" s="1" t="s">
        <v>74</v>
      </c>
      <c r="D587" s="1" t="s">
        <v>74</v>
      </c>
      <c r="E587" s="1" t="s">
        <v>74</v>
      </c>
      <c r="F587" s="1" t="s">
        <v>5863</v>
      </c>
      <c r="G587" s="1" t="s">
        <v>74</v>
      </c>
      <c r="H587" s="1" t="s">
        <v>74</v>
      </c>
      <c r="I587" s="1" t="s">
        <v>5864</v>
      </c>
      <c r="J587" s="1" t="s">
        <v>4014</v>
      </c>
      <c r="K587" s="1" t="s">
        <v>74</v>
      </c>
      <c r="L587" s="1" t="s">
        <v>74</v>
      </c>
      <c r="M587" s="1" t="s">
        <v>74</v>
      </c>
      <c r="N587" s="1" t="s">
        <v>74</v>
      </c>
      <c r="O587" s="1" t="s">
        <v>74</v>
      </c>
      <c r="P587" s="1" t="s">
        <v>74</v>
      </c>
      <c r="Q587" s="1" t="s">
        <v>74</v>
      </c>
      <c r="R587" s="1" t="s">
        <v>74</v>
      </c>
      <c r="S587" s="1" t="s">
        <v>74</v>
      </c>
      <c r="T587" s="1" t="s">
        <v>74</v>
      </c>
      <c r="U587" s="1" t="s">
        <v>74</v>
      </c>
      <c r="V587" s="1" t="s">
        <v>5865</v>
      </c>
      <c r="W587" s="1" t="s">
        <v>74</v>
      </c>
      <c r="X587" s="1" t="s">
        <v>74</v>
      </c>
      <c r="Y587" s="1" t="s">
        <v>74</v>
      </c>
      <c r="Z587" s="1" t="s">
        <v>74</v>
      </c>
      <c r="AA587" s="1" t="s">
        <v>5866</v>
      </c>
      <c r="AB587" s="1" t="s">
        <v>5867</v>
      </c>
      <c r="AC587" s="1" t="s">
        <v>74</v>
      </c>
      <c r="AD587" s="1" t="s">
        <v>74</v>
      </c>
      <c r="AE587" s="1" t="s">
        <v>74</v>
      </c>
      <c r="AF587" s="1" t="s">
        <v>74</v>
      </c>
      <c r="AG587" s="1" t="s">
        <v>74</v>
      </c>
      <c r="AH587" s="1" t="s">
        <v>74</v>
      </c>
      <c r="AI587" s="1" t="s">
        <v>74</v>
      </c>
      <c r="AJ587" s="1" t="s">
        <v>74</v>
      </c>
      <c r="AK587" s="1" t="s">
        <v>74</v>
      </c>
      <c r="AL587" s="1" t="s">
        <v>74</v>
      </c>
      <c r="AM587" s="1" t="s">
        <v>74</v>
      </c>
      <c r="AN587" s="1" t="s">
        <v>74</v>
      </c>
      <c r="AO587" s="1" t="s">
        <v>74</v>
      </c>
      <c r="AP587" s="1" t="s">
        <v>4017</v>
      </c>
      <c r="AQ587" s="1" t="s">
        <v>74</v>
      </c>
      <c r="AR587" s="1" t="s">
        <v>74</v>
      </c>
      <c r="AS587" s="1" t="s">
        <v>74</v>
      </c>
      <c r="AT587" s="1" t="s">
        <v>606</v>
      </c>
      <c r="AU587" s="1">
        <v>2019.0</v>
      </c>
      <c r="AV587" s="1">
        <v>12.0</v>
      </c>
      <c r="AW587" s="1">
        <v>19.0</v>
      </c>
      <c r="AX587" s="1" t="s">
        <v>74</v>
      </c>
      <c r="AY587" s="1" t="s">
        <v>74</v>
      </c>
      <c r="AZ587" s="1" t="s">
        <v>74</v>
      </c>
      <c r="BA587" s="1" t="s">
        <v>74</v>
      </c>
      <c r="BB587" s="1" t="s">
        <v>74</v>
      </c>
      <c r="BC587" s="1" t="s">
        <v>74</v>
      </c>
      <c r="BD587" s="1">
        <v>3200.0</v>
      </c>
      <c r="BE587" s="1" t="s">
        <v>5868</v>
      </c>
      <c r="BF587" s="2" t="str">
        <f>HYPERLINK("http://dx.doi.org/10.3390/ma12193200","http://dx.doi.org/10.3390/ma12193200")</f>
        <v>http://dx.doi.org/10.3390/ma12193200</v>
      </c>
      <c r="BG587" s="1" t="s">
        <v>74</v>
      </c>
      <c r="BH587" s="1" t="s">
        <v>74</v>
      </c>
      <c r="BI587" s="1" t="s">
        <v>74</v>
      </c>
      <c r="BJ587" s="1" t="s">
        <v>74</v>
      </c>
      <c r="BK587" s="1" t="s">
        <v>74</v>
      </c>
      <c r="BL587" s="1" t="s">
        <v>74</v>
      </c>
      <c r="BM587" s="1" t="s">
        <v>74</v>
      </c>
      <c r="BN587" s="1">
        <v>3.1569574E7</v>
      </c>
      <c r="BO587" s="1" t="s">
        <v>74</v>
      </c>
      <c r="BP587" s="1" t="s">
        <v>74</v>
      </c>
      <c r="BQ587" s="1" t="s">
        <v>74</v>
      </c>
      <c r="BR587" s="1" t="s">
        <v>74</v>
      </c>
      <c r="BS587" s="1" t="s">
        <v>5869</v>
      </c>
      <c r="BT587" s="1" t="str">
        <f>HYPERLINK("https%3A%2F%2Fwww.webofscience.com%2Fwos%2Fwoscc%2Ffull-record%2FWOS:000493308500149","View Full Record in Web of Science")</f>
        <v>View Full Record in Web of Science</v>
      </c>
    </row>
    <row r="588" ht="12.75" customHeight="1">
      <c r="A588" s="1" t="s">
        <v>72</v>
      </c>
      <c r="B588" s="1" t="s">
        <v>5870</v>
      </c>
      <c r="C588" s="1" t="s">
        <v>74</v>
      </c>
      <c r="D588" s="1" t="s">
        <v>74</v>
      </c>
      <c r="E588" s="1" t="s">
        <v>74</v>
      </c>
      <c r="F588" s="1" t="s">
        <v>5871</v>
      </c>
      <c r="G588" s="1" t="s">
        <v>74</v>
      </c>
      <c r="H588" s="1" t="s">
        <v>74</v>
      </c>
      <c r="I588" s="1" t="s">
        <v>5872</v>
      </c>
      <c r="J588" s="1" t="s">
        <v>2352</v>
      </c>
      <c r="K588" s="1" t="s">
        <v>74</v>
      </c>
      <c r="L588" s="1" t="s">
        <v>74</v>
      </c>
      <c r="M588" s="1" t="s">
        <v>74</v>
      </c>
      <c r="N588" s="1" t="s">
        <v>74</v>
      </c>
      <c r="O588" s="1" t="s">
        <v>74</v>
      </c>
      <c r="P588" s="1" t="s">
        <v>74</v>
      </c>
      <c r="Q588" s="1" t="s">
        <v>74</v>
      </c>
      <c r="R588" s="1" t="s">
        <v>74</v>
      </c>
      <c r="S588" s="1" t="s">
        <v>74</v>
      </c>
      <c r="T588" s="1" t="s">
        <v>74</v>
      </c>
      <c r="U588" s="1" t="s">
        <v>74</v>
      </c>
      <c r="V588" s="1" t="s">
        <v>5873</v>
      </c>
      <c r="W588" s="1" t="s">
        <v>74</v>
      </c>
      <c r="X588" s="1" t="s">
        <v>74</v>
      </c>
      <c r="Y588" s="1" t="s">
        <v>74</v>
      </c>
      <c r="Z588" s="1" t="s">
        <v>74</v>
      </c>
      <c r="AA588" s="1" t="s">
        <v>74</v>
      </c>
      <c r="AB588" s="1" t="s">
        <v>2353</v>
      </c>
      <c r="AC588" s="1" t="s">
        <v>74</v>
      </c>
      <c r="AD588" s="1" t="s">
        <v>74</v>
      </c>
      <c r="AE588" s="1" t="s">
        <v>74</v>
      </c>
      <c r="AF588" s="1" t="s">
        <v>74</v>
      </c>
      <c r="AG588" s="1" t="s">
        <v>74</v>
      </c>
      <c r="AH588" s="1" t="s">
        <v>74</v>
      </c>
      <c r="AI588" s="1" t="s">
        <v>74</v>
      </c>
      <c r="AJ588" s="1" t="s">
        <v>74</v>
      </c>
      <c r="AK588" s="1" t="s">
        <v>74</v>
      </c>
      <c r="AL588" s="1" t="s">
        <v>74</v>
      </c>
      <c r="AM588" s="1" t="s">
        <v>74</v>
      </c>
      <c r="AN588" s="1" t="s">
        <v>74</v>
      </c>
      <c r="AO588" s="1" t="s">
        <v>2354</v>
      </c>
      <c r="AP588" s="1" t="s">
        <v>2355</v>
      </c>
      <c r="AQ588" s="1" t="s">
        <v>74</v>
      </c>
      <c r="AR588" s="1" t="s">
        <v>74</v>
      </c>
      <c r="AS588" s="1" t="s">
        <v>74</v>
      </c>
      <c r="AT588" s="1" t="s">
        <v>158</v>
      </c>
      <c r="AU588" s="1">
        <v>2019.0</v>
      </c>
      <c r="AV588" s="1">
        <v>29.0</v>
      </c>
      <c r="AW588" s="1">
        <v>7.0</v>
      </c>
      <c r="AX588" s="1" t="s">
        <v>74</v>
      </c>
      <c r="AY588" s="1" t="s">
        <v>74</v>
      </c>
      <c r="AZ588" s="1" t="s">
        <v>74</v>
      </c>
      <c r="BA588" s="1" t="s">
        <v>74</v>
      </c>
      <c r="BB588" s="1">
        <v>2110.0</v>
      </c>
      <c r="BC588" s="1">
        <v>2114.0</v>
      </c>
      <c r="BD588" s="1" t="s">
        <v>74</v>
      </c>
      <c r="BE588" s="1" t="s">
        <v>5874</v>
      </c>
      <c r="BF588" s="2" t="str">
        <f>HYPERLINK("http://dx.doi.org/10.1007/s11695-019-03760-4","http://dx.doi.org/10.1007/s11695-019-03760-4")</f>
        <v>http://dx.doi.org/10.1007/s11695-019-03760-4</v>
      </c>
      <c r="BG588" s="1" t="s">
        <v>74</v>
      </c>
      <c r="BH588" s="1" t="s">
        <v>74</v>
      </c>
      <c r="BI588" s="1" t="s">
        <v>74</v>
      </c>
      <c r="BJ588" s="1" t="s">
        <v>74</v>
      </c>
      <c r="BK588" s="1" t="s">
        <v>74</v>
      </c>
      <c r="BL588" s="1" t="s">
        <v>74</v>
      </c>
      <c r="BM588" s="1" t="s">
        <v>74</v>
      </c>
      <c r="BN588" s="1">
        <v>3.1001756E7</v>
      </c>
      <c r="BO588" s="1" t="s">
        <v>74</v>
      </c>
      <c r="BP588" s="1" t="s">
        <v>74</v>
      </c>
      <c r="BQ588" s="1" t="s">
        <v>74</v>
      </c>
      <c r="BR588" s="1" t="s">
        <v>74</v>
      </c>
      <c r="BS588" s="1" t="s">
        <v>5875</v>
      </c>
      <c r="BT588" s="1" t="str">
        <f>HYPERLINK("https%3A%2F%2Fwww.webofscience.com%2Fwos%2Fwoscc%2Ffull-record%2FWOS:000469767700014","View Full Record in Web of Science")</f>
        <v>View Full Record in Web of Science</v>
      </c>
    </row>
    <row r="589" ht="12.75" customHeight="1">
      <c r="A589" s="1" t="s">
        <v>72</v>
      </c>
      <c r="B589" s="1" t="s">
        <v>5876</v>
      </c>
      <c r="C589" s="1" t="s">
        <v>74</v>
      </c>
      <c r="D589" s="1" t="s">
        <v>74</v>
      </c>
      <c r="E589" s="1" t="s">
        <v>74</v>
      </c>
      <c r="F589" s="1" t="s">
        <v>5877</v>
      </c>
      <c r="G589" s="1" t="s">
        <v>74</v>
      </c>
      <c r="H589" s="1" t="s">
        <v>74</v>
      </c>
      <c r="I589" s="1" t="s">
        <v>5878</v>
      </c>
      <c r="J589" s="1" t="s">
        <v>5879</v>
      </c>
      <c r="K589" s="1" t="s">
        <v>74</v>
      </c>
      <c r="L589" s="1" t="s">
        <v>74</v>
      </c>
      <c r="M589" s="1" t="s">
        <v>74</v>
      </c>
      <c r="N589" s="1" t="s">
        <v>74</v>
      </c>
      <c r="O589" s="1" t="s">
        <v>74</v>
      </c>
      <c r="P589" s="1" t="s">
        <v>74</v>
      </c>
      <c r="Q589" s="1" t="s">
        <v>74</v>
      </c>
      <c r="R589" s="1" t="s">
        <v>74</v>
      </c>
      <c r="S589" s="1" t="s">
        <v>74</v>
      </c>
      <c r="T589" s="1" t="s">
        <v>74</v>
      </c>
      <c r="U589" s="1" t="s">
        <v>74</v>
      </c>
      <c r="V589" s="1" t="s">
        <v>5880</v>
      </c>
      <c r="W589" s="1" t="s">
        <v>74</v>
      </c>
      <c r="X589" s="1" t="s">
        <v>74</v>
      </c>
      <c r="Y589" s="1" t="s">
        <v>74</v>
      </c>
      <c r="Z589" s="1" t="s">
        <v>74</v>
      </c>
      <c r="AA589" s="1" t="s">
        <v>5881</v>
      </c>
      <c r="AB589" s="1" t="s">
        <v>5882</v>
      </c>
      <c r="AC589" s="1" t="s">
        <v>74</v>
      </c>
      <c r="AD589" s="1" t="s">
        <v>74</v>
      </c>
      <c r="AE589" s="1" t="s">
        <v>74</v>
      </c>
      <c r="AF589" s="1" t="s">
        <v>74</v>
      </c>
      <c r="AG589" s="1" t="s">
        <v>74</v>
      </c>
      <c r="AH589" s="1" t="s">
        <v>74</v>
      </c>
      <c r="AI589" s="1" t="s">
        <v>74</v>
      </c>
      <c r="AJ589" s="1" t="s">
        <v>74</v>
      </c>
      <c r="AK589" s="1" t="s">
        <v>74</v>
      </c>
      <c r="AL589" s="1" t="s">
        <v>74</v>
      </c>
      <c r="AM589" s="1" t="s">
        <v>74</v>
      </c>
      <c r="AN589" s="1" t="s">
        <v>74</v>
      </c>
      <c r="AO589" s="1" t="s">
        <v>5883</v>
      </c>
      <c r="AP589" s="1" t="s">
        <v>5884</v>
      </c>
      <c r="AQ589" s="1" t="s">
        <v>74</v>
      </c>
      <c r="AR589" s="1" t="s">
        <v>74</v>
      </c>
      <c r="AS589" s="1" t="s">
        <v>74</v>
      </c>
      <c r="AT589" s="1" t="s">
        <v>257</v>
      </c>
      <c r="AU589" s="1">
        <v>2019.0</v>
      </c>
      <c r="AV589" s="1">
        <v>28.0</v>
      </c>
      <c r="AW589" s="1">
        <v>1.0</v>
      </c>
      <c r="AX589" s="1" t="s">
        <v>74</v>
      </c>
      <c r="AY589" s="1" t="s">
        <v>74</v>
      </c>
      <c r="AZ589" s="1" t="s">
        <v>74</v>
      </c>
      <c r="BA589" s="1" t="s">
        <v>74</v>
      </c>
      <c r="BB589" s="1">
        <v>82.0</v>
      </c>
      <c r="BC589" s="1">
        <v>100.0</v>
      </c>
      <c r="BD589" s="1" t="s">
        <v>74</v>
      </c>
      <c r="BE589" s="1" t="s">
        <v>5885</v>
      </c>
      <c r="BF589" s="2" t="str">
        <f>HYPERLINK("http://dx.doi.org/10.1111/caim.12301","http://dx.doi.org/10.1111/caim.12301")</f>
        <v>http://dx.doi.org/10.1111/caim.12301</v>
      </c>
      <c r="BG589" s="1" t="s">
        <v>74</v>
      </c>
      <c r="BH589" s="1" t="s">
        <v>74</v>
      </c>
      <c r="BI589" s="1" t="s">
        <v>74</v>
      </c>
      <c r="BJ589" s="1" t="s">
        <v>74</v>
      </c>
      <c r="BK589" s="1" t="s">
        <v>74</v>
      </c>
      <c r="BL589" s="1" t="s">
        <v>74</v>
      </c>
      <c r="BM589" s="1" t="s">
        <v>74</v>
      </c>
      <c r="BN589" s="1" t="s">
        <v>74</v>
      </c>
      <c r="BO589" s="1" t="s">
        <v>74</v>
      </c>
      <c r="BP589" s="1" t="s">
        <v>74</v>
      </c>
      <c r="BQ589" s="1" t="s">
        <v>74</v>
      </c>
      <c r="BR589" s="1" t="s">
        <v>74</v>
      </c>
      <c r="BS589" s="1" t="s">
        <v>5886</v>
      </c>
      <c r="BT589" s="1" t="str">
        <f>HYPERLINK("https%3A%2F%2Fwww.webofscience.com%2Fwos%2Fwoscc%2Ffull-record%2FWOS:000459053200008","View Full Record in Web of Science")</f>
        <v>View Full Record in Web of Science</v>
      </c>
    </row>
    <row r="590" ht="12.75" customHeight="1">
      <c r="A590" s="1" t="s">
        <v>72</v>
      </c>
      <c r="B590" s="1" t="s">
        <v>5887</v>
      </c>
      <c r="C590" s="1" t="s">
        <v>74</v>
      </c>
      <c r="D590" s="1" t="s">
        <v>74</v>
      </c>
      <c r="E590" s="1" t="s">
        <v>74</v>
      </c>
      <c r="F590" s="1" t="s">
        <v>5888</v>
      </c>
      <c r="G590" s="1" t="s">
        <v>74</v>
      </c>
      <c r="H590" s="1" t="s">
        <v>74</v>
      </c>
      <c r="I590" s="1" t="s">
        <v>5889</v>
      </c>
      <c r="J590" s="1" t="s">
        <v>5890</v>
      </c>
      <c r="K590" s="1" t="s">
        <v>74</v>
      </c>
      <c r="L590" s="1" t="s">
        <v>74</v>
      </c>
      <c r="M590" s="1" t="s">
        <v>74</v>
      </c>
      <c r="N590" s="1" t="s">
        <v>74</v>
      </c>
      <c r="O590" s="1" t="s">
        <v>74</v>
      </c>
      <c r="P590" s="1" t="s">
        <v>74</v>
      </c>
      <c r="Q590" s="1" t="s">
        <v>74</v>
      </c>
      <c r="R590" s="1" t="s">
        <v>74</v>
      </c>
      <c r="S590" s="1" t="s">
        <v>74</v>
      </c>
      <c r="T590" s="1" t="s">
        <v>74</v>
      </c>
      <c r="U590" s="1" t="s">
        <v>74</v>
      </c>
      <c r="V590" s="1" t="s">
        <v>5891</v>
      </c>
      <c r="W590" s="1" t="s">
        <v>74</v>
      </c>
      <c r="X590" s="1" t="s">
        <v>74</v>
      </c>
      <c r="Y590" s="1" t="s">
        <v>74</v>
      </c>
      <c r="Z590" s="1" t="s">
        <v>74</v>
      </c>
      <c r="AA590" s="1" t="s">
        <v>5892</v>
      </c>
      <c r="AB590" s="1" t="s">
        <v>5893</v>
      </c>
      <c r="AC590" s="1" t="s">
        <v>74</v>
      </c>
      <c r="AD590" s="1" t="s">
        <v>74</v>
      </c>
      <c r="AE590" s="1" t="s">
        <v>74</v>
      </c>
      <c r="AF590" s="1" t="s">
        <v>74</v>
      </c>
      <c r="AG590" s="1" t="s">
        <v>74</v>
      </c>
      <c r="AH590" s="1" t="s">
        <v>74</v>
      </c>
      <c r="AI590" s="1" t="s">
        <v>74</v>
      </c>
      <c r="AJ590" s="1" t="s">
        <v>74</v>
      </c>
      <c r="AK590" s="1" t="s">
        <v>74</v>
      </c>
      <c r="AL590" s="1" t="s">
        <v>74</v>
      </c>
      <c r="AM590" s="1" t="s">
        <v>74</v>
      </c>
      <c r="AN590" s="1" t="s">
        <v>74</v>
      </c>
      <c r="AO590" s="1" t="s">
        <v>5894</v>
      </c>
      <c r="AP590" s="1" t="s">
        <v>5895</v>
      </c>
      <c r="AQ590" s="1" t="s">
        <v>74</v>
      </c>
      <c r="AR590" s="1" t="s">
        <v>74</v>
      </c>
      <c r="AS590" s="1" t="s">
        <v>74</v>
      </c>
      <c r="AT590" s="1" t="s">
        <v>235</v>
      </c>
      <c r="AU590" s="1">
        <v>2019.0</v>
      </c>
      <c r="AV590" s="1">
        <v>30.0</v>
      </c>
      <c r="AW590" s="1">
        <v>2.0</v>
      </c>
      <c r="AX590" s="1" t="s">
        <v>74</v>
      </c>
      <c r="AY590" s="1" t="s">
        <v>74</v>
      </c>
      <c r="AZ590" s="1" t="s">
        <v>74</v>
      </c>
      <c r="BA590" s="1" t="s">
        <v>74</v>
      </c>
      <c r="BB590" s="1">
        <v>286.0</v>
      </c>
      <c r="BC590" s="1">
        <v>304.0</v>
      </c>
      <c r="BD590" s="1" t="s">
        <v>74</v>
      </c>
      <c r="BE590" s="1" t="s">
        <v>5896</v>
      </c>
      <c r="BF590" s="2" t="str">
        <f>HYPERLINK("http://dx.doi.org/10.21577/0103-5053.20180177","http://dx.doi.org/10.21577/0103-5053.20180177")</f>
        <v>http://dx.doi.org/10.21577/0103-5053.20180177</v>
      </c>
      <c r="BG590" s="1" t="s">
        <v>74</v>
      </c>
      <c r="BH590" s="1" t="s">
        <v>74</v>
      </c>
      <c r="BI590" s="1" t="s">
        <v>74</v>
      </c>
      <c r="BJ590" s="1" t="s">
        <v>74</v>
      </c>
      <c r="BK590" s="1" t="s">
        <v>74</v>
      </c>
      <c r="BL590" s="1" t="s">
        <v>74</v>
      </c>
      <c r="BM590" s="1" t="s">
        <v>74</v>
      </c>
      <c r="BN590" s="1" t="s">
        <v>74</v>
      </c>
      <c r="BO590" s="1" t="s">
        <v>74</v>
      </c>
      <c r="BP590" s="1" t="s">
        <v>74</v>
      </c>
      <c r="BQ590" s="1" t="s">
        <v>74</v>
      </c>
      <c r="BR590" s="1" t="s">
        <v>74</v>
      </c>
      <c r="BS590" s="1" t="s">
        <v>5897</v>
      </c>
      <c r="BT590" s="1" t="str">
        <f>HYPERLINK("https%3A%2F%2Fwww.webofscience.com%2Fwos%2Fwoscc%2Ffull-record%2FWOS:000453745200008","View Full Record in Web of Science")</f>
        <v>View Full Record in Web of Science</v>
      </c>
    </row>
    <row r="591" ht="12.75" customHeight="1">
      <c r="A591" s="1" t="s">
        <v>72</v>
      </c>
      <c r="B591" s="1" t="s">
        <v>5898</v>
      </c>
      <c r="C591" s="1" t="s">
        <v>74</v>
      </c>
      <c r="D591" s="1" t="s">
        <v>74</v>
      </c>
      <c r="E591" s="1" t="s">
        <v>74</v>
      </c>
      <c r="F591" s="1" t="s">
        <v>5899</v>
      </c>
      <c r="G591" s="1" t="s">
        <v>74</v>
      </c>
      <c r="H591" s="1" t="s">
        <v>74</v>
      </c>
      <c r="I591" s="1" t="s">
        <v>5900</v>
      </c>
      <c r="J591" s="1" t="s">
        <v>4163</v>
      </c>
      <c r="K591" s="1" t="s">
        <v>74</v>
      </c>
      <c r="L591" s="1" t="s">
        <v>74</v>
      </c>
      <c r="M591" s="1" t="s">
        <v>74</v>
      </c>
      <c r="N591" s="1" t="s">
        <v>74</v>
      </c>
      <c r="O591" s="1" t="s">
        <v>74</v>
      </c>
      <c r="P591" s="1" t="s">
        <v>74</v>
      </c>
      <c r="Q591" s="1" t="s">
        <v>74</v>
      </c>
      <c r="R591" s="1" t="s">
        <v>74</v>
      </c>
      <c r="S591" s="1" t="s">
        <v>74</v>
      </c>
      <c r="T591" s="1" t="s">
        <v>74</v>
      </c>
      <c r="U591" s="1" t="s">
        <v>74</v>
      </c>
      <c r="V591" s="1" t="s">
        <v>5901</v>
      </c>
      <c r="W591" s="1" t="s">
        <v>74</v>
      </c>
      <c r="X591" s="1" t="s">
        <v>74</v>
      </c>
      <c r="Y591" s="1" t="s">
        <v>74</v>
      </c>
      <c r="Z591" s="1" t="s">
        <v>74</v>
      </c>
      <c r="AA591" s="1" t="s">
        <v>5902</v>
      </c>
      <c r="AB591" s="1" t="s">
        <v>5903</v>
      </c>
      <c r="AC591" s="1" t="s">
        <v>74</v>
      </c>
      <c r="AD591" s="1" t="s">
        <v>74</v>
      </c>
      <c r="AE591" s="1" t="s">
        <v>74</v>
      </c>
      <c r="AF591" s="1" t="s">
        <v>74</v>
      </c>
      <c r="AG591" s="1" t="s">
        <v>74</v>
      </c>
      <c r="AH591" s="1" t="s">
        <v>74</v>
      </c>
      <c r="AI591" s="1" t="s">
        <v>74</v>
      </c>
      <c r="AJ591" s="1" t="s">
        <v>74</v>
      </c>
      <c r="AK591" s="1" t="s">
        <v>74</v>
      </c>
      <c r="AL591" s="1" t="s">
        <v>74</v>
      </c>
      <c r="AM591" s="1" t="s">
        <v>74</v>
      </c>
      <c r="AN591" s="1" t="s">
        <v>74</v>
      </c>
      <c r="AO591" s="1" t="s">
        <v>74</v>
      </c>
      <c r="AP591" s="1" t="s">
        <v>4167</v>
      </c>
      <c r="AQ591" s="1" t="s">
        <v>74</v>
      </c>
      <c r="AR591" s="1" t="s">
        <v>74</v>
      </c>
      <c r="AS591" s="1" t="s">
        <v>74</v>
      </c>
      <c r="AT591" s="1" t="s">
        <v>294</v>
      </c>
      <c r="AU591" s="1">
        <v>2018.0</v>
      </c>
      <c r="AV591" s="1">
        <v>23.0</v>
      </c>
      <c r="AW591" s="1">
        <v>6.0</v>
      </c>
      <c r="AX591" s="1" t="s">
        <v>74</v>
      </c>
      <c r="AY591" s="1" t="s">
        <v>74</v>
      </c>
      <c r="AZ591" s="1" t="s">
        <v>74</v>
      </c>
      <c r="BA591" s="1" t="s">
        <v>74</v>
      </c>
      <c r="BB591" s="1" t="s">
        <v>74</v>
      </c>
      <c r="BC591" s="1" t="s">
        <v>74</v>
      </c>
      <c r="BD591" s="1">
        <v>1282.0</v>
      </c>
      <c r="BE591" s="1" t="s">
        <v>5904</v>
      </c>
      <c r="BF591" s="2" t="str">
        <f>HYPERLINK("http://dx.doi.org/10.3390/molecules23061282","http://dx.doi.org/10.3390/molecules23061282")</f>
        <v>http://dx.doi.org/10.3390/molecules23061282</v>
      </c>
      <c r="BG591" s="1" t="s">
        <v>74</v>
      </c>
      <c r="BH591" s="1" t="s">
        <v>74</v>
      </c>
      <c r="BI591" s="1" t="s">
        <v>74</v>
      </c>
      <c r="BJ591" s="1" t="s">
        <v>74</v>
      </c>
      <c r="BK591" s="1" t="s">
        <v>74</v>
      </c>
      <c r="BL591" s="1" t="s">
        <v>74</v>
      </c>
      <c r="BM591" s="1" t="s">
        <v>74</v>
      </c>
      <c r="BN591" s="1">
        <v>2.986148E7</v>
      </c>
      <c r="BO591" s="1" t="s">
        <v>74</v>
      </c>
      <c r="BP591" s="1" t="s">
        <v>74</v>
      </c>
      <c r="BQ591" s="1" t="s">
        <v>74</v>
      </c>
      <c r="BR591" s="1" t="s">
        <v>74</v>
      </c>
      <c r="BS591" s="1" t="s">
        <v>5905</v>
      </c>
      <c r="BT591" s="1" t="str">
        <f>HYPERLINK("https%3A%2F%2Fwww.webofscience.com%2Fwos%2Fwoscc%2Ffull-record%2FWOS:000435875400044","View Full Record in Web of Science")</f>
        <v>View Full Record in Web of Science</v>
      </c>
    </row>
    <row r="592" ht="12.75" customHeight="1">
      <c r="A592" s="1" t="s">
        <v>72</v>
      </c>
      <c r="B592" s="1" t="s">
        <v>5906</v>
      </c>
      <c r="C592" s="1" t="s">
        <v>74</v>
      </c>
      <c r="D592" s="1" t="s">
        <v>74</v>
      </c>
      <c r="E592" s="1" t="s">
        <v>74</v>
      </c>
      <c r="F592" s="1" t="s">
        <v>5907</v>
      </c>
      <c r="G592" s="1" t="s">
        <v>74</v>
      </c>
      <c r="H592" s="1" t="s">
        <v>74</v>
      </c>
      <c r="I592" s="1" t="s">
        <v>5908</v>
      </c>
      <c r="J592" s="1" t="s">
        <v>2060</v>
      </c>
      <c r="K592" s="1" t="s">
        <v>74</v>
      </c>
      <c r="L592" s="1" t="s">
        <v>74</v>
      </c>
      <c r="M592" s="1" t="s">
        <v>74</v>
      </c>
      <c r="N592" s="1" t="s">
        <v>74</v>
      </c>
      <c r="O592" s="1" t="s">
        <v>74</v>
      </c>
      <c r="P592" s="1" t="s">
        <v>74</v>
      </c>
      <c r="Q592" s="1" t="s">
        <v>74</v>
      </c>
      <c r="R592" s="1" t="s">
        <v>74</v>
      </c>
      <c r="S592" s="1" t="s">
        <v>74</v>
      </c>
      <c r="T592" s="1" t="s">
        <v>74</v>
      </c>
      <c r="U592" s="1" t="s">
        <v>74</v>
      </c>
      <c r="V592" s="1" t="s">
        <v>5909</v>
      </c>
      <c r="W592" s="1" t="s">
        <v>74</v>
      </c>
      <c r="X592" s="1" t="s">
        <v>74</v>
      </c>
      <c r="Y592" s="1" t="s">
        <v>74</v>
      </c>
      <c r="Z592" s="1" t="s">
        <v>74</v>
      </c>
      <c r="AA592" s="1" t="s">
        <v>5910</v>
      </c>
      <c r="AB592" s="1" t="s">
        <v>5911</v>
      </c>
      <c r="AC592" s="1" t="s">
        <v>74</v>
      </c>
      <c r="AD592" s="1" t="s">
        <v>74</v>
      </c>
      <c r="AE592" s="1" t="s">
        <v>74</v>
      </c>
      <c r="AF592" s="1" t="s">
        <v>74</v>
      </c>
      <c r="AG592" s="1" t="s">
        <v>74</v>
      </c>
      <c r="AH592" s="1" t="s">
        <v>74</v>
      </c>
      <c r="AI592" s="1" t="s">
        <v>74</v>
      </c>
      <c r="AJ592" s="1" t="s">
        <v>74</v>
      </c>
      <c r="AK592" s="1" t="s">
        <v>74</v>
      </c>
      <c r="AL592" s="1" t="s">
        <v>74</v>
      </c>
      <c r="AM592" s="1" t="s">
        <v>74</v>
      </c>
      <c r="AN592" s="1" t="s">
        <v>74</v>
      </c>
      <c r="AO592" s="1" t="s">
        <v>2063</v>
      </c>
      <c r="AP592" s="1" t="s">
        <v>2064</v>
      </c>
      <c r="AQ592" s="1" t="s">
        <v>74</v>
      </c>
      <c r="AR592" s="1" t="s">
        <v>74</v>
      </c>
      <c r="AS592" s="1" t="s">
        <v>74</v>
      </c>
      <c r="AT592" s="1" t="s">
        <v>74</v>
      </c>
      <c r="AU592" s="1">
        <v>2018.0</v>
      </c>
      <c r="AV592" s="1">
        <v>2018.0</v>
      </c>
      <c r="AW592" s="1" t="s">
        <v>74</v>
      </c>
      <c r="AX592" s="1" t="s">
        <v>74</v>
      </c>
      <c r="AY592" s="1" t="s">
        <v>74</v>
      </c>
      <c r="AZ592" s="1" t="s">
        <v>74</v>
      </c>
      <c r="BA592" s="1" t="s">
        <v>74</v>
      </c>
      <c r="BB592" s="1" t="s">
        <v>74</v>
      </c>
      <c r="BC592" s="1" t="s">
        <v>74</v>
      </c>
      <c r="BD592" s="1">
        <v>8692146.0</v>
      </c>
      <c r="BE592" s="1" t="s">
        <v>5912</v>
      </c>
      <c r="BF592" s="2" t="str">
        <f>HYPERLINK("http://dx.doi.org/10.1155/2018/8692146","http://dx.doi.org/10.1155/2018/8692146")</f>
        <v>http://dx.doi.org/10.1155/2018/8692146</v>
      </c>
      <c r="BG592" s="1" t="s">
        <v>74</v>
      </c>
      <c r="BH592" s="1" t="s">
        <v>74</v>
      </c>
      <c r="BI592" s="1" t="s">
        <v>74</v>
      </c>
      <c r="BJ592" s="1" t="s">
        <v>74</v>
      </c>
      <c r="BK592" s="1" t="s">
        <v>74</v>
      </c>
      <c r="BL592" s="1" t="s">
        <v>74</v>
      </c>
      <c r="BM592" s="1" t="s">
        <v>74</v>
      </c>
      <c r="BN592" s="1" t="s">
        <v>74</v>
      </c>
      <c r="BO592" s="1" t="s">
        <v>74</v>
      </c>
      <c r="BP592" s="1" t="s">
        <v>74</v>
      </c>
      <c r="BQ592" s="1" t="s">
        <v>74</v>
      </c>
      <c r="BR592" s="1" t="s">
        <v>74</v>
      </c>
      <c r="BS592" s="1" t="s">
        <v>5913</v>
      </c>
      <c r="BT592" s="1" t="str">
        <f>HYPERLINK("https%3A%2F%2Fwww.webofscience.com%2Fwos%2Fwoscc%2Ffull-record%2FWOS:000424805900001","View Full Record in Web of Science")</f>
        <v>View Full Record in Web of Science</v>
      </c>
    </row>
    <row r="593" ht="12.75" customHeight="1">
      <c r="A593" s="1" t="s">
        <v>182</v>
      </c>
      <c r="B593" s="1" t="s">
        <v>375</v>
      </c>
      <c r="C593" s="1" t="s">
        <v>74</v>
      </c>
      <c r="D593" s="1" t="s">
        <v>5914</v>
      </c>
      <c r="E593" s="1" t="s">
        <v>74</v>
      </c>
      <c r="F593" s="1" t="s">
        <v>377</v>
      </c>
      <c r="G593" s="1" t="s">
        <v>74</v>
      </c>
      <c r="H593" s="1" t="s">
        <v>74</v>
      </c>
      <c r="I593" s="1" t="s">
        <v>5915</v>
      </c>
      <c r="J593" s="1" t="s">
        <v>5916</v>
      </c>
      <c r="K593" s="1" t="s">
        <v>380</v>
      </c>
      <c r="L593" s="1" t="s">
        <v>74</v>
      </c>
      <c r="M593" s="1" t="s">
        <v>74</v>
      </c>
      <c r="N593" s="1" t="s">
        <v>74</v>
      </c>
      <c r="O593" s="1" t="s">
        <v>5917</v>
      </c>
      <c r="P593" s="1" t="s">
        <v>5918</v>
      </c>
      <c r="Q593" s="1" t="s">
        <v>5919</v>
      </c>
      <c r="R593" s="1" t="s">
        <v>5920</v>
      </c>
      <c r="S593" s="1" t="s">
        <v>74</v>
      </c>
      <c r="T593" s="1" t="s">
        <v>74</v>
      </c>
      <c r="U593" s="1" t="s">
        <v>74</v>
      </c>
      <c r="V593" s="1" t="s">
        <v>5921</v>
      </c>
      <c r="W593" s="1" t="s">
        <v>74</v>
      </c>
      <c r="X593" s="1" t="s">
        <v>74</v>
      </c>
      <c r="Y593" s="1" t="s">
        <v>74</v>
      </c>
      <c r="Z593" s="1" t="s">
        <v>74</v>
      </c>
      <c r="AA593" s="1" t="s">
        <v>5922</v>
      </c>
      <c r="AB593" s="1" t="s">
        <v>5923</v>
      </c>
      <c r="AC593" s="1" t="s">
        <v>74</v>
      </c>
      <c r="AD593" s="1" t="s">
        <v>74</v>
      </c>
      <c r="AE593" s="1" t="s">
        <v>74</v>
      </c>
      <c r="AF593" s="1" t="s">
        <v>74</v>
      </c>
      <c r="AG593" s="1" t="s">
        <v>74</v>
      </c>
      <c r="AH593" s="1" t="s">
        <v>74</v>
      </c>
      <c r="AI593" s="1" t="s">
        <v>74</v>
      </c>
      <c r="AJ593" s="1" t="s">
        <v>74</v>
      </c>
      <c r="AK593" s="1" t="s">
        <v>74</v>
      </c>
      <c r="AL593" s="1" t="s">
        <v>74</v>
      </c>
      <c r="AM593" s="1" t="s">
        <v>74</v>
      </c>
      <c r="AN593" s="1" t="s">
        <v>74</v>
      </c>
      <c r="AO593" s="1" t="s">
        <v>388</v>
      </c>
      <c r="AP593" s="1" t="s">
        <v>74</v>
      </c>
      <c r="AQ593" s="1" t="s">
        <v>74</v>
      </c>
      <c r="AR593" s="1" t="s">
        <v>74</v>
      </c>
      <c r="AS593" s="1" t="s">
        <v>74</v>
      </c>
      <c r="AT593" s="1" t="s">
        <v>74</v>
      </c>
      <c r="AU593" s="1">
        <v>2018.0</v>
      </c>
      <c r="AV593" s="1">
        <v>139.0</v>
      </c>
      <c r="AW593" s="1" t="s">
        <v>74</v>
      </c>
      <c r="AX593" s="1" t="s">
        <v>74</v>
      </c>
      <c r="AY593" s="1" t="s">
        <v>74</v>
      </c>
      <c r="AZ593" s="1" t="s">
        <v>74</v>
      </c>
      <c r="BA593" s="1" t="s">
        <v>74</v>
      </c>
      <c r="BB593" s="1">
        <v>448.0</v>
      </c>
      <c r="BC593" s="1">
        <v>455.0</v>
      </c>
      <c r="BD593" s="1" t="s">
        <v>74</v>
      </c>
      <c r="BE593" s="1" t="s">
        <v>5924</v>
      </c>
      <c r="BF593" s="2" t="str">
        <f>HYPERLINK("http://dx.doi.org/10.1016/j.procs.2018.10.253","http://dx.doi.org/10.1016/j.procs.2018.10.253")</f>
        <v>http://dx.doi.org/10.1016/j.procs.2018.10.253</v>
      </c>
      <c r="BG593" s="1" t="s">
        <v>74</v>
      </c>
      <c r="BH593" s="1" t="s">
        <v>74</v>
      </c>
      <c r="BI593" s="1" t="s">
        <v>74</v>
      </c>
      <c r="BJ593" s="1" t="s">
        <v>74</v>
      </c>
      <c r="BK593" s="1" t="s">
        <v>74</v>
      </c>
      <c r="BL593" s="1" t="s">
        <v>74</v>
      </c>
      <c r="BM593" s="1" t="s">
        <v>74</v>
      </c>
      <c r="BN593" s="1" t="s">
        <v>74</v>
      </c>
      <c r="BO593" s="1" t="s">
        <v>74</v>
      </c>
      <c r="BP593" s="1" t="s">
        <v>74</v>
      </c>
      <c r="BQ593" s="1" t="s">
        <v>74</v>
      </c>
      <c r="BR593" s="1" t="s">
        <v>74</v>
      </c>
      <c r="BS593" s="1" t="s">
        <v>5925</v>
      </c>
      <c r="BT593" s="1" t="str">
        <f>HYPERLINK("https%3A%2F%2Fwww.webofscience.com%2Fwos%2Fwoscc%2Ffull-record%2FWOS:000471259200060","View Full Record in Web of Science")</f>
        <v>View Full Record in Web of Science</v>
      </c>
    </row>
    <row r="594" ht="12.75" customHeight="1">
      <c r="A594" s="1" t="s">
        <v>182</v>
      </c>
      <c r="B594" s="1" t="s">
        <v>5926</v>
      </c>
      <c r="C594" s="1" t="s">
        <v>74</v>
      </c>
      <c r="D594" s="1" t="s">
        <v>74</v>
      </c>
      <c r="E594" s="1" t="s">
        <v>184</v>
      </c>
      <c r="F594" s="1" t="s">
        <v>5927</v>
      </c>
      <c r="G594" s="1" t="s">
        <v>74</v>
      </c>
      <c r="H594" s="1" t="s">
        <v>74</v>
      </c>
      <c r="I594" s="1" t="s">
        <v>5928</v>
      </c>
      <c r="J594" s="1" t="s">
        <v>2455</v>
      </c>
      <c r="K594" s="1" t="s">
        <v>2456</v>
      </c>
      <c r="L594" s="1" t="s">
        <v>74</v>
      </c>
      <c r="M594" s="1" t="s">
        <v>74</v>
      </c>
      <c r="N594" s="1" t="s">
        <v>74</v>
      </c>
      <c r="O594" s="1" t="s">
        <v>2457</v>
      </c>
      <c r="P594" s="1" t="s">
        <v>2458</v>
      </c>
      <c r="Q594" s="1" t="s">
        <v>2459</v>
      </c>
      <c r="R594" s="1" t="s">
        <v>2460</v>
      </c>
      <c r="S594" s="1" t="s">
        <v>74</v>
      </c>
      <c r="T594" s="1" t="s">
        <v>74</v>
      </c>
      <c r="U594" s="1" t="s">
        <v>74</v>
      </c>
      <c r="V594" s="1" t="s">
        <v>5929</v>
      </c>
      <c r="W594" s="1" t="s">
        <v>74</v>
      </c>
      <c r="X594" s="1" t="s">
        <v>74</v>
      </c>
      <c r="Y594" s="1" t="s">
        <v>74</v>
      </c>
      <c r="Z594" s="1" t="s">
        <v>74</v>
      </c>
      <c r="AA594" s="1" t="s">
        <v>5930</v>
      </c>
      <c r="AB594" s="1" t="s">
        <v>5931</v>
      </c>
      <c r="AC594" s="1" t="s">
        <v>74</v>
      </c>
      <c r="AD594" s="1" t="s">
        <v>74</v>
      </c>
      <c r="AE594" s="1" t="s">
        <v>74</v>
      </c>
      <c r="AF594" s="1" t="s">
        <v>74</v>
      </c>
      <c r="AG594" s="1" t="s">
        <v>74</v>
      </c>
      <c r="AH594" s="1" t="s">
        <v>74</v>
      </c>
      <c r="AI594" s="1" t="s">
        <v>74</v>
      </c>
      <c r="AJ594" s="1" t="s">
        <v>74</v>
      </c>
      <c r="AK594" s="1" t="s">
        <v>74</v>
      </c>
      <c r="AL594" s="1" t="s">
        <v>74</v>
      </c>
      <c r="AM594" s="1" t="s">
        <v>74</v>
      </c>
      <c r="AN594" s="1" t="s">
        <v>74</v>
      </c>
      <c r="AO594" s="1" t="s">
        <v>2463</v>
      </c>
      <c r="AP594" s="1" t="s">
        <v>74</v>
      </c>
      <c r="AQ594" s="1" t="s">
        <v>2464</v>
      </c>
      <c r="AR594" s="1" t="s">
        <v>74</v>
      </c>
      <c r="AS594" s="1" t="s">
        <v>74</v>
      </c>
      <c r="AT594" s="1" t="s">
        <v>74</v>
      </c>
      <c r="AU594" s="1">
        <v>2018.0</v>
      </c>
      <c r="AV594" s="1" t="s">
        <v>74</v>
      </c>
      <c r="AW594" s="1" t="s">
        <v>74</v>
      </c>
      <c r="AX594" s="1" t="s">
        <v>74</v>
      </c>
      <c r="AY594" s="1" t="s">
        <v>74</v>
      </c>
      <c r="AZ594" s="1" t="s">
        <v>74</v>
      </c>
      <c r="BA594" s="1" t="s">
        <v>74</v>
      </c>
      <c r="BB594" s="1" t="s">
        <v>74</v>
      </c>
      <c r="BC594" s="1" t="s">
        <v>74</v>
      </c>
      <c r="BD594" s="1" t="s">
        <v>74</v>
      </c>
      <c r="BE594" s="1" t="s">
        <v>74</v>
      </c>
      <c r="BF594" s="1" t="s">
        <v>74</v>
      </c>
      <c r="BG594" s="1" t="s">
        <v>74</v>
      </c>
      <c r="BH594" s="1" t="s">
        <v>74</v>
      </c>
      <c r="BI594" s="1" t="s">
        <v>74</v>
      </c>
      <c r="BJ594" s="1" t="s">
        <v>74</v>
      </c>
      <c r="BK594" s="1" t="s">
        <v>74</v>
      </c>
      <c r="BL594" s="1" t="s">
        <v>74</v>
      </c>
      <c r="BM594" s="1" t="s">
        <v>74</v>
      </c>
      <c r="BN594" s="1" t="s">
        <v>74</v>
      </c>
      <c r="BO594" s="1" t="s">
        <v>74</v>
      </c>
      <c r="BP594" s="1" t="s">
        <v>74</v>
      </c>
      <c r="BQ594" s="1" t="s">
        <v>74</v>
      </c>
      <c r="BR594" s="1" t="s">
        <v>74</v>
      </c>
      <c r="BS594" s="1" t="s">
        <v>5932</v>
      </c>
      <c r="BT594" s="1" t="str">
        <f>HYPERLINK("https%3A%2F%2Fwww.webofscience.com%2Fwos%2Fwoscc%2Ffull-record%2FWOS:000450299300319","View Full Record in Web of Science")</f>
        <v>View Full Record in Web of Science</v>
      </c>
    </row>
    <row r="595" ht="12.75" customHeight="1">
      <c r="A595" s="1" t="s">
        <v>72</v>
      </c>
      <c r="B595" s="1" t="s">
        <v>5933</v>
      </c>
      <c r="C595" s="1" t="s">
        <v>74</v>
      </c>
      <c r="D595" s="1" t="s">
        <v>74</v>
      </c>
      <c r="E595" s="1" t="s">
        <v>74</v>
      </c>
      <c r="F595" s="1" t="s">
        <v>5934</v>
      </c>
      <c r="G595" s="1" t="s">
        <v>74</v>
      </c>
      <c r="H595" s="1" t="s">
        <v>74</v>
      </c>
      <c r="I595" s="1" t="s">
        <v>5935</v>
      </c>
      <c r="J595" s="1" t="s">
        <v>5936</v>
      </c>
      <c r="K595" s="1" t="s">
        <v>74</v>
      </c>
      <c r="L595" s="1" t="s">
        <v>74</v>
      </c>
      <c r="M595" s="1" t="s">
        <v>74</v>
      </c>
      <c r="N595" s="1" t="s">
        <v>74</v>
      </c>
      <c r="O595" s="1" t="s">
        <v>74</v>
      </c>
      <c r="P595" s="1" t="s">
        <v>74</v>
      </c>
      <c r="Q595" s="1" t="s">
        <v>74</v>
      </c>
      <c r="R595" s="1" t="s">
        <v>74</v>
      </c>
      <c r="S595" s="1" t="s">
        <v>74</v>
      </c>
      <c r="T595" s="1" t="s">
        <v>74</v>
      </c>
      <c r="U595" s="1" t="s">
        <v>74</v>
      </c>
      <c r="V595" s="1" t="s">
        <v>74</v>
      </c>
      <c r="W595" s="1" t="s">
        <v>74</v>
      </c>
      <c r="X595" s="1" t="s">
        <v>74</v>
      </c>
      <c r="Y595" s="1" t="s">
        <v>74</v>
      </c>
      <c r="Z595" s="1" t="s">
        <v>74</v>
      </c>
      <c r="AA595" s="1" t="s">
        <v>5937</v>
      </c>
      <c r="AB595" s="1" t="s">
        <v>5938</v>
      </c>
      <c r="AC595" s="1" t="s">
        <v>74</v>
      </c>
      <c r="AD595" s="1" t="s">
        <v>74</v>
      </c>
      <c r="AE595" s="1" t="s">
        <v>74</v>
      </c>
      <c r="AF595" s="1" t="s">
        <v>74</v>
      </c>
      <c r="AG595" s="1" t="s">
        <v>74</v>
      </c>
      <c r="AH595" s="1" t="s">
        <v>74</v>
      </c>
      <c r="AI595" s="1" t="s">
        <v>74</v>
      </c>
      <c r="AJ595" s="1" t="s">
        <v>74</v>
      </c>
      <c r="AK595" s="1" t="s">
        <v>74</v>
      </c>
      <c r="AL595" s="1" t="s">
        <v>74</v>
      </c>
      <c r="AM595" s="1" t="s">
        <v>74</v>
      </c>
      <c r="AN595" s="1" t="s">
        <v>74</v>
      </c>
      <c r="AO595" s="1" t="s">
        <v>5939</v>
      </c>
      <c r="AP595" s="1" t="s">
        <v>5940</v>
      </c>
      <c r="AQ595" s="1" t="s">
        <v>74</v>
      </c>
      <c r="AR595" s="1" t="s">
        <v>74</v>
      </c>
      <c r="AS595" s="1" t="s">
        <v>74</v>
      </c>
      <c r="AT595" s="1" t="s">
        <v>2000</v>
      </c>
      <c r="AU595" s="1">
        <v>2017.0</v>
      </c>
      <c r="AV595" s="1">
        <v>59.0</v>
      </c>
      <c r="AW595" s="1">
        <v>6.0</v>
      </c>
      <c r="AX595" s="1" t="s">
        <v>74</v>
      </c>
      <c r="AY595" s="1" t="s">
        <v>74</v>
      </c>
      <c r="AZ595" s="1" t="s">
        <v>74</v>
      </c>
      <c r="BA595" s="1" t="s">
        <v>74</v>
      </c>
      <c r="BB595" s="1">
        <v>601.0</v>
      </c>
      <c r="BC595" s="1">
        <v>602.0</v>
      </c>
      <c r="BD595" s="1" t="s">
        <v>74</v>
      </c>
      <c r="BE595" s="1" t="s">
        <v>74</v>
      </c>
      <c r="BF595" s="1" t="s">
        <v>74</v>
      </c>
      <c r="BG595" s="1" t="s">
        <v>74</v>
      </c>
      <c r="BH595" s="1" t="s">
        <v>74</v>
      </c>
      <c r="BI595" s="1" t="s">
        <v>74</v>
      </c>
      <c r="BJ595" s="1" t="s">
        <v>74</v>
      </c>
      <c r="BK595" s="1" t="s">
        <v>74</v>
      </c>
      <c r="BL595" s="1" t="s">
        <v>74</v>
      </c>
      <c r="BM595" s="1" t="s">
        <v>74</v>
      </c>
      <c r="BN595" s="1">
        <v>2.9451622E7</v>
      </c>
      <c r="BO595" s="1" t="s">
        <v>74</v>
      </c>
      <c r="BP595" s="1" t="s">
        <v>74</v>
      </c>
      <c r="BQ595" s="1" t="s">
        <v>74</v>
      </c>
      <c r="BR595" s="1" t="s">
        <v>74</v>
      </c>
      <c r="BS595" s="1" t="s">
        <v>5941</v>
      </c>
      <c r="BT595" s="1" t="str">
        <f>HYPERLINK("https%3A%2F%2Fwww.webofscience.com%2Fwos%2Fwoscc%2Ffull-record%2FWOS:000415960600001","View Full Record in Web of Science")</f>
        <v>View Full Record in Web of Science</v>
      </c>
    </row>
    <row r="596" ht="12.75" customHeight="1">
      <c r="A596" s="1" t="s">
        <v>72</v>
      </c>
      <c r="B596" s="1" t="s">
        <v>5942</v>
      </c>
      <c r="C596" s="1" t="s">
        <v>74</v>
      </c>
      <c r="D596" s="1" t="s">
        <v>74</v>
      </c>
      <c r="E596" s="1" t="s">
        <v>74</v>
      </c>
      <c r="F596" s="1" t="s">
        <v>5943</v>
      </c>
      <c r="G596" s="1" t="s">
        <v>74</v>
      </c>
      <c r="H596" s="1" t="s">
        <v>74</v>
      </c>
      <c r="I596" s="1" t="s">
        <v>5944</v>
      </c>
      <c r="J596" s="1" t="s">
        <v>3341</v>
      </c>
      <c r="K596" s="1" t="s">
        <v>74</v>
      </c>
      <c r="L596" s="1" t="s">
        <v>74</v>
      </c>
      <c r="M596" s="1" t="s">
        <v>74</v>
      </c>
      <c r="N596" s="1" t="s">
        <v>74</v>
      </c>
      <c r="O596" s="1" t="s">
        <v>74</v>
      </c>
      <c r="P596" s="1" t="s">
        <v>74</v>
      </c>
      <c r="Q596" s="1" t="s">
        <v>74</v>
      </c>
      <c r="R596" s="1" t="s">
        <v>74</v>
      </c>
      <c r="S596" s="1" t="s">
        <v>74</v>
      </c>
      <c r="T596" s="1" t="s">
        <v>74</v>
      </c>
      <c r="U596" s="1" t="s">
        <v>74</v>
      </c>
      <c r="V596" s="1" t="s">
        <v>5945</v>
      </c>
      <c r="W596" s="1" t="s">
        <v>74</v>
      </c>
      <c r="X596" s="1" t="s">
        <v>74</v>
      </c>
      <c r="Y596" s="1" t="s">
        <v>74</v>
      </c>
      <c r="Z596" s="1" t="s">
        <v>74</v>
      </c>
      <c r="AA596" s="1" t="s">
        <v>5946</v>
      </c>
      <c r="AB596" s="1" t="s">
        <v>5947</v>
      </c>
      <c r="AC596" s="1" t="s">
        <v>74</v>
      </c>
      <c r="AD596" s="1" t="s">
        <v>74</v>
      </c>
      <c r="AE596" s="1" t="s">
        <v>74</v>
      </c>
      <c r="AF596" s="1" t="s">
        <v>74</v>
      </c>
      <c r="AG596" s="1" t="s">
        <v>74</v>
      </c>
      <c r="AH596" s="1" t="s">
        <v>74</v>
      </c>
      <c r="AI596" s="1" t="s">
        <v>74</v>
      </c>
      <c r="AJ596" s="1" t="s">
        <v>74</v>
      </c>
      <c r="AK596" s="1" t="s">
        <v>74</v>
      </c>
      <c r="AL596" s="1" t="s">
        <v>74</v>
      </c>
      <c r="AM596" s="1" t="s">
        <v>74</v>
      </c>
      <c r="AN596" s="1" t="s">
        <v>74</v>
      </c>
      <c r="AO596" s="1" t="s">
        <v>5948</v>
      </c>
      <c r="AP596" s="1" t="s">
        <v>5949</v>
      </c>
      <c r="AQ596" s="1" t="s">
        <v>74</v>
      </c>
      <c r="AR596" s="1" t="s">
        <v>74</v>
      </c>
      <c r="AS596" s="1" t="s">
        <v>74</v>
      </c>
      <c r="AT596" s="1" t="s">
        <v>606</v>
      </c>
      <c r="AU596" s="1">
        <v>2017.0</v>
      </c>
      <c r="AV596" s="1">
        <v>122.0</v>
      </c>
      <c r="AW596" s="1">
        <v>10.0</v>
      </c>
      <c r="AX596" s="1" t="s">
        <v>74</v>
      </c>
      <c r="AY596" s="1" t="s">
        <v>74</v>
      </c>
      <c r="AZ596" s="1" t="s">
        <v>74</v>
      </c>
      <c r="BA596" s="1" t="s">
        <v>74</v>
      </c>
      <c r="BB596" s="1">
        <v>10511.0</v>
      </c>
      <c r="BC596" s="1">
        <v>10527.0</v>
      </c>
      <c r="BD596" s="1" t="s">
        <v>74</v>
      </c>
      <c r="BE596" s="1" t="s">
        <v>5950</v>
      </c>
      <c r="BF596" s="2" t="str">
        <f>HYPERLINK("http://dx.doi.org/10.1002/2017JA024265","http://dx.doi.org/10.1002/2017JA024265")</f>
        <v>http://dx.doi.org/10.1002/2017JA024265</v>
      </c>
      <c r="BG596" s="1" t="s">
        <v>74</v>
      </c>
      <c r="BH596" s="1" t="s">
        <v>74</v>
      </c>
      <c r="BI596" s="1" t="s">
        <v>74</v>
      </c>
      <c r="BJ596" s="1" t="s">
        <v>74</v>
      </c>
      <c r="BK596" s="1" t="s">
        <v>74</v>
      </c>
      <c r="BL596" s="1" t="s">
        <v>74</v>
      </c>
      <c r="BM596" s="1" t="s">
        <v>74</v>
      </c>
      <c r="BN596" s="1" t="s">
        <v>74</v>
      </c>
      <c r="BO596" s="1" t="s">
        <v>74</v>
      </c>
      <c r="BP596" s="1" t="s">
        <v>74</v>
      </c>
      <c r="BQ596" s="1" t="s">
        <v>74</v>
      </c>
      <c r="BR596" s="1" t="s">
        <v>74</v>
      </c>
      <c r="BS596" s="1" t="s">
        <v>5951</v>
      </c>
      <c r="BT596" s="1" t="str">
        <f>HYPERLINK("https%3A%2F%2Fwww.webofscience.com%2Fwos%2Fwoscc%2Ffull-record%2FWOS:000419937800053","View Full Record in Web of Science")</f>
        <v>View Full Record in Web of Science</v>
      </c>
    </row>
    <row r="597" ht="12.75" customHeight="1">
      <c r="A597" s="1" t="s">
        <v>72</v>
      </c>
      <c r="B597" s="1" t="s">
        <v>5952</v>
      </c>
      <c r="C597" s="1" t="s">
        <v>74</v>
      </c>
      <c r="D597" s="1" t="s">
        <v>74</v>
      </c>
      <c r="E597" s="1" t="s">
        <v>74</v>
      </c>
      <c r="F597" s="1" t="s">
        <v>5953</v>
      </c>
      <c r="G597" s="1" t="s">
        <v>74</v>
      </c>
      <c r="H597" s="1" t="s">
        <v>74</v>
      </c>
      <c r="I597" s="1" t="s">
        <v>5954</v>
      </c>
      <c r="J597" s="1" t="s">
        <v>4570</v>
      </c>
      <c r="K597" s="1" t="s">
        <v>74</v>
      </c>
      <c r="L597" s="1" t="s">
        <v>74</v>
      </c>
      <c r="M597" s="1" t="s">
        <v>74</v>
      </c>
      <c r="N597" s="1" t="s">
        <v>74</v>
      </c>
      <c r="O597" s="1" t="s">
        <v>5955</v>
      </c>
      <c r="P597" s="1" t="s">
        <v>5956</v>
      </c>
      <c r="Q597" s="1" t="s">
        <v>5957</v>
      </c>
      <c r="R597" s="1" t="s">
        <v>74</v>
      </c>
      <c r="S597" s="1" t="s">
        <v>74</v>
      </c>
      <c r="T597" s="1" t="s">
        <v>74</v>
      </c>
      <c r="U597" s="1" t="s">
        <v>74</v>
      </c>
      <c r="V597" s="1" t="s">
        <v>74</v>
      </c>
      <c r="W597" s="1" t="s">
        <v>74</v>
      </c>
      <c r="X597" s="1" t="s">
        <v>74</v>
      </c>
      <c r="Y597" s="1" t="s">
        <v>74</v>
      </c>
      <c r="Z597" s="1" t="s">
        <v>74</v>
      </c>
      <c r="AA597" s="1" t="s">
        <v>5958</v>
      </c>
      <c r="AB597" s="1" t="s">
        <v>74</v>
      </c>
      <c r="AC597" s="1" t="s">
        <v>74</v>
      </c>
      <c r="AD597" s="1" t="s">
        <v>74</v>
      </c>
      <c r="AE597" s="1" t="s">
        <v>74</v>
      </c>
      <c r="AF597" s="1" t="s">
        <v>74</v>
      </c>
      <c r="AG597" s="1" t="s">
        <v>74</v>
      </c>
      <c r="AH597" s="1" t="s">
        <v>74</v>
      </c>
      <c r="AI597" s="1" t="s">
        <v>74</v>
      </c>
      <c r="AJ597" s="1" t="s">
        <v>74</v>
      </c>
      <c r="AK597" s="1" t="s">
        <v>74</v>
      </c>
      <c r="AL597" s="1" t="s">
        <v>74</v>
      </c>
      <c r="AM597" s="1" t="s">
        <v>74</v>
      </c>
      <c r="AN597" s="1" t="s">
        <v>74</v>
      </c>
      <c r="AO597" s="1" t="s">
        <v>4575</v>
      </c>
      <c r="AP597" s="1" t="s">
        <v>4576</v>
      </c>
      <c r="AQ597" s="1" t="s">
        <v>74</v>
      </c>
      <c r="AR597" s="1" t="s">
        <v>74</v>
      </c>
      <c r="AS597" s="1" t="s">
        <v>74</v>
      </c>
      <c r="AT597" s="1" t="s">
        <v>294</v>
      </c>
      <c r="AU597" s="1">
        <v>2017.0</v>
      </c>
      <c r="AV597" s="1">
        <v>65.0</v>
      </c>
      <c r="AW597" s="1" t="s">
        <v>74</v>
      </c>
      <c r="AX597" s="1" t="s">
        <v>74</v>
      </c>
      <c r="AY597" s="1">
        <v>1.0</v>
      </c>
      <c r="AZ597" s="1" t="s">
        <v>74</v>
      </c>
      <c r="BA597" s="1" t="s">
        <v>5959</v>
      </c>
      <c r="BB597" s="1" t="s">
        <v>5960</v>
      </c>
      <c r="BC597" s="1" t="s">
        <v>5961</v>
      </c>
      <c r="BD597" s="1" t="s">
        <v>74</v>
      </c>
      <c r="BE597" s="1" t="s">
        <v>74</v>
      </c>
      <c r="BF597" s="1" t="s">
        <v>74</v>
      </c>
      <c r="BG597" s="1" t="s">
        <v>74</v>
      </c>
      <c r="BH597" s="1" t="s">
        <v>74</v>
      </c>
      <c r="BI597" s="1" t="s">
        <v>74</v>
      </c>
      <c r="BJ597" s="1" t="s">
        <v>74</v>
      </c>
      <c r="BK597" s="1" t="s">
        <v>74</v>
      </c>
      <c r="BL597" s="1" t="s">
        <v>74</v>
      </c>
      <c r="BM597" s="1" t="s">
        <v>74</v>
      </c>
      <c r="BN597" s="1" t="s">
        <v>74</v>
      </c>
      <c r="BO597" s="1" t="s">
        <v>74</v>
      </c>
      <c r="BP597" s="1" t="s">
        <v>74</v>
      </c>
      <c r="BQ597" s="1" t="s">
        <v>74</v>
      </c>
      <c r="BR597" s="1" t="s">
        <v>74</v>
      </c>
      <c r="BS597" s="1" t="s">
        <v>5962</v>
      </c>
      <c r="BT597" s="1" t="str">
        <f>HYPERLINK("https%3A%2F%2Fwww.webofscience.com%2Fwos%2Fwoscc%2Ffull-record%2FWOS:000403071700425","View Full Record in Web of Science")</f>
        <v>View Full Record in Web of Science</v>
      </c>
    </row>
    <row r="598" ht="12.75" customHeight="1">
      <c r="A598" s="1" t="s">
        <v>72</v>
      </c>
      <c r="B598" s="1" t="s">
        <v>5963</v>
      </c>
      <c r="C598" s="1" t="s">
        <v>74</v>
      </c>
      <c r="D598" s="1" t="s">
        <v>74</v>
      </c>
      <c r="E598" s="1" t="s">
        <v>74</v>
      </c>
      <c r="F598" s="1" t="s">
        <v>5964</v>
      </c>
      <c r="G598" s="1" t="s">
        <v>74</v>
      </c>
      <c r="H598" s="1" t="s">
        <v>74</v>
      </c>
      <c r="I598" s="1" t="s">
        <v>5965</v>
      </c>
      <c r="J598" s="1" t="s">
        <v>1036</v>
      </c>
      <c r="K598" s="1" t="s">
        <v>74</v>
      </c>
      <c r="L598" s="1" t="s">
        <v>74</v>
      </c>
      <c r="M598" s="1" t="s">
        <v>74</v>
      </c>
      <c r="N598" s="1" t="s">
        <v>74</v>
      </c>
      <c r="O598" s="1" t="s">
        <v>74</v>
      </c>
      <c r="P598" s="1" t="s">
        <v>74</v>
      </c>
      <c r="Q598" s="1" t="s">
        <v>74</v>
      </c>
      <c r="R598" s="1" t="s">
        <v>74</v>
      </c>
      <c r="S598" s="1" t="s">
        <v>74</v>
      </c>
      <c r="T598" s="1" t="s">
        <v>74</v>
      </c>
      <c r="U598" s="1" t="s">
        <v>74</v>
      </c>
      <c r="V598" s="1" t="s">
        <v>5966</v>
      </c>
      <c r="W598" s="1" t="s">
        <v>74</v>
      </c>
      <c r="X598" s="1" t="s">
        <v>74</v>
      </c>
      <c r="Y598" s="1" t="s">
        <v>74</v>
      </c>
      <c r="Z598" s="1" t="s">
        <v>74</v>
      </c>
      <c r="AA598" s="1" t="s">
        <v>5967</v>
      </c>
      <c r="AB598" s="1" t="s">
        <v>5968</v>
      </c>
      <c r="AC598" s="1" t="s">
        <v>74</v>
      </c>
      <c r="AD598" s="1" t="s">
        <v>74</v>
      </c>
      <c r="AE598" s="1" t="s">
        <v>74</v>
      </c>
      <c r="AF598" s="1" t="s">
        <v>74</v>
      </c>
      <c r="AG598" s="1" t="s">
        <v>74</v>
      </c>
      <c r="AH598" s="1" t="s">
        <v>74</v>
      </c>
      <c r="AI598" s="1" t="s">
        <v>74</v>
      </c>
      <c r="AJ598" s="1" t="s">
        <v>74</v>
      </c>
      <c r="AK598" s="1" t="s">
        <v>74</v>
      </c>
      <c r="AL598" s="1" t="s">
        <v>74</v>
      </c>
      <c r="AM598" s="1" t="s">
        <v>74</v>
      </c>
      <c r="AN598" s="1" t="s">
        <v>74</v>
      </c>
      <c r="AO598" s="1" t="s">
        <v>1039</v>
      </c>
      <c r="AP598" s="1" t="s">
        <v>1040</v>
      </c>
      <c r="AQ598" s="1" t="s">
        <v>74</v>
      </c>
      <c r="AR598" s="1" t="s">
        <v>74</v>
      </c>
      <c r="AS598" s="1" t="s">
        <v>74</v>
      </c>
      <c r="AT598" s="1" t="s">
        <v>5171</v>
      </c>
      <c r="AU598" s="1">
        <v>2016.0</v>
      </c>
      <c r="AV598" s="1">
        <v>8.0</v>
      </c>
      <c r="AW598" s="1">
        <v>10.0</v>
      </c>
      <c r="AX598" s="1" t="s">
        <v>74</v>
      </c>
      <c r="AY598" s="1" t="s">
        <v>74</v>
      </c>
      <c r="AZ598" s="1" t="s">
        <v>74</v>
      </c>
      <c r="BA598" s="1" t="s">
        <v>74</v>
      </c>
      <c r="BB598" s="1">
        <v>1141.0</v>
      </c>
      <c r="BC598" s="1">
        <v>1150.0</v>
      </c>
      <c r="BD598" s="1" t="s">
        <v>74</v>
      </c>
      <c r="BE598" s="1" t="s">
        <v>5969</v>
      </c>
      <c r="BF598" s="2" t="str">
        <f>HYPERLINK("http://dx.doi.org/10.1039/c6mt00085a","http://dx.doi.org/10.1039/c6mt00085a")</f>
        <v>http://dx.doi.org/10.1039/c6mt00085a</v>
      </c>
      <c r="BG598" s="1" t="s">
        <v>74</v>
      </c>
      <c r="BH598" s="1" t="s">
        <v>74</v>
      </c>
      <c r="BI598" s="1" t="s">
        <v>74</v>
      </c>
      <c r="BJ598" s="1" t="s">
        <v>74</v>
      </c>
      <c r="BK598" s="1" t="s">
        <v>74</v>
      </c>
      <c r="BL598" s="1" t="s">
        <v>74</v>
      </c>
      <c r="BM598" s="1" t="s">
        <v>74</v>
      </c>
      <c r="BN598" s="1">
        <v>2.7603566E7</v>
      </c>
      <c r="BO598" s="1" t="s">
        <v>74</v>
      </c>
      <c r="BP598" s="1" t="s">
        <v>74</v>
      </c>
      <c r="BQ598" s="1" t="s">
        <v>74</v>
      </c>
      <c r="BR598" s="1" t="s">
        <v>74</v>
      </c>
      <c r="BS598" s="1" t="s">
        <v>5970</v>
      </c>
      <c r="BT598" s="1" t="str">
        <f>HYPERLINK("https%3A%2F%2Fwww.webofscience.com%2Fwos%2Fwoscc%2Ffull-record%2FWOS:000385594000011","View Full Record in Web of Science")</f>
        <v>View Full Record in Web of Science</v>
      </c>
    </row>
    <row r="599" ht="12.75" customHeight="1">
      <c r="A599" s="1" t="s">
        <v>72</v>
      </c>
      <c r="B599" s="1" t="s">
        <v>5971</v>
      </c>
      <c r="C599" s="1" t="s">
        <v>74</v>
      </c>
      <c r="D599" s="1" t="s">
        <v>74</v>
      </c>
      <c r="E599" s="1" t="s">
        <v>74</v>
      </c>
      <c r="F599" s="1" t="s">
        <v>5972</v>
      </c>
      <c r="G599" s="1" t="s">
        <v>74</v>
      </c>
      <c r="H599" s="1" t="s">
        <v>74</v>
      </c>
      <c r="I599" s="1" t="s">
        <v>5973</v>
      </c>
      <c r="J599" s="1" t="s">
        <v>5974</v>
      </c>
      <c r="K599" s="1" t="s">
        <v>74</v>
      </c>
      <c r="L599" s="1" t="s">
        <v>74</v>
      </c>
      <c r="M599" s="1" t="s">
        <v>74</v>
      </c>
      <c r="N599" s="1" t="s">
        <v>74</v>
      </c>
      <c r="O599" s="1" t="s">
        <v>74</v>
      </c>
      <c r="P599" s="1" t="s">
        <v>74</v>
      </c>
      <c r="Q599" s="1" t="s">
        <v>74</v>
      </c>
      <c r="R599" s="1" t="s">
        <v>74</v>
      </c>
      <c r="S599" s="1" t="s">
        <v>74</v>
      </c>
      <c r="T599" s="1" t="s">
        <v>74</v>
      </c>
      <c r="U599" s="1" t="s">
        <v>74</v>
      </c>
      <c r="V599" s="1" t="s">
        <v>5975</v>
      </c>
      <c r="W599" s="1" t="s">
        <v>74</v>
      </c>
      <c r="X599" s="1" t="s">
        <v>74</v>
      </c>
      <c r="Y599" s="1" t="s">
        <v>74</v>
      </c>
      <c r="Z599" s="1" t="s">
        <v>74</v>
      </c>
      <c r="AA599" s="1" t="s">
        <v>5976</v>
      </c>
      <c r="AB599" s="1" t="s">
        <v>5977</v>
      </c>
      <c r="AC599" s="1" t="s">
        <v>74</v>
      </c>
      <c r="AD599" s="1" t="s">
        <v>74</v>
      </c>
      <c r="AE599" s="1" t="s">
        <v>74</v>
      </c>
      <c r="AF599" s="1" t="s">
        <v>74</v>
      </c>
      <c r="AG599" s="1" t="s">
        <v>74</v>
      </c>
      <c r="AH599" s="1" t="s">
        <v>74</v>
      </c>
      <c r="AI599" s="1" t="s">
        <v>74</v>
      </c>
      <c r="AJ599" s="1" t="s">
        <v>74</v>
      </c>
      <c r="AK599" s="1" t="s">
        <v>74</v>
      </c>
      <c r="AL599" s="1" t="s">
        <v>74</v>
      </c>
      <c r="AM599" s="1" t="s">
        <v>74</v>
      </c>
      <c r="AN599" s="1" t="s">
        <v>74</v>
      </c>
      <c r="AO599" s="1" t="s">
        <v>5978</v>
      </c>
      <c r="AP599" s="1" t="s">
        <v>5979</v>
      </c>
      <c r="AQ599" s="1" t="s">
        <v>74</v>
      </c>
      <c r="AR599" s="1" t="s">
        <v>74</v>
      </c>
      <c r="AS599" s="1" t="s">
        <v>74</v>
      </c>
      <c r="AT599" s="1" t="s">
        <v>235</v>
      </c>
      <c r="AU599" s="1">
        <v>2016.0</v>
      </c>
      <c r="AV599" s="1">
        <v>22.0</v>
      </c>
      <c r="AW599" s="1">
        <v>1.0</v>
      </c>
      <c r="AX599" s="1" t="s">
        <v>74</v>
      </c>
      <c r="AY599" s="1" t="s">
        <v>74</v>
      </c>
      <c r="AZ599" s="1" t="s">
        <v>74</v>
      </c>
      <c r="BA599" s="1" t="s">
        <v>74</v>
      </c>
      <c r="BB599" s="1">
        <v>227.0</v>
      </c>
      <c r="BC599" s="1">
        <v>235.0</v>
      </c>
      <c r="BD599" s="1" t="s">
        <v>74</v>
      </c>
      <c r="BE599" s="1" t="s">
        <v>5980</v>
      </c>
      <c r="BF599" s="2" t="str">
        <f>HYPERLINK("http://dx.doi.org/10.1007/s11948-015-9632-6","http://dx.doi.org/10.1007/s11948-015-9632-6")</f>
        <v>http://dx.doi.org/10.1007/s11948-015-9632-6</v>
      </c>
      <c r="BG599" s="1" t="s">
        <v>74</v>
      </c>
      <c r="BH599" s="1" t="s">
        <v>74</v>
      </c>
      <c r="BI599" s="1" t="s">
        <v>74</v>
      </c>
      <c r="BJ599" s="1" t="s">
        <v>74</v>
      </c>
      <c r="BK599" s="1" t="s">
        <v>74</v>
      </c>
      <c r="BL599" s="1" t="s">
        <v>74</v>
      </c>
      <c r="BM599" s="1" t="s">
        <v>74</v>
      </c>
      <c r="BN599" s="1">
        <v>2.5689931E7</v>
      </c>
      <c r="BO599" s="1" t="s">
        <v>74</v>
      </c>
      <c r="BP599" s="1" t="s">
        <v>74</v>
      </c>
      <c r="BQ599" s="1" t="s">
        <v>74</v>
      </c>
      <c r="BR599" s="1" t="s">
        <v>74</v>
      </c>
      <c r="BS599" s="1" t="s">
        <v>5981</v>
      </c>
      <c r="BT599" s="1" t="str">
        <f>HYPERLINK("https%3A%2F%2Fwww.webofscience.com%2Fwos%2Fwoscc%2Ffull-record%2FWOS:000368702500012","View Full Record in Web of Science")</f>
        <v>View Full Record in Web of Science</v>
      </c>
    </row>
    <row r="600" ht="12.75" customHeight="1">
      <c r="A600" s="1" t="s">
        <v>72</v>
      </c>
      <c r="B600" s="1" t="s">
        <v>5982</v>
      </c>
      <c r="C600" s="1" t="s">
        <v>74</v>
      </c>
      <c r="D600" s="1" t="s">
        <v>74</v>
      </c>
      <c r="E600" s="1" t="s">
        <v>74</v>
      </c>
      <c r="F600" s="1" t="s">
        <v>5983</v>
      </c>
      <c r="G600" s="1" t="s">
        <v>74</v>
      </c>
      <c r="H600" s="1" t="s">
        <v>74</v>
      </c>
      <c r="I600" s="1" t="s">
        <v>5984</v>
      </c>
      <c r="J600" s="1" t="s">
        <v>5985</v>
      </c>
      <c r="K600" s="1" t="s">
        <v>74</v>
      </c>
      <c r="L600" s="1" t="s">
        <v>74</v>
      </c>
      <c r="M600" s="1" t="s">
        <v>74</v>
      </c>
      <c r="N600" s="1" t="s">
        <v>74</v>
      </c>
      <c r="O600" s="1" t="s">
        <v>5986</v>
      </c>
      <c r="P600" s="1" t="s">
        <v>5987</v>
      </c>
      <c r="Q600" s="1" t="s">
        <v>5988</v>
      </c>
      <c r="R600" s="1" t="s">
        <v>5989</v>
      </c>
      <c r="S600" s="1" t="s">
        <v>74</v>
      </c>
      <c r="T600" s="1" t="s">
        <v>74</v>
      </c>
      <c r="U600" s="1" t="s">
        <v>74</v>
      </c>
      <c r="V600" s="1" t="s">
        <v>5990</v>
      </c>
      <c r="W600" s="1" t="s">
        <v>74</v>
      </c>
      <c r="X600" s="1" t="s">
        <v>74</v>
      </c>
      <c r="Y600" s="1" t="s">
        <v>74</v>
      </c>
      <c r="Z600" s="1" t="s">
        <v>74</v>
      </c>
      <c r="AA600" s="1" t="s">
        <v>5991</v>
      </c>
      <c r="AB600" s="1" t="s">
        <v>5992</v>
      </c>
      <c r="AC600" s="1" t="s">
        <v>74</v>
      </c>
      <c r="AD600" s="1" t="s">
        <v>74</v>
      </c>
      <c r="AE600" s="1" t="s">
        <v>74</v>
      </c>
      <c r="AF600" s="1" t="s">
        <v>74</v>
      </c>
      <c r="AG600" s="1" t="s">
        <v>74</v>
      </c>
      <c r="AH600" s="1" t="s">
        <v>74</v>
      </c>
      <c r="AI600" s="1" t="s">
        <v>74</v>
      </c>
      <c r="AJ600" s="1" t="s">
        <v>74</v>
      </c>
      <c r="AK600" s="1" t="s">
        <v>74</v>
      </c>
      <c r="AL600" s="1" t="s">
        <v>74</v>
      </c>
      <c r="AM600" s="1" t="s">
        <v>74</v>
      </c>
      <c r="AN600" s="1" t="s">
        <v>74</v>
      </c>
      <c r="AO600" s="1" t="s">
        <v>5993</v>
      </c>
      <c r="AP600" s="1" t="s">
        <v>74</v>
      </c>
      <c r="AQ600" s="1" t="s">
        <v>74</v>
      </c>
      <c r="AR600" s="1" t="s">
        <v>74</v>
      </c>
      <c r="AS600" s="1" t="s">
        <v>74</v>
      </c>
      <c r="AT600" s="1" t="s">
        <v>74</v>
      </c>
      <c r="AU600" s="1">
        <v>2016.0</v>
      </c>
      <c r="AV600" s="1">
        <v>36.0</v>
      </c>
      <c r="AW600" s="1">
        <v>6.0</v>
      </c>
      <c r="AX600" s="1" t="s">
        <v>74</v>
      </c>
      <c r="AY600" s="1" t="s">
        <v>74</v>
      </c>
      <c r="AZ600" s="1" t="s">
        <v>74</v>
      </c>
      <c r="BA600" s="1" t="s">
        <v>74</v>
      </c>
      <c r="BB600" s="1">
        <v>246.0</v>
      </c>
      <c r="BC600" s="1">
        <v>255.0</v>
      </c>
      <c r="BD600" s="1" t="s">
        <v>74</v>
      </c>
      <c r="BE600" s="1" t="s">
        <v>74</v>
      </c>
      <c r="BF600" s="1" t="s">
        <v>74</v>
      </c>
      <c r="BG600" s="1" t="s">
        <v>74</v>
      </c>
      <c r="BH600" s="1" t="s">
        <v>74</v>
      </c>
      <c r="BI600" s="1" t="s">
        <v>74</v>
      </c>
      <c r="BJ600" s="1" t="s">
        <v>74</v>
      </c>
      <c r="BK600" s="1" t="s">
        <v>74</v>
      </c>
      <c r="BL600" s="1" t="s">
        <v>74</v>
      </c>
      <c r="BM600" s="1" t="s">
        <v>74</v>
      </c>
      <c r="BN600" s="1" t="s">
        <v>74</v>
      </c>
      <c r="BO600" s="1" t="s">
        <v>74</v>
      </c>
      <c r="BP600" s="1" t="s">
        <v>74</v>
      </c>
      <c r="BQ600" s="1" t="s">
        <v>74</v>
      </c>
      <c r="BR600" s="1" t="s">
        <v>74</v>
      </c>
      <c r="BS600" s="1" t="s">
        <v>5994</v>
      </c>
      <c r="BT600" s="1" t="str">
        <f>HYPERLINK("https%3A%2F%2Fwww.webofscience.com%2Fwos%2Fwoscc%2Ffull-record%2FWOS:000390081800005","View Full Record in Web of Science")</f>
        <v>View Full Record in Web of Science</v>
      </c>
    </row>
    <row r="601" ht="12.75" customHeight="1">
      <c r="A601" s="1" t="s">
        <v>274</v>
      </c>
      <c r="B601" s="1" t="s">
        <v>1344</v>
      </c>
      <c r="C601" s="1" t="s">
        <v>74</v>
      </c>
      <c r="D601" s="1" t="s">
        <v>5995</v>
      </c>
      <c r="E601" s="1" t="s">
        <v>74</v>
      </c>
      <c r="F601" s="1" t="s">
        <v>3555</v>
      </c>
      <c r="G601" s="1" t="s">
        <v>74</v>
      </c>
      <c r="H601" s="1" t="s">
        <v>74</v>
      </c>
      <c r="I601" s="1" t="s">
        <v>5996</v>
      </c>
      <c r="J601" s="1" t="s">
        <v>5997</v>
      </c>
      <c r="K601" s="1" t="s">
        <v>74</v>
      </c>
      <c r="L601" s="1" t="s">
        <v>74</v>
      </c>
      <c r="M601" s="1" t="s">
        <v>74</v>
      </c>
      <c r="N601" s="1" t="s">
        <v>74</v>
      </c>
      <c r="O601" s="1" t="s">
        <v>74</v>
      </c>
      <c r="P601" s="1" t="s">
        <v>74</v>
      </c>
      <c r="Q601" s="1" t="s">
        <v>74</v>
      </c>
      <c r="R601" s="1" t="s">
        <v>74</v>
      </c>
      <c r="S601" s="1" t="s">
        <v>74</v>
      </c>
      <c r="T601" s="1" t="s">
        <v>74</v>
      </c>
      <c r="U601" s="1" t="s">
        <v>74</v>
      </c>
      <c r="V601" s="1" t="s">
        <v>74</v>
      </c>
      <c r="W601" s="1" t="s">
        <v>74</v>
      </c>
      <c r="X601" s="1" t="s">
        <v>74</v>
      </c>
      <c r="Y601" s="1" t="s">
        <v>74</v>
      </c>
      <c r="Z601" s="1" t="s">
        <v>74</v>
      </c>
      <c r="AA601" s="1" t="s">
        <v>74</v>
      </c>
      <c r="AB601" s="1" t="s">
        <v>74</v>
      </c>
      <c r="AC601" s="1" t="s">
        <v>74</v>
      </c>
      <c r="AD601" s="1" t="s">
        <v>74</v>
      </c>
      <c r="AE601" s="1" t="s">
        <v>74</v>
      </c>
      <c r="AF601" s="1" t="s">
        <v>74</v>
      </c>
      <c r="AG601" s="1" t="s">
        <v>74</v>
      </c>
      <c r="AH601" s="1" t="s">
        <v>74</v>
      </c>
      <c r="AI601" s="1" t="s">
        <v>74</v>
      </c>
      <c r="AJ601" s="1" t="s">
        <v>74</v>
      </c>
      <c r="AK601" s="1" t="s">
        <v>74</v>
      </c>
      <c r="AL601" s="1" t="s">
        <v>74</v>
      </c>
      <c r="AM601" s="1" t="s">
        <v>74</v>
      </c>
      <c r="AN601" s="1" t="s">
        <v>74</v>
      </c>
      <c r="AO601" s="1" t="s">
        <v>74</v>
      </c>
      <c r="AP601" s="1" t="s">
        <v>74</v>
      </c>
      <c r="AQ601" s="1" t="s">
        <v>5998</v>
      </c>
      <c r="AR601" s="1" t="s">
        <v>74</v>
      </c>
      <c r="AS601" s="1" t="s">
        <v>74</v>
      </c>
      <c r="AT601" s="1" t="s">
        <v>74</v>
      </c>
      <c r="AU601" s="1">
        <v>2016.0</v>
      </c>
      <c r="AV601" s="1" t="s">
        <v>74</v>
      </c>
      <c r="AW601" s="1" t="s">
        <v>74</v>
      </c>
      <c r="AX601" s="1" t="s">
        <v>74</v>
      </c>
      <c r="AY601" s="1" t="s">
        <v>74</v>
      </c>
      <c r="AZ601" s="1" t="s">
        <v>74</v>
      </c>
      <c r="BA601" s="1" t="s">
        <v>74</v>
      </c>
      <c r="BB601" s="1">
        <v>386.0</v>
      </c>
      <c r="BC601" s="1">
        <v>415.0</v>
      </c>
      <c r="BD601" s="1" t="s">
        <v>74</v>
      </c>
      <c r="BE601" s="1" t="s">
        <v>74</v>
      </c>
      <c r="BF601" s="1" t="s">
        <v>74</v>
      </c>
      <c r="BG601" s="1" t="s">
        <v>5999</v>
      </c>
      <c r="BH601" s="1" t="s">
        <v>74</v>
      </c>
      <c r="BI601" s="1" t="s">
        <v>74</v>
      </c>
      <c r="BJ601" s="1" t="s">
        <v>74</v>
      </c>
      <c r="BK601" s="1" t="s">
        <v>74</v>
      </c>
      <c r="BL601" s="1" t="s">
        <v>74</v>
      </c>
      <c r="BM601" s="1" t="s">
        <v>74</v>
      </c>
      <c r="BN601" s="1" t="s">
        <v>74</v>
      </c>
      <c r="BO601" s="1" t="s">
        <v>74</v>
      </c>
      <c r="BP601" s="1" t="s">
        <v>74</v>
      </c>
      <c r="BQ601" s="1" t="s">
        <v>74</v>
      </c>
      <c r="BR601" s="1" t="s">
        <v>74</v>
      </c>
      <c r="BS601" s="1" t="s">
        <v>6000</v>
      </c>
      <c r="BT601" s="1" t="str">
        <f>HYPERLINK("https%3A%2F%2Fwww.webofscience.com%2Fwos%2Fwoscc%2Ffull-record%2FWOS:000402506500022","View Full Record in Web of Science")</f>
        <v>View Full Record in Web of Science</v>
      </c>
    </row>
    <row r="602" ht="12.75" customHeight="1">
      <c r="A602" s="1" t="s">
        <v>506</v>
      </c>
      <c r="B602" s="1" t="s">
        <v>6001</v>
      </c>
      <c r="C602" s="1" t="s">
        <v>74</v>
      </c>
      <c r="D602" s="1" t="s">
        <v>6002</v>
      </c>
      <c r="E602" s="1" t="s">
        <v>74</v>
      </c>
      <c r="F602" s="1" t="s">
        <v>6003</v>
      </c>
      <c r="G602" s="1" t="s">
        <v>74</v>
      </c>
      <c r="H602" s="1" t="s">
        <v>74</v>
      </c>
      <c r="I602" s="1" t="s">
        <v>6004</v>
      </c>
      <c r="J602" s="1" t="s">
        <v>6005</v>
      </c>
      <c r="K602" s="1" t="s">
        <v>6006</v>
      </c>
      <c r="L602" s="1" t="s">
        <v>74</v>
      </c>
      <c r="M602" s="1" t="s">
        <v>74</v>
      </c>
      <c r="N602" s="1" t="s">
        <v>74</v>
      </c>
      <c r="O602" s="1" t="s">
        <v>74</v>
      </c>
      <c r="P602" s="1" t="s">
        <v>74</v>
      </c>
      <c r="Q602" s="1" t="s">
        <v>74</v>
      </c>
      <c r="R602" s="1" t="s">
        <v>74</v>
      </c>
      <c r="S602" s="1" t="s">
        <v>74</v>
      </c>
      <c r="T602" s="1" t="s">
        <v>74</v>
      </c>
      <c r="U602" s="1" t="s">
        <v>74</v>
      </c>
      <c r="V602" s="1" t="s">
        <v>6007</v>
      </c>
      <c r="W602" s="1" t="s">
        <v>74</v>
      </c>
      <c r="X602" s="1" t="s">
        <v>74</v>
      </c>
      <c r="Y602" s="1" t="s">
        <v>74</v>
      </c>
      <c r="Z602" s="1" t="s">
        <v>74</v>
      </c>
      <c r="AA602" s="1" t="s">
        <v>6008</v>
      </c>
      <c r="AB602" s="1" t="s">
        <v>6009</v>
      </c>
      <c r="AC602" s="1" t="s">
        <v>74</v>
      </c>
      <c r="AD602" s="1" t="s">
        <v>74</v>
      </c>
      <c r="AE602" s="1" t="s">
        <v>74</v>
      </c>
      <c r="AF602" s="1" t="s">
        <v>74</v>
      </c>
      <c r="AG602" s="1" t="s">
        <v>74</v>
      </c>
      <c r="AH602" s="1" t="s">
        <v>74</v>
      </c>
      <c r="AI602" s="1" t="s">
        <v>74</v>
      </c>
      <c r="AJ602" s="1" t="s">
        <v>74</v>
      </c>
      <c r="AK602" s="1" t="s">
        <v>74</v>
      </c>
      <c r="AL602" s="1" t="s">
        <v>74</v>
      </c>
      <c r="AM602" s="1" t="s">
        <v>74</v>
      </c>
      <c r="AN602" s="1" t="s">
        <v>74</v>
      </c>
      <c r="AO602" s="1" t="s">
        <v>6010</v>
      </c>
      <c r="AP602" s="1" t="s">
        <v>74</v>
      </c>
      <c r="AQ602" s="1" t="s">
        <v>6011</v>
      </c>
      <c r="AR602" s="1" t="s">
        <v>74</v>
      </c>
      <c r="AS602" s="1" t="s">
        <v>74</v>
      </c>
      <c r="AT602" s="1" t="s">
        <v>74</v>
      </c>
      <c r="AU602" s="1">
        <v>2016.0</v>
      </c>
      <c r="AV602" s="1">
        <v>49.0</v>
      </c>
      <c r="AW602" s="1" t="s">
        <v>74</v>
      </c>
      <c r="AX602" s="1" t="s">
        <v>74</v>
      </c>
      <c r="AY602" s="1" t="s">
        <v>74</v>
      </c>
      <c r="AZ602" s="1" t="s">
        <v>74</v>
      </c>
      <c r="BA602" s="1" t="s">
        <v>74</v>
      </c>
      <c r="BB602" s="1">
        <v>151.0</v>
      </c>
      <c r="BC602" s="1">
        <v>202.0</v>
      </c>
      <c r="BD602" s="1" t="s">
        <v>74</v>
      </c>
      <c r="BE602" s="1" t="s">
        <v>6012</v>
      </c>
      <c r="BF602" s="2" t="str">
        <f>HYPERLINK("http://dx.doi.org/10.1007/978-3-319-04265-7_7","http://dx.doi.org/10.1007/978-3-319-04265-7_7")</f>
        <v>http://dx.doi.org/10.1007/978-3-319-04265-7_7</v>
      </c>
      <c r="BG602" s="1" t="s">
        <v>6013</v>
      </c>
      <c r="BH602" s="1" t="s">
        <v>74</v>
      </c>
      <c r="BI602" s="1" t="s">
        <v>74</v>
      </c>
      <c r="BJ602" s="1" t="s">
        <v>74</v>
      </c>
      <c r="BK602" s="1" t="s">
        <v>74</v>
      </c>
      <c r="BL602" s="1" t="s">
        <v>74</v>
      </c>
      <c r="BM602" s="1" t="s">
        <v>74</v>
      </c>
      <c r="BN602" s="1" t="s">
        <v>74</v>
      </c>
      <c r="BO602" s="1" t="s">
        <v>74</v>
      </c>
      <c r="BP602" s="1" t="s">
        <v>74</v>
      </c>
      <c r="BQ602" s="1" t="s">
        <v>74</v>
      </c>
      <c r="BR602" s="1" t="s">
        <v>74</v>
      </c>
      <c r="BS602" s="1" t="s">
        <v>6014</v>
      </c>
      <c r="BT602" s="1" t="str">
        <f>HYPERLINK("https%3A%2F%2Fwww.webofscience.com%2Fwos%2Fwoscc%2Ffull-record%2FWOS:000387211300008","View Full Record in Web of Science")</f>
        <v>View Full Record in Web of Science</v>
      </c>
    </row>
    <row r="603" ht="12.75" customHeight="1">
      <c r="A603" s="1" t="s">
        <v>72</v>
      </c>
      <c r="B603" s="1" t="s">
        <v>6015</v>
      </c>
      <c r="C603" s="1" t="s">
        <v>74</v>
      </c>
      <c r="D603" s="1" t="s">
        <v>74</v>
      </c>
      <c r="E603" s="1" t="s">
        <v>74</v>
      </c>
      <c r="F603" s="1" t="s">
        <v>6016</v>
      </c>
      <c r="G603" s="1" t="s">
        <v>74</v>
      </c>
      <c r="H603" s="1" t="s">
        <v>74</v>
      </c>
      <c r="I603" s="1" t="s">
        <v>6017</v>
      </c>
      <c r="J603" s="1" t="s">
        <v>6018</v>
      </c>
      <c r="K603" s="1" t="s">
        <v>74</v>
      </c>
      <c r="L603" s="1" t="s">
        <v>74</v>
      </c>
      <c r="M603" s="1" t="s">
        <v>74</v>
      </c>
      <c r="N603" s="1" t="s">
        <v>74</v>
      </c>
      <c r="O603" s="1" t="s">
        <v>74</v>
      </c>
      <c r="P603" s="1" t="s">
        <v>74</v>
      </c>
      <c r="Q603" s="1" t="s">
        <v>74</v>
      </c>
      <c r="R603" s="1" t="s">
        <v>74</v>
      </c>
      <c r="S603" s="1" t="s">
        <v>74</v>
      </c>
      <c r="T603" s="1" t="s">
        <v>74</v>
      </c>
      <c r="U603" s="1" t="s">
        <v>74</v>
      </c>
      <c r="V603" s="1" t="s">
        <v>6019</v>
      </c>
      <c r="W603" s="1" t="s">
        <v>74</v>
      </c>
      <c r="X603" s="1" t="s">
        <v>74</v>
      </c>
      <c r="Y603" s="1" t="s">
        <v>74</v>
      </c>
      <c r="Z603" s="1" t="s">
        <v>74</v>
      </c>
      <c r="AA603" s="1" t="s">
        <v>6020</v>
      </c>
      <c r="AB603" s="1" t="s">
        <v>6021</v>
      </c>
      <c r="AC603" s="1" t="s">
        <v>74</v>
      </c>
      <c r="AD603" s="1" t="s">
        <v>74</v>
      </c>
      <c r="AE603" s="1" t="s">
        <v>74</v>
      </c>
      <c r="AF603" s="1" t="s">
        <v>74</v>
      </c>
      <c r="AG603" s="1" t="s">
        <v>74</v>
      </c>
      <c r="AH603" s="1" t="s">
        <v>74</v>
      </c>
      <c r="AI603" s="1" t="s">
        <v>74</v>
      </c>
      <c r="AJ603" s="1" t="s">
        <v>74</v>
      </c>
      <c r="AK603" s="1" t="s">
        <v>74</v>
      </c>
      <c r="AL603" s="1" t="s">
        <v>74</v>
      </c>
      <c r="AM603" s="1" t="s">
        <v>74</v>
      </c>
      <c r="AN603" s="1" t="s">
        <v>74</v>
      </c>
      <c r="AO603" s="1" t="s">
        <v>6022</v>
      </c>
      <c r="AP603" s="1" t="s">
        <v>6023</v>
      </c>
      <c r="AQ603" s="1" t="s">
        <v>74</v>
      </c>
      <c r="AR603" s="1" t="s">
        <v>74</v>
      </c>
      <c r="AS603" s="1" t="s">
        <v>74</v>
      </c>
      <c r="AT603" s="1" t="s">
        <v>652</v>
      </c>
      <c r="AU603" s="1">
        <v>2015.0</v>
      </c>
      <c r="AV603" s="1">
        <v>48.0</v>
      </c>
      <c r="AW603" s="1">
        <v>4.0</v>
      </c>
      <c r="AX603" s="1" t="s">
        <v>74</v>
      </c>
      <c r="AY603" s="1" t="s">
        <v>74</v>
      </c>
      <c r="AZ603" s="1" t="s">
        <v>74</v>
      </c>
      <c r="BA603" s="1" t="s">
        <v>74</v>
      </c>
      <c r="BB603" s="1">
        <v>815.0</v>
      </c>
      <c r="BC603" s="1">
        <v>838.0</v>
      </c>
      <c r="BD603" s="1" t="s">
        <v>74</v>
      </c>
      <c r="BE603" s="1" t="s">
        <v>6024</v>
      </c>
      <c r="BF603" s="2" t="str">
        <f>HYPERLINK("http://dx.doi.org/10.1017/S0008423915001067","http://dx.doi.org/10.1017/S0008423915001067")</f>
        <v>http://dx.doi.org/10.1017/S0008423915001067</v>
      </c>
      <c r="BG603" s="1" t="s">
        <v>74</v>
      </c>
      <c r="BH603" s="1" t="s">
        <v>74</v>
      </c>
      <c r="BI603" s="1" t="s">
        <v>74</v>
      </c>
      <c r="BJ603" s="1" t="s">
        <v>74</v>
      </c>
      <c r="BK603" s="1" t="s">
        <v>74</v>
      </c>
      <c r="BL603" s="1" t="s">
        <v>74</v>
      </c>
      <c r="BM603" s="1" t="s">
        <v>74</v>
      </c>
      <c r="BN603" s="1" t="s">
        <v>74</v>
      </c>
      <c r="BO603" s="1" t="s">
        <v>74</v>
      </c>
      <c r="BP603" s="1" t="s">
        <v>74</v>
      </c>
      <c r="BQ603" s="1" t="s">
        <v>74</v>
      </c>
      <c r="BR603" s="1" t="s">
        <v>74</v>
      </c>
      <c r="BS603" s="1" t="s">
        <v>6025</v>
      </c>
      <c r="BT603" s="1" t="str">
        <f>HYPERLINK("https%3A%2F%2Fwww.webofscience.com%2Fwos%2Fwoscc%2Ffull-record%2FWOS:000379976700004","View Full Record in Web of Science")</f>
        <v>View Full Record in Web of Science</v>
      </c>
    </row>
    <row r="604" ht="12.75" customHeight="1">
      <c r="A604" s="1" t="s">
        <v>72</v>
      </c>
      <c r="B604" s="1" t="s">
        <v>6026</v>
      </c>
      <c r="C604" s="1" t="s">
        <v>74</v>
      </c>
      <c r="D604" s="1" t="s">
        <v>74</v>
      </c>
      <c r="E604" s="1" t="s">
        <v>74</v>
      </c>
      <c r="F604" s="1" t="s">
        <v>6027</v>
      </c>
      <c r="G604" s="1" t="s">
        <v>74</v>
      </c>
      <c r="H604" s="1" t="s">
        <v>74</v>
      </c>
      <c r="I604" s="1" t="s">
        <v>6028</v>
      </c>
      <c r="J604" s="1" t="s">
        <v>6029</v>
      </c>
      <c r="K604" s="1" t="s">
        <v>74</v>
      </c>
      <c r="L604" s="1" t="s">
        <v>74</v>
      </c>
      <c r="M604" s="1" t="s">
        <v>74</v>
      </c>
      <c r="N604" s="1" t="s">
        <v>74</v>
      </c>
      <c r="O604" s="1" t="s">
        <v>74</v>
      </c>
      <c r="P604" s="1" t="s">
        <v>74</v>
      </c>
      <c r="Q604" s="1" t="s">
        <v>74</v>
      </c>
      <c r="R604" s="1" t="s">
        <v>74</v>
      </c>
      <c r="S604" s="1" t="s">
        <v>74</v>
      </c>
      <c r="T604" s="1" t="s">
        <v>74</v>
      </c>
      <c r="U604" s="1" t="s">
        <v>74</v>
      </c>
      <c r="V604" s="1" t="s">
        <v>6030</v>
      </c>
      <c r="W604" s="1" t="s">
        <v>74</v>
      </c>
      <c r="X604" s="1" t="s">
        <v>74</v>
      </c>
      <c r="Y604" s="1" t="s">
        <v>74</v>
      </c>
      <c r="Z604" s="1" t="s">
        <v>74</v>
      </c>
      <c r="AA604" s="1" t="s">
        <v>6031</v>
      </c>
      <c r="AB604" s="1" t="s">
        <v>1121</v>
      </c>
      <c r="AC604" s="1" t="s">
        <v>74</v>
      </c>
      <c r="AD604" s="1" t="s">
        <v>74</v>
      </c>
      <c r="AE604" s="1" t="s">
        <v>74</v>
      </c>
      <c r="AF604" s="1" t="s">
        <v>74</v>
      </c>
      <c r="AG604" s="1" t="s">
        <v>74</v>
      </c>
      <c r="AH604" s="1" t="s">
        <v>74</v>
      </c>
      <c r="AI604" s="1" t="s">
        <v>74</v>
      </c>
      <c r="AJ604" s="1" t="s">
        <v>74</v>
      </c>
      <c r="AK604" s="1" t="s">
        <v>74</v>
      </c>
      <c r="AL604" s="1" t="s">
        <v>74</v>
      </c>
      <c r="AM604" s="1" t="s">
        <v>74</v>
      </c>
      <c r="AN604" s="1" t="s">
        <v>74</v>
      </c>
      <c r="AO604" s="1" t="s">
        <v>6032</v>
      </c>
      <c r="AP604" s="1" t="s">
        <v>6033</v>
      </c>
      <c r="AQ604" s="1" t="s">
        <v>74</v>
      </c>
      <c r="AR604" s="1" t="s">
        <v>74</v>
      </c>
      <c r="AS604" s="1" t="s">
        <v>74</v>
      </c>
      <c r="AT604" s="1" t="s">
        <v>678</v>
      </c>
      <c r="AU604" s="1">
        <v>2013.0</v>
      </c>
      <c r="AV604" s="1">
        <v>26.0</v>
      </c>
      <c r="AW604" s="1">
        <v>10.0</v>
      </c>
      <c r="AX604" s="1" t="s">
        <v>74</v>
      </c>
      <c r="AY604" s="1" t="s">
        <v>74</v>
      </c>
      <c r="AZ604" s="1" t="s">
        <v>74</v>
      </c>
      <c r="BA604" s="1" t="s">
        <v>74</v>
      </c>
      <c r="BB604" s="1">
        <v>2349.0</v>
      </c>
      <c r="BC604" s="1">
        <v>2355.0</v>
      </c>
      <c r="BD604" s="1" t="s">
        <v>74</v>
      </c>
      <c r="BE604" s="1" t="s">
        <v>6034</v>
      </c>
      <c r="BF604" s="2" t="str">
        <f>HYPERLINK("http://dx.doi.org/10.1016/j.engappai.2013.08.003","http://dx.doi.org/10.1016/j.engappai.2013.08.003")</f>
        <v>http://dx.doi.org/10.1016/j.engappai.2013.08.003</v>
      </c>
      <c r="BG604" s="1" t="s">
        <v>74</v>
      </c>
      <c r="BH604" s="1" t="s">
        <v>74</v>
      </c>
      <c r="BI604" s="1" t="s">
        <v>74</v>
      </c>
      <c r="BJ604" s="1" t="s">
        <v>74</v>
      </c>
      <c r="BK604" s="1" t="s">
        <v>74</v>
      </c>
      <c r="BL604" s="1" t="s">
        <v>74</v>
      </c>
      <c r="BM604" s="1" t="s">
        <v>74</v>
      </c>
      <c r="BN604" s="1" t="s">
        <v>74</v>
      </c>
      <c r="BO604" s="1" t="s">
        <v>74</v>
      </c>
      <c r="BP604" s="1" t="s">
        <v>74</v>
      </c>
      <c r="BQ604" s="1" t="s">
        <v>74</v>
      </c>
      <c r="BR604" s="1" t="s">
        <v>74</v>
      </c>
      <c r="BS604" s="1" t="s">
        <v>6035</v>
      </c>
      <c r="BT604" s="1" t="str">
        <f>HYPERLINK("https%3A%2F%2Fwww.webofscience.com%2Fwos%2Fwoscc%2Ffull-record%2FWOS:000326904500009","View Full Record in Web of Science")</f>
        <v>View Full Record in Web of Science</v>
      </c>
    </row>
    <row r="605" ht="12.75" customHeight="1">
      <c r="A605" s="1" t="s">
        <v>182</v>
      </c>
      <c r="B605" s="1" t="s">
        <v>6036</v>
      </c>
      <c r="C605" s="1" t="s">
        <v>74</v>
      </c>
      <c r="D605" s="1" t="s">
        <v>6037</v>
      </c>
      <c r="E605" s="1" t="s">
        <v>74</v>
      </c>
      <c r="F605" s="1" t="s">
        <v>6038</v>
      </c>
      <c r="G605" s="1" t="s">
        <v>74</v>
      </c>
      <c r="H605" s="1" t="s">
        <v>74</v>
      </c>
      <c r="I605" s="1" t="s">
        <v>6039</v>
      </c>
      <c r="J605" s="1" t="s">
        <v>6040</v>
      </c>
      <c r="K605" s="1" t="s">
        <v>380</v>
      </c>
      <c r="L605" s="1" t="s">
        <v>74</v>
      </c>
      <c r="M605" s="1" t="s">
        <v>74</v>
      </c>
      <c r="N605" s="1" t="s">
        <v>74</v>
      </c>
      <c r="O605" s="1" t="s">
        <v>6041</v>
      </c>
      <c r="P605" s="1" t="s">
        <v>6042</v>
      </c>
      <c r="Q605" s="1" t="s">
        <v>3159</v>
      </c>
      <c r="R605" s="1" t="s">
        <v>6043</v>
      </c>
      <c r="S605" s="1" t="s">
        <v>74</v>
      </c>
      <c r="T605" s="1" t="s">
        <v>74</v>
      </c>
      <c r="U605" s="1" t="s">
        <v>74</v>
      </c>
      <c r="V605" s="1" t="s">
        <v>6044</v>
      </c>
      <c r="W605" s="1" t="s">
        <v>74</v>
      </c>
      <c r="X605" s="1" t="s">
        <v>74</v>
      </c>
      <c r="Y605" s="1" t="s">
        <v>74</v>
      </c>
      <c r="Z605" s="1" t="s">
        <v>74</v>
      </c>
      <c r="AA605" s="1" t="s">
        <v>6045</v>
      </c>
      <c r="AB605" s="1" t="s">
        <v>6046</v>
      </c>
      <c r="AC605" s="1" t="s">
        <v>74</v>
      </c>
      <c r="AD605" s="1" t="s">
        <v>74</v>
      </c>
      <c r="AE605" s="1" t="s">
        <v>74</v>
      </c>
      <c r="AF605" s="1" t="s">
        <v>74</v>
      </c>
      <c r="AG605" s="1" t="s">
        <v>74</v>
      </c>
      <c r="AH605" s="1" t="s">
        <v>74</v>
      </c>
      <c r="AI605" s="1" t="s">
        <v>74</v>
      </c>
      <c r="AJ605" s="1" t="s">
        <v>74</v>
      </c>
      <c r="AK605" s="1" t="s">
        <v>74</v>
      </c>
      <c r="AL605" s="1" t="s">
        <v>74</v>
      </c>
      <c r="AM605" s="1" t="s">
        <v>74</v>
      </c>
      <c r="AN605" s="1" t="s">
        <v>74</v>
      </c>
      <c r="AO605" s="1" t="s">
        <v>388</v>
      </c>
      <c r="AP605" s="1" t="s">
        <v>74</v>
      </c>
      <c r="AQ605" s="1" t="s">
        <v>74</v>
      </c>
      <c r="AR605" s="1" t="s">
        <v>74</v>
      </c>
      <c r="AS605" s="1" t="s">
        <v>74</v>
      </c>
      <c r="AT605" s="1" t="s">
        <v>74</v>
      </c>
      <c r="AU605" s="1">
        <v>2013.0</v>
      </c>
      <c r="AV605" s="1">
        <v>18.0</v>
      </c>
      <c r="AW605" s="1" t="s">
        <v>74</v>
      </c>
      <c r="AX605" s="1" t="s">
        <v>74</v>
      </c>
      <c r="AY605" s="1" t="s">
        <v>74</v>
      </c>
      <c r="AZ605" s="1" t="s">
        <v>74</v>
      </c>
      <c r="BA605" s="1" t="s">
        <v>74</v>
      </c>
      <c r="BB605" s="1">
        <v>120.0</v>
      </c>
      <c r="BC605" s="1">
        <v>129.0</v>
      </c>
      <c r="BD605" s="1" t="s">
        <v>74</v>
      </c>
      <c r="BE605" s="1" t="s">
        <v>6047</v>
      </c>
      <c r="BF605" s="2" t="str">
        <f>HYPERLINK("http://dx.doi.org/10.1016/j.procs.2013.05.175","http://dx.doi.org/10.1016/j.procs.2013.05.175")</f>
        <v>http://dx.doi.org/10.1016/j.procs.2013.05.175</v>
      </c>
      <c r="BG605" s="1" t="s">
        <v>74</v>
      </c>
      <c r="BH605" s="1" t="s">
        <v>74</v>
      </c>
      <c r="BI605" s="1" t="s">
        <v>74</v>
      </c>
      <c r="BJ605" s="1" t="s">
        <v>74</v>
      </c>
      <c r="BK605" s="1" t="s">
        <v>74</v>
      </c>
      <c r="BL605" s="1" t="s">
        <v>74</v>
      </c>
      <c r="BM605" s="1" t="s">
        <v>74</v>
      </c>
      <c r="BN605" s="1" t="s">
        <v>74</v>
      </c>
      <c r="BO605" s="1" t="s">
        <v>74</v>
      </c>
      <c r="BP605" s="1" t="s">
        <v>74</v>
      </c>
      <c r="BQ605" s="1" t="s">
        <v>74</v>
      </c>
      <c r="BR605" s="1" t="s">
        <v>74</v>
      </c>
      <c r="BS605" s="1" t="s">
        <v>6048</v>
      </c>
      <c r="BT605" s="1" t="str">
        <f>HYPERLINK("https%3A%2F%2Fwww.webofscience.com%2Fwos%2Fwoscc%2Ffull-record%2FWOS:000321051200012","View Full Record in Web of Science")</f>
        <v>View Full Record in Web of Science</v>
      </c>
    </row>
    <row r="606" ht="12.75" customHeight="1">
      <c r="A606" s="1" t="s">
        <v>72</v>
      </c>
      <c r="B606" s="1" t="s">
        <v>6049</v>
      </c>
      <c r="C606" s="1" t="s">
        <v>74</v>
      </c>
      <c r="D606" s="1" t="s">
        <v>74</v>
      </c>
      <c r="E606" s="1" t="s">
        <v>74</v>
      </c>
      <c r="F606" s="1" t="s">
        <v>6050</v>
      </c>
      <c r="G606" s="1" t="s">
        <v>74</v>
      </c>
      <c r="H606" s="1" t="s">
        <v>74</v>
      </c>
      <c r="I606" s="1" t="s">
        <v>6051</v>
      </c>
      <c r="J606" s="1" t="s">
        <v>4101</v>
      </c>
      <c r="K606" s="1" t="s">
        <v>74</v>
      </c>
      <c r="L606" s="1" t="s">
        <v>74</v>
      </c>
      <c r="M606" s="1" t="s">
        <v>74</v>
      </c>
      <c r="N606" s="1" t="s">
        <v>74</v>
      </c>
      <c r="O606" s="1" t="s">
        <v>74</v>
      </c>
      <c r="P606" s="1" t="s">
        <v>74</v>
      </c>
      <c r="Q606" s="1" t="s">
        <v>74</v>
      </c>
      <c r="R606" s="1" t="s">
        <v>74</v>
      </c>
      <c r="S606" s="1" t="s">
        <v>74</v>
      </c>
      <c r="T606" s="1" t="s">
        <v>74</v>
      </c>
      <c r="U606" s="1" t="s">
        <v>74</v>
      </c>
      <c r="V606" s="1" t="s">
        <v>6052</v>
      </c>
      <c r="W606" s="1" t="s">
        <v>74</v>
      </c>
      <c r="X606" s="1" t="s">
        <v>74</v>
      </c>
      <c r="Y606" s="1" t="s">
        <v>74</v>
      </c>
      <c r="Z606" s="1" t="s">
        <v>74</v>
      </c>
      <c r="AA606" s="1" t="s">
        <v>2572</v>
      </c>
      <c r="AB606" s="1" t="s">
        <v>6053</v>
      </c>
      <c r="AC606" s="1" t="s">
        <v>74</v>
      </c>
      <c r="AD606" s="1" t="s">
        <v>74</v>
      </c>
      <c r="AE606" s="1" t="s">
        <v>74</v>
      </c>
      <c r="AF606" s="1" t="s">
        <v>74</v>
      </c>
      <c r="AG606" s="1" t="s">
        <v>74</v>
      </c>
      <c r="AH606" s="1" t="s">
        <v>74</v>
      </c>
      <c r="AI606" s="1" t="s">
        <v>74</v>
      </c>
      <c r="AJ606" s="1" t="s">
        <v>74</v>
      </c>
      <c r="AK606" s="1" t="s">
        <v>74</v>
      </c>
      <c r="AL606" s="1" t="s">
        <v>74</v>
      </c>
      <c r="AM606" s="1" t="s">
        <v>74</v>
      </c>
      <c r="AN606" s="1" t="s">
        <v>74</v>
      </c>
      <c r="AO606" s="1" t="s">
        <v>4105</v>
      </c>
      <c r="AP606" s="1" t="s">
        <v>4106</v>
      </c>
      <c r="AQ606" s="1" t="s">
        <v>74</v>
      </c>
      <c r="AR606" s="1" t="s">
        <v>74</v>
      </c>
      <c r="AS606" s="1" t="s">
        <v>74</v>
      </c>
      <c r="AT606" s="1" t="s">
        <v>74</v>
      </c>
      <c r="AU606" s="1">
        <v>2012.0</v>
      </c>
      <c r="AV606" s="1">
        <v>14.0</v>
      </c>
      <c r="AW606" s="1">
        <v>45.0</v>
      </c>
      <c r="AX606" s="1" t="s">
        <v>74</v>
      </c>
      <c r="AY606" s="1" t="s">
        <v>74</v>
      </c>
      <c r="AZ606" s="1" t="s">
        <v>74</v>
      </c>
      <c r="BA606" s="1" t="s">
        <v>74</v>
      </c>
      <c r="BB606" s="1">
        <v>400.0</v>
      </c>
      <c r="BC606" s="1">
        <v>418.0</v>
      </c>
      <c r="BD606" s="1" t="s">
        <v>74</v>
      </c>
      <c r="BE606" s="1" t="s">
        <v>74</v>
      </c>
      <c r="BF606" s="1" t="s">
        <v>74</v>
      </c>
      <c r="BG606" s="1" t="s">
        <v>74</v>
      </c>
      <c r="BH606" s="1" t="s">
        <v>74</v>
      </c>
      <c r="BI606" s="1" t="s">
        <v>74</v>
      </c>
      <c r="BJ606" s="1" t="s">
        <v>74</v>
      </c>
      <c r="BK606" s="1" t="s">
        <v>74</v>
      </c>
      <c r="BL606" s="1" t="s">
        <v>74</v>
      </c>
      <c r="BM606" s="1" t="s">
        <v>74</v>
      </c>
      <c r="BN606" s="1" t="s">
        <v>74</v>
      </c>
      <c r="BO606" s="1" t="s">
        <v>74</v>
      </c>
      <c r="BP606" s="1" t="s">
        <v>74</v>
      </c>
      <c r="BQ606" s="1" t="s">
        <v>74</v>
      </c>
      <c r="BR606" s="1" t="s">
        <v>74</v>
      </c>
      <c r="BS606" s="1" t="s">
        <v>6054</v>
      </c>
      <c r="BT606" s="1" t="str">
        <f>HYPERLINK("https%3A%2F%2Fwww.webofscience.com%2Fwos%2Fwoscc%2Ffull-record%2FWOS:000312742600003","View Full Record in Web of Science")</f>
        <v>View Full Record in Web of Science</v>
      </c>
    </row>
    <row r="607" ht="12.75" customHeight="1">
      <c r="A607" s="1" t="s">
        <v>72</v>
      </c>
      <c r="B607" s="1" t="s">
        <v>6055</v>
      </c>
      <c r="C607" s="1" t="s">
        <v>74</v>
      </c>
      <c r="D607" s="1" t="s">
        <v>74</v>
      </c>
      <c r="E607" s="1" t="s">
        <v>74</v>
      </c>
      <c r="F607" s="1" t="s">
        <v>6056</v>
      </c>
      <c r="G607" s="1" t="s">
        <v>74</v>
      </c>
      <c r="H607" s="1" t="s">
        <v>74</v>
      </c>
      <c r="I607" s="1" t="s">
        <v>6057</v>
      </c>
      <c r="J607" s="1" t="s">
        <v>6058</v>
      </c>
      <c r="K607" s="1" t="s">
        <v>74</v>
      </c>
      <c r="L607" s="1" t="s">
        <v>74</v>
      </c>
      <c r="M607" s="1" t="s">
        <v>74</v>
      </c>
      <c r="N607" s="1" t="s">
        <v>74</v>
      </c>
      <c r="O607" s="1" t="s">
        <v>74</v>
      </c>
      <c r="P607" s="1" t="s">
        <v>74</v>
      </c>
      <c r="Q607" s="1" t="s">
        <v>74</v>
      </c>
      <c r="R607" s="1" t="s">
        <v>74</v>
      </c>
      <c r="S607" s="1" t="s">
        <v>74</v>
      </c>
      <c r="T607" s="1" t="s">
        <v>74</v>
      </c>
      <c r="U607" s="1" t="s">
        <v>74</v>
      </c>
      <c r="V607" s="1" t="s">
        <v>6059</v>
      </c>
      <c r="W607" s="1" t="s">
        <v>74</v>
      </c>
      <c r="X607" s="1" t="s">
        <v>74</v>
      </c>
      <c r="Y607" s="1" t="s">
        <v>74</v>
      </c>
      <c r="Z607" s="1" t="s">
        <v>74</v>
      </c>
      <c r="AA607" s="1" t="s">
        <v>74</v>
      </c>
      <c r="AB607" s="1" t="s">
        <v>6060</v>
      </c>
      <c r="AC607" s="1" t="s">
        <v>74</v>
      </c>
      <c r="AD607" s="1" t="s">
        <v>74</v>
      </c>
      <c r="AE607" s="1" t="s">
        <v>74</v>
      </c>
      <c r="AF607" s="1" t="s">
        <v>74</v>
      </c>
      <c r="AG607" s="1" t="s">
        <v>74</v>
      </c>
      <c r="AH607" s="1" t="s">
        <v>74</v>
      </c>
      <c r="AI607" s="1" t="s">
        <v>74</v>
      </c>
      <c r="AJ607" s="1" t="s">
        <v>74</v>
      </c>
      <c r="AK607" s="1" t="s">
        <v>74</v>
      </c>
      <c r="AL607" s="1" t="s">
        <v>74</v>
      </c>
      <c r="AM607" s="1" t="s">
        <v>74</v>
      </c>
      <c r="AN607" s="1" t="s">
        <v>74</v>
      </c>
      <c r="AO607" s="1" t="s">
        <v>6061</v>
      </c>
      <c r="AP607" s="1" t="s">
        <v>6062</v>
      </c>
      <c r="AQ607" s="1" t="s">
        <v>74</v>
      </c>
      <c r="AR607" s="1" t="s">
        <v>74</v>
      </c>
      <c r="AS607" s="1" t="s">
        <v>74</v>
      </c>
      <c r="AT607" s="1" t="s">
        <v>606</v>
      </c>
      <c r="AU607" s="1">
        <v>2011.0</v>
      </c>
      <c r="AV607" s="1">
        <v>43.0</v>
      </c>
      <c r="AW607" s="1" t="s">
        <v>74</v>
      </c>
      <c r="AX607" s="1">
        <v>5.0</v>
      </c>
      <c r="AY607" s="1" t="s">
        <v>74</v>
      </c>
      <c r="AZ607" s="1" t="s">
        <v>74</v>
      </c>
      <c r="BA607" s="1" t="s">
        <v>74</v>
      </c>
      <c r="BB607" s="1">
        <v>901.0</v>
      </c>
      <c r="BC607" s="1">
        <v>911.0</v>
      </c>
      <c r="BD607" s="1" t="s">
        <v>74</v>
      </c>
      <c r="BE607" s="1" t="s">
        <v>6063</v>
      </c>
      <c r="BF607" s="2" t="str">
        <f>HYPERLINK("http://dx.doi.org/10.1112/blms/bdr027","http://dx.doi.org/10.1112/blms/bdr027")</f>
        <v>http://dx.doi.org/10.1112/blms/bdr027</v>
      </c>
      <c r="BG607" s="1" t="s">
        <v>74</v>
      </c>
      <c r="BH607" s="1" t="s">
        <v>74</v>
      </c>
      <c r="BI607" s="1" t="s">
        <v>74</v>
      </c>
      <c r="BJ607" s="1" t="s">
        <v>74</v>
      </c>
      <c r="BK607" s="1" t="s">
        <v>74</v>
      </c>
      <c r="BL607" s="1" t="s">
        <v>74</v>
      </c>
      <c r="BM607" s="1" t="s">
        <v>74</v>
      </c>
      <c r="BN607" s="1" t="s">
        <v>74</v>
      </c>
      <c r="BO607" s="1" t="s">
        <v>74</v>
      </c>
      <c r="BP607" s="1" t="s">
        <v>74</v>
      </c>
      <c r="BQ607" s="1" t="s">
        <v>74</v>
      </c>
      <c r="BR607" s="1" t="s">
        <v>74</v>
      </c>
      <c r="BS607" s="1" t="s">
        <v>6064</v>
      </c>
      <c r="BT607" s="1" t="str">
        <f>HYPERLINK("https%3A%2F%2Fwww.webofscience.com%2Fwos%2Fwoscc%2Ffull-record%2FWOS:000294959100008","View Full Record in Web of Science")</f>
        <v>View Full Record in Web of Science</v>
      </c>
    </row>
    <row r="608" ht="12.75" customHeight="1">
      <c r="A608" s="1" t="s">
        <v>72</v>
      </c>
      <c r="B608" s="1" t="s">
        <v>6065</v>
      </c>
      <c r="C608" s="1" t="s">
        <v>74</v>
      </c>
      <c r="D608" s="1" t="s">
        <v>74</v>
      </c>
      <c r="E608" s="1" t="s">
        <v>74</v>
      </c>
      <c r="F608" s="1" t="s">
        <v>6066</v>
      </c>
      <c r="G608" s="1" t="s">
        <v>74</v>
      </c>
      <c r="H608" s="1" t="s">
        <v>74</v>
      </c>
      <c r="I608" s="1" t="s">
        <v>6067</v>
      </c>
      <c r="J608" s="1" t="s">
        <v>6068</v>
      </c>
      <c r="K608" s="1" t="s">
        <v>74</v>
      </c>
      <c r="L608" s="1" t="s">
        <v>74</v>
      </c>
      <c r="M608" s="1" t="s">
        <v>74</v>
      </c>
      <c r="N608" s="1" t="s">
        <v>74</v>
      </c>
      <c r="O608" s="1" t="s">
        <v>74</v>
      </c>
      <c r="P608" s="1" t="s">
        <v>74</v>
      </c>
      <c r="Q608" s="1" t="s">
        <v>74</v>
      </c>
      <c r="R608" s="1" t="s">
        <v>74</v>
      </c>
      <c r="S608" s="1" t="s">
        <v>74</v>
      </c>
      <c r="T608" s="1" t="s">
        <v>74</v>
      </c>
      <c r="U608" s="1" t="s">
        <v>74</v>
      </c>
      <c r="V608" s="1" t="s">
        <v>6069</v>
      </c>
      <c r="W608" s="1" t="s">
        <v>74</v>
      </c>
      <c r="X608" s="1" t="s">
        <v>74</v>
      </c>
      <c r="Y608" s="1" t="s">
        <v>74</v>
      </c>
      <c r="Z608" s="1" t="s">
        <v>74</v>
      </c>
      <c r="AA608" s="1" t="s">
        <v>6070</v>
      </c>
      <c r="AB608" s="1" t="s">
        <v>6071</v>
      </c>
      <c r="AC608" s="1" t="s">
        <v>74</v>
      </c>
      <c r="AD608" s="1" t="s">
        <v>74</v>
      </c>
      <c r="AE608" s="1" t="s">
        <v>74</v>
      </c>
      <c r="AF608" s="1" t="s">
        <v>74</v>
      </c>
      <c r="AG608" s="1" t="s">
        <v>74</v>
      </c>
      <c r="AH608" s="1" t="s">
        <v>74</v>
      </c>
      <c r="AI608" s="1" t="s">
        <v>74</v>
      </c>
      <c r="AJ608" s="1" t="s">
        <v>74</v>
      </c>
      <c r="AK608" s="1" t="s">
        <v>74</v>
      </c>
      <c r="AL608" s="1" t="s">
        <v>74</v>
      </c>
      <c r="AM608" s="1" t="s">
        <v>74</v>
      </c>
      <c r="AN608" s="1" t="s">
        <v>74</v>
      </c>
      <c r="AO608" s="1" t="s">
        <v>6072</v>
      </c>
      <c r="AP608" s="1" t="s">
        <v>6073</v>
      </c>
      <c r="AQ608" s="1" t="s">
        <v>74</v>
      </c>
      <c r="AR608" s="1" t="s">
        <v>74</v>
      </c>
      <c r="AS608" s="1" t="s">
        <v>74</v>
      </c>
      <c r="AT608" s="1" t="s">
        <v>223</v>
      </c>
      <c r="AU608" s="1">
        <v>2009.0</v>
      </c>
      <c r="AV608" s="1">
        <v>282.0</v>
      </c>
      <c r="AW608" s="1">
        <v>5.0</v>
      </c>
      <c r="AX608" s="1" t="s">
        <v>74</v>
      </c>
      <c r="AY608" s="1" t="s">
        <v>74</v>
      </c>
      <c r="AZ608" s="1" t="s">
        <v>74</v>
      </c>
      <c r="BA608" s="1" t="s">
        <v>74</v>
      </c>
      <c r="BB608" s="1">
        <v>686.0</v>
      </c>
      <c r="BC608" s="1">
        <v>691.0</v>
      </c>
      <c r="BD608" s="1" t="s">
        <v>74</v>
      </c>
      <c r="BE608" s="1" t="s">
        <v>6074</v>
      </c>
      <c r="BF608" s="2" t="str">
        <f>HYPERLINK("http://dx.doi.org/10.1016/j.optcom.2008.10.072","http://dx.doi.org/10.1016/j.optcom.2008.10.072")</f>
        <v>http://dx.doi.org/10.1016/j.optcom.2008.10.072</v>
      </c>
      <c r="BG608" s="1" t="s">
        <v>74</v>
      </c>
      <c r="BH608" s="1" t="s">
        <v>74</v>
      </c>
      <c r="BI608" s="1" t="s">
        <v>74</v>
      </c>
      <c r="BJ608" s="1" t="s">
        <v>74</v>
      </c>
      <c r="BK608" s="1" t="s">
        <v>74</v>
      </c>
      <c r="BL608" s="1" t="s">
        <v>74</v>
      </c>
      <c r="BM608" s="1" t="s">
        <v>74</v>
      </c>
      <c r="BN608" s="1" t="s">
        <v>74</v>
      </c>
      <c r="BO608" s="1" t="s">
        <v>74</v>
      </c>
      <c r="BP608" s="1" t="s">
        <v>74</v>
      </c>
      <c r="BQ608" s="1" t="s">
        <v>74</v>
      </c>
      <c r="BR608" s="1" t="s">
        <v>74</v>
      </c>
      <c r="BS608" s="1" t="s">
        <v>6075</v>
      </c>
      <c r="BT608" s="1" t="str">
        <f>HYPERLINK("https%3A%2F%2Fwww.webofscience.com%2Fwos%2Fwoscc%2Ffull-record%2FWOS:000263404400002","View Full Record in Web of Science")</f>
        <v>View Full Record in Web of Science</v>
      </c>
    </row>
    <row r="609" ht="12.75" customHeight="1">
      <c r="A609" s="1" t="s">
        <v>72</v>
      </c>
      <c r="B609" s="1" t="s">
        <v>6076</v>
      </c>
      <c r="C609" s="1" t="s">
        <v>74</v>
      </c>
      <c r="D609" s="1" t="s">
        <v>74</v>
      </c>
      <c r="E609" s="1" t="s">
        <v>74</v>
      </c>
      <c r="F609" s="1" t="s">
        <v>6077</v>
      </c>
      <c r="G609" s="1" t="s">
        <v>74</v>
      </c>
      <c r="H609" s="1" t="s">
        <v>74</v>
      </c>
      <c r="I609" s="1" t="s">
        <v>6078</v>
      </c>
      <c r="J609" s="1" t="s">
        <v>3425</v>
      </c>
      <c r="K609" s="1" t="s">
        <v>74</v>
      </c>
      <c r="L609" s="1" t="s">
        <v>74</v>
      </c>
      <c r="M609" s="1" t="s">
        <v>74</v>
      </c>
      <c r="N609" s="1" t="s">
        <v>74</v>
      </c>
      <c r="O609" s="1" t="s">
        <v>6079</v>
      </c>
      <c r="P609" s="1" t="s">
        <v>6080</v>
      </c>
      <c r="Q609" s="1" t="s">
        <v>6081</v>
      </c>
      <c r="R609" s="1" t="s">
        <v>6082</v>
      </c>
      <c r="S609" s="1" t="s">
        <v>74</v>
      </c>
      <c r="T609" s="1" t="s">
        <v>74</v>
      </c>
      <c r="U609" s="1" t="s">
        <v>74</v>
      </c>
      <c r="V609" s="1" t="s">
        <v>74</v>
      </c>
      <c r="W609" s="1" t="s">
        <v>74</v>
      </c>
      <c r="X609" s="1" t="s">
        <v>74</v>
      </c>
      <c r="Y609" s="1" t="s">
        <v>74</v>
      </c>
      <c r="Z609" s="1" t="s">
        <v>74</v>
      </c>
      <c r="AA609" s="1" t="s">
        <v>74</v>
      </c>
      <c r="AB609" s="1" t="s">
        <v>74</v>
      </c>
      <c r="AC609" s="1" t="s">
        <v>74</v>
      </c>
      <c r="AD609" s="1" t="s">
        <v>74</v>
      </c>
      <c r="AE609" s="1" t="s">
        <v>74</v>
      </c>
      <c r="AF609" s="1" t="s">
        <v>74</v>
      </c>
      <c r="AG609" s="1" t="s">
        <v>74</v>
      </c>
      <c r="AH609" s="1" t="s">
        <v>74</v>
      </c>
      <c r="AI609" s="1" t="s">
        <v>74</v>
      </c>
      <c r="AJ609" s="1" t="s">
        <v>74</v>
      </c>
      <c r="AK609" s="1" t="s">
        <v>74</v>
      </c>
      <c r="AL609" s="1" t="s">
        <v>74</v>
      </c>
      <c r="AM609" s="1" t="s">
        <v>74</v>
      </c>
      <c r="AN609" s="1" t="s">
        <v>74</v>
      </c>
      <c r="AO609" s="1" t="s">
        <v>3431</v>
      </c>
      <c r="AP609" s="1" t="s">
        <v>3432</v>
      </c>
      <c r="AQ609" s="1" t="s">
        <v>74</v>
      </c>
      <c r="AR609" s="1" t="s">
        <v>74</v>
      </c>
      <c r="AS609" s="1" t="s">
        <v>74</v>
      </c>
      <c r="AT609" s="1" t="s">
        <v>158</v>
      </c>
      <c r="AU609" s="1">
        <v>2008.0</v>
      </c>
      <c r="AV609" s="1">
        <v>74.0</v>
      </c>
      <c r="AW609" s="1">
        <v>9.0</v>
      </c>
      <c r="AX609" s="1" t="s">
        <v>74</v>
      </c>
      <c r="AY609" s="1" t="s">
        <v>74</v>
      </c>
      <c r="AZ609" s="1" t="s">
        <v>74</v>
      </c>
      <c r="BA609" s="1" t="s">
        <v>74</v>
      </c>
      <c r="BB609" s="1">
        <v>958.0</v>
      </c>
      <c r="BC609" s="1">
        <v>958.0</v>
      </c>
      <c r="BD609" s="1" t="s">
        <v>74</v>
      </c>
      <c r="BE609" s="1" t="s">
        <v>74</v>
      </c>
      <c r="BF609" s="1" t="s">
        <v>74</v>
      </c>
      <c r="BG609" s="1" t="s">
        <v>74</v>
      </c>
      <c r="BH609" s="1" t="s">
        <v>74</v>
      </c>
      <c r="BI609" s="1" t="s">
        <v>74</v>
      </c>
      <c r="BJ609" s="1" t="s">
        <v>74</v>
      </c>
      <c r="BK609" s="1" t="s">
        <v>74</v>
      </c>
      <c r="BL609" s="1" t="s">
        <v>74</v>
      </c>
      <c r="BM609" s="1" t="s">
        <v>74</v>
      </c>
      <c r="BN609" s="1" t="s">
        <v>74</v>
      </c>
      <c r="BO609" s="1" t="s">
        <v>74</v>
      </c>
      <c r="BP609" s="1" t="s">
        <v>74</v>
      </c>
      <c r="BQ609" s="1" t="s">
        <v>74</v>
      </c>
      <c r="BR609" s="1" t="s">
        <v>74</v>
      </c>
      <c r="BS609" s="1" t="s">
        <v>6083</v>
      </c>
      <c r="BT609" s="1" t="str">
        <f>HYPERLINK("https%3A%2F%2Fwww.webofscience.com%2Fwos%2Fwoscc%2Ffull-record%2FWOS:000258261800233","View Full Record in Web of Science")</f>
        <v>View Full Record in Web of Science</v>
      </c>
    </row>
    <row r="610" ht="12.75" customHeight="1">
      <c r="A610" s="1" t="s">
        <v>72</v>
      </c>
      <c r="B610" s="1" t="s">
        <v>6084</v>
      </c>
      <c r="C610" s="1" t="s">
        <v>74</v>
      </c>
      <c r="D610" s="1" t="s">
        <v>74</v>
      </c>
      <c r="E610" s="1" t="s">
        <v>74</v>
      </c>
      <c r="F610" s="1" t="s">
        <v>6085</v>
      </c>
      <c r="G610" s="1" t="s">
        <v>74</v>
      </c>
      <c r="H610" s="1" t="s">
        <v>74</v>
      </c>
      <c r="I610" s="1" t="s">
        <v>6086</v>
      </c>
      <c r="J610" s="1" t="s">
        <v>2150</v>
      </c>
      <c r="K610" s="1" t="s">
        <v>74</v>
      </c>
      <c r="L610" s="1" t="s">
        <v>74</v>
      </c>
      <c r="M610" s="1" t="s">
        <v>74</v>
      </c>
      <c r="N610" s="1" t="s">
        <v>74</v>
      </c>
      <c r="O610" s="1" t="s">
        <v>74</v>
      </c>
      <c r="P610" s="1" t="s">
        <v>74</v>
      </c>
      <c r="Q610" s="1" t="s">
        <v>74</v>
      </c>
      <c r="R610" s="1" t="s">
        <v>74</v>
      </c>
      <c r="S610" s="1" t="s">
        <v>74</v>
      </c>
      <c r="T610" s="1" t="s">
        <v>74</v>
      </c>
      <c r="U610" s="1" t="s">
        <v>74</v>
      </c>
      <c r="V610" s="1" t="s">
        <v>6087</v>
      </c>
      <c r="W610" s="1" t="s">
        <v>74</v>
      </c>
      <c r="X610" s="1" t="s">
        <v>74</v>
      </c>
      <c r="Y610" s="1" t="s">
        <v>74</v>
      </c>
      <c r="Z610" s="1" t="s">
        <v>74</v>
      </c>
      <c r="AA610" s="1" t="s">
        <v>74</v>
      </c>
      <c r="AB610" s="1" t="s">
        <v>74</v>
      </c>
      <c r="AC610" s="1" t="s">
        <v>74</v>
      </c>
      <c r="AD610" s="1" t="s">
        <v>74</v>
      </c>
      <c r="AE610" s="1" t="s">
        <v>74</v>
      </c>
      <c r="AF610" s="1" t="s">
        <v>74</v>
      </c>
      <c r="AG610" s="1" t="s">
        <v>74</v>
      </c>
      <c r="AH610" s="1" t="s">
        <v>74</v>
      </c>
      <c r="AI610" s="1" t="s">
        <v>74</v>
      </c>
      <c r="AJ610" s="1" t="s">
        <v>74</v>
      </c>
      <c r="AK610" s="1" t="s">
        <v>74</v>
      </c>
      <c r="AL610" s="1" t="s">
        <v>74</v>
      </c>
      <c r="AM610" s="1" t="s">
        <v>74</v>
      </c>
      <c r="AN610" s="1" t="s">
        <v>74</v>
      </c>
      <c r="AO610" s="1" t="s">
        <v>2152</v>
      </c>
      <c r="AP610" s="1" t="s">
        <v>6088</v>
      </c>
      <c r="AQ610" s="1" t="s">
        <v>74</v>
      </c>
      <c r="AR610" s="1" t="s">
        <v>74</v>
      </c>
      <c r="AS610" s="1" t="s">
        <v>74</v>
      </c>
      <c r="AT610" s="1" t="s">
        <v>74</v>
      </c>
      <c r="AU610" s="1">
        <v>2008.0</v>
      </c>
      <c r="AV610" s="1">
        <v>37.0</v>
      </c>
      <c r="AW610" s="1">
        <v>8.0</v>
      </c>
      <c r="AX610" s="1" t="s">
        <v>74</v>
      </c>
      <c r="AY610" s="1" t="s">
        <v>74</v>
      </c>
      <c r="AZ610" s="1" t="s">
        <v>74</v>
      </c>
      <c r="BA610" s="1" t="s">
        <v>74</v>
      </c>
      <c r="BB610" s="1">
        <v>1120.0</v>
      </c>
      <c r="BC610" s="1">
        <v>1150.0</v>
      </c>
      <c r="BD610" s="1" t="s">
        <v>74</v>
      </c>
      <c r="BE610" s="1" t="s">
        <v>6089</v>
      </c>
      <c r="BF610" s="2" t="str">
        <f>HYPERLINK("http://dx.doi.org/10.1108/03684920810884946","http://dx.doi.org/10.1108/03684920810884946")</f>
        <v>http://dx.doi.org/10.1108/03684920810884946</v>
      </c>
      <c r="BG610" s="1" t="s">
        <v>74</v>
      </c>
      <c r="BH610" s="1" t="s">
        <v>74</v>
      </c>
      <c r="BI610" s="1" t="s">
        <v>74</v>
      </c>
      <c r="BJ610" s="1" t="s">
        <v>74</v>
      </c>
      <c r="BK610" s="1" t="s">
        <v>74</v>
      </c>
      <c r="BL610" s="1" t="s">
        <v>74</v>
      </c>
      <c r="BM610" s="1" t="s">
        <v>74</v>
      </c>
      <c r="BN610" s="1" t="s">
        <v>74</v>
      </c>
      <c r="BO610" s="1" t="s">
        <v>74</v>
      </c>
      <c r="BP610" s="1" t="s">
        <v>74</v>
      </c>
      <c r="BQ610" s="1" t="s">
        <v>74</v>
      </c>
      <c r="BR610" s="1" t="s">
        <v>74</v>
      </c>
      <c r="BS610" s="1" t="s">
        <v>6090</v>
      </c>
      <c r="BT610" s="1" t="str">
        <f>HYPERLINK("https%3A%2F%2Fwww.webofscience.com%2Fwos%2Fwoscc%2Ffull-record%2FWOS:000260044400005","View Full Record in Web of Science")</f>
        <v>View Full Record in Web of Science</v>
      </c>
    </row>
    <row r="611" ht="12.75" customHeight="1">
      <c r="A611" s="1" t="s">
        <v>72</v>
      </c>
      <c r="B611" s="1" t="s">
        <v>6091</v>
      </c>
      <c r="C611" s="1" t="s">
        <v>74</v>
      </c>
      <c r="D611" s="1" t="s">
        <v>74</v>
      </c>
      <c r="E611" s="1" t="s">
        <v>74</v>
      </c>
      <c r="F611" s="1" t="s">
        <v>6092</v>
      </c>
      <c r="G611" s="1" t="s">
        <v>74</v>
      </c>
      <c r="H611" s="1" t="s">
        <v>74</v>
      </c>
      <c r="I611" s="1" t="s">
        <v>6093</v>
      </c>
      <c r="J611" s="1" t="s">
        <v>635</v>
      </c>
      <c r="K611" s="1" t="s">
        <v>74</v>
      </c>
      <c r="L611" s="1" t="s">
        <v>74</v>
      </c>
      <c r="M611" s="1" t="s">
        <v>74</v>
      </c>
      <c r="N611" s="1" t="s">
        <v>74</v>
      </c>
      <c r="O611" s="1" t="s">
        <v>74</v>
      </c>
      <c r="P611" s="1" t="s">
        <v>74</v>
      </c>
      <c r="Q611" s="1" t="s">
        <v>74</v>
      </c>
      <c r="R611" s="1" t="s">
        <v>74</v>
      </c>
      <c r="S611" s="1" t="s">
        <v>74</v>
      </c>
      <c r="T611" s="1" t="s">
        <v>74</v>
      </c>
      <c r="U611" s="1" t="s">
        <v>74</v>
      </c>
      <c r="V611" s="1" t="s">
        <v>6094</v>
      </c>
      <c r="W611" s="1" t="s">
        <v>74</v>
      </c>
      <c r="X611" s="1" t="s">
        <v>74</v>
      </c>
      <c r="Y611" s="1" t="s">
        <v>74</v>
      </c>
      <c r="Z611" s="1" t="s">
        <v>74</v>
      </c>
      <c r="AA611" s="1" t="s">
        <v>2523</v>
      </c>
      <c r="AB611" s="1" t="s">
        <v>74</v>
      </c>
      <c r="AC611" s="1" t="s">
        <v>74</v>
      </c>
      <c r="AD611" s="1" t="s">
        <v>74</v>
      </c>
      <c r="AE611" s="1" t="s">
        <v>74</v>
      </c>
      <c r="AF611" s="1" t="s">
        <v>74</v>
      </c>
      <c r="AG611" s="1" t="s">
        <v>74</v>
      </c>
      <c r="AH611" s="1" t="s">
        <v>74</v>
      </c>
      <c r="AI611" s="1" t="s">
        <v>74</v>
      </c>
      <c r="AJ611" s="1" t="s">
        <v>74</v>
      </c>
      <c r="AK611" s="1" t="s">
        <v>74</v>
      </c>
      <c r="AL611" s="1" t="s">
        <v>74</v>
      </c>
      <c r="AM611" s="1" t="s">
        <v>74</v>
      </c>
      <c r="AN611" s="1" t="s">
        <v>74</v>
      </c>
      <c r="AO611" s="1" t="s">
        <v>639</v>
      </c>
      <c r="AP611" s="1" t="s">
        <v>640</v>
      </c>
      <c r="AQ611" s="1" t="s">
        <v>74</v>
      </c>
      <c r="AR611" s="1" t="s">
        <v>74</v>
      </c>
      <c r="AS611" s="1" t="s">
        <v>74</v>
      </c>
      <c r="AT611" s="1" t="s">
        <v>617</v>
      </c>
      <c r="AU611" s="1">
        <v>2007.0</v>
      </c>
      <c r="AV611" s="1">
        <v>52.0</v>
      </c>
      <c r="AW611" s="1">
        <v>28.0</v>
      </c>
      <c r="AX611" s="1" t="s">
        <v>74</v>
      </c>
      <c r="AY611" s="1" t="s">
        <v>74</v>
      </c>
      <c r="AZ611" s="1" t="s">
        <v>74</v>
      </c>
      <c r="BA611" s="1" t="s">
        <v>74</v>
      </c>
      <c r="BB611" s="1">
        <v>7857.0</v>
      </c>
      <c r="BC611" s="1">
        <v>7864.0</v>
      </c>
      <c r="BD611" s="1" t="s">
        <v>74</v>
      </c>
      <c r="BE611" s="1" t="s">
        <v>6095</v>
      </c>
      <c r="BF611" s="2" t="str">
        <f>HYPERLINK("http://dx.doi.org/10.1016/j.electacta.2007.06.055","http://dx.doi.org/10.1016/j.electacta.2007.06.055")</f>
        <v>http://dx.doi.org/10.1016/j.electacta.2007.06.055</v>
      </c>
      <c r="BG611" s="1" t="s">
        <v>74</v>
      </c>
      <c r="BH611" s="1" t="s">
        <v>74</v>
      </c>
      <c r="BI611" s="1" t="s">
        <v>74</v>
      </c>
      <c r="BJ611" s="1" t="s">
        <v>74</v>
      </c>
      <c r="BK611" s="1" t="s">
        <v>74</v>
      </c>
      <c r="BL611" s="1" t="s">
        <v>74</v>
      </c>
      <c r="BM611" s="1" t="s">
        <v>74</v>
      </c>
      <c r="BN611" s="1" t="s">
        <v>74</v>
      </c>
      <c r="BO611" s="1" t="s">
        <v>74</v>
      </c>
      <c r="BP611" s="1" t="s">
        <v>74</v>
      </c>
      <c r="BQ611" s="1" t="s">
        <v>74</v>
      </c>
      <c r="BR611" s="1" t="s">
        <v>74</v>
      </c>
      <c r="BS611" s="1" t="s">
        <v>6096</v>
      </c>
      <c r="BT611" s="1" t="str">
        <f>HYPERLINK("https%3A%2F%2Fwww.webofscience.com%2Fwos%2Fwoscc%2Ffull-record%2FWOS:000250169800007","View Full Record in Web of Science")</f>
        <v>View Full Record in Web of Science</v>
      </c>
    </row>
    <row r="612" ht="12.75" customHeight="1">
      <c r="A612" s="1" t="s">
        <v>72</v>
      </c>
      <c r="B612" s="1" t="s">
        <v>6097</v>
      </c>
      <c r="C612" s="1" t="s">
        <v>74</v>
      </c>
      <c r="D612" s="1" t="s">
        <v>74</v>
      </c>
      <c r="E612" s="1" t="s">
        <v>74</v>
      </c>
      <c r="F612" s="1" t="s">
        <v>6098</v>
      </c>
      <c r="G612" s="1" t="s">
        <v>74</v>
      </c>
      <c r="H612" s="1" t="s">
        <v>74</v>
      </c>
      <c r="I612" s="1" t="s">
        <v>6099</v>
      </c>
      <c r="J612" s="1" t="s">
        <v>4163</v>
      </c>
      <c r="K612" s="1" t="s">
        <v>74</v>
      </c>
      <c r="L612" s="1" t="s">
        <v>74</v>
      </c>
      <c r="M612" s="1" t="s">
        <v>74</v>
      </c>
      <c r="N612" s="1" t="s">
        <v>74</v>
      </c>
      <c r="O612" s="1" t="s">
        <v>74</v>
      </c>
      <c r="P612" s="1" t="s">
        <v>74</v>
      </c>
      <c r="Q612" s="1" t="s">
        <v>74</v>
      </c>
      <c r="R612" s="1" t="s">
        <v>74</v>
      </c>
      <c r="S612" s="1" t="s">
        <v>74</v>
      </c>
      <c r="T612" s="1" t="s">
        <v>74</v>
      </c>
      <c r="U612" s="1" t="s">
        <v>74</v>
      </c>
      <c r="V612" s="1" t="s">
        <v>6100</v>
      </c>
      <c r="W612" s="1" t="s">
        <v>74</v>
      </c>
      <c r="X612" s="1" t="s">
        <v>74</v>
      </c>
      <c r="Y612" s="1" t="s">
        <v>74</v>
      </c>
      <c r="Z612" s="1" t="s">
        <v>74</v>
      </c>
      <c r="AA612" s="1" t="s">
        <v>6101</v>
      </c>
      <c r="AB612" s="1" t="s">
        <v>6102</v>
      </c>
      <c r="AC612" s="1" t="s">
        <v>74</v>
      </c>
      <c r="AD612" s="1" t="s">
        <v>74</v>
      </c>
      <c r="AE612" s="1" t="s">
        <v>74</v>
      </c>
      <c r="AF612" s="1" t="s">
        <v>74</v>
      </c>
      <c r="AG612" s="1" t="s">
        <v>74</v>
      </c>
      <c r="AH612" s="1" t="s">
        <v>74</v>
      </c>
      <c r="AI612" s="1" t="s">
        <v>74</v>
      </c>
      <c r="AJ612" s="1" t="s">
        <v>74</v>
      </c>
      <c r="AK612" s="1" t="s">
        <v>74</v>
      </c>
      <c r="AL612" s="1" t="s">
        <v>74</v>
      </c>
      <c r="AM612" s="1" t="s">
        <v>74</v>
      </c>
      <c r="AN612" s="1" t="s">
        <v>74</v>
      </c>
      <c r="AO612" s="1" t="s">
        <v>4167</v>
      </c>
      <c r="AP612" s="1" t="s">
        <v>74</v>
      </c>
      <c r="AQ612" s="1" t="s">
        <v>74</v>
      </c>
      <c r="AR612" s="1" t="s">
        <v>74</v>
      </c>
      <c r="AS612" s="1" t="s">
        <v>74</v>
      </c>
      <c r="AT612" s="1" t="s">
        <v>180</v>
      </c>
      <c r="AU612" s="1">
        <v>2007.0</v>
      </c>
      <c r="AV612" s="1">
        <v>12.0</v>
      </c>
      <c r="AW612" s="1">
        <v>5.0</v>
      </c>
      <c r="AX612" s="1" t="s">
        <v>74</v>
      </c>
      <c r="AY612" s="1" t="s">
        <v>74</v>
      </c>
      <c r="AZ612" s="1" t="s">
        <v>74</v>
      </c>
      <c r="BA612" s="1" t="s">
        <v>74</v>
      </c>
      <c r="BB612" s="1">
        <v>1057.0</v>
      </c>
      <c r="BC612" s="1">
        <v>1063.0</v>
      </c>
      <c r="BD612" s="1" t="s">
        <v>74</v>
      </c>
      <c r="BE612" s="1" t="s">
        <v>6103</v>
      </c>
      <c r="BF612" s="2" t="str">
        <f>HYPERLINK("http://dx.doi.org/10.3390/12051057","http://dx.doi.org/10.3390/12051057")</f>
        <v>http://dx.doi.org/10.3390/12051057</v>
      </c>
      <c r="BG612" s="1" t="s">
        <v>74</v>
      </c>
      <c r="BH612" s="1" t="s">
        <v>74</v>
      </c>
      <c r="BI612" s="1" t="s">
        <v>74</v>
      </c>
      <c r="BJ612" s="1" t="s">
        <v>74</v>
      </c>
      <c r="BK612" s="1" t="s">
        <v>74</v>
      </c>
      <c r="BL612" s="1" t="s">
        <v>74</v>
      </c>
      <c r="BM612" s="1" t="s">
        <v>74</v>
      </c>
      <c r="BN612" s="1">
        <v>1.787384E7</v>
      </c>
      <c r="BO612" s="1" t="s">
        <v>74</v>
      </c>
      <c r="BP612" s="1" t="s">
        <v>74</v>
      </c>
      <c r="BQ612" s="1" t="s">
        <v>74</v>
      </c>
      <c r="BR612" s="1" t="s">
        <v>74</v>
      </c>
      <c r="BS612" s="1" t="s">
        <v>6104</v>
      </c>
      <c r="BT612" s="1" t="str">
        <f>HYPERLINK("https%3A%2F%2Fwww.webofscience.com%2Fwos%2Fwoscc%2Ffull-record%2FWOS:000247200900012","View Full Record in Web of Science")</f>
        <v>View Full Record in Web of Science</v>
      </c>
    </row>
    <row r="613" ht="12.75" customHeight="1">
      <c r="A613" s="1" t="s">
        <v>72</v>
      </c>
      <c r="B613" s="1" t="s">
        <v>6105</v>
      </c>
      <c r="C613" s="1" t="s">
        <v>74</v>
      </c>
      <c r="D613" s="1" t="s">
        <v>74</v>
      </c>
      <c r="E613" s="1" t="s">
        <v>74</v>
      </c>
      <c r="F613" s="1" t="s">
        <v>6106</v>
      </c>
      <c r="G613" s="1" t="s">
        <v>74</v>
      </c>
      <c r="H613" s="1" t="s">
        <v>74</v>
      </c>
      <c r="I613" s="1" t="s">
        <v>6107</v>
      </c>
      <c r="J613" s="1" t="s">
        <v>1850</v>
      </c>
      <c r="K613" s="1" t="s">
        <v>74</v>
      </c>
      <c r="L613" s="1" t="s">
        <v>74</v>
      </c>
      <c r="M613" s="1" t="s">
        <v>74</v>
      </c>
      <c r="N613" s="1" t="s">
        <v>74</v>
      </c>
      <c r="O613" s="1" t="s">
        <v>74</v>
      </c>
      <c r="P613" s="1" t="s">
        <v>74</v>
      </c>
      <c r="Q613" s="1" t="s">
        <v>74</v>
      </c>
      <c r="R613" s="1" t="s">
        <v>74</v>
      </c>
      <c r="S613" s="1" t="s">
        <v>74</v>
      </c>
      <c r="T613" s="1" t="s">
        <v>74</v>
      </c>
      <c r="U613" s="1" t="s">
        <v>74</v>
      </c>
      <c r="V613" s="1" t="s">
        <v>6108</v>
      </c>
      <c r="W613" s="1" t="s">
        <v>74</v>
      </c>
      <c r="X613" s="1" t="s">
        <v>74</v>
      </c>
      <c r="Y613" s="1" t="s">
        <v>74</v>
      </c>
      <c r="Z613" s="1" t="s">
        <v>74</v>
      </c>
      <c r="AA613" s="1" t="s">
        <v>6109</v>
      </c>
      <c r="AB613" s="1" t="s">
        <v>6110</v>
      </c>
      <c r="AC613" s="1" t="s">
        <v>74</v>
      </c>
      <c r="AD613" s="1" t="s">
        <v>74</v>
      </c>
      <c r="AE613" s="1" t="s">
        <v>74</v>
      </c>
      <c r="AF613" s="1" t="s">
        <v>74</v>
      </c>
      <c r="AG613" s="1" t="s">
        <v>74</v>
      </c>
      <c r="AH613" s="1" t="s">
        <v>74</v>
      </c>
      <c r="AI613" s="1" t="s">
        <v>74</v>
      </c>
      <c r="AJ613" s="1" t="s">
        <v>74</v>
      </c>
      <c r="AK613" s="1" t="s">
        <v>74</v>
      </c>
      <c r="AL613" s="1" t="s">
        <v>74</v>
      </c>
      <c r="AM613" s="1" t="s">
        <v>74</v>
      </c>
      <c r="AN613" s="1" t="s">
        <v>74</v>
      </c>
      <c r="AO613" s="1" t="s">
        <v>1854</v>
      </c>
      <c r="AP613" s="1" t="s">
        <v>1855</v>
      </c>
      <c r="AQ613" s="1" t="s">
        <v>74</v>
      </c>
      <c r="AR613" s="1" t="s">
        <v>74</v>
      </c>
      <c r="AS613" s="1" t="s">
        <v>74</v>
      </c>
      <c r="AT613" s="1" t="s">
        <v>74</v>
      </c>
      <c r="AU613" s="1">
        <v>2007.0</v>
      </c>
      <c r="AV613" s="1">
        <v>40.0</v>
      </c>
      <c r="AW613" s="1">
        <v>2.0</v>
      </c>
      <c r="AX613" s="1" t="s">
        <v>74</v>
      </c>
      <c r="AY613" s="1" t="s">
        <v>74</v>
      </c>
      <c r="AZ613" s="1" t="s">
        <v>74</v>
      </c>
      <c r="BA613" s="1" t="s">
        <v>74</v>
      </c>
      <c r="BB613" s="1">
        <v>307.0</v>
      </c>
      <c r="BC613" s="1">
        <v>312.0</v>
      </c>
      <c r="BD613" s="1" t="s">
        <v>74</v>
      </c>
      <c r="BE613" s="1" t="s">
        <v>6111</v>
      </c>
      <c r="BF613" s="2" t="str">
        <f>HYPERLINK("http://dx.doi.org/10.1016/j.lwt.2005.09.020","http://dx.doi.org/10.1016/j.lwt.2005.09.020")</f>
        <v>http://dx.doi.org/10.1016/j.lwt.2005.09.020</v>
      </c>
      <c r="BG613" s="1" t="s">
        <v>74</v>
      </c>
      <c r="BH613" s="1" t="s">
        <v>74</v>
      </c>
      <c r="BI613" s="1" t="s">
        <v>74</v>
      </c>
      <c r="BJ613" s="1" t="s">
        <v>74</v>
      </c>
      <c r="BK613" s="1" t="s">
        <v>74</v>
      </c>
      <c r="BL613" s="1" t="s">
        <v>74</v>
      </c>
      <c r="BM613" s="1" t="s">
        <v>74</v>
      </c>
      <c r="BN613" s="1" t="s">
        <v>74</v>
      </c>
      <c r="BO613" s="1" t="s">
        <v>74</v>
      </c>
      <c r="BP613" s="1" t="s">
        <v>74</v>
      </c>
      <c r="BQ613" s="1" t="s">
        <v>74</v>
      </c>
      <c r="BR613" s="1" t="s">
        <v>74</v>
      </c>
      <c r="BS613" s="1" t="s">
        <v>6112</v>
      </c>
      <c r="BT613" s="1" t="str">
        <f>HYPERLINK("https%3A%2F%2Fwww.webofscience.com%2Fwos%2Fwoscc%2Ffull-record%2FWOS:000241664300017","View Full Record in Web of Science")</f>
        <v>View Full Record in Web of Science</v>
      </c>
    </row>
    <row r="614" ht="12.75" customHeight="1">
      <c r="A614" s="1" t="s">
        <v>72</v>
      </c>
      <c r="B614" s="1" t="s">
        <v>6113</v>
      </c>
      <c r="C614" s="1" t="s">
        <v>74</v>
      </c>
      <c r="D614" s="1" t="s">
        <v>74</v>
      </c>
      <c r="E614" s="1" t="s">
        <v>74</v>
      </c>
      <c r="F614" s="1" t="s">
        <v>6114</v>
      </c>
      <c r="G614" s="1" t="s">
        <v>74</v>
      </c>
      <c r="H614" s="1" t="s">
        <v>74</v>
      </c>
      <c r="I614" s="1" t="s">
        <v>6115</v>
      </c>
      <c r="J614" s="1" t="s">
        <v>6116</v>
      </c>
      <c r="K614" s="1" t="s">
        <v>74</v>
      </c>
      <c r="L614" s="1" t="s">
        <v>74</v>
      </c>
      <c r="M614" s="1" t="s">
        <v>74</v>
      </c>
      <c r="N614" s="1" t="s">
        <v>74</v>
      </c>
      <c r="O614" s="1" t="s">
        <v>74</v>
      </c>
      <c r="P614" s="1" t="s">
        <v>74</v>
      </c>
      <c r="Q614" s="1" t="s">
        <v>74</v>
      </c>
      <c r="R614" s="1" t="s">
        <v>74</v>
      </c>
      <c r="S614" s="1" t="s">
        <v>74</v>
      </c>
      <c r="T614" s="1" t="s">
        <v>74</v>
      </c>
      <c r="U614" s="1" t="s">
        <v>74</v>
      </c>
      <c r="V614" s="1" t="s">
        <v>6117</v>
      </c>
      <c r="W614" s="1" t="s">
        <v>74</v>
      </c>
      <c r="X614" s="1" t="s">
        <v>74</v>
      </c>
      <c r="Y614" s="1" t="s">
        <v>74</v>
      </c>
      <c r="Z614" s="1" t="s">
        <v>74</v>
      </c>
      <c r="AA614" s="1" t="s">
        <v>6118</v>
      </c>
      <c r="AB614" s="1" t="s">
        <v>6119</v>
      </c>
      <c r="AC614" s="1" t="s">
        <v>74</v>
      </c>
      <c r="AD614" s="1" t="s">
        <v>74</v>
      </c>
      <c r="AE614" s="1" t="s">
        <v>74</v>
      </c>
      <c r="AF614" s="1" t="s">
        <v>74</v>
      </c>
      <c r="AG614" s="1" t="s">
        <v>74</v>
      </c>
      <c r="AH614" s="1" t="s">
        <v>74</v>
      </c>
      <c r="AI614" s="1" t="s">
        <v>74</v>
      </c>
      <c r="AJ614" s="1" t="s">
        <v>74</v>
      </c>
      <c r="AK614" s="1" t="s">
        <v>74</v>
      </c>
      <c r="AL614" s="1" t="s">
        <v>74</v>
      </c>
      <c r="AM614" s="1" t="s">
        <v>74</v>
      </c>
      <c r="AN614" s="1" t="s">
        <v>74</v>
      </c>
      <c r="AO614" s="1" t="s">
        <v>6120</v>
      </c>
      <c r="AP614" s="1" t="s">
        <v>6121</v>
      </c>
      <c r="AQ614" s="1" t="s">
        <v>74</v>
      </c>
      <c r="AR614" s="1" t="s">
        <v>74</v>
      </c>
      <c r="AS614" s="1" t="s">
        <v>74</v>
      </c>
      <c r="AT614" s="1" t="s">
        <v>1202</v>
      </c>
      <c r="AU614" s="1">
        <v>2006.0</v>
      </c>
      <c r="AV614" s="1">
        <v>100.0</v>
      </c>
      <c r="AW614" s="1">
        <v>10.0</v>
      </c>
      <c r="AX614" s="1" t="s">
        <v>74</v>
      </c>
      <c r="AY614" s="1" t="s">
        <v>74</v>
      </c>
      <c r="AZ614" s="1" t="s">
        <v>74</v>
      </c>
      <c r="BA614" s="1" t="s">
        <v>74</v>
      </c>
      <c r="BB614" s="1" t="s">
        <v>74</v>
      </c>
      <c r="BC614" s="1" t="s">
        <v>74</v>
      </c>
      <c r="BD614" s="1">
        <v>104319.0</v>
      </c>
      <c r="BE614" s="1" t="s">
        <v>6122</v>
      </c>
      <c r="BF614" s="2" t="str">
        <f>HYPERLINK("http://dx.doi.org/10.1063/1.2364599","http://dx.doi.org/10.1063/1.2364599")</f>
        <v>http://dx.doi.org/10.1063/1.2364599</v>
      </c>
      <c r="BG614" s="1" t="s">
        <v>74</v>
      </c>
      <c r="BH614" s="1" t="s">
        <v>74</v>
      </c>
      <c r="BI614" s="1" t="s">
        <v>74</v>
      </c>
      <c r="BJ614" s="1" t="s">
        <v>74</v>
      </c>
      <c r="BK614" s="1" t="s">
        <v>74</v>
      </c>
      <c r="BL614" s="1" t="s">
        <v>74</v>
      </c>
      <c r="BM614" s="1" t="s">
        <v>74</v>
      </c>
      <c r="BN614" s="1" t="s">
        <v>74</v>
      </c>
      <c r="BO614" s="1" t="s">
        <v>74</v>
      </c>
      <c r="BP614" s="1" t="s">
        <v>74</v>
      </c>
      <c r="BQ614" s="1" t="s">
        <v>74</v>
      </c>
      <c r="BR614" s="1" t="s">
        <v>74</v>
      </c>
      <c r="BS614" s="1" t="s">
        <v>6123</v>
      </c>
      <c r="BT614" s="1" t="str">
        <f>HYPERLINK("https%3A%2F%2Fwww.webofscience.com%2Fwos%2Fwoscc%2Ffull-record%2FWOS:000242408000092","View Full Record in Web of Science")</f>
        <v>View Full Record in Web of Science</v>
      </c>
    </row>
    <row r="615" ht="12.75" customHeight="1">
      <c r="A615" s="1" t="s">
        <v>72</v>
      </c>
      <c r="B615" s="1" t="s">
        <v>6124</v>
      </c>
      <c r="C615" s="1" t="s">
        <v>74</v>
      </c>
      <c r="D615" s="1" t="s">
        <v>74</v>
      </c>
      <c r="E615" s="1" t="s">
        <v>74</v>
      </c>
      <c r="F615" s="1" t="s">
        <v>6124</v>
      </c>
      <c r="G615" s="1" t="s">
        <v>74</v>
      </c>
      <c r="H615" s="1" t="s">
        <v>74</v>
      </c>
      <c r="I615" s="1" t="s">
        <v>6125</v>
      </c>
      <c r="J615" s="1" t="s">
        <v>716</v>
      </c>
      <c r="K615" s="1" t="s">
        <v>74</v>
      </c>
      <c r="L615" s="1" t="s">
        <v>74</v>
      </c>
      <c r="M615" s="1" t="s">
        <v>74</v>
      </c>
      <c r="N615" s="1" t="s">
        <v>74</v>
      </c>
      <c r="O615" s="1" t="s">
        <v>74</v>
      </c>
      <c r="P615" s="1" t="s">
        <v>74</v>
      </c>
      <c r="Q615" s="1" t="s">
        <v>74</v>
      </c>
      <c r="R615" s="1" t="s">
        <v>74</v>
      </c>
      <c r="S615" s="1" t="s">
        <v>74</v>
      </c>
      <c r="T615" s="1" t="s">
        <v>74</v>
      </c>
      <c r="U615" s="1" t="s">
        <v>74</v>
      </c>
      <c r="V615" s="1" t="s">
        <v>6126</v>
      </c>
      <c r="W615" s="1" t="s">
        <v>74</v>
      </c>
      <c r="X615" s="1" t="s">
        <v>74</v>
      </c>
      <c r="Y615" s="1" t="s">
        <v>74</v>
      </c>
      <c r="Z615" s="1" t="s">
        <v>74</v>
      </c>
      <c r="AA615" s="1" t="s">
        <v>6127</v>
      </c>
      <c r="AB615" s="1" t="s">
        <v>1099</v>
      </c>
      <c r="AC615" s="1" t="s">
        <v>74</v>
      </c>
      <c r="AD615" s="1" t="s">
        <v>74</v>
      </c>
      <c r="AE615" s="1" t="s">
        <v>74</v>
      </c>
      <c r="AF615" s="1" t="s">
        <v>74</v>
      </c>
      <c r="AG615" s="1" t="s">
        <v>74</v>
      </c>
      <c r="AH615" s="1" t="s">
        <v>74</v>
      </c>
      <c r="AI615" s="1" t="s">
        <v>74</v>
      </c>
      <c r="AJ615" s="1" t="s">
        <v>74</v>
      </c>
      <c r="AK615" s="1" t="s">
        <v>74</v>
      </c>
      <c r="AL615" s="1" t="s">
        <v>74</v>
      </c>
      <c r="AM615" s="1" t="s">
        <v>74</v>
      </c>
      <c r="AN615" s="1" t="s">
        <v>74</v>
      </c>
      <c r="AO615" s="1" t="s">
        <v>6128</v>
      </c>
      <c r="AP615" s="1" t="s">
        <v>6129</v>
      </c>
      <c r="AQ615" s="1" t="s">
        <v>74</v>
      </c>
      <c r="AR615" s="1" t="s">
        <v>74</v>
      </c>
      <c r="AS615" s="1" t="s">
        <v>74</v>
      </c>
      <c r="AT615" s="1" t="s">
        <v>6130</v>
      </c>
      <c r="AU615" s="1">
        <v>2005.0</v>
      </c>
      <c r="AV615" s="1">
        <v>580.0</v>
      </c>
      <c r="AW615" s="1">
        <v>1.0</v>
      </c>
      <c r="AX615" s="1" t="s">
        <v>74</v>
      </c>
      <c r="AY615" s="1" t="s">
        <v>74</v>
      </c>
      <c r="AZ615" s="1" t="s">
        <v>74</v>
      </c>
      <c r="BA615" s="1" t="s">
        <v>74</v>
      </c>
      <c r="BB615" s="1">
        <v>94.0</v>
      </c>
      <c r="BC615" s="1">
        <v>104.0</v>
      </c>
      <c r="BD615" s="1" t="s">
        <v>74</v>
      </c>
      <c r="BE615" s="1" t="s">
        <v>6131</v>
      </c>
      <c r="BF615" s="2" t="str">
        <f>HYPERLINK("http://dx.doi.org/10.1016/j.jelechem.2005.03.020","http://dx.doi.org/10.1016/j.jelechem.2005.03.020")</f>
        <v>http://dx.doi.org/10.1016/j.jelechem.2005.03.020</v>
      </c>
      <c r="BG615" s="1" t="s">
        <v>74</v>
      </c>
      <c r="BH615" s="1" t="s">
        <v>74</v>
      </c>
      <c r="BI615" s="1" t="s">
        <v>74</v>
      </c>
      <c r="BJ615" s="1" t="s">
        <v>74</v>
      </c>
      <c r="BK615" s="1" t="s">
        <v>74</v>
      </c>
      <c r="BL615" s="1" t="s">
        <v>74</v>
      </c>
      <c r="BM615" s="1" t="s">
        <v>74</v>
      </c>
      <c r="BN615" s="1" t="s">
        <v>74</v>
      </c>
      <c r="BO615" s="1" t="s">
        <v>74</v>
      </c>
      <c r="BP615" s="1" t="s">
        <v>74</v>
      </c>
      <c r="BQ615" s="1" t="s">
        <v>74</v>
      </c>
      <c r="BR615" s="1" t="s">
        <v>74</v>
      </c>
      <c r="BS615" s="1" t="s">
        <v>6132</v>
      </c>
      <c r="BT615" s="1" t="str">
        <f>HYPERLINK("https%3A%2F%2Fwww.webofscience.com%2Fwos%2Fwoscc%2Ffull-record%2FWOS:000229512700012","View Full Record in Web of Science")</f>
        <v>View Full Record in Web of Science</v>
      </c>
    </row>
    <row r="616" ht="12.75" customHeight="1">
      <c r="A616" s="1" t="s">
        <v>72</v>
      </c>
      <c r="B616" s="1" t="s">
        <v>6133</v>
      </c>
      <c r="C616" s="1" t="s">
        <v>74</v>
      </c>
      <c r="D616" s="1" t="s">
        <v>74</v>
      </c>
      <c r="E616" s="1" t="s">
        <v>74</v>
      </c>
      <c r="F616" s="1" t="s">
        <v>6133</v>
      </c>
      <c r="G616" s="1" t="s">
        <v>74</v>
      </c>
      <c r="H616" s="1" t="s">
        <v>74</v>
      </c>
      <c r="I616" s="1" t="s">
        <v>6134</v>
      </c>
      <c r="J616" s="1" t="s">
        <v>6135</v>
      </c>
      <c r="K616" s="1" t="s">
        <v>74</v>
      </c>
      <c r="L616" s="1" t="s">
        <v>74</v>
      </c>
      <c r="M616" s="1" t="s">
        <v>74</v>
      </c>
      <c r="N616" s="1" t="s">
        <v>74</v>
      </c>
      <c r="O616" s="1" t="s">
        <v>74</v>
      </c>
      <c r="P616" s="1" t="s">
        <v>74</v>
      </c>
      <c r="Q616" s="1" t="s">
        <v>74</v>
      </c>
      <c r="R616" s="1" t="s">
        <v>74</v>
      </c>
      <c r="S616" s="1" t="s">
        <v>74</v>
      </c>
      <c r="T616" s="1" t="s">
        <v>74</v>
      </c>
      <c r="U616" s="1" t="s">
        <v>74</v>
      </c>
      <c r="V616" s="1" t="s">
        <v>6136</v>
      </c>
      <c r="W616" s="1" t="s">
        <v>74</v>
      </c>
      <c r="X616" s="1" t="s">
        <v>74</v>
      </c>
      <c r="Y616" s="1" t="s">
        <v>74</v>
      </c>
      <c r="Z616" s="1" t="s">
        <v>74</v>
      </c>
      <c r="AA616" s="1" t="s">
        <v>6137</v>
      </c>
      <c r="AB616" s="1" t="s">
        <v>6138</v>
      </c>
      <c r="AC616" s="1" t="s">
        <v>74</v>
      </c>
      <c r="AD616" s="1" t="s">
        <v>74</v>
      </c>
      <c r="AE616" s="1" t="s">
        <v>74</v>
      </c>
      <c r="AF616" s="1" t="s">
        <v>74</v>
      </c>
      <c r="AG616" s="1" t="s">
        <v>74</v>
      </c>
      <c r="AH616" s="1" t="s">
        <v>74</v>
      </c>
      <c r="AI616" s="1" t="s">
        <v>74</v>
      </c>
      <c r="AJ616" s="1" t="s">
        <v>74</v>
      </c>
      <c r="AK616" s="1" t="s">
        <v>74</v>
      </c>
      <c r="AL616" s="1" t="s">
        <v>74</v>
      </c>
      <c r="AM616" s="1" t="s">
        <v>74</v>
      </c>
      <c r="AN616" s="1" t="s">
        <v>74</v>
      </c>
      <c r="AO616" s="1" t="s">
        <v>6139</v>
      </c>
      <c r="AP616" s="1" t="s">
        <v>6140</v>
      </c>
      <c r="AQ616" s="1" t="s">
        <v>74</v>
      </c>
      <c r="AR616" s="1" t="s">
        <v>74</v>
      </c>
      <c r="AS616" s="1" t="s">
        <v>74</v>
      </c>
      <c r="AT616" s="1" t="s">
        <v>6141</v>
      </c>
      <c r="AU616" s="1">
        <v>2004.0</v>
      </c>
      <c r="AV616" s="1">
        <v>23.0</v>
      </c>
      <c r="AW616" s="1">
        <v>25.0</v>
      </c>
      <c r="AX616" s="1" t="s">
        <v>74</v>
      </c>
      <c r="AY616" s="1" t="s">
        <v>74</v>
      </c>
      <c r="AZ616" s="1" t="s">
        <v>74</v>
      </c>
      <c r="BA616" s="1" t="s">
        <v>74</v>
      </c>
      <c r="BB616" s="1">
        <v>5967.0</v>
      </c>
      <c r="BC616" s="1">
        <v>5974.0</v>
      </c>
      <c r="BD616" s="1" t="s">
        <v>74</v>
      </c>
      <c r="BE616" s="1" t="s">
        <v>6142</v>
      </c>
      <c r="BF616" s="2" t="str">
        <f>HYPERLINK("http://dx.doi.org/10.1021/om040072p","http://dx.doi.org/10.1021/om040072p")</f>
        <v>http://dx.doi.org/10.1021/om040072p</v>
      </c>
      <c r="BG616" s="1" t="s">
        <v>74</v>
      </c>
      <c r="BH616" s="1" t="s">
        <v>74</v>
      </c>
      <c r="BI616" s="1" t="s">
        <v>74</v>
      </c>
      <c r="BJ616" s="1" t="s">
        <v>74</v>
      </c>
      <c r="BK616" s="1" t="s">
        <v>74</v>
      </c>
      <c r="BL616" s="1" t="s">
        <v>74</v>
      </c>
      <c r="BM616" s="1" t="s">
        <v>74</v>
      </c>
      <c r="BN616" s="1" t="s">
        <v>74</v>
      </c>
      <c r="BO616" s="1" t="s">
        <v>74</v>
      </c>
      <c r="BP616" s="1" t="s">
        <v>74</v>
      </c>
      <c r="BQ616" s="1" t="s">
        <v>74</v>
      </c>
      <c r="BR616" s="1" t="s">
        <v>74</v>
      </c>
      <c r="BS616" s="1" t="s">
        <v>6143</v>
      </c>
      <c r="BT616" s="1" t="str">
        <f>HYPERLINK("https%3A%2F%2Fwww.webofscience.com%2Fwos%2Fwoscc%2Ffull-record%2FWOS:000225456000016","View Full Record in Web of Science")</f>
        <v>View Full Record in Web of Science</v>
      </c>
    </row>
    <row r="617" ht="12.75" customHeight="1">
      <c r="A617" s="1" t="s">
        <v>72</v>
      </c>
      <c r="B617" s="1" t="s">
        <v>6144</v>
      </c>
      <c r="C617" s="1" t="s">
        <v>74</v>
      </c>
      <c r="D617" s="1" t="s">
        <v>74</v>
      </c>
      <c r="E617" s="1" t="s">
        <v>74</v>
      </c>
      <c r="F617" s="1" t="s">
        <v>6144</v>
      </c>
      <c r="G617" s="1" t="s">
        <v>74</v>
      </c>
      <c r="H617" s="1" t="s">
        <v>74</v>
      </c>
      <c r="I617" s="1" t="s">
        <v>6145</v>
      </c>
      <c r="J617" s="1" t="s">
        <v>6146</v>
      </c>
      <c r="K617" s="1" t="s">
        <v>74</v>
      </c>
      <c r="L617" s="1" t="s">
        <v>74</v>
      </c>
      <c r="M617" s="1" t="s">
        <v>74</v>
      </c>
      <c r="N617" s="1" t="s">
        <v>74</v>
      </c>
      <c r="O617" s="1" t="s">
        <v>6147</v>
      </c>
      <c r="P617" s="1" t="s">
        <v>6148</v>
      </c>
      <c r="Q617" s="1" t="s">
        <v>6149</v>
      </c>
      <c r="R617" s="1" t="s">
        <v>6150</v>
      </c>
      <c r="S617" s="1" t="s">
        <v>74</v>
      </c>
      <c r="T617" s="1" t="s">
        <v>74</v>
      </c>
      <c r="U617" s="1" t="s">
        <v>74</v>
      </c>
      <c r="V617" s="1" t="s">
        <v>6151</v>
      </c>
      <c r="W617" s="1" t="s">
        <v>74</v>
      </c>
      <c r="X617" s="1" t="s">
        <v>74</v>
      </c>
      <c r="Y617" s="1" t="s">
        <v>74</v>
      </c>
      <c r="Z617" s="1" t="s">
        <v>74</v>
      </c>
      <c r="AA617" s="1" t="s">
        <v>6152</v>
      </c>
      <c r="AB617" s="1" t="s">
        <v>6153</v>
      </c>
      <c r="AC617" s="1" t="s">
        <v>74</v>
      </c>
      <c r="AD617" s="1" t="s">
        <v>74</v>
      </c>
      <c r="AE617" s="1" t="s">
        <v>74</v>
      </c>
      <c r="AF617" s="1" t="s">
        <v>74</v>
      </c>
      <c r="AG617" s="1" t="s">
        <v>74</v>
      </c>
      <c r="AH617" s="1" t="s">
        <v>74</v>
      </c>
      <c r="AI617" s="1" t="s">
        <v>74</v>
      </c>
      <c r="AJ617" s="1" t="s">
        <v>74</v>
      </c>
      <c r="AK617" s="1" t="s">
        <v>74</v>
      </c>
      <c r="AL617" s="1" t="s">
        <v>74</v>
      </c>
      <c r="AM617" s="1" t="s">
        <v>74</v>
      </c>
      <c r="AN617" s="1" t="s">
        <v>74</v>
      </c>
      <c r="AO617" s="1" t="s">
        <v>6154</v>
      </c>
      <c r="AP617" s="1" t="s">
        <v>6155</v>
      </c>
      <c r="AQ617" s="1" t="s">
        <v>74</v>
      </c>
      <c r="AR617" s="1" t="s">
        <v>74</v>
      </c>
      <c r="AS617" s="1" t="s">
        <v>74</v>
      </c>
      <c r="AT617" s="1" t="s">
        <v>606</v>
      </c>
      <c r="AU617" s="1">
        <v>2004.0</v>
      </c>
      <c r="AV617" s="1">
        <v>39.0</v>
      </c>
      <c r="AW617" s="1">
        <v>10.0</v>
      </c>
      <c r="AX617" s="1" t="s">
        <v>74</v>
      </c>
      <c r="AY617" s="1" t="s">
        <v>74</v>
      </c>
      <c r="AZ617" s="1" t="s">
        <v>74</v>
      </c>
      <c r="BA617" s="1" t="s">
        <v>74</v>
      </c>
      <c r="BB617" s="1">
        <v>859.0</v>
      </c>
      <c r="BC617" s="1">
        <v>863.0</v>
      </c>
      <c r="BD617" s="1" t="s">
        <v>74</v>
      </c>
      <c r="BE617" s="1" t="s">
        <v>6156</v>
      </c>
      <c r="BF617" s="2" t="str">
        <f>HYPERLINK("http://dx.doi.org/10.1002/crat.200410266","http://dx.doi.org/10.1002/crat.200410266")</f>
        <v>http://dx.doi.org/10.1002/crat.200410266</v>
      </c>
      <c r="BG617" s="1" t="s">
        <v>74</v>
      </c>
      <c r="BH617" s="1" t="s">
        <v>74</v>
      </c>
      <c r="BI617" s="1" t="s">
        <v>74</v>
      </c>
      <c r="BJ617" s="1" t="s">
        <v>74</v>
      </c>
      <c r="BK617" s="1" t="s">
        <v>74</v>
      </c>
      <c r="BL617" s="1" t="s">
        <v>74</v>
      </c>
      <c r="BM617" s="1" t="s">
        <v>74</v>
      </c>
      <c r="BN617" s="1" t="s">
        <v>74</v>
      </c>
      <c r="BO617" s="1" t="s">
        <v>74</v>
      </c>
      <c r="BP617" s="1" t="s">
        <v>74</v>
      </c>
      <c r="BQ617" s="1" t="s">
        <v>74</v>
      </c>
      <c r="BR617" s="1" t="s">
        <v>74</v>
      </c>
      <c r="BS617" s="1" t="s">
        <v>6157</v>
      </c>
      <c r="BT617" s="1" t="str">
        <f>HYPERLINK("https%3A%2F%2Fwww.webofscience.com%2Fwos%2Fwoscc%2Ffull-record%2FWOS:000224399900006","View Full Record in Web of Science")</f>
        <v>View Full Record in Web of Science</v>
      </c>
    </row>
    <row r="618" ht="12.75" customHeight="1">
      <c r="A618" s="1" t="s">
        <v>72</v>
      </c>
      <c r="B618" s="1" t="s">
        <v>6158</v>
      </c>
      <c r="C618" s="1" t="s">
        <v>74</v>
      </c>
      <c r="D618" s="1" t="s">
        <v>74</v>
      </c>
      <c r="E618" s="1" t="s">
        <v>74</v>
      </c>
      <c r="F618" s="1" t="s">
        <v>6158</v>
      </c>
      <c r="G618" s="1" t="s">
        <v>74</v>
      </c>
      <c r="H618" s="1" t="s">
        <v>74</v>
      </c>
      <c r="I618" s="1" t="s">
        <v>6159</v>
      </c>
      <c r="J618" s="1" t="s">
        <v>690</v>
      </c>
      <c r="K618" s="1" t="s">
        <v>74</v>
      </c>
      <c r="L618" s="1" t="s">
        <v>74</v>
      </c>
      <c r="M618" s="1" t="s">
        <v>74</v>
      </c>
      <c r="N618" s="1" t="s">
        <v>74</v>
      </c>
      <c r="O618" s="1" t="s">
        <v>74</v>
      </c>
      <c r="P618" s="1" t="s">
        <v>74</v>
      </c>
      <c r="Q618" s="1" t="s">
        <v>74</v>
      </c>
      <c r="R618" s="1" t="s">
        <v>74</v>
      </c>
      <c r="S618" s="1" t="s">
        <v>74</v>
      </c>
      <c r="T618" s="1" t="s">
        <v>74</v>
      </c>
      <c r="U618" s="1" t="s">
        <v>74</v>
      </c>
      <c r="V618" s="1" t="s">
        <v>6160</v>
      </c>
      <c r="W618" s="1" t="s">
        <v>74</v>
      </c>
      <c r="X618" s="1" t="s">
        <v>74</v>
      </c>
      <c r="Y618" s="1" t="s">
        <v>74</v>
      </c>
      <c r="Z618" s="1" t="s">
        <v>74</v>
      </c>
      <c r="AA618" s="1" t="s">
        <v>6161</v>
      </c>
      <c r="AB618" s="1" t="s">
        <v>6162</v>
      </c>
      <c r="AC618" s="1" t="s">
        <v>74</v>
      </c>
      <c r="AD618" s="1" t="s">
        <v>74</v>
      </c>
      <c r="AE618" s="1" t="s">
        <v>74</v>
      </c>
      <c r="AF618" s="1" t="s">
        <v>74</v>
      </c>
      <c r="AG618" s="1" t="s">
        <v>74</v>
      </c>
      <c r="AH618" s="1" t="s">
        <v>74</v>
      </c>
      <c r="AI618" s="1" t="s">
        <v>74</v>
      </c>
      <c r="AJ618" s="1" t="s">
        <v>74</v>
      </c>
      <c r="AK618" s="1" t="s">
        <v>74</v>
      </c>
      <c r="AL618" s="1" t="s">
        <v>74</v>
      </c>
      <c r="AM618" s="1" t="s">
        <v>74</v>
      </c>
      <c r="AN618" s="1" t="s">
        <v>74</v>
      </c>
      <c r="AO618" s="1" t="s">
        <v>694</v>
      </c>
      <c r="AP618" s="1" t="s">
        <v>695</v>
      </c>
      <c r="AQ618" s="1" t="s">
        <v>74</v>
      </c>
      <c r="AR618" s="1" t="s">
        <v>74</v>
      </c>
      <c r="AS618" s="1" t="s">
        <v>74</v>
      </c>
      <c r="AT618" s="1" t="s">
        <v>294</v>
      </c>
      <c r="AU618" s="1">
        <v>2003.0</v>
      </c>
      <c r="AV618" s="1">
        <v>67.0</v>
      </c>
      <c r="AW618" s="1">
        <v>6.0</v>
      </c>
      <c r="AX618" s="1" t="s">
        <v>74</v>
      </c>
      <c r="AY618" s="1" t="s">
        <v>74</v>
      </c>
      <c r="AZ618" s="1" t="s">
        <v>74</v>
      </c>
      <c r="BA618" s="1" t="s">
        <v>74</v>
      </c>
      <c r="BB618" s="1" t="s">
        <v>74</v>
      </c>
      <c r="BC618" s="1" t="s">
        <v>74</v>
      </c>
      <c r="BD618" s="1">
        <v>62313.0</v>
      </c>
      <c r="BE618" s="1" t="s">
        <v>6163</v>
      </c>
      <c r="BF618" s="2" t="str">
        <f>HYPERLINK("http://dx.doi.org/10.1103/PhysRevA.67.062313","http://dx.doi.org/10.1103/PhysRevA.67.062313")</f>
        <v>http://dx.doi.org/10.1103/PhysRevA.67.062313</v>
      </c>
      <c r="BG618" s="1" t="s">
        <v>74</v>
      </c>
      <c r="BH618" s="1" t="s">
        <v>74</v>
      </c>
      <c r="BI618" s="1" t="s">
        <v>74</v>
      </c>
      <c r="BJ618" s="1" t="s">
        <v>74</v>
      </c>
      <c r="BK618" s="1" t="s">
        <v>74</v>
      </c>
      <c r="BL618" s="1" t="s">
        <v>74</v>
      </c>
      <c r="BM618" s="1" t="s">
        <v>74</v>
      </c>
      <c r="BN618" s="1" t="s">
        <v>74</v>
      </c>
      <c r="BO618" s="1" t="s">
        <v>74</v>
      </c>
      <c r="BP618" s="1" t="s">
        <v>74</v>
      </c>
      <c r="BQ618" s="1" t="s">
        <v>74</v>
      </c>
      <c r="BR618" s="1" t="s">
        <v>74</v>
      </c>
      <c r="BS618" s="1" t="s">
        <v>6164</v>
      </c>
      <c r="BT618" s="1" t="str">
        <f>HYPERLINK("https%3A%2F%2Fwww.webofscience.com%2Fwos%2Fwoscc%2Ffull-record%2FWOS:000183915200042","View Full Record in Web of Science")</f>
        <v>View Full Record in Web of Science</v>
      </c>
    </row>
    <row r="619" ht="12.75" customHeight="1">
      <c r="A619" s="1" t="s">
        <v>72</v>
      </c>
      <c r="B619" s="1" t="s">
        <v>6165</v>
      </c>
      <c r="C619" s="1" t="s">
        <v>74</v>
      </c>
      <c r="D619" s="1" t="s">
        <v>74</v>
      </c>
      <c r="E619" s="1" t="s">
        <v>74</v>
      </c>
      <c r="F619" s="1" t="s">
        <v>6165</v>
      </c>
      <c r="G619" s="1" t="s">
        <v>74</v>
      </c>
      <c r="H619" s="1" t="s">
        <v>74</v>
      </c>
      <c r="I619" s="1" t="s">
        <v>6166</v>
      </c>
      <c r="J619" s="1" t="s">
        <v>708</v>
      </c>
      <c r="K619" s="1" t="s">
        <v>74</v>
      </c>
      <c r="L619" s="1" t="s">
        <v>74</v>
      </c>
      <c r="M619" s="1" t="s">
        <v>74</v>
      </c>
      <c r="N619" s="1" t="s">
        <v>74</v>
      </c>
      <c r="O619" s="1" t="s">
        <v>74</v>
      </c>
      <c r="P619" s="1" t="s">
        <v>74</v>
      </c>
      <c r="Q619" s="1" t="s">
        <v>74</v>
      </c>
      <c r="R619" s="1" t="s">
        <v>74</v>
      </c>
      <c r="S619" s="1" t="s">
        <v>74</v>
      </c>
      <c r="T619" s="1" t="s">
        <v>74</v>
      </c>
      <c r="U619" s="1" t="s">
        <v>74</v>
      </c>
      <c r="V619" s="1" t="s">
        <v>6167</v>
      </c>
      <c r="W619" s="1" t="s">
        <v>74</v>
      </c>
      <c r="X619" s="1" t="s">
        <v>74</v>
      </c>
      <c r="Y619" s="1" t="s">
        <v>74</v>
      </c>
      <c r="Z619" s="1" t="s">
        <v>74</v>
      </c>
      <c r="AA619" s="1" t="s">
        <v>74</v>
      </c>
      <c r="AB619" s="1" t="s">
        <v>74</v>
      </c>
      <c r="AC619" s="1" t="s">
        <v>74</v>
      </c>
      <c r="AD619" s="1" t="s">
        <v>74</v>
      </c>
      <c r="AE619" s="1" t="s">
        <v>74</v>
      </c>
      <c r="AF619" s="1" t="s">
        <v>74</v>
      </c>
      <c r="AG619" s="1" t="s">
        <v>74</v>
      </c>
      <c r="AH619" s="1" t="s">
        <v>74</v>
      </c>
      <c r="AI619" s="1" t="s">
        <v>74</v>
      </c>
      <c r="AJ619" s="1" t="s">
        <v>74</v>
      </c>
      <c r="AK619" s="1" t="s">
        <v>74</v>
      </c>
      <c r="AL619" s="1" t="s">
        <v>74</v>
      </c>
      <c r="AM619" s="1" t="s">
        <v>74</v>
      </c>
      <c r="AN619" s="1" t="s">
        <v>74</v>
      </c>
      <c r="AO619" s="1" t="s">
        <v>711</v>
      </c>
      <c r="AP619" s="1" t="s">
        <v>74</v>
      </c>
      <c r="AQ619" s="1" t="s">
        <v>74</v>
      </c>
      <c r="AR619" s="1" t="s">
        <v>74</v>
      </c>
      <c r="AS619" s="1" t="s">
        <v>74</v>
      </c>
      <c r="AT619" s="1" t="s">
        <v>606</v>
      </c>
      <c r="AU619" s="1">
        <v>2002.0</v>
      </c>
      <c r="AV619" s="1">
        <v>21.0</v>
      </c>
      <c r="AW619" s="1">
        <v>7.0</v>
      </c>
      <c r="AX619" s="1" t="s">
        <v>74</v>
      </c>
      <c r="AY619" s="1" t="s">
        <v>74</v>
      </c>
      <c r="AZ619" s="1" t="s">
        <v>74</v>
      </c>
      <c r="BA619" s="1" t="s">
        <v>74</v>
      </c>
      <c r="BB619" s="1">
        <v>443.0</v>
      </c>
      <c r="BC619" s="1">
        <v>445.0</v>
      </c>
      <c r="BD619" s="1" t="s">
        <v>74</v>
      </c>
      <c r="BE619" s="1" t="s">
        <v>6168</v>
      </c>
      <c r="BF619" s="2" t="str">
        <f>HYPERLINK("http://dx.doi.org/10.1023/A:1021342918955","http://dx.doi.org/10.1023/A:1021342918955")</f>
        <v>http://dx.doi.org/10.1023/A:1021342918955</v>
      </c>
      <c r="BG619" s="1" t="s">
        <v>74</v>
      </c>
      <c r="BH619" s="1" t="s">
        <v>74</v>
      </c>
      <c r="BI619" s="1" t="s">
        <v>74</v>
      </c>
      <c r="BJ619" s="1" t="s">
        <v>74</v>
      </c>
      <c r="BK619" s="1" t="s">
        <v>74</v>
      </c>
      <c r="BL619" s="1" t="s">
        <v>74</v>
      </c>
      <c r="BM619" s="1" t="s">
        <v>74</v>
      </c>
      <c r="BN619" s="1">
        <v>1.2523647E7</v>
      </c>
      <c r="BO619" s="1" t="s">
        <v>74</v>
      </c>
      <c r="BP619" s="1" t="s">
        <v>74</v>
      </c>
      <c r="BQ619" s="1" t="s">
        <v>74</v>
      </c>
      <c r="BR619" s="1" t="s">
        <v>74</v>
      </c>
      <c r="BS619" s="1" t="s">
        <v>6169</v>
      </c>
      <c r="BT619" s="1" t="str">
        <f>HYPERLINK("https%3A%2F%2Fwww.webofscience.com%2Fwos%2Fwoscc%2Ffull-record%2FWOS:000179642200002","View Full Record in Web of Science")</f>
        <v>View Full Record in Web of Science</v>
      </c>
    </row>
    <row r="620" ht="12.75" customHeight="1">
      <c r="A620" s="1" t="s">
        <v>72</v>
      </c>
      <c r="B620" s="1" t="s">
        <v>6170</v>
      </c>
      <c r="C620" s="1" t="s">
        <v>74</v>
      </c>
      <c r="D620" s="1" t="s">
        <v>74</v>
      </c>
      <c r="E620" s="1" t="s">
        <v>74</v>
      </c>
      <c r="F620" s="1" t="s">
        <v>6170</v>
      </c>
      <c r="G620" s="1" t="s">
        <v>74</v>
      </c>
      <c r="H620" s="1" t="s">
        <v>74</v>
      </c>
      <c r="I620" s="1" t="s">
        <v>6171</v>
      </c>
      <c r="J620" s="1" t="s">
        <v>6172</v>
      </c>
      <c r="K620" s="1" t="s">
        <v>74</v>
      </c>
      <c r="L620" s="1" t="s">
        <v>74</v>
      </c>
      <c r="M620" s="1" t="s">
        <v>74</v>
      </c>
      <c r="N620" s="1" t="s">
        <v>74</v>
      </c>
      <c r="O620" s="1" t="s">
        <v>74</v>
      </c>
      <c r="P620" s="1" t="s">
        <v>74</v>
      </c>
      <c r="Q620" s="1" t="s">
        <v>74</v>
      </c>
      <c r="R620" s="1" t="s">
        <v>74</v>
      </c>
      <c r="S620" s="1" t="s">
        <v>74</v>
      </c>
      <c r="T620" s="1" t="s">
        <v>74</v>
      </c>
      <c r="U620" s="1" t="s">
        <v>74</v>
      </c>
      <c r="V620" s="1" t="s">
        <v>6173</v>
      </c>
      <c r="W620" s="1" t="s">
        <v>74</v>
      </c>
      <c r="X620" s="1" t="s">
        <v>74</v>
      </c>
      <c r="Y620" s="1" t="s">
        <v>74</v>
      </c>
      <c r="Z620" s="1" t="s">
        <v>74</v>
      </c>
      <c r="AA620" s="1" t="s">
        <v>6174</v>
      </c>
      <c r="AB620" s="1" t="s">
        <v>6175</v>
      </c>
      <c r="AC620" s="1" t="s">
        <v>74</v>
      </c>
      <c r="AD620" s="1" t="s">
        <v>74</v>
      </c>
      <c r="AE620" s="1" t="s">
        <v>74</v>
      </c>
      <c r="AF620" s="1" t="s">
        <v>74</v>
      </c>
      <c r="AG620" s="1" t="s">
        <v>74</v>
      </c>
      <c r="AH620" s="1" t="s">
        <v>74</v>
      </c>
      <c r="AI620" s="1" t="s">
        <v>74</v>
      </c>
      <c r="AJ620" s="1" t="s">
        <v>74</v>
      </c>
      <c r="AK620" s="1" t="s">
        <v>74</v>
      </c>
      <c r="AL620" s="1" t="s">
        <v>74</v>
      </c>
      <c r="AM620" s="1" t="s">
        <v>74</v>
      </c>
      <c r="AN620" s="1" t="s">
        <v>74</v>
      </c>
      <c r="AO620" s="1" t="s">
        <v>6176</v>
      </c>
      <c r="AP620" s="1" t="s">
        <v>6177</v>
      </c>
      <c r="AQ620" s="1" t="s">
        <v>74</v>
      </c>
      <c r="AR620" s="1" t="s">
        <v>74</v>
      </c>
      <c r="AS620" s="1" t="s">
        <v>74</v>
      </c>
      <c r="AT620" s="1" t="s">
        <v>339</v>
      </c>
      <c r="AU620" s="1">
        <v>2002.0</v>
      </c>
      <c r="AV620" s="1">
        <v>82.0</v>
      </c>
      <c r="AW620" s="1">
        <v>6.0</v>
      </c>
      <c r="AX620" s="1" t="s">
        <v>74</v>
      </c>
      <c r="AY620" s="1" t="s">
        <v>74</v>
      </c>
      <c r="AZ620" s="1" t="s">
        <v>74</v>
      </c>
      <c r="BA620" s="1" t="s">
        <v>74</v>
      </c>
      <c r="BB620" s="1">
        <v>1435.0</v>
      </c>
      <c r="BC620" s="1">
        <v>1443.0</v>
      </c>
      <c r="BD620" s="1" t="s">
        <v>74</v>
      </c>
      <c r="BE620" s="1" t="s">
        <v>6178</v>
      </c>
      <c r="BF620" s="2" t="str">
        <f>HYPERLINK("http://dx.doi.org/10.1046/j.1471-4159.2002.01073.x","http://dx.doi.org/10.1046/j.1471-4159.2002.01073.x")</f>
        <v>http://dx.doi.org/10.1046/j.1471-4159.2002.01073.x</v>
      </c>
      <c r="BG620" s="1" t="s">
        <v>74</v>
      </c>
      <c r="BH620" s="1" t="s">
        <v>74</v>
      </c>
      <c r="BI620" s="1" t="s">
        <v>74</v>
      </c>
      <c r="BJ620" s="1" t="s">
        <v>74</v>
      </c>
      <c r="BK620" s="1" t="s">
        <v>74</v>
      </c>
      <c r="BL620" s="1" t="s">
        <v>74</v>
      </c>
      <c r="BM620" s="1" t="s">
        <v>74</v>
      </c>
      <c r="BN620" s="1">
        <v>1.2354291E7</v>
      </c>
      <c r="BO620" s="1" t="s">
        <v>74</v>
      </c>
      <c r="BP620" s="1" t="s">
        <v>74</v>
      </c>
      <c r="BQ620" s="1" t="s">
        <v>74</v>
      </c>
      <c r="BR620" s="1" t="s">
        <v>74</v>
      </c>
      <c r="BS620" s="1" t="s">
        <v>6179</v>
      </c>
      <c r="BT620" s="1" t="str">
        <f>HYPERLINK("https%3A%2F%2Fwww.webofscience.com%2Fwos%2Fwoscc%2Ffull-record%2FWOS:000177790000013","View Full Record in Web of Science")</f>
        <v>View Full Record in Web of Science</v>
      </c>
    </row>
    <row r="621" ht="12.75" customHeight="1">
      <c r="A621" s="1" t="s">
        <v>72</v>
      </c>
      <c r="B621" s="1" t="s">
        <v>6180</v>
      </c>
      <c r="C621" s="1" t="s">
        <v>74</v>
      </c>
      <c r="D621" s="1" t="s">
        <v>74</v>
      </c>
      <c r="E621" s="1" t="s">
        <v>74</v>
      </c>
      <c r="F621" s="1" t="s">
        <v>6180</v>
      </c>
      <c r="G621" s="1" t="s">
        <v>74</v>
      </c>
      <c r="H621" s="1" t="s">
        <v>74</v>
      </c>
      <c r="I621" s="1" t="s">
        <v>6181</v>
      </c>
      <c r="J621" s="1" t="s">
        <v>623</v>
      </c>
      <c r="K621" s="1" t="s">
        <v>74</v>
      </c>
      <c r="L621" s="1" t="s">
        <v>74</v>
      </c>
      <c r="M621" s="1" t="s">
        <v>74</v>
      </c>
      <c r="N621" s="1" t="s">
        <v>74</v>
      </c>
      <c r="O621" s="1" t="s">
        <v>74</v>
      </c>
      <c r="P621" s="1" t="s">
        <v>74</v>
      </c>
      <c r="Q621" s="1" t="s">
        <v>74</v>
      </c>
      <c r="R621" s="1" t="s">
        <v>74</v>
      </c>
      <c r="S621" s="1" t="s">
        <v>74</v>
      </c>
      <c r="T621" s="1" t="s">
        <v>74</v>
      </c>
      <c r="U621" s="1" t="s">
        <v>74</v>
      </c>
      <c r="V621" s="1" t="s">
        <v>6182</v>
      </c>
      <c r="W621" s="1" t="s">
        <v>74</v>
      </c>
      <c r="X621" s="1" t="s">
        <v>74</v>
      </c>
      <c r="Y621" s="1" t="s">
        <v>74</v>
      </c>
      <c r="Z621" s="1" t="s">
        <v>74</v>
      </c>
      <c r="AA621" s="1" t="s">
        <v>74</v>
      </c>
      <c r="AB621" s="1" t="s">
        <v>74</v>
      </c>
      <c r="AC621" s="1" t="s">
        <v>74</v>
      </c>
      <c r="AD621" s="1" t="s">
        <v>74</v>
      </c>
      <c r="AE621" s="1" t="s">
        <v>74</v>
      </c>
      <c r="AF621" s="1" t="s">
        <v>74</v>
      </c>
      <c r="AG621" s="1" t="s">
        <v>74</v>
      </c>
      <c r="AH621" s="1" t="s">
        <v>74</v>
      </c>
      <c r="AI621" s="1" t="s">
        <v>74</v>
      </c>
      <c r="AJ621" s="1" t="s">
        <v>74</v>
      </c>
      <c r="AK621" s="1" t="s">
        <v>74</v>
      </c>
      <c r="AL621" s="1" t="s">
        <v>74</v>
      </c>
      <c r="AM621" s="1" t="s">
        <v>74</v>
      </c>
      <c r="AN621" s="1" t="s">
        <v>74</v>
      </c>
      <c r="AO621" s="1" t="s">
        <v>627</v>
      </c>
      <c r="AP621" s="1" t="s">
        <v>628</v>
      </c>
      <c r="AQ621" s="1" t="s">
        <v>74</v>
      </c>
      <c r="AR621" s="1" t="s">
        <v>74</v>
      </c>
      <c r="AS621" s="1" t="s">
        <v>74</v>
      </c>
      <c r="AT621" s="1" t="s">
        <v>6183</v>
      </c>
      <c r="AU621" s="1">
        <v>2001.0</v>
      </c>
      <c r="AV621" s="1">
        <v>509.0</v>
      </c>
      <c r="AW621" s="1" t="s">
        <v>703</v>
      </c>
      <c r="AX621" s="1" t="s">
        <v>74</v>
      </c>
      <c r="AY621" s="1" t="s">
        <v>74</v>
      </c>
      <c r="AZ621" s="1" t="s">
        <v>74</v>
      </c>
      <c r="BA621" s="1" t="s">
        <v>74</v>
      </c>
      <c r="BB621" s="1">
        <v>138.0</v>
      </c>
      <c r="BC621" s="1">
        <v>142.0</v>
      </c>
      <c r="BD621" s="1" t="s">
        <v>74</v>
      </c>
      <c r="BE621" s="1" t="s">
        <v>6184</v>
      </c>
      <c r="BF621" s="2" t="str">
        <f>HYPERLINK("http://dx.doi.org/10.1016/S0370-2693(01)00490-7","http://dx.doi.org/10.1016/S0370-2693(01)00490-7")</f>
        <v>http://dx.doi.org/10.1016/S0370-2693(01)00490-7</v>
      </c>
      <c r="BG621" s="1" t="s">
        <v>74</v>
      </c>
      <c r="BH621" s="1" t="s">
        <v>74</v>
      </c>
      <c r="BI621" s="1" t="s">
        <v>74</v>
      </c>
      <c r="BJ621" s="1" t="s">
        <v>74</v>
      </c>
      <c r="BK621" s="1" t="s">
        <v>74</v>
      </c>
      <c r="BL621" s="1" t="s">
        <v>74</v>
      </c>
      <c r="BM621" s="1" t="s">
        <v>74</v>
      </c>
      <c r="BN621" s="1" t="s">
        <v>74</v>
      </c>
      <c r="BO621" s="1" t="s">
        <v>74</v>
      </c>
      <c r="BP621" s="1" t="s">
        <v>74</v>
      </c>
      <c r="BQ621" s="1" t="s">
        <v>74</v>
      </c>
      <c r="BR621" s="1" t="s">
        <v>74</v>
      </c>
      <c r="BS621" s="1" t="s">
        <v>6185</v>
      </c>
      <c r="BT621" s="1" t="str">
        <f>HYPERLINK("https%3A%2F%2Fwww.webofscience.com%2Fwos%2Fwoscc%2Ffull-record%2FWOS:000169426200018","View Full Record in Web of Science")</f>
        <v>View Full Record in Web of Science</v>
      </c>
    </row>
    <row r="622" ht="12.75" customHeight="1">
      <c r="A622" s="1" t="s">
        <v>72</v>
      </c>
      <c r="B622" s="1" t="s">
        <v>6186</v>
      </c>
      <c r="C622" s="1" t="s">
        <v>74</v>
      </c>
      <c r="D622" s="1" t="s">
        <v>74</v>
      </c>
      <c r="E622" s="1" t="s">
        <v>74</v>
      </c>
      <c r="F622" s="1" t="s">
        <v>6186</v>
      </c>
      <c r="G622" s="1" t="s">
        <v>74</v>
      </c>
      <c r="H622" s="1" t="s">
        <v>74</v>
      </c>
      <c r="I622" s="1" t="s">
        <v>6187</v>
      </c>
      <c r="J622" s="1" t="s">
        <v>708</v>
      </c>
      <c r="K622" s="1" t="s">
        <v>74</v>
      </c>
      <c r="L622" s="1" t="s">
        <v>74</v>
      </c>
      <c r="M622" s="1" t="s">
        <v>74</v>
      </c>
      <c r="N622" s="1" t="s">
        <v>74</v>
      </c>
      <c r="O622" s="1" t="s">
        <v>74</v>
      </c>
      <c r="P622" s="1" t="s">
        <v>74</v>
      </c>
      <c r="Q622" s="1" t="s">
        <v>74</v>
      </c>
      <c r="R622" s="1" t="s">
        <v>74</v>
      </c>
      <c r="S622" s="1" t="s">
        <v>74</v>
      </c>
      <c r="T622" s="1" t="s">
        <v>74</v>
      </c>
      <c r="U622" s="1" t="s">
        <v>74</v>
      </c>
      <c r="V622" s="1" t="s">
        <v>6188</v>
      </c>
      <c r="W622" s="1" t="s">
        <v>74</v>
      </c>
      <c r="X622" s="1" t="s">
        <v>74</v>
      </c>
      <c r="Y622" s="1" t="s">
        <v>74</v>
      </c>
      <c r="Z622" s="1" t="s">
        <v>74</v>
      </c>
      <c r="AA622" s="1" t="s">
        <v>74</v>
      </c>
      <c r="AB622" s="1" t="s">
        <v>74</v>
      </c>
      <c r="AC622" s="1" t="s">
        <v>74</v>
      </c>
      <c r="AD622" s="1" t="s">
        <v>74</v>
      </c>
      <c r="AE622" s="1" t="s">
        <v>74</v>
      </c>
      <c r="AF622" s="1" t="s">
        <v>74</v>
      </c>
      <c r="AG622" s="1" t="s">
        <v>74</v>
      </c>
      <c r="AH622" s="1" t="s">
        <v>74</v>
      </c>
      <c r="AI622" s="1" t="s">
        <v>74</v>
      </c>
      <c r="AJ622" s="1" t="s">
        <v>74</v>
      </c>
      <c r="AK622" s="1" t="s">
        <v>74</v>
      </c>
      <c r="AL622" s="1" t="s">
        <v>74</v>
      </c>
      <c r="AM622" s="1" t="s">
        <v>74</v>
      </c>
      <c r="AN622" s="1" t="s">
        <v>74</v>
      </c>
      <c r="AO622" s="1" t="s">
        <v>711</v>
      </c>
      <c r="AP622" s="1" t="s">
        <v>74</v>
      </c>
      <c r="AQ622" s="1" t="s">
        <v>74</v>
      </c>
      <c r="AR622" s="1" t="s">
        <v>74</v>
      </c>
      <c r="AS622" s="1" t="s">
        <v>74</v>
      </c>
      <c r="AT622" s="1" t="s">
        <v>350</v>
      </c>
      <c r="AU622" s="1">
        <v>1999.0</v>
      </c>
      <c r="AV622" s="1">
        <v>18.0</v>
      </c>
      <c r="AW622" s="1">
        <v>6.0</v>
      </c>
      <c r="AX622" s="1" t="s">
        <v>74</v>
      </c>
      <c r="AY622" s="1" t="s">
        <v>74</v>
      </c>
      <c r="AZ622" s="1" t="s">
        <v>74</v>
      </c>
      <c r="BA622" s="1" t="s">
        <v>74</v>
      </c>
      <c r="BB622" s="1">
        <v>659.0</v>
      </c>
      <c r="BC622" s="1">
        <v>664.0</v>
      </c>
      <c r="BD622" s="1" t="s">
        <v>74</v>
      </c>
      <c r="BE622" s="1" t="s">
        <v>6189</v>
      </c>
      <c r="BF622" s="2" t="str">
        <f>HYPERLINK("http://dx.doi.org/10.1023/A:1020602222808","http://dx.doi.org/10.1023/A:1020602222808")</f>
        <v>http://dx.doi.org/10.1023/A:1020602222808</v>
      </c>
      <c r="BG622" s="1" t="s">
        <v>74</v>
      </c>
      <c r="BH622" s="1" t="s">
        <v>74</v>
      </c>
      <c r="BI622" s="1" t="s">
        <v>74</v>
      </c>
      <c r="BJ622" s="1" t="s">
        <v>74</v>
      </c>
      <c r="BK622" s="1" t="s">
        <v>74</v>
      </c>
      <c r="BL622" s="1" t="s">
        <v>74</v>
      </c>
      <c r="BM622" s="1" t="s">
        <v>74</v>
      </c>
      <c r="BN622" s="1">
        <v>1.0609641E7</v>
      </c>
      <c r="BO622" s="1" t="s">
        <v>74</v>
      </c>
      <c r="BP622" s="1" t="s">
        <v>74</v>
      </c>
      <c r="BQ622" s="1" t="s">
        <v>74</v>
      </c>
      <c r="BR622" s="1" t="s">
        <v>74</v>
      </c>
      <c r="BS622" s="1" t="s">
        <v>6190</v>
      </c>
      <c r="BT622" s="1" t="str">
        <f>HYPERLINK("https%3A%2F%2Fwww.webofscience.com%2Fwos%2Fwoscc%2Ffull-record%2FWOS:000084249200005","View Full Record in Web of Science")</f>
        <v>View Full Record in Web of Science</v>
      </c>
    </row>
    <row r="623" ht="12.75" customHeight="1">
      <c r="A623" s="1" t="s">
        <v>72</v>
      </c>
      <c r="B623" s="1" t="s">
        <v>6191</v>
      </c>
      <c r="C623" s="1" t="s">
        <v>74</v>
      </c>
      <c r="D623" s="1" t="s">
        <v>74</v>
      </c>
      <c r="E623" s="1" t="s">
        <v>74</v>
      </c>
      <c r="F623" s="1" t="s">
        <v>6191</v>
      </c>
      <c r="G623" s="1" t="s">
        <v>74</v>
      </c>
      <c r="H623" s="1" t="s">
        <v>74</v>
      </c>
      <c r="I623" s="1" t="s">
        <v>6192</v>
      </c>
      <c r="J623" s="1" t="s">
        <v>6193</v>
      </c>
      <c r="K623" s="1" t="s">
        <v>74</v>
      </c>
      <c r="L623" s="1" t="s">
        <v>74</v>
      </c>
      <c r="M623" s="1" t="s">
        <v>74</v>
      </c>
      <c r="N623" s="1" t="s">
        <v>74</v>
      </c>
      <c r="O623" s="1" t="s">
        <v>74</v>
      </c>
      <c r="P623" s="1" t="s">
        <v>74</v>
      </c>
      <c r="Q623" s="1" t="s">
        <v>74</v>
      </c>
      <c r="R623" s="1" t="s">
        <v>74</v>
      </c>
      <c r="S623" s="1" t="s">
        <v>74</v>
      </c>
      <c r="T623" s="1" t="s">
        <v>74</v>
      </c>
      <c r="U623" s="1" t="s">
        <v>74</v>
      </c>
      <c r="V623" s="1" t="s">
        <v>6194</v>
      </c>
      <c r="W623" s="1" t="s">
        <v>74</v>
      </c>
      <c r="X623" s="1" t="s">
        <v>74</v>
      </c>
      <c r="Y623" s="1" t="s">
        <v>74</v>
      </c>
      <c r="Z623" s="1" t="s">
        <v>74</v>
      </c>
      <c r="AA623" s="1" t="s">
        <v>6195</v>
      </c>
      <c r="AB623" s="1" t="s">
        <v>6196</v>
      </c>
      <c r="AC623" s="1" t="s">
        <v>74</v>
      </c>
      <c r="AD623" s="1" t="s">
        <v>74</v>
      </c>
      <c r="AE623" s="1" t="s">
        <v>74</v>
      </c>
      <c r="AF623" s="1" t="s">
        <v>74</v>
      </c>
      <c r="AG623" s="1" t="s">
        <v>74</v>
      </c>
      <c r="AH623" s="1" t="s">
        <v>74</v>
      </c>
      <c r="AI623" s="1" t="s">
        <v>74</v>
      </c>
      <c r="AJ623" s="1" t="s">
        <v>74</v>
      </c>
      <c r="AK623" s="1" t="s">
        <v>74</v>
      </c>
      <c r="AL623" s="1" t="s">
        <v>74</v>
      </c>
      <c r="AM623" s="1" t="s">
        <v>74</v>
      </c>
      <c r="AN623" s="1" t="s">
        <v>74</v>
      </c>
      <c r="AO623" s="1" t="s">
        <v>6197</v>
      </c>
      <c r="AP623" s="1" t="s">
        <v>74</v>
      </c>
      <c r="AQ623" s="1" t="s">
        <v>74</v>
      </c>
      <c r="AR623" s="1" t="s">
        <v>74</v>
      </c>
      <c r="AS623" s="1" t="s">
        <v>74</v>
      </c>
      <c r="AT623" s="1" t="s">
        <v>6198</v>
      </c>
      <c r="AU623" s="1">
        <v>1998.0</v>
      </c>
      <c r="AV623" s="1">
        <v>69.0</v>
      </c>
      <c r="AW623" s="1">
        <v>1.0</v>
      </c>
      <c r="AX623" s="1" t="s">
        <v>74</v>
      </c>
      <c r="AY623" s="1" t="s">
        <v>74</v>
      </c>
      <c r="AZ623" s="1" t="s">
        <v>74</v>
      </c>
      <c r="BA623" s="1" t="s">
        <v>74</v>
      </c>
      <c r="BB623" s="1">
        <v>68.0</v>
      </c>
      <c r="BC623" s="1">
        <v>71.0</v>
      </c>
      <c r="BD623" s="1" t="s">
        <v>74</v>
      </c>
      <c r="BE623" s="1" t="s">
        <v>6199</v>
      </c>
      <c r="BF623" s="2" t="str">
        <f>HYPERLINK("http://dx.doi.org/10.1016/S0924-4247(97)01757-3","http://dx.doi.org/10.1016/S0924-4247(97)01757-3")</f>
        <v>http://dx.doi.org/10.1016/S0924-4247(97)01757-3</v>
      </c>
      <c r="BG623" s="1" t="s">
        <v>74</v>
      </c>
      <c r="BH623" s="1" t="s">
        <v>74</v>
      </c>
      <c r="BI623" s="1" t="s">
        <v>74</v>
      </c>
      <c r="BJ623" s="1" t="s">
        <v>74</v>
      </c>
      <c r="BK623" s="1" t="s">
        <v>74</v>
      </c>
      <c r="BL623" s="1" t="s">
        <v>74</v>
      </c>
      <c r="BM623" s="1" t="s">
        <v>74</v>
      </c>
      <c r="BN623" s="1" t="s">
        <v>74</v>
      </c>
      <c r="BO623" s="1" t="s">
        <v>74</v>
      </c>
      <c r="BP623" s="1" t="s">
        <v>74</v>
      </c>
      <c r="BQ623" s="1" t="s">
        <v>74</v>
      </c>
      <c r="BR623" s="1" t="s">
        <v>74</v>
      </c>
      <c r="BS623" s="1" t="s">
        <v>6200</v>
      </c>
      <c r="BT623" s="1" t="str">
        <f>HYPERLINK("https%3A%2F%2Fwww.webofscience.com%2Fwos%2Fwoscc%2Ffull-record%2FWOS:000074516700013","View Full Record in Web of Science")</f>
        <v>View Full Record in Web of Science</v>
      </c>
    </row>
    <row r="624" ht="12.75" customHeight="1">
      <c r="A624" s="1" t="s">
        <v>72</v>
      </c>
      <c r="B624" s="1" t="s">
        <v>6201</v>
      </c>
      <c r="C624" s="1" t="s">
        <v>74</v>
      </c>
      <c r="D624" s="1" t="s">
        <v>74</v>
      </c>
      <c r="E624" s="1" t="s">
        <v>74</v>
      </c>
      <c r="F624" s="1" t="s">
        <v>6201</v>
      </c>
      <c r="G624" s="1" t="s">
        <v>74</v>
      </c>
      <c r="H624" s="1" t="s">
        <v>74</v>
      </c>
      <c r="I624" s="1" t="s">
        <v>6202</v>
      </c>
      <c r="J624" s="1" t="s">
        <v>6203</v>
      </c>
      <c r="K624" s="1" t="s">
        <v>74</v>
      </c>
      <c r="L624" s="1" t="s">
        <v>74</v>
      </c>
      <c r="M624" s="1" t="s">
        <v>74</v>
      </c>
      <c r="N624" s="1" t="s">
        <v>74</v>
      </c>
      <c r="O624" s="1" t="s">
        <v>74</v>
      </c>
      <c r="P624" s="1" t="s">
        <v>74</v>
      </c>
      <c r="Q624" s="1" t="s">
        <v>74</v>
      </c>
      <c r="R624" s="1" t="s">
        <v>74</v>
      </c>
      <c r="S624" s="1" t="s">
        <v>74</v>
      </c>
      <c r="T624" s="1" t="s">
        <v>74</v>
      </c>
      <c r="U624" s="1" t="s">
        <v>74</v>
      </c>
      <c r="V624" s="1" t="s">
        <v>74</v>
      </c>
      <c r="W624" s="1" t="s">
        <v>74</v>
      </c>
      <c r="X624" s="1" t="s">
        <v>74</v>
      </c>
      <c r="Y624" s="1" t="s">
        <v>74</v>
      </c>
      <c r="Z624" s="1" t="s">
        <v>74</v>
      </c>
      <c r="AA624" s="1" t="s">
        <v>6204</v>
      </c>
      <c r="AB624" s="1" t="s">
        <v>74</v>
      </c>
      <c r="AC624" s="1" t="s">
        <v>74</v>
      </c>
      <c r="AD624" s="1" t="s">
        <v>74</v>
      </c>
      <c r="AE624" s="1" t="s">
        <v>74</v>
      </c>
      <c r="AF624" s="1" t="s">
        <v>74</v>
      </c>
      <c r="AG624" s="1" t="s">
        <v>74</v>
      </c>
      <c r="AH624" s="1" t="s">
        <v>74</v>
      </c>
      <c r="AI624" s="1" t="s">
        <v>74</v>
      </c>
      <c r="AJ624" s="1" t="s">
        <v>74</v>
      </c>
      <c r="AK624" s="1" t="s">
        <v>74</v>
      </c>
      <c r="AL624" s="1" t="s">
        <v>74</v>
      </c>
      <c r="AM624" s="1" t="s">
        <v>74</v>
      </c>
      <c r="AN624" s="1" t="s">
        <v>74</v>
      </c>
      <c r="AO624" s="1" t="s">
        <v>6205</v>
      </c>
      <c r="AP624" s="1" t="s">
        <v>74</v>
      </c>
      <c r="AQ624" s="1" t="s">
        <v>74</v>
      </c>
      <c r="AR624" s="1" t="s">
        <v>74</v>
      </c>
      <c r="AS624" s="1" t="s">
        <v>74</v>
      </c>
      <c r="AT624" s="1" t="s">
        <v>339</v>
      </c>
      <c r="AU624" s="1">
        <v>1995.0</v>
      </c>
      <c r="AV624" s="1">
        <v>6.0</v>
      </c>
      <c r="AW624" s="1">
        <v>3.0</v>
      </c>
      <c r="AX624" s="1" t="s">
        <v>74</v>
      </c>
      <c r="AY624" s="1" t="s">
        <v>74</v>
      </c>
      <c r="AZ624" s="1" t="s">
        <v>445</v>
      </c>
      <c r="BA624" s="1" t="s">
        <v>74</v>
      </c>
      <c r="BB624" s="1">
        <v>479.0</v>
      </c>
      <c r="BC624" s="1">
        <v>479.0</v>
      </c>
      <c r="BD624" s="1" t="s">
        <v>74</v>
      </c>
      <c r="BE624" s="1" t="s">
        <v>74</v>
      </c>
      <c r="BF624" s="1" t="s">
        <v>74</v>
      </c>
      <c r="BG624" s="1" t="s">
        <v>74</v>
      </c>
      <c r="BH624" s="1" t="s">
        <v>74</v>
      </c>
      <c r="BI624" s="1" t="s">
        <v>74</v>
      </c>
      <c r="BJ624" s="1" t="s">
        <v>74</v>
      </c>
      <c r="BK624" s="1" t="s">
        <v>74</v>
      </c>
      <c r="BL624" s="1" t="s">
        <v>74</v>
      </c>
      <c r="BM624" s="1" t="s">
        <v>74</v>
      </c>
      <c r="BN624" s="1" t="s">
        <v>74</v>
      </c>
      <c r="BO624" s="1" t="s">
        <v>74</v>
      </c>
      <c r="BP624" s="1" t="s">
        <v>74</v>
      </c>
      <c r="BQ624" s="1" t="s">
        <v>74</v>
      </c>
      <c r="BR624" s="1" t="s">
        <v>74</v>
      </c>
      <c r="BS624" s="1" t="s">
        <v>6206</v>
      </c>
      <c r="BT624" s="1" t="str">
        <f>HYPERLINK("https%3A%2F%2Fwww.webofscience.com%2Fwos%2Fwoscc%2Ffull-record%2FWOS:A1995RX68600705","View Full Record in Web of Science")</f>
        <v>View Full Record in Web of Science</v>
      </c>
    </row>
    <row r="625" ht="12.75" customHeight="1">
      <c r="A625" s="1" t="s">
        <v>72</v>
      </c>
      <c r="B625" s="1" t="s">
        <v>6207</v>
      </c>
      <c r="C625" s="1" t="s">
        <v>74</v>
      </c>
      <c r="D625" s="1" t="s">
        <v>74</v>
      </c>
      <c r="E625" s="1" t="s">
        <v>74</v>
      </c>
      <c r="F625" s="1" t="s">
        <v>6207</v>
      </c>
      <c r="G625" s="1" t="s">
        <v>74</v>
      </c>
      <c r="H625" s="1" t="s">
        <v>74</v>
      </c>
      <c r="I625" s="1" t="s">
        <v>6208</v>
      </c>
      <c r="J625" s="1" t="s">
        <v>4401</v>
      </c>
      <c r="K625" s="1" t="s">
        <v>74</v>
      </c>
      <c r="L625" s="1" t="s">
        <v>74</v>
      </c>
      <c r="M625" s="1" t="s">
        <v>74</v>
      </c>
      <c r="N625" s="1" t="s">
        <v>74</v>
      </c>
      <c r="O625" s="1" t="s">
        <v>74</v>
      </c>
      <c r="P625" s="1" t="s">
        <v>74</v>
      </c>
      <c r="Q625" s="1" t="s">
        <v>74</v>
      </c>
      <c r="R625" s="1" t="s">
        <v>74</v>
      </c>
      <c r="S625" s="1" t="s">
        <v>74</v>
      </c>
      <c r="T625" s="1" t="s">
        <v>74</v>
      </c>
      <c r="U625" s="1" t="s">
        <v>74</v>
      </c>
      <c r="V625" s="1" t="s">
        <v>74</v>
      </c>
      <c r="W625" s="1" t="s">
        <v>74</v>
      </c>
      <c r="X625" s="1" t="s">
        <v>74</v>
      </c>
      <c r="Y625" s="1" t="s">
        <v>74</v>
      </c>
      <c r="Z625" s="1" t="s">
        <v>74</v>
      </c>
      <c r="AA625" s="1" t="s">
        <v>97</v>
      </c>
      <c r="AB625" s="1" t="s">
        <v>74</v>
      </c>
      <c r="AC625" s="1" t="s">
        <v>74</v>
      </c>
      <c r="AD625" s="1" t="s">
        <v>74</v>
      </c>
      <c r="AE625" s="1" t="s">
        <v>74</v>
      </c>
      <c r="AF625" s="1" t="s">
        <v>74</v>
      </c>
      <c r="AG625" s="1" t="s">
        <v>74</v>
      </c>
      <c r="AH625" s="1" t="s">
        <v>74</v>
      </c>
      <c r="AI625" s="1" t="s">
        <v>74</v>
      </c>
      <c r="AJ625" s="1" t="s">
        <v>74</v>
      </c>
      <c r="AK625" s="1" t="s">
        <v>74</v>
      </c>
      <c r="AL625" s="1" t="s">
        <v>74</v>
      </c>
      <c r="AM625" s="1" t="s">
        <v>74</v>
      </c>
      <c r="AN625" s="1" t="s">
        <v>74</v>
      </c>
      <c r="AO625" s="1" t="s">
        <v>4405</v>
      </c>
      <c r="AP625" s="1" t="s">
        <v>74</v>
      </c>
      <c r="AQ625" s="1" t="s">
        <v>74</v>
      </c>
      <c r="AR625" s="1" t="s">
        <v>74</v>
      </c>
      <c r="AS625" s="1" t="s">
        <v>74</v>
      </c>
      <c r="AT625" s="1" t="s">
        <v>3399</v>
      </c>
      <c r="AU625" s="1">
        <v>1988.0</v>
      </c>
      <c r="AV625" s="1">
        <v>148.0</v>
      </c>
      <c r="AW625" s="1">
        <v>4.0</v>
      </c>
      <c r="AX625" s="1" t="s">
        <v>74</v>
      </c>
      <c r="AY625" s="1" t="s">
        <v>74</v>
      </c>
      <c r="AZ625" s="1" t="s">
        <v>74</v>
      </c>
      <c r="BA625" s="1" t="s">
        <v>74</v>
      </c>
      <c r="BB625" s="1">
        <v>309.0</v>
      </c>
      <c r="BC625" s="1">
        <v>312.0</v>
      </c>
      <c r="BD625" s="1" t="s">
        <v>74</v>
      </c>
      <c r="BE625" s="1" t="s">
        <v>6209</v>
      </c>
      <c r="BF625" s="2" t="str">
        <f>HYPERLINK("http://dx.doi.org/10.1016/0009-2614(88)87277-4","http://dx.doi.org/10.1016/0009-2614(88)87277-4")</f>
        <v>http://dx.doi.org/10.1016/0009-2614(88)87277-4</v>
      </c>
      <c r="BG625" s="1" t="s">
        <v>74</v>
      </c>
      <c r="BH625" s="1" t="s">
        <v>74</v>
      </c>
      <c r="BI625" s="1" t="s">
        <v>74</v>
      </c>
      <c r="BJ625" s="1" t="s">
        <v>74</v>
      </c>
      <c r="BK625" s="1" t="s">
        <v>74</v>
      </c>
      <c r="BL625" s="1" t="s">
        <v>74</v>
      </c>
      <c r="BM625" s="1" t="s">
        <v>74</v>
      </c>
      <c r="BN625" s="1" t="s">
        <v>74</v>
      </c>
      <c r="BO625" s="1" t="s">
        <v>74</v>
      </c>
      <c r="BP625" s="1" t="s">
        <v>74</v>
      </c>
      <c r="BQ625" s="1" t="s">
        <v>74</v>
      </c>
      <c r="BR625" s="1" t="s">
        <v>74</v>
      </c>
      <c r="BS625" s="1" t="s">
        <v>6210</v>
      </c>
      <c r="BT625" s="1" t="str">
        <f>HYPERLINK("https%3A%2F%2Fwww.webofscience.com%2Fwos%2Fwoscc%2Ffull-record%2FWOS:A1988P307800008","View Full Record in Web of Science")</f>
        <v>View Full Record in Web of Science</v>
      </c>
    </row>
    <row r="626" ht="12.75" customHeight="1">
      <c r="A626" s="1" t="s">
        <v>72</v>
      </c>
      <c r="B626" s="1" t="s">
        <v>6211</v>
      </c>
      <c r="C626" s="1" t="s">
        <v>74</v>
      </c>
      <c r="D626" s="1" t="s">
        <v>74</v>
      </c>
      <c r="E626" s="1" t="s">
        <v>74</v>
      </c>
      <c r="F626" s="1" t="s">
        <v>6212</v>
      </c>
      <c r="G626" s="1" t="s">
        <v>74</v>
      </c>
      <c r="H626" s="1" t="s">
        <v>74</v>
      </c>
      <c r="I626" s="1" t="s">
        <v>6213</v>
      </c>
      <c r="J626" s="1" t="s">
        <v>6214</v>
      </c>
      <c r="K626" s="1" t="s">
        <v>74</v>
      </c>
      <c r="L626" s="1" t="s">
        <v>74</v>
      </c>
      <c r="M626" s="1" t="s">
        <v>74</v>
      </c>
      <c r="N626" s="1" t="s">
        <v>74</v>
      </c>
      <c r="O626" s="1" t="s">
        <v>74</v>
      </c>
      <c r="P626" s="1" t="s">
        <v>74</v>
      </c>
      <c r="Q626" s="1" t="s">
        <v>74</v>
      </c>
      <c r="R626" s="1" t="s">
        <v>74</v>
      </c>
      <c r="S626" s="1" t="s">
        <v>74</v>
      </c>
      <c r="T626" s="1" t="s">
        <v>74</v>
      </c>
      <c r="U626" s="1" t="s">
        <v>74</v>
      </c>
      <c r="V626" s="1" t="s">
        <v>6215</v>
      </c>
      <c r="W626" s="1" t="s">
        <v>74</v>
      </c>
      <c r="X626" s="1" t="s">
        <v>74</v>
      </c>
      <c r="Y626" s="1" t="s">
        <v>74</v>
      </c>
      <c r="Z626" s="1" t="s">
        <v>74</v>
      </c>
      <c r="AA626" s="1" t="s">
        <v>6216</v>
      </c>
      <c r="AB626" s="1" t="s">
        <v>6217</v>
      </c>
      <c r="AC626" s="1" t="s">
        <v>74</v>
      </c>
      <c r="AD626" s="1" t="s">
        <v>74</v>
      </c>
      <c r="AE626" s="1" t="s">
        <v>74</v>
      </c>
      <c r="AF626" s="1" t="s">
        <v>74</v>
      </c>
      <c r="AG626" s="1" t="s">
        <v>74</v>
      </c>
      <c r="AH626" s="1" t="s">
        <v>74</v>
      </c>
      <c r="AI626" s="1" t="s">
        <v>74</v>
      </c>
      <c r="AJ626" s="1" t="s">
        <v>74</v>
      </c>
      <c r="AK626" s="1" t="s">
        <v>74</v>
      </c>
      <c r="AL626" s="1" t="s">
        <v>74</v>
      </c>
      <c r="AM626" s="1" t="s">
        <v>74</v>
      </c>
      <c r="AN626" s="1" t="s">
        <v>74</v>
      </c>
      <c r="AO626" s="1" t="s">
        <v>6218</v>
      </c>
      <c r="AP626" s="1" t="s">
        <v>6219</v>
      </c>
      <c r="AQ626" s="1" t="s">
        <v>74</v>
      </c>
      <c r="AR626" s="1" t="s">
        <v>74</v>
      </c>
      <c r="AS626" s="1" t="s">
        <v>74</v>
      </c>
      <c r="AT626" s="1" t="s">
        <v>350</v>
      </c>
      <c r="AU626" s="1">
        <v>2024.0</v>
      </c>
      <c r="AV626" s="1">
        <v>235.0</v>
      </c>
      <c r="AW626" s="1" t="s">
        <v>74</v>
      </c>
      <c r="AX626" s="1" t="s">
        <v>74</v>
      </c>
      <c r="AY626" s="1" t="s">
        <v>74</v>
      </c>
      <c r="AZ626" s="1" t="s">
        <v>74</v>
      </c>
      <c r="BA626" s="1" t="s">
        <v>74</v>
      </c>
      <c r="BB626" s="1" t="s">
        <v>74</v>
      </c>
      <c r="BC626" s="1" t="s">
        <v>74</v>
      </c>
      <c r="BD626" s="1">
        <v>114932.0</v>
      </c>
      <c r="BE626" s="1" t="s">
        <v>6220</v>
      </c>
      <c r="BF626" s="2" t="str">
        <f>HYPERLINK("http://dx.doi.org/10.1016/j.measurement.2024.114932","http://dx.doi.org/10.1016/j.measurement.2024.114932")</f>
        <v>http://dx.doi.org/10.1016/j.measurement.2024.114932</v>
      </c>
      <c r="BG626" s="1" t="s">
        <v>74</v>
      </c>
      <c r="BH626" s="1" t="s">
        <v>2836</v>
      </c>
      <c r="BI626" s="1" t="s">
        <v>74</v>
      </c>
      <c r="BJ626" s="1" t="s">
        <v>74</v>
      </c>
      <c r="BK626" s="1" t="s">
        <v>74</v>
      </c>
      <c r="BL626" s="1" t="s">
        <v>74</v>
      </c>
      <c r="BM626" s="1" t="s">
        <v>74</v>
      </c>
      <c r="BN626" s="1" t="s">
        <v>74</v>
      </c>
      <c r="BO626" s="1" t="s">
        <v>74</v>
      </c>
      <c r="BP626" s="1" t="s">
        <v>74</v>
      </c>
      <c r="BQ626" s="1" t="s">
        <v>74</v>
      </c>
      <c r="BR626" s="1" t="s">
        <v>74</v>
      </c>
      <c r="BS626" s="1" t="s">
        <v>6221</v>
      </c>
      <c r="BT626" s="1" t="str">
        <f>HYPERLINK("https%3A%2F%2Fwww.webofscience.com%2Fwos%2Fwoscc%2Ffull-record%2FWOS:001249557100001","View Full Record in Web of Science")</f>
        <v>View Full Record in Web of Science</v>
      </c>
    </row>
    <row r="627" ht="12.75" customHeight="1">
      <c r="A627" s="1" t="s">
        <v>72</v>
      </c>
      <c r="B627" s="1" t="s">
        <v>6222</v>
      </c>
      <c r="C627" s="1" t="s">
        <v>74</v>
      </c>
      <c r="D627" s="1" t="s">
        <v>74</v>
      </c>
      <c r="E627" s="1" t="s">
        <v>74</v>
      </c>
      <c r="F627" s="1" t="s">
        <v>6223</v>
      </c>
      <c r="G627" s="1" t="s">
        <v>74</v>
      </c>
      <c r="H627" s="1" t="s">
        <v>74</v>
      </c>
      <c r="I627" s="1" t="s">
        <v>6224</v>
      </c>
      <c r="J627" s="1" t="s">
        <v>6225</v>
      </c>
      <c r="K627" s="1" t="s">
        <v>74</v>
      </c>
      <c r="L627" s="1" t="s">
        <v>74</v>
      </c>
      <c r="M627" s="1" t="s">
        <v>74</v>
      </c>
      <c r="N627" s="1" t="s">
        <v>74</v>
      </c>
      <c r="O627" s="1" t="s">
        <v>74</v>
      </c>
      <c r="P627" s="1" t="s">
        <v>74</v>
      </c>
      <c r="Q627" s="1" t="s">
        <v>74</v>
      </c>
      <c r="R627" s="1" t="s">
        <v>74</v>
      </c>
      <c r="S627" s="1" t="s">
        <v>74</v>
      </c>
      <c r="T627" s="1" t="s">
        <v>74</v>
      </c>
      <c r="U627" s="1" t="s">
        <v>74</v>
      </c>
      <c r="V627" s="1" t="s">
        <v>6226</v>
      </c>
      <c r="W627" s="1" t="s">
        <v>74</v>
      </c>
      <c r="X627" s="1" t="s">
        <v>74</v>
      </c>
      <c r="Y627" s="1" t="s">
        <v>74</v>
      </c>
      <c r="Z627" s="1" t="s">
        <v>74</v>
      </c>
      <c r="AA627" s="1" t="s">
        <v>74</v>
      </c>
      <c r="AB627" s="1" t="s">
        <v>74</v>
      </c>
      <c r="AC627" s="1" t="s">
        <v>74</v>
      </c>
      <c r="AD627" s="1" t="s">
        <v>74</v>
      </c>
      <c r="AE627" s="1" t="s">
        <v>74</v>
      </c>
      <c r="AF627" s="1" t="s">
        <v>74</v>
      </c>
      <c r="AG627" s="1" t="s">
        <v>74</v>
      </c>
      <c r="AH627" s="1" t="s">
        <v>74</v>
      </c>
      <c r="AI627" s="1" t="s">
        <v>74</v>
      </c>
      <c r="AJ627" s="1" t="s">
        <v>74</v>
      </c>
      <c r="AK627" s="1" t="s">
        <v>74</v>
      </c>
      <c r="AL627" s="1" t="s">
        <v>74</v>
      </c>
      <c r="AM627" s="1" t="s">
        <v>74</v>
      </c>
      <c r="AN627" s="1" t="s">
        <v>74</v>
      </c>
      <c r="AO627" s="1" t="s">
        <v>6227</v>
      </c>
      <c r="AP627" s="1" t="s">
        <v>74</v>
      </c>
      <c r="AQ627" s="1" t="s">
        <v>74</v>
      </c>
      <c r="AR627" s="1" t="s">
        <v>74</v>
      </c>
      <c r="AS627" s="1" t="s">
        <v>74</v>
      </c>
      <c r="AT627" s="1" t="s">
        <v>180</v>
      </c>
      <c r="AU627" s="1">
        <v>2024.0</v>
      </c>
      <c r="AV627" s="1">
        <v>53.0</v>
      </c>
      <c r="AW627" s="1" t="s">
        <v>74</v>
      </c>
      <c r="AX627" s="1" t="s">
        <v>74</v>
      </c>
      <c r="AY627" s="1" t="s">
        <v>74</v>
      </c>
      <c r="AZ627" s="1" t="s">
        <v>74</v>
      </c>
      <c r="BA627" s="1" t="s">
        <v>74</v>
      </c>
      <c r="BB627" s="1">
        <v>18.0</v>
      </c>
      <c r="BC627" s="1">
        <v>29.0</v>
      </c>
      <c r="BD627" s="1" t="s">
        <v>74</v>
      </c>
      <c r="BE627" s="1" t="s">
        <v>74</v>
      </c>
      <c r="BF627" s="1" t="s">
        <v>74</v>
      </c>
      <c r="BG627" s="1" t="s">
        <v>74</v>
      </c>
      <c r="BH627" s="1" t="s">
        <v>74</v>
      </c>
      <c r="BI627" s="1" t="s">
        <v>74</v>
      </c>
      <c r="BJ627" s="1" t="s">
        <v>74</v>
      </c>
      <c r="BK627" s="1" t="s">
        <v>74</v>
      </c>
      <c r="BL627" s="1" t="s">
        <v>74</v>
      </c>
      <c r="BM627" s="1" t="s">
        <v>74</v>
      </c>
      <c r="BN627" s="1" t="s">
        <v>74</v>
      </c>
      <c r="BO627" s="1" t="s">
        <v>74</v>
      </c>
      <c r="BP627" s="1" t="s">
        <v>74</v>
      </c>
      <c r="BQ627" s="1" t="s">
        <v>74</v>
      </c>
      <c r="BR627" s="1" t="s">
        <v>74</v>
      </c>
      <c r="BS627" s="1" t="s">
        <v>6228</v>
      </c>
      <c r="BT627" s="1" t="str">
        <f>HYPERLINK("https%3A%2F%2Fwww.webofscience.com%2Fwos%2Fwoscc%2Ffull-record%2FWOS:001242657500003","View Full Record in Web of Science")</f>
        <v>View Full Record in Web of Science</v>
      </c>
    </row>
    <row r="628" ht="12.75" customHeight="1">
      <c r="A628" s="1" t="s">
        <v>72</v>
      </c>
      <c r="B628" s="1" t="s">
        <v>6229</v>
      </c>
      <c r="C628" s="1" t="s">
        <v>74</v>
      </c>
      <c r="D628" s="1" t="s">
        <v>74</v>
      </c>
      <c r="E628" s="1" t="s">
        <v>74</v>
      </c>
      <c r="F628" s="1" t="s">
        <v>6230</v>
      </c>
      <c r="G628" s="1" t="s">
        <v>74</v>
      </c>
      <c r="H628" s="1" t="s">
        <v>74</v>
      </c>
      <c r="I628" s="1" t="s">
        <v>6231</v>
      </c>
      <c r="J628" s="1" t="s">
        <v>1811</v>
      </c>
      <c r="K628" s="1" t="s">
        <v>74</v>
      </c>
      <c r="L628" s="1" t="s">
        <v>74</v>
      </c>
      <c r="M628" s="1" t="s">
        <v>74</v>
      </c>
      <c r="N628" s="1" t="s">
        <v>74</v>
      </c>
      <c r="O628" s="1" t="s">
        <v>74</v>
      </c>
      <c r="P628" s="1" t="s">
        <v>74</v>
      </c>
      <c r="Q628" s="1" t="s">
        <v>74</v>
      </c>
      <c r="R628" s="1" t="s">
        <v>74</v>
      </c>
      <c r="S628" s="1" t="s">
        <v>74</v>
      </c>
      <c r="T628" s="1" t="s">
        <v>74</v>
      </c>
      <c r="U628" s="1" t="s">
        <v>74</v>
      </c>
      <c r="V628" s="1" t="s">
        <v>6232</v>
      </c>
      <c r="W628" s="1" t="s">
        <v>74</v>
      </c>
      <c r="X628" s="1" t="s">
        <v>74</v>
      </c>
      <c r="Y628" s="1" t="s">
        <v>74</v>
      </c>
      <c r="Z628" s="1" t="s">
        <v>74</v>
      </c>
      <c r="AA628" s="1" t="s">
        <v>74</v>
      </c>
      <c r="AB628" s="1" t="s">
        <v>6233</v>
      </c>
      <c r="AC628" s="1" t="s">
        <v>74</v>
      </c>
      <c r="AD628" s="1" t="s">
        <v>74</v>
      </c>
      <c r="AE628" s="1" t="s">
        <v>74</v>
      </c>
      <c r="AF628" s="1" t="s">
        <v>74</v>
      </c>
      <c r="AG628" s="1" t="s">
        <v>74</v>
      </c>
      <c r="AH628" s="1" t="s">
        <v>74</v>
      </c>
      <c r="AI628" s="1" t="s">
        <v>74</v>
      </c>
      <c r="AJ628" s="1" t="s">
        <v>74</v>
      </c>
      <c r="AK628" s="1" t="s">
        <v>74</v>
      </c>
      <c r="AL628" s="1" t="s">
        <v>74</v>
      </c>
      <c r="AM628" s="1" t="s">
        <v>74</v>
      </c>
      <c r="AN628" s="1" t="s">
        <v>74</v>
      </c>
      <c r="AO628" s="1" t="s">
        <v>1813</v>
      </c>
      <c r="AP628" s="1" t="s">
        <v>74</v>
      </c>
      <c r="AQ628" s="1" t="s">
        <v>74</v>
      </c>
      <c r="AR628" s="1" t="s">
        <v>74</v>
      </c>
      <c r="AS628" s="1" t="s">
        <v>74</v>
      </c>
      <c r="AT628" s="1" t="s">
        <v>257</v>
      </c>
      <c r="AU628" s="1">
        <v>2024.0</v>
      </c>
      <c r="AV628" s="1">
        <v>63.0</v>
      </c>
      <c r="AW628" s="1">
        <v>1.0</v>
      </c>
      <c r="AX628" s="1" t="s">
        <v>74</v>
      </c>
      <c r="AY628" s="1" t="s">
        <v>74</v>
      </c>
      <c r="AZ628" s="1" t="s">
        <v>74</v>
      </c>
      <c r="BA628" s="1" t="s">
        <v>74</v>
      </c>
      <c r="BB628" s="1">
        <v>173.0</v>
      </c>
      <c r="BC628" s="1">
        <v>189.0</v>
      </c>
      <c r="BD628" s="1" t="s">
        <v>74</v>
      </c>
      <c r="BE628" s="1" t="s">
        <v>6234</v>
      </c>
      <c r="BF628" s="2" t="str">
        <f>HYPERLINK("http://dx.doi.org/10.4151/07189729-Vol.63-Iss.1-Art.1512","http://dx.doi.org/10.4151/07189729-Vol.63-Iss.1-Art.1512")</f>
        <v>http://dx.doi.org/10.4151/07189729-Vol.63-Iss.1-Art.1512</v>
      </c>
      <c r="BG628" s="1" t="s">
        <v>74</v>
      </c>
      <c r="BH628" s="1" t="s">
        <v>74</v>
      </c>
      <c r="BI628" s="1" t="s">
        <v>74</v>
      </c>
      <c r="BJ628" s="1" t="s">
        <v>74</v>
      </c>
      <c r="BK628" s="1" t="s">
        <v>74</v>
      </c>
      <c r="BL628" s="1" t="s">
        <v>74</v>
      </c>
      <c r="BM628" s="1" t="s">
        <v>74</v>
      </c>
      <c r="BN628" s="1" t="s">
        <v>74</v>
      </c>
      <c r="BO628" s="1" t="s">
        <v>74</v>
      </c>
      <c r="BP628" s="1" t="s">
        <v>74</v>
      </c>
      <c r="BQ628" s="1" t="s">
        <v>74</v>
      </c>
      <c r="BR628" s="1" t="s">
        <v>74</v>
      </c>
      <c r="BS628" s="1" t="s">
        <v>6235</v>
      </c>
      <c r="BT628" s="1" t="str">
        <f>HYPERLINK("https%3A%2F%2Fwww.webofscience.com%2Fwos%2Fwoscc%2Ffull-record%2FWOS:001249338600008","View Full Record in Web of Science")</f>
        <v>View Full Record in Web of Science</v>
      </c>
    </row>
    <row r="629" ht="12.75" customHeight="1">
      <c r="A629" s="1" t="s">
        <v>72</v>
      </c>
      <c r="B629" s="1" t="s">
        <v>6236</v>
      </c>
      <c r="C629" s="1" t="s">
        <v>74</v>
      </c>
      <c r="D629" s="1" t="s">
        <v>74</v>
      </c>
      <c r="E629" s="1" t="s">
        <v>74</v>
      </c>
      <c r="F629" s="1" t="s">
        <v>6237</v>
      </c>
      <c r="G629" s="1" t="s">
        <v>74</v>
      </c>
      <c r="H629" s="1" t="s">
        <v>74</v>
      </c>
      <c r="I629" s="1" t="s">
        <v>6238</v>
      </c>
      <c r="J629" s="1" t="s">
        <v>5739</v>
      </c>
      <c r="K629" s="1" t="s">
        <v>74</v>
      </c>
      <c r="L629" s="1" t="s">
        <v>74</v>
      </c>
      <c r="M629" s="1" t="s">
        <v>74</v>
      </c>
      <c r="N629" s="1" t="s">
        <v>74</v>
      </c>
      <c r="O629" s="1" t="s">
        <v>74</v>
      </c>
      <c r="P629" s="1" t="s">
        <v>74</v>
      </c>
      <c r="Q629" s="1" t="s">
        <v>74</v>
      </c>
      <c r="R629" s="1" t="s">
        <v>74</v>
      </c>
      <c r="S629" s="1" t="s">
        <v>74</v>
      </c>
      <c r="T629" s="1" t="s">
        <v>74</v>
      </c>
      <c r="U629" s="1" t="s">
        <v>74</v>
      </c>
      <c r="V629" s="1" t="s">
        <v>6239</v>
      </c>
      <c r="W629" s="1" t="s">
        <v>74</v>
      </c>
      <c r="X629" s="1" t="s">
        <v>74</v>
      </c>
      <c r="Y629" s="1" t="s">
        <v>74</v>
      </c>
      <c r="Z629" s="1" t="s">
        <v>74</v>
      </c>
      <c r="AA629" s="1" t="s">
        <v>74</v>
      </c>
      <c r="AB629" s="1" t="s">
        <v>6240</v>
      </c>
      <c r="AC629" s="1" t="s">
        <v>74</v>
      </c>
      <c r="AD629" s="1" t="s">
        <v>74</v>
      </c>
      <c r="AE629" s="1" t="s">
        <v>74</v>
      </c>
      <c r="AF629" s="1" t="s">
        <v>74</v>
      </c>
      <c r="AG629" s="1" t="s">
        <v>74</v>
      </c>
      <c r="AH629" s="1" t="s">
        <v>74</v>
      </c>
      <c r="AI629" s="1" t="s">
        <v>74</v>
      </c>
      <c r="AJ629" s="1" t="s">
        <v>74</v>
      </c>
      <c r="AK629" s="1" t="s">
        <v>74</v>
      </c>
      <c r="AL629" s="1" t="s">
        <v>74</v>
      </c>
      <c r="AM629" s="1" t="s">
        <v>74</v>
      </c>
      <c r="AN629" s="1" t="s">
        <v>74</v>
      </c>
      <c r="AO629" s="1" t="s">
        <v>5743</v>
      </c>
      <c r="AP629" s="1" t="s">
        <v>5744</v>
      </c>
      <c r="AQ629" s="1" t="s">
        <v>74</v>
      </c>
      <c r="AR629" s="1" t="s">
        <v>74</v>
      </c>
      <c r="AS629" s="1" t="s">
        <v>74</v>
      </c>
      <c r="AT629" s="1" t="s">
        <v>2219</v>
      </c>
      <c r="AU629" s="1">
        <v>2024.0</v>
      </c>
      <c r="AV629" s="1">
        <v>444.0</v>
      </c>
      <c r="AW629" s="1" t="s">
        <v>74</v>
      </c>
      <c r="AX629" s="1" t="s">
        <v>74</v>
      </c>
      <c r="AY629" s="1" t="s">
        <v>74</v>
      </c>
      <c r="AZ629" s="1" t="s">
        <v>74</v>
      </c>
      <c r="BA629" s="1" t="s">
        <v>74</v>
      </c>
      <c r="BB629" s="1" t="s">
        <v>74</v>
      </c>
      <c r="BC629" s="1" t="s">
        <v>74</v>
      </c>
      <c r="BD629" s="1">
        <v>141245.0</v>
      </c>
      <c r="BE629" s="1" t="s">
        <v>6241</v>
      </c>
      <c r="BF629" s="2" t="str">
        <f>HYPERLINK("http://dx.doi.org/10.1016/j.jclepro.2024.141245","http://dx.doi.org/10.1016/j.jclepro.2024.141245")</f>
        <v>http://dx.doi.org/10.1016/j.jclepro.2024.141245</v>
      </c>
      <c r="BG629" s="1" t="s">
        <v>74</v>
      </c>
      <c r="BH629" s="1" t="s">
        <v>794</v>
      </c>
      <c r="BI629" s="1" t="s">
        <v>74</v>
      </c>
      <c r="BJ629" s="1" t="s">
        <v>74</v>
      </c>
      <c r="BK629" s="1" t="s">
        <v>74</v>
      </c>
      <c r="BL629" s="1" t="s">
        <v>74</v>
      </c>
      <c r="BM629" s="1" t="s">
        <v>74</v>
      </c>
      <c r="BN629" s="1" t="s">
        <v>74</v>
      </c>
      <c r="BO629" s="1" t="s">
        <v>74</v>
      </c>
      <c r="BP629" s="1" t="s">
        <v>74</v>
      </c>
      <c r="BQ629" s="1" t="s">
        <v>74</v>
      </c>
      <c r="BR629" s="1" t="s">
        <v>74</v>
      </c>
      <c r="BS629" s="1" t="s">
        <v>6242</v>
      </c>
      <c r="BT629" s="1" t="str">
        <f>HYPERLINK("https%3A%2F%2Fwww.webofscience.com%2Fwos%2Fwoscc%2Ffull-record%2FWOS:001187887500001","View Full Record in Web of Science")</f>
        <v>View Full Record in Web of Science</v>
      </c>
    </row>
    <row r="630" ht="12.75" customHeight="1">
      <c r="A630" s="1" t="s">
        <v>72</v>
      </c>
      <c r="B630" s="1" t="s">
        <v>6243</v>
      </c>
      <c r="C630" s="1" t="s">
        <v>74</v>
      </c>
      <c r="D630" s="1" t="s">
        <v>74</v>
      </c>
      <c r="E630" s="1" t="s">
        <v>74</v>
      </c>
      <c r="F630" s="1" t="s">
        <v>6244</v>
      </c>
      <c r="G630" s="1" t="s">
        <v>74</v>
      </c>
      <c r="H630" s="1" t="s">
        <v>74</v>
      </c>
      <c r="I630" s="1" t="s">
        <v>6245</v>
      </c>
      <c r="J630" s="1" t="s">
        <v>6246</v>
      </c>
      <c r="K630" s="1" t="s">
        <v>74</v>
      </c>
      <c r="L630" s="1" t="s">
        <v>74</v>
      </c>
      <c r="M630" s="1" t="s">
        <v>74</v>
      </c>
      <c r="N630" s="1" t="s">
        <v>74</v>
      </c>
      <c r="O630" s="1" t="s">
        <v>74</v>
      </c>
      <c r="P630" s="1" t="s">
        <v>74</v>
      </c>
      <c r="Q630" s="1" t="s">
        <v>74</v>
      </c>
      <c r="R630" s="1" t="s">
        <v>74</v>
      </c>
      <c r="S630" s="1" t="s">
        <v>74</v>
      </c>
      <c r="T630" s="1" t="s">
        <v>74</v>
      </c>
      <c r="U630" s="1" t="s">
        <v>74</v>
      </c>
      <c r="V630" s="1" t="s">
        <v>6247</v>
      </c>
      <c r="W630" s="1" t="s">
        <v>74</v>
      </c>
      <c r="X630" s="1" t="s">
        <v>74</v>
      </c>
      <c r="Y630" s="1" t="s">
        <v>74</v>
      </c>
      <c r="Z630" s="1" t="s">
        <v>74</v>
      </c>
      <c r="AA630" s="1" t="s">
        <v>6248</v>
      </c>
      <c r="AB630" s="1" t="s">
        <v>74</v>
      </c>
      <c r="AC630" s="1" t="s">
        <v>74</v>
      </c>
      <c r="AD630" s="1" t="s">
        <v>74</v>
      </c>
      <c r="AE630" s="1" t="s">
        <v>74</v>
      </c>
      <c r="AF630" s="1" t="s">
        <v>74</v>
      </c>
      <c r="AG630" s="1" t="s">
        <v>74</v>
      </c>
      <c r="AH630" s="1" t="s">
        <v>74</v>
      </c>
      <c r="AI630" s="1" t="s">
        <v>74</v>
      </c>
      <c r="AJ630" s="1" t="s">
        <v>74</v>
      </c>
      <c r="AK630" s="1" t="s">
        <v>74</v>
      </c>
      <c r="AL630" s="1" t="s">
        <v>74</v>
      </c>
      <c r="AM630" s="1" t="s">
        <v>74</v>
      </c>
      <c r="AN630" s="1" t="s">
        <v>74</v>
      </c>
      <c r="AO630" s="1" t="s">
        <v>6249</v>
      </c>
      <c r="AP630" s="1" t="s">
        <v>6250</v>
      </c>
      <c r="AQ630" s="1" t="s">
        <v>74</v>
      </c>
      <c r="AR630" s="1" t="s">
        <v>74</v>
      </c>
      <c r="AS630" s="1" t="s">
        <v>74</v>
      </c>
      <c r="AT630" s="1" t="s">
        <v>74</v>
      </c>
      <c r="AU630" s="1">
        <v>2024.0</v>
      </c>
      <c r="AV630" s="1">
        <v>24.0</v>
      </c>
      <c r="AW630" s="1" t="s">
        <v>74</v>
      </c>
      <c r="AX630" s="1" t="s">
        <v>74</v>
      </c>
      <c r="AY630" s="1" t="s">
        <v>74</v>
      </c>
      <c r="AZ630" s="1" t="s">
        <v>74</v>
      </c>
      <c r="BA630" s="1" t="s">
        <v>74</v>
      </c>
      <c r="BB630" s="1">
        <v>1.0</v>
      </c>
      <c r="BC630" s="1">
        <v>30.0</v>
      </c>
      <c r="BD630" s="1" t="s">
        <v>74</v>
      </c>
      <c r="BE630" s="1" t="s">
        <v>6251</v>
      </c>
      <c r="BF630" s="2" t="str">
        <f>HYPERLINK("http://dx.doi.org/10.61303/07190948.v24i.1138","http://dx.doi.org/10.61303/07190948.v24i.1138")</f>
        <v>http://dx.doi.org/10.61303/07190948.v24i.1138</v>
      </c>
      <c r="BG630" s="1" t="s">
        <v>74</v>
      </c>
      <c r="BH630" s="1" t="s">
        <v>74</v>
      </c>
      <c r="BI630" s="1" t="s">
        <v>74</v>
      </c>
      <c r="BJ630" s="1" t="s">
        <v>74</v>
      </c>
      <c r="BK630" s="1" t="s">
        <v>74</v>
      </c>
      <c r="BL630" s="1" t="s">
        <v>74</v>
      </c>
      <c r="BM630" s="1" t="s">
        <v>74</v>
      </c>
      <c r="BN630" s="1" t="s">
        <v>74</v>
      </c>
      <c r="BO630" s="1" t="s">
        <v>74</v>
      </c>
      <c r="BP630" s="1" t="s">
        <v>74</v>
      </c>
      <c r="BQ630" s="1" t="s">
        <v>74</v>
      </c>
      <c r="BR630" s="1" t="s">
        <v>74</v>
      </c>
      <c r="BS630" s="1" t="s">
        <v>6252</v>
      </c>
      <c r="BT630" s="1" t="str">
        <f>HYPERLINK("https%3A%2F%2Fwww.webofscience.com%2Fwos%2Fwoscc%2Ffull-record%2FWOS:001334779200001","View Full Record in Web of Science")</f>
        <v>View Full Record in Web of Science</v>
      </c>
    </row>
    <row r="631" ht="12.75" customHeight="1">
      <c r="A631" s="1" t="s">
        <v>72</v>
      </c>
      <c r="B631" s="1" t="s">
        <v>6253</v>
      </c>
      <c r="C631" s="1" t="s">
        <v>74</v>
      </c>
      <c r="D631" s="1" t="s">
        <v>74</v>
      </c>
      <c r="E631" s="1" t="s">
        <v>74</v>
      </c>
      <c r="F631" s="1" t="s">
        <v>6254</v>
      </c>
      <c r="G631" s="1" t="s">
        <v>74</v>
      </c>
      <c r="H631" s="1" t="s">
        <v>74</v>
      </c>
      <c r="I631" s="1" t="s">
        <v>6255</v>
      </c>
      <c r="J631" s="1" t="s">
        <v>6256</v>
      </c>
      <c r="K631" s="1" t="s">
        <v>74</v>
      </c>
      <c r="L631" s="1" t="s">
        <v>74</v>
      </c>
      <c r="M631" s="1" t="s">
        <v>74</v>
      </c>
      <c r="N631" s="1" t="s">
        <v>74</v>
      </c>
      <c r="O631" s="1" t="s">
        <v>74</v>
      </c>
      <c r="P631" s="1" t="s">
        <v>74</v>
      </c>
      <c r="Q631" s="1" t="s">
        <v>74</v>
      </c>
      <c r="R631" s="1" t="s">
        <v>74</v>
      </c>
      <c r="S631" s="1" t="s">
        <v>74</v>
      </c>
      <c r="T631" s="1" t="s">
        <v>74</v>
      </c>
      <c r="U631" s="1" t="s">
        <v>74</v>
      </c>
      <c r="V631" s="1" t="s">
        <v>6257</v>
      </c>
      <c r="W631" s="1" t="s">
        <v>74</v>
      </c>
      <c r="X631" s="1" t="s">
        <v>74</v>
      </c>
      <c r="Y631" s="1" t="s">
        <v>74</v>
      </c>
      <c r="Z631" s="1" t="s">
        <v>74</v>
      </c>
      <c r="AA631" s="1" t="s">
        <v>6258</v>
      </c>
      <c r="AB631" s="1" t="s">
        <v>6259</v>
      </c>
      <c r="AC631" s="1" t="s">
        <v>74</v>
      </c>
      <c r="AD631" s="1" t="s">
        <v>74</v>
      </c>
      <c r="AE631" s="1" t="s">
        <v>74</v>
      </c>
      <c r="AF631" s="1" t="s">
        <v>74</v>
      </c>
      <c r="AG631" s="1" t="s">
        <v>74</v>
      </c>
      <c r="AH631" s="1" t="s">
        <v>74</v>
      </c>
      <c r="AI631" s="1" t="s">
        <v>74</v>
      </c>
      <c r="AJ631" s="1" t="s">
        <v>74</v>
      </c>
      <c r="AK631" s="1" t="s">
        <v>74</v>
      </c>
      <c r="AL631" s="1" t="s">
        <v>74</v>
      </c>
      <c r="AM631" s="1" t="s">
        <v>74</v>
      </c>
      <c r="AN631" s="1" t="s">
        <v>74</v>
      </c>
      <c r="AO631" s="1" t="s">
        <v>6260</v>
      </c>
      <c r="AP631" s="1" t="s">
        <v>74</v>
      </c>
      <c r="AQ631" s="1" t="s">
        <v>74</v>
      </c>
      <c r="AR631" s="1" t="s">
        <v>74</v>
      </c>
      <c r="AS631" s="1" t="s">
        <v>74</v>
      </c>
      <c r="AT631" s="1" t="s">
        <v>4607</v>
      </c>
      <c r="AU631" s="1">
        <v>2023.0</v>
      </c>
      <c r="AV631" s="1">
        <v>85.0</v>
      </c>
      <c r="AW631" s="1" t="s">
        <v>74</v>
      </c>
      <c r="AX631" s="1" t="s">
        <v>74</v>
      </c>
      <c r="AY631" s="1" t="s">
        <v>74</v>
      </c>
      <c r="AZ631" s="1" t="s">
        <v>74</v>
      </c>
      <c r="BA631" s="1" t="s">
        <v>74</v>
      </c>
      <c r="BB631" s="1" t="s">
        <v>74</v>
      </c>
      <c r="BC631" s="1" t="s">
        <v>74</v>
      </c>
      <c r="BD631" s="1">
        <v>103510.0</v>
      </c>
      <c r="BE631" s="1" t="s">
        <v>6261</v>
      </c>
      <c r="BF631" s="2" t="str">
        <f>HYPERLINK("http://dx.doi.org/10.1016/j.ijdrr.2022.103510","http://dx.doi.org/10.1016/j.ijdrr.2022.103510")</f>
        <v>http://dx.doi.org/10.1016/j.ijdrr.2022.103510</v>
      </c>
      <c r="BG631" s="1" t="s">
        <v>74</v>
      </c>
      <c r="BH631" s="1" t="s">
        <v>2221</v>
      </c>
      <c r="BI631" s="1" t="s">
        <v>74</v>
      </c>
      <c r="BJ631" s="1" t="s">
        <v>74</v>
      </c>
      <c r="BK631" s="1" t="s">
        <v>74</v>
      </c>
      <c r="BL631" s="1" t="s">
        <v>74</v>
      </c>
      <c r="BM631" s="1" t="s">
        <v>74</v>
      </c>
      <c r="BN631" s="1" t="s">
        <v>74</v>
      </c>
      <c r="BO631" s="1" t="s">
        <v>74</v>
      </c>
      <c r="BP631" s="1" t="s">
        <v>74</v>
      </c>
      <c r="BQ631" s="1" t="s">
        <v>74</v>
      </c>
      <c r="BR631" s="1" t="s">
        <v>74</v>
      </c>
      <c r="BS631" s="1" t="s">
        <v>6262</v>
      </c>
      <c r="BT631" s="1" t="str">
        <f>HYPERLINK("https%3A%2F%2Fwww.webofscience.com%2Fwos%2Fwoscc%2Ffull-record%2FWOS:000915883000001","View Full Record in Web of Science")</f>
        <v>View Full Record in Web of Science</v>
      </c>
    </row>
    <row r="632" ht="12.75" customHeight="1">
      <c r="A632" s="1" t="s">
        <v>72</v>
      </c>
      <c r="B632" s="1" t="s">
        <v>6263</v>
      </c>
      <c r="C632" s="1" t="s">
        <v>74</v>
      </c>
      <c r="D632" s="1" t="s">
        <v>74</v>
      </c>
      <c r="E632" s="1" t="s">
        <v>74</v>
      </c>
      <c r="F632" s="1" t="s">
        <v>6264</v>
      </c>
      <c r="G632" s="1" t="s">
        <v>74</v>
      </c>
      <c r="H632" s="1" t="s">
        <v>74</v>
      </c>
      <c r="I632" s="1" t="s">
        <v>6265</v>
      </c>
      <c r="J632" s="1" t="s">
        <v>6266</v>
      </c>
      <c r="K632" s="1" t="s">
        <v>74</v>
      </c>
      <c r="L632" s="1" t="s">
        <v>74</v>
      </c>
      <c r="M632" s="1" t="s">
        <v>74</v>
      </c>
      <c r="N632" s="1" t="s">
        <v>74</v>
      </c>
      <c r="O632" s="1" t="s">
        <v>74</v>
      </c>
      <c r="P632" s="1" t="s">
        <v>74</v>
      </c>
      <c r="Q632" s="1" t="s">
        <v>74</v>
      </c>
      <c r="R632" s="1" t="s">
        <v>74</v>
      </c>
      <c r="S632" s="1" t="s">
        <v>74</v>
      </c>
      <c r="T632" s="1" t="s">
        <v>74</v>
      </c>
      <c r="U632" s="1" t="s">
        <v>74</v>
      </c>
      <c r="V632" s="1" t="s">
        <v>6267</v>
      </c>
      <c r="W632" s="1" t="s">
        <v>74</v>
      </c>
      <c r="X632" s="1" t="s">
        <v>74</v>
      </c>
      <c r="Y632" s="1" t="s">
        <v>74</v>
      </c>
      <c r="Z632" s="1" t="s">
        <v>74</v>
      </c>
      <c r="AA632" s="1" t="s">
        <v>74</v>
      </c>
      <c r="AB632" s="1" t="s">
        <v>74</v>
      </c>
      <c r="AC632" s="1" t="s">
        <v>74</v>
      </c>
      <c r="AD632" s="1" t="s">
        <v>74</v>
      </c>
      <c r="AE632" s="1" t="s">
        <v>74</v>
      </c>
      <c r="AF632" s="1" t="s">
        <v>74</v>
      </c>
      <c r="AG632" s="1" t="s">
        <v>74</v>
      </c>
      <c r="AH632" s="1" t="s">
        <v>74</v>
      </c>
      <c r="AI632" s="1" t="s">
        <v>74</v>
      </c>
      <c r="AJ632" s="1" t="s">
        <v>74</v>
      </c>
      <c r="AK632" s="1" t="s">
        <v>74</v>
      </c>
      <c r="AL632" s="1" t="s">
        <v>74</v>
      </c>
      <c r="AM632" s="1" t="s">
        <v>74</v>
      </c>
      <c r="AN632" s="1" t="s">
        <v>74</v>
      </c>
      <c r="AO632" s="1" t="s">
        <v>74</v>
      </c>
      <c r="AP632" s="1" t="s">
        <v>6268</v>
      </c>
      <c r="AQ632" s="1" t="s">
        <v>74</v>
      </c>
      <c r="AR632" s="1" t="s">
        <v>74</v>
      </c>
      <c r="AS632" s="1" t="s">
        <v>74</v>
      </c>
      <c r="AT632" s="1" t="s">
        <v>2431</v>
      </c>
      <c r="AU632" s="1">
        <v>2022.0</v>
      </c>
      <c r="AV632" s="1">
        <v>93.0</v>
      </c>
      <c r="AW632" s="1">
        <v>3.0</v>
      </c>
      <c r="AX632" s="1" t="s">
        <v>74</v>
      </c>
      <c r="AY632" s="1" t="s">
        <v>74</v>
      </c>
      <c r="AZ632" s="1" t="s">
        <v>74</v>
      </c>
      <c r="BA632" s="1" t="s">
        <v>74</v>
      </c>
      <c r="BB632" s="1">
        <v>336.0</v>
      </c>
      <c r="BC632" s="1">
        <v>342.0</v>
      </c>
      <c r="BD632" s="1" t="s">
        <v>74</v>
      </c>
      <c r="BE632" s="1" t="s">
        <v>6269</v>
      </c>
      <c r="BF632" s="2" t="str">
        <f>HYPERLINK("http://dx.doi.org/10.32641/andespediatr.v93i3.3840","http://dx.doi.org/10.32641/andespediatr.v93i3.3840")</f>
        <v>http://dx.doi.org/10.32641/andespediatr.v93i3.3840</v>
      </c>
      <c r="BG632" s="1" t="s">
        <v>74</v>
      </c>
      <c r="BH632" s="1" t="s">
        <v>74</v>
      </c>
      <c r="BI632" s="1" t="s">
        <v>74</v>
      </c>
      <c r="BJ632" s="1" t="s">
        <v>74</v>
      </c>
      <c r="BK632" s="1" t="s">
        <v>74</v>
      </c>
      <c r="BL632" s="1" t="s">
        <v>74</v>
      </c>
      <c r="BM632" s="1" t="s">
        <v>74</v>
      </c>
      <c r="BN632" s="1">
        <v>3.5857004E7</v>
      </c>
      <c r="BO632" s="1" t="s">
        <v>74</v>
      </c>
      <c r="BP632" s="1" t="s">
        <v>74</v>
      </c>
      <c r="BQ632" s="1" t="s">
        <v>74</v>
      </c>
      <c r="BR632" s="1" t="s">
        <v>74</v>
      </c>
      <c r="BS632" s="1" t="s">
        <v>6270</v>
      </c>
      <c r="BT632" s="1" t="str">
        <f>HYPERLINK("https%3A%2F%2Fwww.webofscience.com%2Fwos%2Fwoscc%2Ffull-record%2FWOS:000864013800005","View Full Record in Web of Science")</f>
        <v>View Full Record in Web of Science</v>
      </c>
    </row>
    <row r="633" ht="12.75" customHeight="1">
      <c r="A633" s="1" t="s">
        <v>72</v>
      </c>
      <c r="B633" s="1" t="s">
        <v>6271</v>
      </c>
      <c r="C633" s="1" t="s">
        <v>74</v>
      </c>
      <c r="D633" s="1" t="s">
        <v>74</v>
      </c>
      <c r="E633" s="1" t="s">
        <v>74</v>
      </c>
      <c r="F633" s="1" t="s">
        <v>6272</v>
      </c>
      <c r="G633" s="1" t="s">
        <v>74</v>
      </c>
      <c r="H633" s="1" t="s">
        <v>74</v>
      </c>
      <c r="I633" s="1" t="s">
        <v>6273</v>
      </c>
      <c r="J633" s="1" t="s">
        <v>6274</v>
      </c>
      <c r="K633" s="1" t="s">
        <v>74</v>
      </c>
      <c r="L633" s="1" t="s">
        <v>74</v>
      </c>
      <c r="M633" s="1" t="s">
        <v>74</v>
      </c>
      <c r="N633" s="1" t="s">
        <v>74</v>
      </c>
      <c r="O633" s="1" t="s">
        <v>74</v>
      </c>
      <c r="P633" s="1" t="s">
        <v>74</v>
      </c>
      <c r="Q633" s="1" t="s">
        <v>74</v>
      </c>
      <c r="R633" s="1" t="s">
        <v>74</v>
      </c>
      <c r="S633" s="1" t="s">
        <v>74</v>
      </c>
      <c r="T633" s="1" t="s">
        <v>74</v>
      </c>
      <c r="U633" s="1" t="s">
        <v>74</v>
      </c>
      <c r="V633" s="1" t="s">
        <v>6275</v>
      </c>
      <c r="W633" s="1" t="s">
        <v>74</v>
      </c>
      <c r="X633" s="1" t="s">
        <v>74</v>
      </c>
      <c r="Y633" s="1" t="s">
        <v>74</v>
      </c>
      <c r="Z633" s="1" t="s">
        <v>74</v>
      </c>
      <c r="AA633" s="1" t="s">
        <v>6276</v>
      </c>
      <c r="AB633" s="1" t="s">
        <v>6277</v>
      </c>
      <c r="AC633" s="1" t="s">
        <v>74</v>
      </c>
      <c r="AD633" s="1" t="s">
        <v>74</v>
      </c>
      <c r="AE633" s="1" t="s">
        <v>74</v>
      </c>
      <c r="AF633" s="1" t="s">
        <v>74</v>
      </c>
      <c r="AG633" s="1" t="s">
        <v>74</v>
      </c>
      <c r="AH633" s="1" t="s">
        <v>74</v>
      </c>
      <c r="AI633" s="1" t="s">
        <v>74</v>
      </c>
      <c r="AJ633" s="1" t="s">
        <v>74</v>
      </c>
      <c r="AK633" s="1" t="s">
        <v>74</v>
      </c>
      <c r="AL633" s="1" t="s">
        <v>74</v>
      </c>
      <c r="AM633" s="1" t="s">
        <v>74</v>
      </c>
      <c r="AN633" s="1" t="s">
        <v>74</v>
      </c>
      <c r="AO633" s="1" t="s">
        <v>6278</v>
      </c>
      <c r="AP633" s="1" t="s">
        <v>6279</v>
      </c>
      <c r="AQ633" s="1" t="s">
        <v>74</v>
      </c>
      <c r="AR633" s="1" t="s">
        <v>74</v>
      </c>
      <c r="AS633" s="1" t="s">
        <v>74</v>
      </c>
      <c r="AT633" s="1" t="s">
        <v>257</v>
      </c>
      <c r="AU633" s="1">
        <v>2022.0</v>
      </c>
      <c r="AV633" s="1">
        <v>296.0</v>
      </c>
      <c r="AW633" s="1" t="s">
        <v>74</v>
      </c>
      <c r="AX633" s="1" t="s">
        <v>74</v>
      </c>
      <c r="AY633" s="1" t="s">
        <v>74</v>
      </c>
      <c r="AZ633" s="1" t="s">
        <v>74</v>
      </c>
      <c r="BA633" s="1" t="s">
        <v>74</v>
      </c>
      <c r="BB633" s="1" t="s">
        <v>74</v>
      </c>
      <c r="BC633" s="1" t="s">
        <v>74</v>
      </c>
      <c r="BD633" s="1">
        <v>114786.0</v>
      </c>
      <c r="BE633" s="1" t="s">
        <v>6280</v>
      </c>
      <c r="BF633" s="2" t="str">
        <f>HYPERLINK("http://dx.doi.org/10.1016/j.socscimed.2022.114786","http://dx.doi.org/10.1016/j.socscimed.2022.114786")</f>
        <v>http://dx.doi.org/10.1016/j.socscimed.2022.114786</v>
      </c>
      <c r="BG633" s="1" t="s">
        <v>74</v>
      </c>
      <c r="BH633" s="1" t="s">
        <v>259</v>
      </c>
      <c r="BI633" s="1" t="s">
        <v>74</v>
      </c>
      <c r="BJ633" s="1" t="s">
        <v>74</v>
      </c>
      <c r="BK633" s="1" t="s">
        <v>74</v>
      </c>
      <c r="BL633" s="1" t="s">
        <v>74</v>
      </c>
      <c r="BM633" s="1" t="s">
        <v>74</v>
      </c>
      <c r="BN633" s="1">
        <v>3.5151151E7</v>
      </c>
      <c r="BO633" s="1" t="s">
        <v>74</v>
      </c>
      <c r="BP633" s="1" t="s">
        <v>74</v>
      </c>
      <c r="BQ633" s="1" t="s">
        <v>74</v>
      </c>
      <c r="BR633" s="1" t="s">
        <v>74</v>
      </c>
      <c r="BS633" s="1" t="s">
        <v>6281</v>
      </c>
      <c r="BT633" s="1" t="str">
        <f>HYPERLINK("https%3A%2F%2Fwww.webofscience.com%2Fwos%2Fwoscc%2Ffull-record%2FWOS:000805791200017","View Full Record in Web of Science")</f>
        <v>View Full Record in Web of Science</v>
      </c>
    </row>
    <row r="634" ht="12.75" customHeight="1">
      <c r="A634" s="1" t="s">
        <v>72</v>
      </c>
      <c r="B634" s="1" t="s">
        <v>6282</v>
      </c>
      <c r="C634" s="1" t="s">
        <v>74</v>
      </c>
      <c r="D634" s="1" t="s">
        <v>74</v>
      </c>
      <c r="E634" s="1" t="s">
        <v>74</v>
      </c>
      <c r="F634" s="1" t="s">
        <v>6283</v>
      </c>
      <c r="G634" s="1" t="s">
        <v>74</v>
      </c>
      <c r="H634" s="1" t="s">
        <v>74</v>
      </c>
      <c r="I634" s="1" t="s">
        <v>6284</v>
      </c>
      <c r="J634" s="1" t="s">
        <v>6285</v>
      </c>
      <c r="K634" s="1" t="s">
        <v>74</v>
      </c>
      <c r="L634" s="1" t="s">
        <v>74</v>
      </c>
      <c r="M634" s="1" t="s">
        <v>74</v>
      </c>
      <c r="N634" s="1" t="s">
        <v>74</v>
      </c>
      <c r="O634" s="1" t="s">
        <v>74</v>
      </c>
      <c r="P634" s="1" t="s">
        <v>74</v>
      </c>
      <c r="Q634" s="1" t="s">
        <v>74</v>
      </c>
      <c r="R634" s="1" t="s">
        <v>74</v>
      </c>
      <c r="S634" s="1" t="s">
        <v>74</v>
      </c>
      <c r="T634" s="1" t="s">
        <v>74</v>
      </c>
      <c r="U634" s="1" t="s">
        <v>74</v>
      </c>
      <c r="V634" s="1" t="s">
        <v>6286</v>
      </c>
      <c r="W634" s="1" t="s">
        <v>74</v>
      </c>
      <c r="X634" s="1" t="s">
        <v>74</v>
      </c>
      <c r="Y634" s="1" t="s">
        <v>74</v>
      </c>
      <c r="Z634" s="1" t="s">
        <v>74</v>
      </c>
      <c r="AA634" s="1" t="s">
        <v>6287</v>
      </c>
      <c r="AB634" s="1" t="s">
        <v>6288</v>
      </c>
      <c r="AC634" s="1" t="s">
        <v>74</v>
      </c>
      <c r="AD634" s="1" t="s">
        <v>74</v>
      </c>
      <c r="AE634" s="1" t="s">
        <v>74</v>
      </c>
      <c r="AF634" s="1" t="s">
        <v>74</v>
      </c>
      <c r="AG634" s="1" t="s">
        <v>74</v>
      </c>
      <c r="AH634" s="1" t="s">
        <v>74</v>
      </c>
      <c r="AI634" s="1" t="s">
        <v>74</v>
      </c>
      <c r="AJ634" s="1" t="s">
        <v>74</v>
      </c>
      <c r="AK634" s="1" t="s">
        <v>74</v>
      </c>
      <c r="AL634" s="1" t="s">
        <v>74</v>
      </c>
      <c r="AM634" s="1" t="s">
        <v>74</v>
      </c>
      <c r="AN634" s="1" t="s">
        <v>74</v>
      </c>
      <c r="AO634" s="1" t="s">
        <v>6289</v>
      </c>
      <c r="AP634" s="1" t="s">
        <v>6290</v>
      </c>
      <c r="AQ634" s="1" t="s">
        <v>74</v>
      </c>
      <c r="AR634" s="1" t="s">
        <v>74</v>
      </c>
      <c r="AS634" s="1" t="s">
        <v>74</v>
      </c>
      <c r="AT634" s="1" t="s">
        <v>4967</v>
      </c>
      <c r="AU634" s="1">
        <v>2022.0</v>
      </c>
      <c r="AV634" s="1">
        <v>17.0</v>
      </c>
      <c r="AW634" s="1">
        <v>6.0</v>
      </c>
      <c r="AX634" s="1" t="s">
        <v>74</v>
      </c>
      <c r="AY634" s="1" t="s">
        <v>74</v>
      </c>
      <c r="AZ634" s="1" t="s">
        <v>74</v>
      </c>
      <c r="BA634" s="1" t="s">
        <v>74</v>
      </c>
      <c r="BB634" s="1">
        <v>429.0</v>
      </c>
      <c r="BC634" s="1">
        <v>450.0</v>
      </c>
      <c r="BD634" s="1" t="s">
        <v>74</v>
      </c>
      <c r="BE634" s="1" t="s">
        <v>6291</v>
      </c>
      <c r="BF634" s="2" t="str">
        <f>HYPERLINK("http://dx.doi.org/10.1080/17480272.2021.1955295","http://dx.doi.org/10.1080/17480272.2021.1955295")</f>
        <v>http://dx.doi.org/10.1080/17480272.2021.1955295</v>
      </c>
      <c r="BG634" s="1" t="s">
        <v>74</v>
      </c>
      <c r="BH634" s="1" t="s">
        <v>5351</v>
      </c>
      <c r="BI634" s="1" t="s">
        <v>74</v>
      </c>
      <c r="BJ634" s="1" t="s">
        <v>74</v>
      </c>
      <c r="BK634" s="1" t="s">
        <v>74</v>
      </c>
      <c r="BL634" s="1" t="s">
        <v>74</v>
      </c>
      <c r="BM634" s="1" t="s">
        <v>74</v>
      </c>
      <c r="BN634" s="1" t="s">
        <v>74</v>
      </c>
      <c r="BO634" s="1" t="s">
        <v>74</v>
      </c>
      <c r="BP634" s="1" t="s">
        <v>74</v>
      </c>
      <c r="BQ634" s="1" t="s">
        <v>74</v>
      </c>
      <c r="BR634" s="1" t="s">
        <v>74</v>
      </c>
      <c r="BS634" s="1" t="s">
        <v>6292</v>
      </c>
      <c r="BT634" s="1" t="str">
        <f>HYPERLINK("https%3A%2F%2Fwww.webofscience.com%2Fwos%2Fwoscc%2Ffull-record%2FWOS:000675720300001","View Full Record in Web of Science")</f>
        <v>View Full Record in Web of Science</v>
      </c>
    </row>
    <row r="635" ht="12.75" customHeight="1">
      <c r="A635" s="1" t="s">
        <v>72</v>
      </c>
      <c r="B635" s="1" t="s">
        <v>6293</v>
      </c>
      <c r="C635" s="1" t="s">
        <v>74</v>
      </c>
      <c r="D635" s="1" t="s">
        <v>74</v>
      </c>
      <c r="E635" s="1" t="s">
        <v>74</v>
      </c>
      <c r="F635" s="1" t="s">
        <v>6294</v>
      </c>
      <c r="G635" s="1" t="s">
        <v>74</v>
      </c>
      <c r="H635" s="1" t="s">
        <v>74</v>
      </c>
      <c r="I635" s="1" t="s">
        <v>6295</v>
      </c>
      <c r="J635" s="1" t="s">
        <v>1045</v>
      </c>
      <c r="K635" s="1" t="s">
        <v>74</v>
      </c>
      <c r="L635" s="1" t="s">
        <v>74</v>
      </c>
      <c r="M635" s="1" t="s">
        <v>74</v>
      </c>
      <c r="N635" s="1" t="s">
        <v>74</v>
      </c>
      <c r="O635" s="1" t="s">
        <v>74</v>
      </c>
      <c r="P635" s="1" t="s">
        <v>74</v>
      </c>
      <c r="Q635" s="1" t="s">
        <v>74</v>
      </c>
      <c r="R635" s="1" t="s">
        <v>74</v>
      </c>
      <c r="S635" s="1" t="s">
        <v>74</v>
      </c>
      <c r="T635" s="1" t="s">
        <v>74</v>
      </c>
      <c r="U635" s="1" t="s">
        <v>74</v>
      </c>
      <c r="V635" s="1" t="s">
        <v>6296</v>
      </c>
      <c r="W635" s="1" t="s">
        <v>74</v>
      </c>
      <c r="X635" s="1" t="s">
        <v>74</v>
      </c>
      <c r="Y635" s="1" t="s">
        <v>74</v>
      </c>
      <c r="Z635" s="1" t="s">
        <v>74</v>
      </c>
      <c r="AA635" s="1" t="s">
        <v>6297</v>
      </c>
      <c r="AB635" s="1" t="s">
        <v>6298</v>
      </c>
      <c r="AC635" s="1" t="s">
        <v>74</v>
      </c>
      <c r="AD635" s="1" t="s">
        <v>74</v>
      </c>
      <c r="AE635" s="1" t="s">
        <v>74</v>
      </c>
      <c r="AF635" s="1" t="s">
        <v>74</v>
      </c>
      <c r="AG635" s="1" t="s">
        <v>74</v>
      </c>
      <c r="AH635" s="1" t="s">
        <v>74</v>
      </c>
      <c r="AI635" s="1" t="s">
        <v>74</v>
      </c>
      <c r="AJ635" s="1" t="s">
        <v>74</v>
      </c>
      <c r="AK635" s="1" t="s">
        <v>74</v>
      </c>
      <c r="AL635" s="1" t="s">
        <v>74</v>
      </c>
      <c r="AM635" s="1" t="s">
        <v>74</v>
      </c>
      <c r="AN635" s="1" t="s">
        <v>74</v>
      </c>
      <c r="AO635" s="1" t="s">
        <v>1047</v>
      </c>
      <c r="AP635" s="1" t="s">
        <v>1048</v>
      </c>
      <c r="AQ635" s="1" t="s">
        <v>74</v>
      </c>
      <c r="AR635" s="1" t="s">
        <v>74</v>
      </c>
      <c r="AS635" s="1" t="s">
        <v>74</v>
      </c>
      <c r="AT635" s="1" t="s">
        <v>168</v>
      </c>
      <c r="AU635" s="1">
        <v>2021.0</v>
      </c>
      <c r="AV635" s="1">
        <v>500.0</v>
      </c>
      <c r="AW635" s="1">
        <v>2.0</v>
      </c>
      <c r="AX635" s="1" t="s">
        <v>74</v>
      </c>
      <c r="AY635" s="1" t="s">
        <v>74</v>
      </c>
      <c r="AZ635" s="1" t="s">
        <v>74</v>
      </c>
      <c r="BA635" s="1" t="s">
        <v>74</v>
      </c>
      <c r="BB635" s="1" t="s">
        <v>74</v>
      </c>
      <c r="BC635" s="1" t="s">
        <v>74</v>
      </c>
      <c r="BD635" s="1">
        <v>125137.0</v>
      </c>
      <c r="BE635" s="1" t="s">
        <v>6299</v>
      </c>
      <c r="BF635" s="2" t="str">
        <f>HYPERLINK("http://dx.doi.org/10.1016/j.jmaa.2021.125137","http://dx.doi.org/10.1016/j.jmaa.2021.125137")</f>
        <v>http://dx.doi.org/10.1016/j.jmaa.2021.125137</v>
      </c>
      <c r="BG635" s="1" t="s">
        <v>74</v>
      </c>
      <c r="BH635" s="1" t="s">
        <v>5363</v>
      </c>
      <c r="BI635" s="1" t="s">
        <v>74</v>
      </c>
      <c r="BJ635" s="1" t="s">
        <v>74</v>
      </c>
      <c r="BK635" s="1" t="s">
        <v>74</v>
      </c>
      <c r="BL635" s="1" t="s">
        <v>74</v>
      </c>
      <c r="BM635" s="1" t="s">
        <v>74</v>
      </c>
      <c r="BN635" s="1" t="s">
        <v>74</v>
      </c>
      <c r="BO635" s="1" t="s">
        <v>74</v>
      </c>
      <c r="BP635" s="1" t="s">
        <v>74</v>
      </c>
      <c r="BQ635" s="1" t="s">
        <v>74</v>
      </c>
      <c r="BR635" s="1" t="s">
        <v>74</v>
      </c>
      <c r="BS635" s="1" t="s">
        <v>6300</v>
      </c>
      <c r="BT635" s="1" t="str">
        <f>HYPERLINK("https%3A%2F%2Fwww.webofscience.com%2Fwos%2Fwoscc%2Ffull-record%2FWOS:000641169200008","View Full Record in Web of Science")</f>
        <v>View Full Record in Web of Science</v>
      </c>
    </row>
    <row r="636" ht="12.75" customHeight="1">
      <c r="A636" s="1" t="s">
        <v>72</v>
      </c>
      <c r="B636" s="1" t="s">
        <v>6301</v>
      </c>
      <c r="C636" s="1" t="s">
        <v>74</v>
      </c>
      <c r="D636" s="1" t="s">
        <v>74</v>
      </c>
      <c r="E636" s="1" t="s">
        <v>74</v>
      </c>
      <c r="F636" s="1" t="s">
        <v>6302</v>
      </c>
      <c r="G636" s="1" t="s">
        <v>74</v>
      </c>
      <c r="H636" s="1" t="s">
        <v>74</v>
      </c>
      <c r="I636" s="1" t="s">
        <v>6303</v>
      </c>
      <c r="J636" s="1" t="s">
        <v>6304</v>
      </c>
      <c r="K636" s="1" t="s">
        <v>74</v>
      </c>
      <c r="L636" s="1" t="s">
        <v>74</v>
      </c>
      <c r="M636" s="1" t="s">
        <v>74</v>
      </c>
      <c r="N636" s="1" t="s">
        <v>74</v>
      </c>
      <c r="O636" s="1" t="s">
        <v>74</v>
      </c>
      <c r="P636" s="1" t="s">
        <v>74</v>
      </c>
      <c r="Q636" s="1" t="s">
        <v>74</v>
      </c>
      <c r="R636" s="1" t="s">
        <v>74</v>
      </c>
      <c r="S636" s="1" t="s">
        <v>74</v>
      </c>
      <c r="T636" s="1" t="s">
        <v>74</v>
      </c>
      <c r="U636" s="1" t="s">
        <v>74</v>
      </c>
      <c r="V636" s="1" t="s">
        <v>6305</v>
      </c>
      <c r="W636" s="1" t="s">
        <v>74</v>
      </c>
      <c r="X636" s="1" t="s">
        <v>74</v>
      </c>
      <c r="Y636" s="1" t="s">
        <v>74</v>
      </c>
      <c r="Z636" s="1" t="s">
        <v>74</v>
      </c>
      <c r="AA636" s="1" t="s">
        <v>6306</v>
      </c>
      <c r="AB636" s="1" t="s">
        <v>6307</v>
      </c>
      <c r="AC636" s="1" t="s">
        <v>74</v>
      </c>
      <c r="AD636" s="1" t="s">
        <v>74</v>
      </c>
      <c r="AE636" s="1" t="s">
        <v>74</v>
      </c>
      <c r="AF636" s="1" t="s">
        <v>74</v>
      </c>
      <c r="AG636" s="1" t="s">
        <v>74</v>
      </c>
      <c r="AH636" s="1" t="s">
        <v>74</v>
      </c>
      <c r="AI636" s="1" t="s">
        <v>74</v>
      </c>
      <c r="AJ636" s="1" t="s">
        <v>74</v>
      </c>
      <c r="AK636" s="1" t="s">
        <v>74</v>
      </c>
      <c r="AL636" s="1" t="s">
        <v>74</v>
      </c>
      <c r="AM636" s="1" t="s">
        <v>74</v>
      </c>
      <c r="AN636" s="1" t="s">
        <v>74</v>
      </c>
      <c r="AO636" s="1" t="s">
        <v>6308</v>
      </c>
      <c r="AP636" s="1" t="s">
        <v>6309</v>
      </c>
      <c r="AQ636" s="1" t="s">
        <v>74</v>
      </c>
      <c r="AR636" s="1" t="s">
        <v>74</v>
      </c>
      <c r="AS636" s="1" t="s">
        <v>74</v>
      </c>
      <c r="AT636" s="1" t="s">
        <v>327</v>
      </c>
      <c r="AU636" s="1">
        <v>2021.0</v>
      </c>
      <c r="AV636" s="1">
        <v>27.0</v>
      </c>
      <c r="AW636" s="1" t="s">
        <v>74</v>
      </c>
      <c r="AX636" s="1" t="s">
        <v>74</v>
      </c>
      <c r="AY636" s="1" t="s">
        <v>74</v>
      </c>
      <c r="AZ636" s="1" t="s">
        <v>74</v>
      </c>
      <c r="BA636" s="1" t="s">
        <v>74</v>
      </c>
      <c r="BB636" s="1" t="s">
        <v>74</v>
      </c>
      <c r="BC636" s="1" t="s">
        <v>74</v>
      </c>
      <c r="BD636" s="1">
        <v>1.0</v>
      </c>
      <c r="BE636" s="1" t="s">
        <v>6310</v>
      </c>
      <c r="BF636" s="2" t="str">
        <f>HYPERLINK("http://dx.doi.org/10.1051/cocv/2020076","http://dx.doi.org/10.1051/cocv/2020076")</f>
        <v>http://dx.doi.org/10.1051/cocv/2020076</v>
      </c>
      <c r="BG636" s="1" t="s">
        <v>74</v>
      </c>
      <c r="BH636" s="1" t="s">
        <v>74</v>
      </c>
      <c r="BI636" s="1" t="s">
        <v>74</v>
      </c>
      <c r="BJ636" s="1" t="s">
        <v>74</v>
      </c>
      <c r="BK636" s="1" t="s">
        <v>74</v>
      </c>
      <c r="BL636" s="1" t="s">
        <v>74</v>
      </c>
      <c r="BM636" s="1" t="s">
        <v>74</v>
      </c>
      <c r="BN636" s="1" t="s">
        <v>74</v>
      </c>
      <c r="BO636" s="1" t="s">
        <v>74</v>
      </c>
      <c r="BP636" s="1" t="s">
        <v>74</v>
      </c>
      <c r="BQ636" s="1" t="s">
        <v>74</v>
      </c>
      <c r="BR636" s="1" t="s">
        <v>74</v>
      </c>
      <c r="BS636" s="1" t="s">
        <v>6311</v>
      </c>
      <c r="BT636" s="1" t="str">
        <f>HYPERLINK("https%3A%2F%2Fwww.webofscience.com%2Fwos%2Fwoscc%2Ffull-record%2FWOS:000612435800001","View Full Record in Web of Science")</f>
        <v>View Full Record in Web of Science</v>
      </c>
    </row>
    <row r="637" ht="12.75" customHeight="1">
      <c r="A637" s="1" t="s">
        <v>72</v>
      </c>
      <c r="B637" s="1" t="s">
        <v>6312</v>
      </c>
      <c r="C637" s="1" t="s">
        <v>74</v>
      </c>
      <c r="D637" s="1" t="s">
        <v>74</v>
      </c>
      <c r="E637" s="1" t="s">
        <v>74</v>
      </c>
      <c r="F637" s="1" t="s">
        <v>6313</v>
      </c>
      <c r="G637" s="1" t="s">
        <v>74</v>
      </c>
      <c r="H637" s="1" t="s">
        <v>74</v>
      </c>
      <c r="I637" s="1" t="s">
        <v>6314</v>
      </c>
      <c r="J637" s="1" t="s">
        <v>6315</v>
      </c>
      <c r="K637" s="1" t="s">
        <v>74</v>
      </c>
      <c r="L637" s="1" t="s">
        <v>74</v>
      </c>
      <c r="M637" s="1" t="s">
        <v>74</v>
      </c>
      <c r="N637" s="1" t="s">
        <v>74</v>
      </c>
      <c r="O637" s="1" t="s">
        <v>74</v>
      </c>
      <c r="P637" s="1" t="s">
        <v>74</v>
      </c>
      <c r="Q637" s="1" t="s">
        <v>74</v>
      </c>
      <c r="R637" s="1" t="s">
        <v>74</v>
      </c>
      <c r="S637" s="1" t="s">
        <v>74</v>
      </c>
      <c r="T637" s="1" t="s">
        <v>74</v>
      </c>
      <c r="U637" s="1" t="s">
        <v>74</v>
      </c>
      <c r="V637" s="1" t="s">
        <v>6316</v>
      </c>
      <c r="W637" s="1" t="s">
        <v>74</v>
      </c>
      <c r="X637" s="1" t="s">
        <v>74</v>
      </c>
      <c r="Y637" s="1" t="s">
        <v>74</v>
      </c>
      <c r="Z637" s="1" t="s">
        <v>74</v>
      </c>
      <c r="AA637" s="1" t="s">
        <v>6317</v>
      </c>
      <c r="AB637" s="1" t="s">
        <v>6318</v>
      </c>
      <c r="AC637" s="1" t="s">
        <v>74</v>
      </c>
      <c r="AD637" s="1" t="s">
        <v>74</v>
      </c>
      <c r="AE637" s="1" t="s">
        <v>74</v>
      </c>
      <c r="AF637" s="1" t="s">
        <v>74</v>
      </c>
      <c r="AG637" s="1" t="s">
        <v>74</v>
      </c>
      <c r="AH637" s="1" t="s">
        <v>74</v>
      </c>
      <c r="AI637" s="1" t="s">
        <v>74</v>
      </c>
      <c r="AJ637" s="1" t="s">
        <v>74</v>
      </c>
      <c r="AK637" s="1" t="s">
        <v>74</v>
      </c>
      <c r="AL637" s="1" t="s">
        <v>74</v>
      </c>
      <c r="AM637" s="1" t="s">
        <v>74</v>
      </c>
      <c r="AN637" s="1" t="s">
        <v>74</v>
      </c>
      <c r="AO637" s="1" t="s">
        <v>6319</v>
      </c>
      <c r="AP637" s="1" t="s">
        <v>74</v>
      </c>
      <c r="AQ637" s="1" t="s">
        <v>74</v>
      </c>
      <c r="AR637" s="1" t="s">
        <v>74</v>
      </c>
      <c r="AS637" s="1" t="s">
        <v>74</v>
      </c>
      <c r="AT637" s="1" t="s">
        <v>74</v>
      </c>
      <c r="AU637" s="1">
        <v>2021.0</v>
      </c>
      <c r="AV637" s="1">
        <v>9.0</v>
      </c>
      <c r="AW637" s="1" t="s">
        <v>74</v>
      </c>
      <c r="AX637" s="1" t="s">
        <v>74</v>
      </c>
      <c r="AY637" s="1" t="s">
        <v>74</v>
      </c>
      <c r="AZ637" s="1" t="s">
        <v>74</v>
      </c>
      <c r="BA637" s="1" t="s">
        <v>74</v>
      </c>
      <c r="BB637" s="1">
        <v>15283.0</v>
      </c>
      <c r="BC637" s="1">
        <v>15294.0</v>
      </c>
      <c r="BD637" s="1" t="s">
        <v>74</v>
      </c>
      <c r="BE637" s="1" t="s">
        <v>6320</v>
      </c>
      <c r="BF637" s="2" t="str">
        <f>HYPERLINK("http://dx.doi.org/10.1109/ACCESS.2021.3053171","http://dx.doi.org/10.1109/ACCESS.2021.3053171")</f>
        <v>http://dx.doi.org/10.1109/ACCESS.2021.3053171</v>
      </c>
      <c r="BG637" s="1" t="s">
        <v>74</v>
      </c>
      <c r="BH637" s="1" t="s">
        <v>74</v>
      </c>
      <c r="BI637" s="1" t="s">
        <v>74</v>
      </c>
      <c r="BJ637" s="1" t="s">
        <v>74</v>
      </c>
      <c r="BK637" s="1" t="s">
        <v>74</v>
      </c>
      <c r="BL637" s="1" t="s">
        <v>74</v>
      </c>
      <c r="BM637" s="1" t="s">
        <v>74</v>
      </c>
      <c r="BN637" s="1" t="s">
        <v>74</v>
      </c>
      <c r="BO637" s="1" t="s">
        <v>74</v>
      </c>
      <c r="BP637" s="1" t="s">
        <v>74</v>
      </c>
      <c r="BQ637" s="1" t="s">
        <v>74</v>
      </c>
      <c r="BR637" s="1" t="s">
        <v>74</v>
      </c>
      <c r="BS637" s="1" t="s">
        <v>6321</v>
      </c>
      <c r="BT637" s="1" t="str">
        <f>HYPERLINK("https%3A%2F%2Fwww.webofscience.com%2Fwos%2Fwoscc%2Ffull-record%2FWOS:000613216900001","View Full Record in Web of Science")</f>
        <v>View Full Record in Web of Science</v>
      </c>
    </row>
    <row r="638" ht="12.75" customHeight="1">
      <c r="A638" s="1" t="s">
        <v>72</v>
      </c>
      <c r="B638" s="1" t="s">
        <v>6322</v>
      </c>
      <c r="C638" s="1" t="s">
        <v>74</v>
      </c>
      <c r="D638" s="1" t="s">
        <v>74</v>
      </c>
      <c r="E638" s="1" t="s">
        <v>74</v>
      </c>
      <c r="F638" s="1" t="s">
        <v>6323</v>
      </c>
      <c r="G638" s="1" t="s">
        <v>74</v>
      </c>
      <c r="H638" s="1" t="s">
        <v>74</v>
      </c>
      <c r="I638" s="1" t="s">
        <v>6324</v>
      </c>
      <c r="J638" s="1" t="s">
        <v>312</v>
      </c>
      <c r="K638" s="1" t="s">
        <v>74</v>
      </c>
      <c r="L638" s="1" t="s">
        <v>74</v>
      </c>
      <c r="M638" s="1" t="s">
        <v>74</v>
      </c>
      <c r="N638" s="1" t="s">
        <v>74</v>
      </c>
      <c r="O638" s="1" t="s">
        <v>74</v>
      </c>
      <c r="P638" s="1" t="s">
        <v>74</v>
      </c>
      <c r="Q638" s="1" t="s">
        <v>74</v>
      </c>
      <c r="R638" s="1" t="s">
        <v>74</v>
      </c>
      <c r="S638" s="1" t="s">
        <v>74</v>
      </c>
      <c r="T638" s="1" t="s">
        <v>74</v>
      </c>
      <c r="U638" s="1" t="s">
        <v>74</v>
      </c>
      <c r="V638" s="1" t="s">
        <v>74</v>
      </c>
      <c r="W638" s="1" t="s">
        <v>74</v>
      </c>
      <c r="X638" s="1" t="s">
        <v>74</v>
      </c>
      <c r="Y638" s="1" t="s">
        <v>74</v>
      </c>
      <c r="Z638" s="1" t="s">
        <v>74</v>
      </c>
      <c r="AA638" s="1" t="s">
        <v>6325</v>
      </c>
      <c r="AB638" s="1" t="s">
        <v>6326</v>
      </c>
      <c r="AC638" s="1" t="s">
        <v>74</v>
      </c>
      <c r="AD638" s="1" t="s">
        <v>74</v>
      </c>
      <c r="AE638" s="1" t="s">
        <v>74</v>
      </c>
      <c r="AF638" s="1" t="s">
        <v>74</v>
      </c>
      <c r="AG638" s="1" t="s">
        <v>74</v>
      </c>
      <c r="AH638" s="1" t="s">
        <v>74</v>
      </c>
      <c r="AI638" s="1" t="s">
        <v>74</v>
      </c>
      <c r="AJ638" s="1" t="s">
        <v>74</v>
      </c>
      <c r="AK638" s="1" t="s">
        <v>74</v>
      </c>
      <c r="AL638" s="1" t="s">
        <v>74</v>
      </c>
      <c r="AM638" s="1" t="s">
        <v>74</v>
      </c>
      <c r="AN638" s="1" t="s">
        <v>74</v>
      </c>
      <c r="AO638" s="1" t="s">
        <v>315</v>
      </c>
      <c r="AP638" s="1" t="s">
        <v>316</v>
      </c>
      <c r="AQ638" s="1" t="s">
        <v>74</v>
      </c>
      <c r="AR638" s="1" t="s">
        <v>74</v>
      </c>
      <c r="AS638" s="1" t="s">
        <v>74</v>
      </c>
      <c r="AT638" s="1" t="s">
        <v>339</v>
      </c>
      <c r="AU638" s="1">
        <v>2020.0</v>
      </c>
      <c r="AV638" s="1">
        <v>148.0</v>
      </c>
      <c r="AW638" s="1">
        <v>9.0</v>
      </c>
      <c r="AX638" s="1" t="s">
        <v>74</v>
      </c>
      <c r="AY638" s="1" t="s">
        <v>74</v>
      </c>
      <c r="AZ638" s="1" t="s">
        <v>74</v>
      </c>
      <c r="BA638" s="1" t="s">
        <v>74</v>
      </c>
      <c r="BB638" s="1">
        <v>1374.0</v>
      </c>
      <c r="BC638" s="1" t="s">
        <v>1713</v>
      </c>
      <c r="BD638" s="1" t="s">
        <v>74</v>
      </c>
      <c r="BE638" s="1" t="s">
        <v>74</v>
      </c>
      <c r="BF638" s="1" t="s">
        <v>74</v>
      </c>
      <c r="BG638" s="1" t="s">
        <v>74</v>
      </c>
      <c r="BH638" s="1" t="s">
        <v>74</v>
      </c>
      <c r="BI638" s="1" t="s">
        <v>74</v>
      </c>
      <c r="BJ638" s="1" t="s">
        <v>74</v>
      </c>
      <c r="BK638" s="1" t="s">
        <v>74</v>
      </c>
      <c r="BL638" s="1" t="s">
        <v>74</v>
      </c>
      <c r="BM638" s="1" t="s">
        <v>74</v>
      </c>
      <c r="BN638" s="1">
        <v>3.3399718E7</v>
      </c>
      <c r="BO638" s="1" t="s">
        <v>74</v>
      </c>
      <c r="BP638" s="1" t="s">
        <v>74</v>
      </c>
      <c r="BQ638" s="1" t="s">
        <v>74</v>
      </c>
      <c r="BR638" s="1" t="s">
        <v>74</v>
      </c>
      <c r="BS638" s="1" t="s">
        <v>6327</v>
      </c>
      <c r="BT638" s="1" t="str">
        <f>HYPERLINK("https%3A%2F%2Fwww.webofscience.com%2Fwos%2Fwoscc%2Ffull-record%2FWOS:000604270300022","View Full Record in Web of Science")</f>
        <v>View Full Record in Web of Science</v>
      </c>
    </row>
    <row r="639" ht="12.75" customHeight="1">
      <c r="A639" s="1" t="s">
        <v>72</v>
      </c>
      <c r="B639" s="1" t="s">
        <v>6328</v>
      </c>
      <c r="C639" s="1" t="s">
        <v>74</v>
      </c>
      <c r="D639" s="1" t="s">
        <v>74</v>
      </c>
      <c r="E639" s="1" t="s">
        <v>74</v>
      </c>
      <c r="F639" s="1" t="s">
        <v>6329</v>
      </c>
      <c r="G639" s="1" t="s">
        <v>74</v>
      </c>
      <c r="H639" s="1" t="s">
        <v>74</v>
      </c>
      <c r="I639" s="1" t="s">
        <v>6330</v>
      </c>
      <c r="J639" s="1" t="s">
        <v>345</v>
      </c>
      <c r="K639" s="1" t="s">
        <v>74</v>
      </c>
      <c r="L639" s="1" t="s">
        <v>74</v>
      </c>
      <c r="M639" s="1" t="s">
        <v>74</v>
      </c>
      <c r="N639" s="1" t="s">
        <v>74</v>
      </c>
      <c r="O639" s="1" t="s">
        <v>74</v>
      </c>
      <c r="P639" s="1" t="s">
        <v>74</v>
      </c>
      <c r="Q639" s="1" t="s">
        <v>74</v>
      </c>
      <c r="R639" s="1" t="s">
        <v>74</v>
      </c>
      <c r="S639" s="1" t="s">
        <v>74</v>
      </c>
      <c r="T639" s="1" t="s">
        <v>74</v>
      </c>
      <c r="U639" s="1" t="s">
        <v>74</v>
      </c>
      <c r="V639" s="1" t="s">
        <v>6331</v>
      </c>
      <c r="W639" s="1" t="s">
        <v>74</v>
      </c>
      <c r="X639" s="1" t="s">
        <v>74</v>
      </c>
      <c r="Y639" s="1" t="s">
        <v>74</v>
      </c>
      <c r="Z639" s="1" t="s">
        <v>74</v>
      </c>
      <c r="AA639" s="1" t="s">
        <v>6332</v>
      </c>
      <c r="AB639" s="1" t="s">
        <v>6333</v>
      </c>
      <c r="AC639" s="1" t="s">
        <v>74</v>
      </c>
      <c r="AD639" s="1" t="s">
        <v>74</v>
      </c>
      <c r="AE639" s="1" t="s">
        <v>74</v>
      </c>
      <c r="AF639" s="1" t="s">
        <v>74</v>
      </c>
      <c r="AG639" s="1" t="s">
        <v>74</v>
      </c>
      <c r="AH639" s="1" t="s">
        <v>74</v>
      </c>
      <c r="AI639" s="1" t="s">
        <v>74</v>
      </c>
      <c r="AJ639" s="1" t="s">
        <v>74</v>
      </c>
      <c r="AK639" s="1" t="s">
        <v>74</v>
      </c>
      <c r="AL639" s="1" t="s">
        <v>74</v>
      </c>
      <c r="AM639" s="1" t="s">
        <v>74</v>
      </c>
      <c r="AN639" s="1" t="s">
        <v>74</v>
      </c>
      <c r="AO639" s="1" t="s">
        <v>74</v>
      </c>
      <c r="AP639" s="1" t="s">
        <v>349</v>
      </c>
      <c r="AQ639" s="1" t="s">
        <v>74</v>
      </c>
      <c r="AR639" s="1" t="s">
        <v>74</v>
      </c>
      <c r="AS639" s="1" t="s">
        <v>74</v>
      </c>
      <c r="AT639" s="1" t="s">
        <v>306</v>
      </c>
      <c r="AU639" s="1">
        <v>2018.0</v>
      </c>
      <c r="AV639" s="1">
        <v>8.0</v>
      </c>
      <c r="AW639" s="1">
        <v>4.0</v>
      </c>
      <c r="AX639" s="1" t="s">
        <v>74</v>
      </c>
      <c r="AY639" s="1" t="s">
        <v>74</v>
      </c>
      <c r="AZ639" s="1" t="s">
        <v>74</v>
      </c>
      <c r="BA639" s="1" t="s">
        <v>74</v>
      </c>
      <c r="BB639" s="1" t="s">
        <v>74</v>
      </c>
      <c r="BC639" s="1" t="s">
        <v>74</v>
      </c>
      <c r="BD639" s="1">
        <v>262.0</v>
      </c>
      <c r="BE639" s="1" t="s">
        <v>6334</v>
      </c>
      <c r="BF639" s="2" t="str">
        <f>HYPERLINK("http://dx.doi.org/10.3390/met8040262","http://dx.doi.org/10.3390/met8040262")</f>
        <v>http://dx.doi.org/10.3390/met8040262</v>
      </c>
      <c r="BG639" s="1" t="s">
        <v>74</v>
      </c>
      <c r="BH639" s="1" t="s">
        <v>74</v>
      </c>
      <c r="BI639" s="1" t="s">
        <v>74</v>
      </c>
      <c r="BJ639" s="1" t="s">
        <v>74</v>
      </c>
      <c r="BK639" s="1" t="s">
        <v>74</v>
      </c>
      <c r="BL639" s="1" t="s">
        <v>74</v>
      </c>
      <c r="BM639" s="1" t="s">
        <v>74</v>
      </c>
      <c r="BN639" s="1" t="s">
        <v>74</v>
      </c>
      <c r="BO639" s="1" t="s">
        <v>74</v>
      </c>
      <c r="BP639" s="1" t="s">
        <v>74</v>
      </c>
      <c r="BQ639" s="1" t="s">
        <v>74</v>
      </c>
      <c r="BR639" s="1" t="s">
        <v>74</v>
      </c>
      <c r="BS639" s="1" t="s">
        <v>6335</v>
      </c>
      <c r="BT639" s="1" t="str">
        <f>HYPERLINK("https%3A%2F%2Fwww.webofscience.com%2Fwos%2Fwoscc%2Ffull-record%2FWOS:000434882800065","View Full Record in Web of Science")</f>
        <v>View Full Record in Web of Science</v>
      </c>
    </row>
    <row r="640" ht="12.75" customHeight="1">
      <c r="A640" s="1" t="s">
        <v>72</v>
      </c>
      <c r="B640" s="1" t="s">
        <v>6336</v>
      </c>
      <c r="C640" s="1" t="s">
        <v>74</v>
      </c>
      <c r="D640" s="1" t="s">
        <v>74</v>
      </c>
      <c r="E640" s="1" t="s">
        <v>74</v>
      </c>
      <c r="F640" s="1" t="s">
        <v>6337</v>
      </c>
      <c r="G640" s="1" t="s">
        <v>74</v>
      </c>
      <c r="H640" s="1" t="s">
        <v>74</v>
      </c>
      <c r="I640" s="1" t="s">
        <v>6338</v>
      </c>
      <c r="J640" s="1" t="s">
        <v>6339</v>
      </c>
      <c r="K640" s="1" t="s">
        <v>74</v>
      </c>
      <c r="L640" s="1" t="s">
        <v>74</v>
      </c>
      <c r="M640" s="1" t="s">
        <v>74</v>
      </c>
      <c r="N640" s="1" t="s">
        <v>74</v>
      </c>
      <c r="O640" s="1" t="s">
        <v>74</v>
      </c>
      <c r="P640" s="1" t="s">
        <v>74</v>
      </c>
      <c r="Q640" s="1" t="s">
        <v>74</v>
      </c>
      <c r="R640" s="1" t="s">
        <v>74</v>
      </c>
      <c r="S640" s="1" t="s">
        <v>74</v>
      </c>
      <c r="T640" s="1" t="s">
        <v>74</v>
      </c>
      <c r="U640" s="1" t="s">
        <v>74</v>
      </c>
      <c r="V640" s="1" t="s">
        <v>6340</v>
      </c>
      <c r="W640" s="1" t="s">
        <v>74</v>
      </c>
      <c r="X640" s="1" t="s">
        <v>74</v>
      </c>
      <c r="Y640" s="1" t="s">
        <v>74</v>
      </c>
      <c r="Z640" s="1" t="s">
        <v>74</v>
      </c>
      <c r="AA640" s="1" t="s">
        <v>6341</v>
      </c>
      <c r="AB640" s="1" t="s">
        <v>6342</v>
      </c>
      <c r="AC640" s="1" t="s">
        <v>74</v>
      </c>
      <c r="AD640" s="1" t="s">
        <v>74</v>
      </c>
      <c r="AE640" s="1" t="s">
        <v>74</v>
      </c>
      <c r="AF640" s="1" t="s">
        <v>74</v>
      </c>
      <c r="AG640" s="1" t="s">
        <v>74</v>
      </c>
      <c r="AH640" s="1" t="s">
        <v>74</v>
      </c>
      <c r="AI640" s="1" t="s">
        <v>74</v>
      </c>
      <c r="AJ640" s="1" t="s">
        <v>74</v>
      </c>
      <c r="AK640" s="1" t="s">
        <v>74</v>
      </c>
      <c r="AL640" s="1" t="s">
        <v>74</v>
      </c>
      <c r="AM640" s="1" t="s">
        <v>74</v>
      </c>
      <c r="AN640" s="1" t="s">
        <v>74</v>
      </c>
      <c r="AO640" s="1" t="s">
        <v>6343</v>
      </c>
      <c r="AP640" s="1" t="s">
        <v>74</v>
      </c>
      <c r="AQ640" s="1" t="s">
        <v>74</v>
      </c>
      <c r="AR640" s="1" t="s">
        <v>74</v>
      </c>
      <c r="AS640" s="1" t="s">
        <v>74</v>
      </c>
      <c r="AT640" s="1" t="s">
        <v>235</v>
      </c>
      <c r="AU640" s="1">
        <v>2016.0</v>
      </c>
      <c r="AV640" s="1">
        <v>124.0</v>
      </c>
      <c r="AW640" s="1" t="s">
        <v>74</v>
      </c>
      <c r="AX640" s="1" t="s">
        <v>74</v>
      </c>
      <c r="AY640" s="1" t="s">
        <v>74</v>
      </c>
      <c r="AZ640" s="1" t="s">
        <v>74</v>
      </c>
      <c r="BA640" s="1" t="s">
        <v>74</v>
      </c>
      <c r="BB640" s="1">
        <v>242.0</v>
      </c>
      <c r="BC640" s="1">
        <v>253.0</v>
      </c>
      <c r="BD640" s="1" t="s">
        <v>74</v>
      </c>
      <c r="BE640" s="1" t="s">
        <v>6344</v>
      </c>
      <c r="BF640" s="2" t="str">
        <f>HYPERLINK("http://dx.doi.org/10.1016/j.solener.2015.11.033","http://dx.doi.org/10.1016/j.solener.2015.11.033")</f>
        <v>http://dx.doi.org/10.1016/j.solener.2015.11.033</v>
      </c>
      <c r="BG640" s="1" t="s">
        <v>74</v>
      </c>
      <c r="BH640" s="1" t="s">
        <v>74</v>
      </c>
      <c r="BI640" s="1" t="s">
        <v>74</v>
      </c>
      <c r="BJ640" s="1" t="s">
        <v>74</v>
      </c>
      <c r="BK640" s="1" t="s">
        <v>74</v>
      </c>
      <c r="BL640" s="1" t="s">
        <v>74</v>
      </c>
      <c r="BM640" s="1" t="s">
        <v>74</v>
      </c>
      <c r="BN640" s="1" t="s">
        <v>74</v>
      </c>
      <c r="BO640" s="1" t="s">
        <v>74</v>
      </c>
      <c r="BP640" s="1" t="s">
        <v>74</v>
      </c>
      <c r="BQ640" s="1" t="s">
        <v>74</v>
      </c>
      <c r="BR640" s="1" t="s">
        <v>74</v>
      </c>
      <c r="BS640" s="1" t="s">
        <v>6345</v>
      </c>
      <c r="BT640" s="1" t="str">
        <f>HYPERLINK("https%3A%2F%2Fwww.webofscience.com%2Fwos%2Fwoscc%2Ffull-record%2FWOS:000369459600021","View Full Record in Web of Science")</f>
        <v>View Full Record in Web of Science</v>
      </c>
    </row>
    <row r="641" ht="12.75" customHeight="1">
      <c r="A641" s="1" t="s">
        <v>274</v>
      </c>
      <c r="B641" s="1" t="s">
        <v>6346</v>
      </c>
      <c r="C641" s="1" t="s">
        <v>74</v>
      </c>
      <c r="D641" s="1" t="s">
        <v>6347</v>
      </c>
      <c r="E641" s="1" t="s">
        <v>74</v>
      </c>
      <c r="F641" s="1" t="s">
        <v>6348</v>
      </c>
      <c r="G641" s="1" t="s">
        <v>74</v>
      </c>
      <c r="H641" s="1" t="s">
        <v>74</v>
      </c>
      <c r="I641" s="1" t="s">
        <v>6349</v>
      </c>
      <c r="J641" s="1" t="s">
        <v>6350</v>
      </c>
      <c r="K641" s="1" t="s">
        <v>74</v>
      </c>
      <c r="L641" s="1" t="s">
        <v>74</v>
      </c>
      <c r="M641" s="1" t="s">
        <v>74</v>
      </c>
      <c r="N641" s="1" t="s">
        <v>74</v>
      </c>
      <c r="O641" s="1" t="s">
        <v>74</v>
      </c>
      <c r="P641" s="1" t="s">
        <v>74</v>
      </c>
      <c r="Q641" s="1" t="s">
        <v>74</v>
      </c>
      <c r="R641" s="1" t="s">
        <v>74</v>
      </c>
      <c r="S641" s="1" t="s">
        <v>74</v>
      </c>
      <c r="T641" s="1" t="s">
        <v>74</v>
      </c>
      <c r="U641" s="1" t="s">
        <v>74</v>
      </c>
      <c r="V641" s="1" t="s">
        <v>6351</v>
      </c>
      <c r="W641" s="1" t="s">
        <v>74</v>
      </c>
      <c r="X641" s="1" t="s">
        <v>74</v>
      </c>
      <c r="Y641" s="1" t="s">
        <v>74</v>
      </c>
      <c r="Z641" s="1" t="s">
        <v>74</v>
      </c>
      <c r="AA641" s="1" t="s">
        <v>4755</v>
      </c>
      <c r="AB641" s="1" t="s">
        <v>6352</v>
      </c>
      <c r="AC641" s="1" t="s">
        <v>74</v>
      </c>
      <c r="AD641" s="1" t="s">
        <v>74</v>
      </c>
      <c r="AE641" s="1" t="s">
        <v>74</v>
      </c>
      <c r="AF641" s="1" t="s">
        <v>74</v>
      </c>
      <c r="AG641" s="1" t="s">
        <v>74</v>
      </c>
      <c r="AH641" s="1" t="s">
        <v>74</v>
      </c>
      <c r="AI641" s="1" t="s">
        <v>74</v>
      </c>
      <c r="AJ641" s="1" t="s">
        <v>74</v>
      </c>
      <c r="AK641" s="1" t="s">
        <v>74</v>
      </c>
      <c r="AL641" s="1" t="s">
        <v>74</v>
      </c>
      <c r="AM641" s="1" t="s">
        <v>74</v>
      </c>
      <c r="AN641" s="1" t="s">
        <v>74</v>
      </c>
      <c r="AO641" s="1" t="s">
        <v>74</v>
      </c>
      <c r="AP641" s="1" t="s">
        <v>74</v>
      </c>
      <c r="AQ641" s="1" t="s">
        <v>6353</v>
      </c>
      <c r="AR641" s="1" t="s">
        <v>74</v>
      </c>
      <c r="AS641" s="1" t="s">
        <v>74</v>
      </c>
      <c r="AT641" s="1" t="s">
        <v>74</v>
      </c>
      <c r="AU641" s="1">
        <v>2016.0</v>
      </c>
      <c r="AV641" s="1" t="s">
        <v>74</v>
      </c>
      <c r="AW641" s="1" t="s">
        <v>74</v>
      </c>
      <c r="AX641" s="1" t="s">
        <v>74</v>
      </c>
      <c r="AY641" s="1" t="s">
        <v>74</v>
      </c>
      <c r="AZ641" s="1" t="s">
        <v>74</v>
      </c>
      <c r="BA641" s="1" t="s">
        <v>74</v>
      </c>
      <c r="BB641" s="1">
        <v>85.0</v>
      </c>
      <c r="BC641" s="1">
        <v>112.0</v>
      </c>
      <c r="BD641" s="1" t="s">
        <v>74</v>
      </c>
      <c r="BE641" s="1" t="s">
        <v>6354</v>
      </c>
      <c r="BF641" s="2" t="str">
        <f>HYPERLINK("http://dx.doi.org/10.1007/978-1-4939-3474-4_5","http://dx.doi.org/10.1007/978-1-4939-3474-4_5")</f>
        <v>http://dx.doi.org/10.1007/978-1-4939-3474-4_5</v>
      </c>
      <c r="BG641" s="1" t="s">
        <v>6355</v>
      </c>
      <c r="BH641" s="1" t="s">
        <v>74</v>
      </c>
      <c r="BI641" s="1" t="s">
        <v>74</v>
      </c>
      <c r="BJ641" s="1" t="s">
        <v>74</v>
      </c>
      <c r="BK641" s="1" t="s">
        <v>74</v>
      </c>
      <c r="BL641" s="1" t="s">
        <v>74</v>
      </c>
      <c r="BM641" s="1" t="s">
        <v>74</v>
      </c>
      <c r="BN641" s="1" t="s">
        <v>74</v>
      </c>
      <c r="BO641" s="1" t="s">
        <v>74</v>
      </c>
      <c r="BP641" s="1" t="s">
        <v>74</v>
      </c>
      <c r="BQ641" s="1" t="s">
        <v>74</v>
      </c>
      <c r="BR641" s="1" t="s">
        <v>74</v>
      </c>
      <c r="BS641" s="1" t="s">
        <v>6356</v>
      </c>
      <c r="BT641" s="1" t="str">
        <f>HYPERLINK("https%3A%2F%2Fwww.webofscience.com%2Fwos%2Fwoscc%2Ffull-record%2FWOS:000533148800005","View Full Record in Web of Science")</f>
        <v>View Full Record in Web of Science</v>
      </c>
    </row>
    <row r="642" ht="12.75" customHeight="1">
      <c r="A642" s="1" t="s">
        <v>72</v>
      </c>
      <c r="B642" s="1" t="s">
        <v>6357</v>
      </c>
      <c r="C642" s="1" t="s">
        <v>74</v>
      </c>
      <c r="D642" s="1" t="s">
        <v>74</v>
      </c>
      <c r="E642" s="1" t="s">
        <v>74</v>
      </c>
      <c r="F642" s="1" t="s">
        <v>6358</v>
      </c>
      <c r="G642" s="1" t="s">
        <v>74</v>
      </c>
      <c r="H642" s="1" t="s">
        <v>74</v>
      </c>
      <c r="I642" s="1" t="s">
        <v>6359</v>
      </c>
      <c r="J642" s="1" t="s">
        <v>6360</v>
      </c>
      <c r="K642" s="1" t="s">
        <v>74</v>
      </c>
      <c r="L642" s="1" t="s">
        <v>74</v>
      </c>
      <c r="M642" s="1" t="s">
        <v>74</v>
      </c>
      <c r="N642" s="1" t="s">
        <v>74</v>
      </c>
      <c r="O642" s="1" t="s">
        <v>74</v>
      </c>
      <c r="P642" s="1" t="s">
        <v>74</v>
      </c>
      <c r="Q642" s="1" t="s">
        <v>74</v>
      </c>
      <c r="R642" s="1" t="s">
        <v>74</v>
      </c>
      <c r="S642" s="1" t="s">
        <v>74</v>
      </c>
      <c r="T642" s="1" t="s">
        <v>74</v>
      </c>
      <c r="U642" s="1" t="s">
        <v>74</v>
      </c>
      <c r="V642" s="1" t="s">
        <v>6361</v>
      </c>
      <c r="W642" s="1" t="s">
        <v>74</v>
      </c>
      <c r="X642" s="1" t="s">
        <v>74</v>
      </c>
      <c r="Y642" s="1" t="s">
        <v>74</v>
      </c>
      <c r="Z642" s="1" t="s">
        <v>74</v>
      </c>
      <c r="AA642" s="1" t="s">
        <v>6362</v>
      </c>
      <c r="AB642" s="1" t="s">
        <v>6363</v>
      </c>
      <c r="AC642" s="1" t="s">
        <v>74</v>
      </c>
      <c r="AD642" s="1" t="s">
        <v>74</v>
      </c>
      <c r="AE642" s="1" t="s">
        <v>74</v>
      </c>
      <c r="AF642" s="1" t="s">
        <v>74</v>
      </c>
      <c r="AG642" s="1" t="s">
        <v>74</v>
      </c>
      <c r="AH642" s="1" t="s">
        <v>74</v>
      </c>
      <c r="AI642" s="1" t="s">
        <v>74</v>
      </c>
      <c r="AJ642" s="1" t="s">
        <v>74</v>
      </c>
      <c r="AK642" s="1" t="s">
        <v>74</v>
      </c>
      <c r="AL642" s="1" t="s">
        <v>74</v>
      </c>
      <c r="AM642" s="1" t="s">
        <v>74</v>
      </c>
      <c r="AN642" s="1" t="s">
        <v>74</v>
      </c>
      <c r="AO642" s="1" t="s">
        <v>6364</v>
      </c>
      <c r="AP642" s="1" t="s">
        <v>6365</v>
      </c>
      <c r="AQ642" s="1" t="s">
        <v>74</v>
      </c>
      <c r="AR642" s="1" t="s">
        <v>74</v>
      </c>
      <c r="AS642" s="1" t="s">
        <v>74</v>
      </c>
      <c r="AT642" s="1" t="s">
        <v>294</v>
      </c>
      <c r="AU642" s="1">
        <v>2014.0</v>
      </c>
      <c r="AV642" s="1">
        <v>27.0</v>
      </c>
      <c r="AW642" s="1">
        <v>3.0</v>
      </c>
      <c r="AX642" s="1" t="s">
        <v>74</v>
      </c>
      <c r="AY642" s="1" t="s">
        <v>74</v>
      </c>
      <c r="AZ642" s="1" t="s">
        <v>74</v>
      </c>
      <c r="BA642" s="1" t="s">
        <v>74</v>
      </c>
      <c r="BB642" s="1">
        <v>176.0</v>
      </c>
      <c r="BC642" s="1">
        <v>186.0</v>
      </c>
      <c r="BD642" s="1" t="s">
        <v>74</v>
      </c>
      <c r="BE642" s="1" t="s">
        <v>6366</v>
      </c>
      <c r="BF642" s="2" t="str">
        <f>HYPERLINK("http://dx.doi.org/10.1179/1743133613Y.0000000095","http://dx.doi.org/10.1179/1743133613Y.0000000095")</f>
        <v>http://dx.doi.org/10.1179/1743133613Y.0000000095</v>
      </c>
      <c r="BG642" s="1" t="s">
        <v>74</v>
      </c>
      <c r="BH642" s="1" t="s">
        <v>74</v>
      </c>
      <c r="BI642" s="1" t="s">
        <v>74</v>
      </c>
      <c r="BJ642" s="1" t="s">
        <v>74</v>
      </c>
      <c r="BK642" s="1" t="s">
        <v>74</v>
      </c>
      <c r="BL642" s="1" t="s">
        <v>74</v>
      </c>
      <c r="BM642" s="1" t="s">
        <v>74</v>
      </c>
      <c r="BN642" s="1" t="s">
        <v>74</v>
      </c>
      <c r="BO642" s="1" t="s">
        <v>74</v>
      </c>
      <c r="BP642" s="1" t="s">
        <v>74</v>
      </c>
      <c r="BQ642" s="1" t="s">
        <v>74</v>
      </c>
      <c r="BR642" s="1" t="s">
        <v>74</v>
      </c>
      <c r="BS642" s="1" t="s">
        <v>6367</v>
      </c>
      <c r="BT642" s="1" t="str">
        <f>HYPERLINK("https%3A%2F%2Fwww.webofscience.com%2Fwos%2Fwoscc%2Ffull-record%2FWOS:000337058300007","View Full Record in Web of Science")</f>
        <v>View Full Record in Web of Science</v>
      </c>
    </row>
    <row r="643" ht="12.75" customHeight="1">
      <c r="A643" s="1" t="s">
        <v>72</v>
      </c>
      <c r="B643" s="1" t="s">
        <v>6368</v>
      </c>
      <c r="C643" s="1" t="s">
        <v>74</v>
      </c>
      <c r="D643" s="1" t="s">
        <v>74</v>
      </c>
      <c r="E643" s="1" t="s">
        <v>74</v>
      </c>
      <c r="F643" s="1" t="s">
        <v>6369</v>
      </c>
      <c r="G643" s="1" t="s">
        <v>74</v>
      </c>
      <c r="H643" s="1" t="s">
        <v>74</v>
      </c>
      <c r="I643" s="1" t="s">
        <v>6370</v>
      </c>
      <c r="J643" s="1" t="s">
        <v>6371</v>
      </c>
      <c r="K643" s="1" t="s">
        <v>74</v>
      </c>
      <c r="L643" s="1" t="s">
        <v>74</v>
      </c>
      <c r="M643" s="1" t="s">
        <v>74</v>
      </c>
      <c r="N643" s="1" t="s">
        <v>74</v>
      </c>
      <c r="O643" s="1" t="s">
        <v>74</v>
      </c>
      <c r="P643" s="1" t="s">
        <v>74</v>
      </c>
      <c r="Q643" s="1" t="s">
        <v>74</v>
      </c>
      <c r="R643" s="1" t="s">
        <v>74</v>
      </c>
      <c r="S643" s="1" t="s">
        <v>74</v>
      </c>
      <c r="T643" s="1" t="s">
        <v>74</v>
      </c>
      <c r="U643" s="1" t="s">
        <v>74</v>
      </c>
      <c r="V643" s="1" t="s">
        <v>6372</v>
      </c>
      <c r="W643" s="1" t="s">
        <v>74</v>
      </c>
      <c r="X643" s="1" t="s">
        <v>74</v>
      </c>
      <c r="Y643" s="1" t="s">
        <v>74</v>
      </c>
      <c r="Z643" s="1" t="s">
        <v>74</v>
      </c>
      <c r="AA643" s="1" t="s">
        <v>74</v>
      </c>
      <c r="AB643" s="1" t="s">
        <v>74</v>
      </c>
      <c r="AC643" s="1" t="s">
        <v>74</v>
      </c>
      <c r="AD643" s="1" t="s">
        <v>74</v>
      </c>
      <c r="AE643" s="1" t="s">
        <v>74</v>
      </c>
      <c r="AF643" s="1" t="s">
        <v>74</v>
      </c>
      <c r="AG643" s="1" t="s">
        <v>74</v>
      </c>
      <c r="AH643" s="1" t="s">
        <v>74</v>
      </c>
      <c r="AI643" s="1" t="s">
        <v>74</v>
      </c>
      <c r="AJ643" s="1" t="s">
        <v>74</v>
      </c>
      <c r="AK643" s="1" t="s">
        <v>74</v>
      </c>
      <c r="AL643" s="1" t="s">
        <v>74</v>
      </c>
      <c r="AM643" s="1" t="s">
        <v>74</v>
      </c>
      <c r="AN643" s="1" t="s">
        <v>74</v>
      </c>
      <c r="AO643" s="1" t="s">
        <v>6373</v>
      </c>
      <c r="AP643" s="1" t="s">
        <v>6374</v>
      </c>
      <c r="AQ643" s="1" t="s">
        <v>74</v>
      </c>
      <c r="AR643" s="1" t="s">
        <v>74</v>
      </c>
      <c r="AS643" s="1" t="s">
        <v>74</v>
      </c>
      <c r="AT643" s="1" t="s">
        <v>257</v>
      </c>
      <c r="AU643" s="1">
        <v>2014.0</v>
      </c>
      <c r="AV643" s="1">
        <v>32.0</v>
      </c>
      <c r="AW643" s="1">
        <v>1.0</v>
      </c>
      <c r="AX643" s="1" t="s">
        <v>74</v>
      </c>
      <c r="AY643" s="1" t="s">
        <v>74</v>
      </c>
      <c r="AZ643" s="1" t="s">
        <v>74</v>
      </c>
      <c r="BA643" s="1" t="s">
        <v>74</v>
      </c>
      <c r="BB643" s="1">
        <v>183.0</v>
      </c>
      <c r="BC643" s="1">
        <v>189.0</v>
      </c>
      <c r="BD643" s="1" t="s">
        <v>74</v>
      </c>
      <c r="BE643" s="1" t="s">
        <v>74</v>
      </c>
      <c r="BF643" s="1" t="s">
        <v>74</v>
      </c>
      <c r="BG643" s="1" t="s">
        <v>74</v>
      </c>
      <c r="BH643" s="1" t="s">
        <v>74</v>
      </c>
      <c r="BI643" s="1" t="s">
        <v>74</v>
      </c>
      <c r="BJ643" s="1" t="s">
        <v>74</v>
      </c>
      <c r="BK643" s="1" t="s">
        <v>74</v>
      </c>
      <c r="BL643" s="1" t="s">
        <v>74</v>
      </c>
      <c r="BM643" s="1" t="s">
        <v>74</v>
      </c>
      <c r="BN643" s="1" t="s">
        <v>74</v>
      </c>
      <c r="BO643" s="1" t="s">
        <v>74</v>
      </c>
      <c r="BP643" s="1" t="s">
        <v>74</v>
      </c>
      <c r="BQ643" s="1" t="s">
        <v>74</v>
      </c>
      <c r="BR643" s="1" t="s">
        <v>74</v>
      </c>
      <c r="BS643" s="1" t="s">
        <v>6375</v>
      </c>
      <c r="BT643" s="1" t="str">
        <f>HYPERLINK("https%3A%2F%2Fwww.webofscience.com%2Fwos%2Fwoscc%2Ffull-record%2FWOS:000336654600031","View Full Record in Web of Science")</f>
        <v>View Full Record in Web of Science</v>
      </c>
    </row>
    <row r="644" ht="12.75" customHeight="1">
      <c r="A644" s="1" t="s">
        <v>72</v>
      </c>
      <c r="B644" s="1" t="s">
        <v>6376</v>
      </c>
      <c r="C644" s="1" t="s">
        <v>74</v>
      </c>
      <c r="D644" s="1" t="s">
        <v>74</v>
      </c>
      <c r="E644" s="1" t="s">
        <v>74</v>
      </c>
      <c r="F644" s="1" t="s">
        <v>6377</v>
      </c>
      <c r="G644" s="1" t="s">
        <v>74</v>
      </c>
      <c r="H644" s="1" t="s">
        <v>74</v>
      </c>
      <c r="I644" s="1" t="s">
        <v>6378</v>
      </c>
      <c r="J644" s="1" t="s">
        <v>489</v>
      </c>
      <c r="K644" s="1" t="s">
        <v>74</v>
      </c>
      <c r="L644" s="1" t="s">
        <v>74</v>
      </c>
      <c r="M644" s="1" t="s">
        <v>74</v>
      </c>
      <c r="N644" s="1" t="s">
        <v>74</v>
      </c>
      <c r="O644" s="1" t="s">
        <v>74</v>
      </c>
      <c r="P644" s="1" t="s">
        <v>74</v>
      </c>
      <c r="Q644" s="1" t="s">
        <v>74</v>
      </c>
      <c r="R644" s="1" t="s">
        <v>74</v>
      </c>
      <c r="S644" s="1" t="s">
        <v>74</v>
      </c>
      <c r="T644" s="1" t="s">
        <v>74</v>
      </c>
      <c r="U644" s="1" t="s">
        <v>74</v>
      </c>
      <c r="V644" s="1" t="s">
        <v>6379</v>
      </c>
      <c r="W644" s="1" t="s">
        <v>74</v>
      </c>
      <c r="X644" s="1" t="s">
        <v>74</v>
      </c>
      <c r="Y644" s="1" t="s">
        <v>74</v>
      </c>
      <c r="Z644" s="1" t="s">
        <v>74</v>
      </c>
      <c r="AA644" s="1" t="s">
        <v>74</v>
      </c>
      <c r="AB644" s="1" t="s">
        <v>6380</v>
      </c>
      <c r="AC644" s="1" t="s">
        <v>74</v>
      </c>
      <c r="AD644" s="1" t="s">
        <v>74</v>
      </c>
      <c r="AE644" s="1" t="s">
        <v>74</v>
      </c>
      <c r="AF644" s="1" t="s">
        <v>74</v>
      </c>
      <c r="AG644" s="1" t="s">
        <v>74</v>
      </c>
      <c r="AH644" s="1" t="s">
        <v>74</v>
      </c>
      <c r="AI644" s="1" t="s">
        <v>74</v>
      </c>
      <c r="AJ644" s="1" t="s">
        <v>74</v>
      </c>
      <c r="AK644" s="1" t="s">
        <v>74</v>
      </c>
      <c r="AL644" s="1" t="s">
        <v>74</v>
      </c>
      <c r="AM644" s="1" t="s">
        <v>74</v>
      </c>
      <c r="AN644" s="1" t="s">
        <v>74</v>
      </c>
      <c r="AO644" s="1" t="s">
        <v>492</v>
      </c>
      <c r="AP644" s="1" t="s">
        <v>74</v>
      </c>
      <c r="AQ644" s="1" t="s">
        <v>74</v>
      </c>
      <c r="AR644" s="1" t="s">
        <v>74</v>
      </c>
      <c r="AS644" s="1" t="s">
        <v>74</v>
      </c>
      <c r="AT644" s="1" t="s">
        <v>652</v>
      </c>
      <c r="AU644" s="1">
        <v>2013.0</v>
      </c>
      <c r="AV644" s="1">
        <v>58.0</v>
      </c>
      <c r="AW644" s="1">
        <v>4.0</v>
      </c>
      <c r="AX644" s="1" t="s">
        <v>74</v>
      </c>
      <c r="AY644" s="1" t="s">
        <v>74</v>
      </c>
      <c r="AZ644" s="1" t="s">
        <v>74</v>
      </c>
      <c r="BA644" s="1" t="s">
        <v>74</v>
      </c>
      <c r="BB644" s="1">
        <v>2027.0</v>
      </c>
      <c r="BC644" s="1">
        <v>2030.0</v>
      </c>
      <c r="BD644" s="1" t="s">
        <v>74</v>
      </c>
      <c r="BE644" s="1" t="s">
        <v>6381</v>
      </c>
      <c r="BF644" s="2" t="str">
        <f>HYPERLINK("http://dx.doi.org/10.4067/S0717-97072013000400027","http://dx.doi.org/10.4067/S0717-97072013000400027")</f>
        <v>http://dx.doi.org/10.4067/S0717-97072013000400027</v>
      </c>
      <c r="BG644" s="1" t="s">
        <v>74</v>
      </c>
      <c r="BH644" s="1" t="s">
        <v>74</v>
      </c>
      <c r="BI644" s="1" t="s">
        <v>74</v>
      </c>
      <c r="BJ644" s="1" t="s">
        <v>74</v>
      </c>
      <c r="BK644" s="1" t="s">
        <v>74</v>
      </c>
      <c r="BL644" s="1" t="s">
        <v>74</v>
      </c>
      <c r="BM644" s="1" t="s">
        <v>74</v>
      </c>
      <c r="BN644" s="1" t="s">
        <v>74</v>
      </c>
      <c r="BO644" s="1" t="s">
        <v>74</v>
      </c>
      <c r="BP644" s="1" t="s">
        <v>74</v>
      </c>
      <c r="BQ644" s="1" t="s">
        <v>74</v>
      </c>
      <c r="BR644" s="1" t="s">
        <v>74</v>
      </c>
      <c r="BS644" s="1" t="s">
        <v>6382</v>
      </c>
      <c r="BT644" s="1" t="str">
        <f>HYPERLINK("https%3A%2F%2Fwww.webofscience.com%2Fwos%2Fwoscc%2Ffull-record%2FWOS:000331238800023","View Full Record in Web of Science")</f>
        <v>View Full Record in Web of Science</v>
      </c>
    </row>
    <row r="645" ht="12.75" customHeight="1">
      <c r="A645" s="1" t="s">
        <v>72</v>
      </c>
      <c r="B645" s="1" t="s">
        <v>6383</v>
      </c>
      <c r="C645" s="1" t="s">
        <v>74</v>
      </c>
      <c r="D645" s="1" t="s">
        <v>74</v>
      </c>
      <c r="E645" s="1" t="s">
        <v>74</v>
      </c>
      <c r="F645" s="1" t="s">
        <v>6384</v>
      </c>
      <c r="G645" s="1" t="s">
        <v>74</v>
      </c>
      <c r="H645" s="1" t="s">
        <v>74</v>
      </c>
      <c r="I645" s="1" t="s">
        <v>6385</v>
      </c>
      <c r="J645" s="1" t="s">
        <v>312</v>
      </c>
      <c r="K645" s="1" t="s">
        <v>74</v>
      </c>
      <c r="L645" s="1" t="s">
        <v>74</v>
      </c>
      <c r="M645" s="1" t="s">
        <v>74</v>
      </c>
      <c r="N645" s="1" t="s">
        <v>74</v>
      </c>
      <c r="O645" s="1" t="s">
        <v>74</v>
      </c>
      <c r="P645" s="1" t="s">
        <v>74</v>
      </c>
      <c r="Q645" s="1" t="s">
        <v>74</v>
      </c>
      <c r="R645" s="1" t="s">
        <v>74</v>
      </c>
      <c r="S645" s="1" t="s">
        <v>74</v>
      </c>
      <c r="T645" s="1" t="s">
        <v>74</v>
      </c>
      <c r="U645" s="1" t="s">
        <v>74</v>
      </c>
      <c r="V645" s="1" t="s">
        <v>6386</v>
      </c>
      <c r="W645" s="1" t="s">
        <v>74</v>
      </c>
      <c r="X645" s="1" t="s">
        <v>74</v>
      </c>
      <c r="Y645" s="1" t="s">
        <v>74</v>
      </c>
      <c r="Z645" s="1" t="s">
        <v>74</v>
      </c>
      <c r="AA645" s="1" t="s">
        <v>6387</v>
      </c>
      <c r="AB645" s="1" t="s">
        <v>6388</v>
      </c>
      <c r="AC645" s="1" t="s">
        <v>74</v>
      </c>
      <c r="AD645" s="1" t="s">
        <v>74</v>
      </c>
      <c r="AE645" s="1" t="s">
        <v>74</v>
      </c>
      <c r="AF645" s="1" t="s">
        <v>74</v>
      </c>
      <c r="AG645" s="1" t="s">
        <v>74</v>
      </c>
      <c r="AH645" s="1" t="s">
        <v>74</v>
      </c>
      <c r="AI645" s="1" t="s">
        <v>74</v>
      </c>
      <c r="AJ645" s="1" t="s">
        <v>74</v>
      </c>
      <c r="AK645" s="1" t="s">
        <v>74</v>
      </c>
      <c r="AL645" s="1" t="s">
        <v>74</v>
      </c>
      <c r="AM645" s="1" t="s">
        <v>74</v>
      </c>
      <c r="AN645" s="1" t="s">
        <v>74</v>
      </c>
      <c r="AO645" s="1" t="s">
        <v>315</v>
      </c>
      <c r="AP645" s="1" t="s">
        <v>316</v>
      </c>
      <c r="AQ645" s="1" t="s">
        <v>74</v>
      </c>
      <c r="AR645" s="1" t="s">
        <v>74</v>
      </c>
      <c r="AS645" s="1" t="s">
        <v>74</v>
      </c>
      <c r="AT645" s="1" t="s">
        <v>180</v>
      </c>
      <c r="AU645" s="1">
        <v>2013.0</v>
      </c>
      <c r="AV645" s="1">
        <v>141.0</v>
      </c>
      <c r="AW645" s="1">
        <v>5.0</v>
      </c>
      <c r="AX645" s="1" t="s">
        <v>74</v>
      </c>
      <c r="AY645" s="1" t="s">
        <v>74</v>
      </c>
      <c r="AZ645" s="1" t="s">
        <v>74</v>
      </c>
      <c r="BA645" s="1" t="s">
        <v>74</v>
      </c>
      <c r="BB645" s="1">
        <v>595.0</v>
      </c>
      <c r="BC645" s="1">
        <v>601.0</v>
      </c>
      <c r="BD645" s="1" t="s">
        <v>74</v>
      </c>
      <c r="BE645" s="1" t="s">
        <v>6389</v>
      </c>
      <c r="BF645" s="2" t="str">
        <f>HYPERLINK("http://dx.doi.org/10.4067/S0034-98872013000500007","http://dx.doi.org/10.4067/S0034-98872013000500007")</f>
        <v>http://dx.doi.org/10.4067/S0034-98872013000500007</v>
      </c>
      <c r="BG645" s="1" t="s">
        <v>74</v>
      </c>
      <c r="BH645" s="1" t="s">
        <v>74</v>
      </c>
      <c r="BI645" s="1" t="s">
        <v>74</v>
      </c>
      <c r="BJ645" s="1" t="s">
        <v>74</v>
      </c>
      <c r="BK645" s="1" t="s">
        <v>74</v>
      </c>
      <c r="BL645" s="1" t="s">
        <v>74</v>
      </c>
      <c r="BM645" s="1" t="s">
        <v>74</v>
      </c>
      <c r="BN645" s="1">
        <v>2.4089274E7</v>
      </c>
      <c r="BO645" s="1" t="s">
        <v>74</v>
      </c>
      <c r="BP645" s="1" t="s">
        <v>74</v>
      </c>
      <c r="BQ645" s="1" t="s">
        <v>74</v>
      </c>
      <c r="BR645" s="1" t="s">
        <v>74</v>
      </c>
      <c r="BS645" s="1" t="s">
        <v>6390</v>
      </c>
      <c r="BT645" s="1" t="str">
        <f>HYPERLINK("https%3A%2F%2Fwww.webofscience.com%2Fwos%2Fwoscc%2Ffull-record%2FWOS:000322347700007","View Full Record in Web of Science")</f>
        <v>View Full Record in Web of Science</v>
      </c>
    </row>
    <row r="646" ht="12.75" customHeight="1">
      <c r="A646" s="1" t="s">
        <v>72</v>
      </c>
      <c r="B646" s="1" t="s">
        <v>6391</v>
      </c>
      <c r="C646" s="1" t="s">
        <v>74</v>
      </c>
      <c r="D646" s="1" t="s">
        <v>74</v>
      </c>
      <c r="E646" s="1" t="s">
        <v>74</v>
      </c>
      <c r="F646" s="1" t="s">
        <v>6392</v>
      </c>
      <c r="G646" s="1" t="s">
        <v>74</v>
      </c>
      <c r="H646" s="1" t="s">
        <v>74</v>
      </c>
      <c r="I646" s="1" t="s">
        <v>6393</v>
      </c>
      <c r="J646" s="1" t="s">
        <v>6394</v>
      </c>
      <c r="K646" s="1" t="s">
        <v>74</v>
      </c>
      <c r="L646" s="1" t="s">
        <v>74</v>
      </c>
      <c r="M646" s="1" t="s">
        <v>74</v>
      </c>
      <c r="N646" s="1" t="s">
        <v>74</v>
      </c>
      <c r="O646" s="1" t="s">
        <v>74</v>
      </c>
      <c r="P646" s="1" t="s">
        <v>74</v>
      </c>
      <c r="Q646" s="1" t="s">
        <v>74</v>
      </c>
      <c r="R646" s="1" t="s">
        <v>74</v>
      </c>
      <c r="S646" s="1" t="s">
        <v>74</v>
      </c>
      <c r="T646" s="1" t="s">
        <v>74</v>
      </c>
      <c r="U646" s="1" t="s">
        <v>74</v>
      </c>
      <c r="V646" s="1" t="s">
        <v>6395</v>
      </c>
      <c r="W646" s="1" t="s">
        <v>74</v>
      </c>
      <c r="X646" s="1" t="s">
        <v>74</v>
      </c>
      <c r="Y646" s="1" t="s">
        <v>74</v>
      </c>
      <c r="Z646" s="1" t="s">
        <v>74</v>
      </c>
      <c r="AA646" s="1" t="s">
        <v>6396</v>
      </c>
      <c r="AB646" s="1" t="s">
        <v>853</v>
      </c>
      <c r="AC646" s="1" t="s">
        <v>74</v>
      </c>
      <c r="AD646" s="1" t="s">
        <v>74</v>
      </c>
      <c r="AE646" s="1" t="s">
        <v>74</v>
      </c>
      <c r="AF646" s="1" t="s">
        <v>74</v>
      </c>
      <c r="AG646" s="1" t="s">
        <v>74</v>
      </c>
      <c r="AH646" s="1" t="s">
        <v>74</v>
      </c>
      <c r="AI646" s="1" t="s">
        <v>74</v>
      </c>
      <c r="AJ646" s="1" t="s">
        <v>74</v>
      </c>
      <c r="AK646" s="1" t="s">
        <v>74</v>
      </c>
      <c r="AL646" s="1" t="s">
        <v>74</v>
      </c>
      <c r="AM646" s="1" t="s">
        <v>74</v>
      </c>
      <c r="AN646" s="1" t="s">
        <v>74</v>
      </c>
      <c r="AO646" s="1" t="s">
        <v>6397</v>
      </c>
      <c r="AP646" s="1" t="s">
        <v>6398</v>
      </c>
      <c r="AQ646" s="1" t="s">
        <v>74</v>
      </c>
      <c r="AR646" s="1" t="s">
        <v>74</v>
      </c>
      <c r="AS646" s="1" t="s">
        <v>74</v>
      </c>
      <c r="AT646" s="1" t="s">
        <v>6399</v>
      </c>
      <c r="AU646" s="1">
        <v>2013.0</v>
      </c>
      <c r="AV646" s="1">
        <v>71.0</v>
      </c>
      <c r="AW646" s="1">
        <v>12.0</v>
      </c>
      <c r="AX646" s="1" t="s">
        <v>74</v>
      </c>
      <c r="AY646" s="1" t="s">
        <v>74</v>
      </c>
      <c r="AZ646" s="1" t="s">
        <v>74</v>
      </c>
      <c r="BA646" s="1" t="s">
        <v>74</v>
      </c>
      <c r="BB646" s="1">
        <v>1509.0</v>
      </c>
      <c r="BC646" s="1">
        <v>1523.0</v>
      </c>
      <c r="BD646" s="1" t="s">
        <v>74</v>
      </c>
      <c r="BE646" s="1" t="s">
        <v>6400</v>
      </c>
      <c r="BF646" s="2" t="str">
        <f>HYPERLINK("http://dx.doi.org/10.1002/fld.3723","http://dx.doi.org/10.1002/fld.3723")</f>
        <v>http://dx.doi.org/10.1002/fld.3723</v>
      </c>
      <c r="BG646" s="1" t="s">
        <v>74</v>
      </c>
      <c r="BH646" s="1" t="s">
        <v>74</v>
      </c>
      <c r="BI646" s="1" t="s">
        <v>74</v>
      </c>
      <c r="BJ646" s="1" t="s">
        <v>74</v>
      </c>
      <c r="BK646" s="1" t="s">
        <v>74</v>
      </c>
      <c r="BL646" s="1" t="s">
        <v>74</v>
      </c>
      <c r="BM646" s="1" t="s">
        <v>74</v>
      </c>
      <c r="BN646" s="1" t="s">
        <v>74</v>
      </c>
      <c r="BO646" s="1" t="s">
        <v>74</v>
      </c>
      <c r="BP646" s="1" t="s">
        <v>74</v>
      </c>
      <c r="BQ646" s="1" t="s">
        <v>74</v>
      </c>
      <c r="BR646" s="1" t="s">
        <v>74</v>
      </c>
      <c r="BS646" s="1" t="s">
        <v>6401</v>
      </c>
      <c r="BT646" s="1" t="str">
        <f>HYPERLINK("https%3A%2F%2Fwww.webofscience.com%2Fwos%2Fwoscc%2Ffull-record%2FWOS:000316626400003","View Full Record in Web of Science")</f>
        <v>View Full Record in Web of Science</v>
      </c>
    </row>
    <row r="647" ht="12.75" customHeight="1">
      <c r="A647" s="1" t="s">
        <v>72</v>
      </c>
      <c r="B647" s="1" t="s">
        <v>6402</v>
      </c>
      <c r="C647" s="1" t="s">
        <v>74</v>
      </c>
      <c r="D647" s="1" t="s">
        <v>74</v>
      </c>
      <c r="E647" s="1" t="s">
        <v>74</v>
      </c>
      <c r="F647" s="1" t="s">
        <v>6403</v>
      </c>
      <c r="G647" s="1" t="s">
        <v>74</v>
      </c>
      <c r="H647" s="1" t="s">
        <v>74</v>
      </c>
      <c r="I647" s="1" t="s">
        <v>6404</v>
      </c>
      <c r="J647" s="1" t="s">
        <v>6405</v>
      </c>
      <c r="K647" s="1" t="s">
        <v>74</v>
      </c>
      <c r="L647" s="1" t="s">
        <v>74</v>
      </c>
      <c r="M647" s="1" t="s">
        <v>74</v>
      </c>
      <c r="N647" s="1" t="s">
        <v>74</v>
      </c>
      <c r="O647" s="1" t="s">
        <v>74</v>
      </c>
      <c r="P647" s="1" t="s">
        <v>74</v>
      </c>
      <c r="Q647" s="1" t="s">
        <v>74</v>
      </c>
      <c r="R647" s="1" t="s">
        <v>74</v>
      </c>
      <c r="S647" s="1" t="s">
        <v>74</v>
      </c>
      <c r="T647" s="1" t="s">
        <v>74</v>
      </c>
      <c r="U647" s="1" t="s">
        <v>74</v>
      </c>
      <c r="V647" s="1" t="s">
        <v>6406</v>
      </c>
      <c r="W647" s="1" t="s">
        <v>74</v>
      </c>
      <c r="X647" s="1" t="s">
        <v>74</v>
      </c>
      <c r="Y647" s="1" t="s">
        <v>74</v>
      </c>
      <c r="Z647" s="1" t="s">
        <v>74</v>
      </c>
      <c r="AA647" s="1" t="s">
        <v>6407</v>
      </c>
      <c r="AB647" s="1" t="s">
        <v>6408</v>
      </c>
      <c r="AC647" s="1" t="s">
        <v>74</v>
      </c>
      <c r="AD647" s="1" t="s">
        <v>74</v>
      </c>
      <c r="AE647" s="1" t="s">
        <v>74</v>
      </c>
      <c r="AF647" s="1" t="s">
        <v>74</v>
      </c>
      <c r="AG647" s="1" t="s">
        <v>74</v>
      </c>
      <c r="AH647" s="1" t="s">
        <v>74</v>
      </c>
      <c r="AI647" s="1" t="s">
        <v>74</v>
      </c>
      <c r="AJ647" s="1" t="s">
        <v>74</v>
      </c>
      <c r="AK647" s="1" t="s">
        <v>74</v>
      </c>
      <c r="AL647" s="1" t="s">
        <v>74</v>
      </c>
      <c r="AM647" s="1" t="s">
        <v>74</v>
      </c>
      <c r="AN647" s="1" t="s">
        <v>74</v>
      </c>
      <c r="AO647" s="1" t="s">
        <v>6409</v>
      </c>
      <c r="AP647" s="1" t="s">
        <v>6410</v>
      </c>
      <c r="AQ647" s="1" t="s">
        <v>74</v>
      </c>
      <c r="AR647" s="1" t="s">
        <v>74</v>
      </c>
      <c r="AS647" s="1" t="s">
        <v>74</v>
      </c>
      <c r="AT647" s="1" t="s">
        <v>235</v>
      </c>
      <c r="AU647" s="1">
        <v>2013.0</v>
      </c>
      <c r="AV647" s="1">
        <v>106.0</v>
      </c>
      <c r="AW647" s="1" t="s">
        <v>74</v>
      </c>
      <c r="AX647" s="1">
        <v>2.0</v>
      </c>
      <c r="AY647" s="1" t="s">
        <v>74</v>
      </c>
      <c r="AZ647" s="1" t="s">
        <v>74</v>
      </c>
      <c r="BA647" s="1" t="s">
        <v>74</v>
      </c>
      <c r="BB647" s="1">
        <v>318.0</v>
      </c>
      <c r="BC647" s="1">
        <v>344.0</v>
      </c>
      <c r="BD647" s="1" t="s">
        <v>74</v>
      </c>
      <c r="BE647" s="1" t="s">
        <v>6411</v>
      </c>
      <c r="BF647" s="2" t="str">
        <f>HYPERLINK("http://dx.doi.org/10.1112/plms/pds038","http://dx.doi.org/10.1112/plms/pds038")</f>
        <v>http://dx.doi.org/10.1112/plms/pds038</v>
      </c>
      <c r="BG647" s="1" t="s">
        <v>74</v>
      </c>
      <c r="BH647" s="1" t="s">
        <v>74</v>
      </c>
      <c r="BI647" s="1" t="s">
        <v>74</v>
      </c>
      <c r="BJ647" s="1" t="s">
        <v>74</v>
      </c>
      <c r="BK647" s="1" t="s">
        <v>74</v>
      </c>
      <c r="BL647" s="1" t="s">
        <v>74</v>
      </c>
      <c r="BM647" s="1" t="s">
        <v>74</v>
      </c>
      <c r="BN647" s="1" t="s">
        <v>74</v>
      </c>
      <c r="BO647" s="1" t="s">
        <v>74</v>
      </c>
      <c r="BP647" s="1" t="s">
        <v>74</v>
      </c>
      <c r="BQ647" s="1" t="s">
        <v>74</v>
      </c>
      <c r="BR647" s="1" t="s">
        <v>74</v>
      </c>
      <c r="BS647" s="1" t="s">
        <v>6412</v>
      </c>
      <c r="BT647" s="1" t="str">
        <f>HYPERLINK("https%3A%2F%2Fwww.webofscience.com%2Fwos%2Fwoscc%2Ffull-record%2FWOS:000315215100004","View Full Record in Web of Science")</f>
        <v>View Full Record in Web of Science</v>
      </c>
    </row>
    <row r="648" ht="12.75" customHeight="1">
      <c r="A648" s="1" t="s">
        <v>72</v>
      </c>
      <c r="B648" s="1" t="s">
        <v>6413</v>
      </c>
      <c r="C648" s="1" t="s">
        <v>74</v>
      </c>
      <c r="D648" s="1" t="s">
        <v>74</v>
      </c>
      <c r="E648" s="1" t="s">
        <v>74</v>
      </c>
      <c r="F648" s="1" t="s">
        <v>6414</v>
      </c>
      <c r="G648" s="1" t="s">
        <v>74</v>
      </c>
      <c r="H648" s="1" t="s">
        <v>74</v>
      </c>
      <c r="I648" s="1" t="s">
        <v>6415</v>
      </c>
      <c r="J648" s="1" t="s">
        <v>312</v>
      </c>
      <c r="K648" s="1" t="s">
        <v>74</v>
      </c>
      <c r="L648" s="1" t="s">
        <v>74</v>
      </c>
      <c r="M648" s="1" t="s">
        <v>74</v>
      </c>
      <c r="N648" s="1" t="s">
        <v>74</v>
      </c>
      <c r="O648" s="1" t="s">
        <v>74</v>
      </c>
      <c r="P648" s="1" t="s">
        <v>74</v>
      </c>
      <c r="Q648" s="1" t="s">
        <v>74</v>
      </c>
      <c r="R648" s="1" t="s">
        <v>74</v>
      </c>
      <c r="S648" s="1" t="s">
        <v>74</v>
      </c>
      <c r="T648" s="1" t="s">
        <v>74</v>
      </c>
      <c r="U648" s="1" t="s">
        <v>74</v>
      </c>
      <c r="V648" s="1" t="s">
        <v>6416</v>
      </c>
      <c r="W648" s="1" t="s">
        <v>74</v>
      </c>
      <c r="X648" s="1" t="s">
        <v>74</v>
      </c>
      <c r="Y648" s="1" t="s">
        <v>74</v>
      </c>
      <c r="Z648" s="1" t="s">
        <v>74</v>
      </c>
      <c r="AA648" s="1" t="s">
        <v>6417</v>
      </c>
      <c r="AB648" s="1" t="s">
        <v>6418</v>
      </c>
      <c r="AC648" s="1" t="s">
        <v>74</v>
      </c>
      <c r="AD648" s="1" t="s">
        <v>74</v>
      </c>
      <c r="AE648" s="1" t="s">
        <v>74</v>
      </c>
      <c r="AF648" s="1" t="s">
        <v>74</v>
      </c>
      <c r="AG648" s="1" t="s">
        <v>74</v>
      </c>
      <c r="AH648" s="1" t="s">
        <v>74</v>
      </c>
      <c r="AI648" s="1" t="s">
        <v>74</v>
      </c>
      <c r="AJ648" s="1" t="s">
        <v>74</v>
      </c>
      <c r="AK648" s="1" t="s">
        <v>74</v>
      </c>
      <c r="AL648" s="1" t="s">
        <v>74</v>
      </c>
      <c r="AM648" s="1" t="s">
        <v>74</v>
      </c>
      <c r="AN648" s="1" t="s">
        <v>74</v>
      </c>
      <c r="AO648" s="1" t="s">
        <v>315</v>
      </c>
      <c r="AP648" s="1" t="s">
        <v>316</v>
      </c>
      <c r="AQ648" s="1" t="s">
        <v>74</v>
      </c>
      <c r="AR648" s="1" t="s">
        <v>74</v>
      </c>
      <c r="AS648" s="1" t="s">
        <v>74</v>
      </c>
      <c r="AT648" s="1" t="s">
        <v>235</v>
      </c>
      <c r="AU648" s="1">
        <v>2013.0</v>
      </c>
      <c r="AV648" s="1">
        <v>141.0</v>
      </c>
      <c r="AW648" s="1">
        <v>2.0</v>
      </c>
      <c r="AX648" s="1" t="s">
        <v>74</v>
      </c>
      <c r="AY648" s="1" t="s">
        <v>74</v>
      </c>
      <c r="AZ648" s="1" t="s">
        <v>74</v>
      </c>
      <c r="BA648" s="1" t="s">
        <v>74</v>
      </c>
      <c r="BB648" s="1">
        <v>160.0</v>
      </c>
      <c r="BC648" s="1">
        <v>166.0</v>
      </c>
      <c r="BD648" s="1" t="s">
        <v>74</v>
      </c>
      <c r="BE648" s="1" t="s">
        <v>6419</v>
      </c>
      <c r="BF648" s="2" t="str">
        <f>HYPERLINK("http://dx.doi.org/10.4067/S0034-98872013000200003","http://dx.doi.org/10.4067/S0034-98872013000200003")</f>
        <v>http://dx.doi.org/10.4067/S0034-98872013000200003</v>
      </c>
      <c r="BG648" s="1" t="s">
        <v>74</v>
      </c>
      <c r="BH648" s="1" t="s">
        <v>74</v>
      </c>
      <c r="BI648" s="1" t="s">
        <v>74</v>
      </c>
      <c r="BJ648" s="1" t="s">
        <v>74</v>
      </c>
      <c r="BK648" s="1" t="s">
        <v>74</v>
      </c>
      <c r="BL648" s="1" t="s">
        <v>74</v>
      </c>
      <c r="BM648" s="1" t="s">
        <v>74</v>
      </c>
      <c r="BN648" s="1">
        <v>2.3732487E7</v>
      </c>
      <c r="BO648" s="1" t="s">
        <v>74</v>
      </c>
      <c r="BP648" s="1" t="s">
        <v>74</v>
      </c>
      <c r="BQ648" s="1" t="s">
        <v>74</v>
      </c>
      <c r="BR648" s="1" t="s">
        <v>74</v>
      </c>
      <c r="BS648" s="1" t="s">
        <v>6420</v>
      </c>
      <c r="BT648" s="1" t="str">
        <f>HYPERLINK("https%3A%2F%2Fwww.webofscience.com%2Fwos%2Fwoscc%2Ffull-record%2FWOS:000317635600003","View Full Record in Web of Science")</f>
        <v>View Full Record in Web of Science</v>
      </c>
    </row>
    <row r="649" ht="12.75" customHeight="1">
      <c r="A649" s="1" t="s">
        <v>72</v>
      </c>
      <c r="B649" s="1" t="s">
        <v>6421</v>
      </c>
      <c r="C649" s="1" t="s">
        <v>74</v>
      </c>
      <c r="D649" s="1" t="s">
        <v>74</v>
      </c>
      <c r="E649" s="1" t="s">
        <v>74</v>
      </c>
      <c r="F649" s="1" t="s">
        <v>6422</v>
      </c>
      <c r="G649" s="1" t="s">
        <v>74</v>
      </c>
      <c r="H649" s="1" t="s">
        <v>74</v>
      </c>
      <c r="I649" s="1" t="s">
        <v>6423</v>
      </c>
      <c r="J649" s="1" t="s">
        <v>6424</v>
      </c>
      <c r="K649" s="1" t="s">
        <v>74</v>
      </c>
      <c r="L649" s="1" t="s">
        <v>74</v>
      </c>
      <c r="M649" s="1" t="s">
        <v>74</v>
      </c>
      <c r="N649" s="1" t="s">
        <v>74</v>
      </c>
      <c r="O649" s="1" t="s">
        <v>74</v>
      </c>
      <c r="P649" s="1" t="s">
        <v>74</v>
      </c>
      <c r="Q649" s="1" t="s">
        <v>74</v>
      </c>
      <c r="R649" s="1" t="s">
        <v>74</v>
      </c>
      <c r="S649" s="1" t="s">
        <v>74</v>
      </c>
      <c r="T649" s="1" t="s">
        <v>74</v>
      </c>
      <c r="U649" s="1" t="s">
        <v>74</v>
      </c>
      <c r="V649" s="1" t="s">
        <v>6425</v>
      </c>
      <c r="W649" s="1" t="s">
        <v>74</v>
      </c>
      <c r="X649" s="1" t="s">
        <v>74</v>
      </c>
      <c r="Y649" s="1" t="s">
        <v>74</v>
      </c>
      <c r="Z649" s="1" t="s">
        <v>74</v>
      </c>
      <c r="AA649" s="1" t="s">
        <v>6426</v>
      </c>
      <c r="AB649" s="1" t="s">
        <v>6427</v>
      </c>
      <c r="AC649" s="1" t="s">
        <v>74</v>
      </c>
      <c r="AD649" s="1" t="s">
        <v>74</v>
      </c>
      <c r="AE649" s="1" t="s">
        <v>74</v>
      </c>
      <c r="AF649" s="1" t="s">
        <v>74</v>
      </c>
      <c r="AG649" s="1" t="s">
        <v>74</v>
      </c>
      <c r="AH649" s="1" t="s">
        <v>74</v>
      </c>
      <c r="AI649" s="1" t="s">
        <v>74</v>
      </c>
      <c r="AJ649" s="1" t="s">
        <v>74</v>
      </c>
      <c r="AK649" s="1" t="s">
        <v>74</v>
      </c>
      <c r="AL649" s="1" t="s">
        <v>74</v>
      </c>
      <c r="AM649" s="1" t="s">
        <v>74</v>
      </c>
      <c r="AN649" s="1" t="s">
        <v>74</v>
      </c>
      <c r="AO649" s="1" t="s">
        <v>6428</v>
      </c>
      <c r="AP649" s="1" t="s">
        <v>6429</v>
      </c>
      <c r="AQ649" s="1" t="s">
        <v>74</v>
      </c>
      <c r="AR649" s="1" t="s">
        <v>74</v>
      </c>
      <c r="AS649" s="1" t="s">
        <v>74</v>
      </c>
      <c r="AT649" s="1" t="s">
        <v>74</v>
      </c>
      <c r="AU649" s="1">
        <v>2013.0</v>
      </c>
      <c r="AV649" s="1">
        <v>21.0</v>
      </c>
      <c r="AW649" s="1">
        <v>8.0</v>
      </c>
      <c r="AX649" s="1" t="s">
        <v>74</v>
      </c>
      <c r="AY649" s="1" t="s">
        <v>74</v>
      </c>
      <c r="AZ649" s="1" t="s">
        <v>74</v>
      </c>
      <c r="BA649" s="1" t="s">
        <v>74</v>
      </c>
      <c r="BB649" s="1">
        <v>1268.0</v>
      </c>
      <c r="BC649" s="1">
        <v>1287.0</v>
      </c>
      <c r="BD649" s="1" t="s">
        <v>74</v>
      </c>
      <c r="BE649" s="1" t="s">
        <v>6430</v>
      </c>
      <c r="BF649" s="2" t="str">
        <f>HYPERLINK("http://dx.doi.org/10.1080/17415977.2012.757312","http://dx.doi.org/10.1080/17415977.2012.757312")</f>
        <v>http://dx.doi.org/10.1080/17415977.2012.757312</v>
      </c>
      <c r="BG649" s="1" t="s">
        <v>74</v>
      </c>
      <c r="BH649" s="1" t="s">
        <v>74</v>
      </c>
      <c r="BI649" s="1" t="s">
        <v>74</v>
      </c>
      <c r="BJ649" s="1" t="s">
        <v>74</v>
      </c>
      <c r="BK649" s="1" t="s">
        <v>74</v>
      </c>
      <c r="BL649" s="1" t="s">
        <v>74</v>
      </c>
      <c r="BM649" s="1" t="s">
        <v>74</v>
      </c>
      <c r="BN649" s="1" t="s">
        <v>74</v>
      </c>
      <c r="BO649" s="1" t="s">
        <v>74</v>
      </c>
      <c r="BP649" s="1" t="s">
        <v>74</v>
      </c>
      <c r="BQ649" s="1" t="s">
        <v>74</v>
      </c>
      <c r="BR649" s="1" t="s">
        <v>74</v>
      </c>
      <c r="BS649" s="1" t="s">
        <v>6431</v>
      </c>
      <c r="BT649" s="1" t="str">
        <f>HYPERLINK("https%3A%2F%2Fwww.webofscience.com%2Fwos%2Fwoscc%2Ffull-record%2FWOS:000336503500002","View Full Record in Web of Science")</f>
        <v>View Full Record in Web of Science</v>
      </c>
    </row>
    <row r="650" ht="12.75" customHeight="1">
      <c r="A650" s="1" t="s">
        <v>72</v>
      </c>
      <c r="B650" s="1" t="s">
        <v>6432</v>
      </c>
      <c r="C650" s="1" t="s">
        <v>74</v>
      </c>
      <c r="D650" s="1" t="s">
        <v>74</v>
      </c>
      <c r="E650" s="1" t="s">
        <v>74</v>
      </c>
      <c r="F650" s="1" t="s">
        <v>6433</v>
      </c>
      <c r="G650" s="1" t="s">
        <v>74</v>
      </c>
      <c r="H650" s="1" t="s">
        <v>74</v>
      </c>
      <c r="I650" s="1" t="s">
        <v>6434</v>
      </c>
      <c r="J650" s="1" t="s">
        <v>6435</v>
      </c>
      <c r="K650" s="1" t="s">
        <v>74</v>
      </c>
      <c r="L650" s="1" t="s">
        <v>74</v>
      </c>
      <c r="M650" s="1" t="s">
        <v>74</v>
      </c>
      <c r="N650" s="1" t="s">
        <v>74</v>
      </c>
      <c r="O650" s="1" t="s">
        <v>74</v>
      </c>
      <c r="P650" s="1" t="s">
        <v>74</v>
      </c>
      <c r="Q650" s="1" t="s">
        <v>74</v>
      </c>
      <c r="R650" s="1" t="s">
        <v>74</v>
      </c>
      <c r="S650" s="1" t="s">
        <v>74</v>
      </c>
      <c r="T650" s="1" t="s">
        <v>74</v>
      </c>
      <c r="U650" s="1" t="s">
        <v>74</v>
      </c>
      <c r="V650" s="1" t="s">
        <v>6436</v>
      </c>
      <c r="W650" s="1" t="s">
        <v>74</v>
      </c>
      <c r="X650" s="1" t="s">
        <v>74</v>
      </c>
      <c r="Y650" s="1" t="s">
        <v>74</v>
      </c>
      <c r="Z650" s="1" t="s">
        <v>74</v>
      </c>
      <c r="AA650" s="1" t="s">
        <v>6437</v>
      </c>
      <c r="AB650" s="1" t="s">
        <v>6438</v>
      </c>
      <c r="AC650" s="1" t="s">
        <v>74</v>
      </c>
      <c r="AD650" s="1" t="s">
        <v>74</v>
      </c>
      <c r="AE650" s="1" t="s">
        <v>74</v>
      </c>
      <c r="AF650" s="1" t="s">
        <v>74</v>
      </c>
      <c r="AG650" s="1" t="s">
        <v>74</v>
      </c>
      <c r="AH650" s="1" t="s">
        <v>74</v>
      </c>
      <c r="AI650" s="1" t="s">
        <v>74</v>
      </c>
      <c r="AJ650" s="1" t="s">
        <v>74</v>
      </c>
      <c r="AK650" s="1" t="s">
        <v>74</v>
      </c>
      <c r="AL650" s="1" t="s">
        <v>74</v>
      </c>
      <c r="AM650" s="1" t="s">
        <v>74</v>
      </c>
      <c r="AN650" s="1" t="s">
        <v>74</v>
      </c>
      <c r="AO650" s="1" t="s">
        <v>6439</v>
      </c>
      <c r="AP650" s="1" t="s">
        <v>6440</v>
      </c>
      <c r="AQ650" s="1" t="s">
        <v>74</v>
      </c>
      <c r="AR650" s="1" t="s">
        <v>74</v>
      </c>
      <c r="AS650" s="1" t="s">
        <v>74</v>
      </c>
      <c r="AT650" s="1" t="s">
        <v>2704</v>
      </c>
      <c r="AU650" s="1">
        <v>2012.0</v>
      </c>
      <c r="AV650" s="1">
        <v>50.0</v>
      </c>
      <c r="AW650" s="1">
        <v>5.0</v>
      </c>
      <c r="AX650" s="1" t="s">
        <v>74</v>
      </c>
      <c r="AY650" s="1" t="s">
        <v>74</v>
      </c>
      <c r="AZ650" s="1" t="s">
        <v>74</v>
      </c>
      <c r="BA650" s="1" t="s">
        <v>74</v>
      </c>
      <c r="BB650" s="1">
        <v>623.0</v>
      </c>
      <c r="BC650" s="1">
        <v>631.0</v>
      </c>
      <c r="BD650" s="1" t="s">
        <v>74</v>
      </c>
      <c r="BE650" s="1" t="s">
        <v>6441</v>
      </c>
      <c r="BF650" s="2" t="str">
        <f>HYPERLINK("http://dx.doi.org/10.1016/j.asr.2012.05.015","http://dx.doi.org/10.1016/j.asr.2012.05.015")</f>
        <v>http://dx.doi.org/10.1016/j.asr.2012.05.015</v>
      </c>
      <c r="BG650" s="1" t="s">
        <v>74</v>
      </c>
      <c r="BH650" s="1" t="s">
        <v>74</v>
      </c>
      <c r="BI650" s="1" t="s">
        <v>74</v>
      </c>
      <c r="BJ650" s="1" t="s">
        <v>74</v>
      </c>
      <c r="BK650" s="1" t="s">
        <v>74</v>
      </c>
      <c r="BL650" s="1" t="s">
        <v>74</v>
      </c>
      <c r="BM650" s="1" t="s">
        <v>74</v>
      </c>
      <c r="BN650" s="1" t="s">
        <v>74</v>
      </c>
      <c r="BO650" s="1" t="s">
        <v>74</v>
      </c>
      <c r="BP650" s="1" t="s">
        <v>74</v>
      </c>
      <c r="BQ650" s="1" t="s">
        <v>74</v>
      </c>
      <c r="BR650" s="1" t="s">
        <v>74</v>
      </c>
      <c r="BS650" s="1" t="s">
        <v>6442</v>
      </c>
      <c r="BT650" s="1" t="str">
        <f>HYPERLINK("https%3A%2F%2Fwww.webofscience.com%2Fwos%2Fwoscc%2Ffull-record%2FWOS:000307139800009","View Full Record in Web of Science")</f>
        <v>View Full Record in Web of Science</v>
      </c>
    </row>
    <row r="651" ht="12.75" customHeight="1">
      <c r="A651" s="1" t="s">
        <v>72</v>
      </c>
      <c r="B651" s="1" t="s">
        <v>2003</v>
      </c>
      <c r="C651" s="1" t="s">
        <v>74</v>
      </c>
      <c r="D651" s="1" t="s">
        <v>74</v>
      </c>
      <c r="E651" s="1" t="s">
        <v>74</v>
      </c>
      <c r="F651" s="1" t="s">
        <v>2004</v>
      </c>
      <c r="G651" s="1" t="s">
        <v>74</v>
      </c>
      <c r="H651" s="1" t="s">
        <v>74</v>
      </c>
      <c r="I651" s="1" t="s">
        <v>6443</v>
      </c>
      <c r="J651" s="1" t="s">
        <v>861</v>
      </c>
      <c r="K651" s="1" t="s">
        <v>74</v>
      </c>
      <c r="L651" s="1" t="s">
        <v>74</v>
      </c>
      <c r="M651" s="1" t="s">
        <v>74</v>
      </c>
      <c r="N651" s="1" t="s">
        <v>74</v>
      </c>
      <c r="O651" s="1" t="s">
        <v>74</v>
      </c>
      <c r="P651" s="1" t="s">
        <v>74</v>
      </c>
      <c r="Q651" s="1" t="s">
        <v>74</v>
      </c>
      <c r="R651" s="1" t="s">
        <v>74</v>
      </c>
      <c r="S651" s="1" t="s">
        <v>74</v>
      </c>
      <c r="T651" s="1" t="s">
        <v>74</v>
      </c>
      <c r="U651" s="1" t="s">
        <v>74</v>
      </c>
      <c r="V651" s="1" t="s">
        <v>6444</v>
      </c>
      <c r="W651" s="1" t="s">
        <v>74</v>
      </c>
      <c r="X651" s="1" t="s">
        <v>74</v>
      </c>
      <c r="Y651" s="1" t="s">
        <v>74</v>
      </c>
      <c r="Z651" s="1" t="s">
        <v>74</v>
      </c>
      <c r="AA651" s="1" t="s">
        <v>2008</v>
      </c>
      <c r="AB651" s="1" t="s">
        <v>74</v>
      </c>
      <c r="AC651" s="1" t="s">
        <v>74</v>
      </c>
      <c r="AD651" s="1" t="s">
        <v>74</v>
      </c>
      <c r="AE651" s="1" t="s">
        <v>74</v>
      </c>
      <c r="AF651" s="1" t="s">
        <v>74</v>
      </c>
      <c r="AG651" s="1" t="s">
        <v>74</v>
      </c>
      <c r="AH651" s="1" t="s">
        <v>74</v>
      </c>
      <c r="AI651" s="1" t="s">
        <v>74</v>
      </c>
      <c r="AJ651" s="1" t="s">
        <v>74</v>
      </c>
      <c r="AK651" s="1" t="s">
        <v>74</v>
      </c>
      <c r="AL651" s="1" t="s">
        <v>74</v>
      </c>
      <c r="AM651" s="1" t="s">
        <v>74</v>
      </c>
      <c r="AN651" s="1" t="s">
        <v>74</v>
      </c>
      <c r="AO651" s="1" t="s">
        <v>865</v>
      </c>
      <c r="AP651" s="1" t="s">
        <v>74</v>
      </c>
      <c r="AQ651" s="1" t="s">
        <v>74</v>
      </c>
      <c r="AR651" s="1" t="s">
        <v>74</v>
      </c>
      <c r="AS651" s="1" t="s">
        <v>74</v>
      </c>
      <c r="AT651" s="1" t="s">
        <v>235</v>
      </c>
      <c r="AU651" s="1">
        <v>2012.0</v>
      </c>
      <c r="AV651" s="1">
        <v>32.0</v>
      </c>
      <c r="AW651" s="1">
        <v>2.0</v>
      </c>
      <c r="AX651" s="1" t="s">
        <v>74</v>
      </c>
      <c r="AY651" s="1" t="s">
        <v>74</v>
      </c>
      <c r="AZ651" s="1" t="s">
        <v>74</v>
      </c>
      <c r="BA651" s="1" t="s">
        <v>74</v>
      </c>
      <c r="BB651" s="1">
        <v>411.0</v>
      </c>
      <c r="BC651" s="1">
        <v>432.0</v>
      </c>
      <c r="BD651" s="1" t="s">
        <v>74</v>
      </c>
      <c r="BE651" s="1" t="s">
        <v>6445</v>
      </c>
      <c r="BF651" s="2" t="str">
        <f>HYPERLINK("http://dx.doi.org/10.3934/dcds.2012.32.411","http://dx.doi.org/10.3934/dcds.2012.32.411")</f>
        <v>http://dx.doi.org/10.3934/dcds.2012.32.411</v>
      </c>
      <c r="BG651" s="1" t="s">
        <v>74</v>
      </c>
      <c r="BH651" s="1" t="s">
        <v>74</v>
      </c>
      <c r="BI651" s="1" t="s">
        <v>74</v>
      </c>
      <c r="BJ651" s="1" t="s">
        <v>74</v>
      </c>
      <c r="BK651" s="1" t="s">
        <v>74</v>
      </c>
      <c r="BL651" s="1" t="s">
        <v>74</v>
      </c>
      <c r="BM651" s="1" t="s">
        <v>74</v>
      </c>
      <c r="BN651" s="1" t="s">
        <v>74</v>
      </c>
      <c r="BO651" s="1" t="s">
        <v>74</v>
      </c>
      <c r="BP651" s="1" t="s">
        <v>74</v>
      </c>
      <c r="BQ651" s="1" t="s">
        <v>74</v>
      </c>
      <c r="BR651" s="1" t="s">
        <v>74</v>
      </c>
      <c r="BS651" s="1" t="s">
        <v>6446</v>
      </c>
      <c r="BT651" s="1" t="str">
        <f>HYPERLINK("https%3A%2F%2Fwww.webofscience.com%2Fwos%2Fwoscc%2Ffull-record%2FWOS:000296750500003","View Full Record in Web of Science")</f>
        <v>View Full Record in Web of Science</v>
      </c>
    </row>
    <row r="652" ht="12.75" customHeight="1">
      <c r="A652" s="1" t="s">
        <v>72</v>
      </c>
      <c r="B652" s="1" t="s">
        <v>6447</v>
      </c>
      <c r="C652" s="1" t="s">
        <v>74</v>
      </c>
      <c r="D652" s="1" t="s">
        <v>74</v>
      </c>
      <c r="E652" s="1" t="s">
        <v>74</v>
      </c>
      <c r="F652" s="1" t="s">
        <v>6448</v>
      </c>
      <c r="G652" s="1" t="s">
        <v>74</v>
      </c>
      <c r="H652" s="1" t="s">
        <v>74</v>
      </c>
      <c r="I652" s="1" t="s">
        <v>6449</v>
      </c>
      <c r="J652" s="1" t="s">
        <v>6450</v>
      </c>
      <c r="K652" s="1" t="s">
        <v>74</v>
      </c>
      <c r="L652" s="1" t="s">
        <v>74</v>
      </c>
      <c r="M652" s="1" t="s">
        <v>74</v>
      </c>
      <c r="N652" s="1" t="s">
        <v>74</v>
      </c>
      <c r="O652" s="1" t="s">
        <v>74</v>
      </c>
      <c r="P652" s="1" t="s">
        <v>74</v>
      </c>
      <c r="Q652" s="1" t="s">
        <v>74</v>
      </c>
      <c r="R652" s="1" t="s">
        <v>74</v>
      </c>
      <c r="S652" s="1" t="s">
        <v>74</v>
      </c>
      <c r="T652" s="1" t="s">
        <v>74</v>
      </c>
      <c r="U652" s="1" t="s">
        <v>74</v>
      </c>
      <c r="V652" s="1" t="s">
        <v>6451</v>
      </c>
      <c r="W652" s="1" t="s">
        <v>74</v>
      </c>
      <c r="X652" s="1" t="s">
        <v>74</v>
      </c>
      <c r="Y652" s="1" t="s">
        <v>74</v>
      </c>
      <c r="Z652" s="1" t="s">
        <v>74</v>
      </c>
      <c r="AA652" s="1" t="s">
        <v>6452</v>
      </c>
      <c r="AB652" s="1" t="s">
        <v>6453</v>
      </c>
      <c r="AC652" s="1" t="s">
        <v>74</v>
      </c>
      <c r="AD652" s="1" t="s">
        <v>74</v>
      </c>
      <c r="AE652" s="1" t="s">
        <v>74</v>
      </c>
      <c r="AF652" s="1" t="s">
        <v>74</v>
      </c>
      <c r="AG652" s="1" t="s">
        <v>74</v>
      </c>
      <c r="AH652" s="1" t="s">
        <v>74</v>
      </c>
      <c r="AI652" s="1" t="s">
        <v>74</v>
      </c>
      <c r="AJ652" s="1" t="s">
        <v>74</v>
      </c>
      <c r="AK652" s="1" t="s">
        <v>74</v>
      </c>
      <c r="AL652" s="1" t="s">
        <v>74</v>
      </c>
      <c r="AM652" s="1" t="s">
        <v>74</v>
      </c>
      <c r="AN652" s="1" t="s">
        <v>74</v>
      </c>
      <c r="AO652" s="1" t="s">
        <v>6454</v>
      </c>
      <c r="AP652" s="1" t="s">
        <v>6455</v>
      </c>
      <c r="AQ652" s="1" t="s">
        <v>74</v>
      </c>
      <c r="AR652" s="1" t="s">
        <v>74</v>
      </c>
      <c r="AS652" s="1" t="s">
        <v>74</v>
      </c>
      <c r="AT652" s="1" t="s">
        <v>74</v>
      </c>
      <c r="AU652" s="1">
        <v>2012.0</v>
      </c>
      <c r="AV652" s="1">
        <v>53.0</v>
      </c>
      <c r="AW652" s="1">
        <v>60.0</v>
      </c>
      <c r="AX652" s="1">
        <v>1.0</v>
      </c>
      <c r="AY652" s="1" t="s">
        <v>74</v>
      </c>
      <c r="AZ652" s="1" t="s">
        <v>74</v>
      </c>
      <c r="BA652" s="1" t="s">
        <v>74</v>
      </c>
      <c r="BB652" s="1">
        <v>106.0</v>
      </c>
      <c r="BC652" s="1">
        <v>112.0</v>
      </c>
      <c r="BD652" s="1" t="s">
        <v>74</v>
      </c>
      <c r="BE652" s="1" t="s">
        <v>6456</v>
      </c>
      <c r="BF652" s="2" t="str">
        <f>HYPERLINK("http://dx.doi.org/10.3189/2012/AoG60A012","http://dx.doi.org/10.3189/2012/AoG60A012")</f>
        <v>http://dx.doi.org/10.3189/2012/AoG60A012</v>
      </c>
      <c r="BG652" s="1" t="s">
        <v>74</v>
      </c>
      <c r="BH652" s="1" t="s">
        <v>74</v>
      </c>
      <c r="BI652" s="1" t="s">
        <v>74</v>
      </c>
      <c r="BJ652" s="1" t="s">
        <v>74</v>
      </c>
      <c r="BK652" s="1" t="s">
        <v>74</v>
      </c>
      <c r="BL652" s="1" t="s">
        <v>74</v>
      </c>
      <c r="BM652" s="1" t="s">
        <v>74</v>
      </c>
      <c r="BN652" s="1" t="s">
        <v>74</v>
      </c>
      <c r="BO652" s="1" t="s">
        <v>74</v>
      </c>
      <c r="BP652" s="1" t="s">
        <v>74</v>
      </c>
      <c r="BQ652" s="1" t="s">
        <v>74</v>
      </c>
      <c r="BR652" s="1" t="s">
        <v>74</v>
      </c>
      <c r="BS652" s="1" t="s">
        <v>6457</v>
      </c>
      <c r="BT652" s="1" t="str">
        <f>HYPERLINK("https%3A%2F%2Fwww.webofscience.com%2Fwos%2Fwoscc%2Ffull-record%2FWOS:000315310300015","View Full Record in Web of Science")</f>
        <v>View Full Record in Web of Science</v>
      </c>
    </row>
    <row r="653" ht="12.75" customHeight="1">
      <c r="A653" s="1" t="s">
        <v>72</v>
      </c>
      <c r="B653" s="1" t="s">
        <v>6458</v>
      </c>
      <c r="C653" s="1" t="s">
        <v>74</v>
      </c>
      <c r="D653" s="1" t="s">
        <v>74</v>
      </c>
      <c r="E653" s="1" t="s">
        <v>74</v>
      </c>
      <c r="F653" s="1" t="s">
        <v>6459</v>
      </c>
      <c r="G653" s="1" t="s">
        <v>74</v>
      </c>
      <c r="H653" s="1" t="s">
        <v>74</v>
      </c>
      <c r="I653" s="1" t="s">
        <v>6460</v>
      </c>
      <c r="J653" s="1" t="s">
        <v>6461</v>
      </c>
      <c r="K653" s="1" t="s">
        <v>74</v>
      </c>
      <c r="L653" s="1" t="s">
        <v>74</v>
      </c>
      <c r="M653" s="1" t="s">
        <v>74</v>
      </c>
      <c r="N653" s="1" t="s">
        <v>74</v>
      </c>
      <c r="O653" s="1" t="s">
        <v>74</v>
      </c>
      <c r="P653" s="1" t="s">
        <v>74</v>
      </c>
      <c r="Q653" s="1" t="s">
        <v>74</v>
      </c>
      <c r="R653" s="1" t="s">
        <v>74</v>
      </c>
      <c r="S653" s="1" t="s">
        <v>74</v>
      </c>
      <c r="T653" s="1" t="s">
        <v>74</v>
      </c>
      <c r="U653" s="1" t="s">
        <v>74</v>
      </c>
      <c r="V653" s="1" t="s">
        <v>6462</v>
      </c>
      <c r="W653" s="1" t="s">
        <v>74</v>
      </c>
      <c r="X653" s="1" t="s">
        <v>74</v>
      </c>
      <c r="Y653" s="1" t="s">
        <v>74</v>
      </c>
      <c r="Z653" s="1" t="s">
        <v>74</v>
      </c>
      <c r="AA653" s="1" t="s">
        <v>6463</v>
      </c>
      <c r="AB653" s="1" t="s">
        <v>6464</v>
      </c>
      <c r="AC653" s="1" t="s">
        <v>74</v>
      </c>
      <c r="AD653" s="1" t="s">
        <v>74</v>
      </c>
      <c r="AE653" s="1" t="s">
        <v>74</v>
      </c>
      <c r="AF653" s="1" t="s">
        <v>74</v>
      </c>
      <c r="AG653" s="1" t="s">
        <v>74</v>
      </c>
      <c r="AH653" s="1" t="s">
        <v>74</v>
      </c>
      <c r="AI653" s="1" t="s">
        <v>74</v>
      </c>
      <c r="AJ653" s="1" t="s">
        <v>74</v>
      </c>
      <c r="AK653" s="1" t="s">
        <v>74</v>
      </c>
      <c r="AL653" s="1" t="s">
        <v>74</v>
      </c>
      <c r="AM653" s="1" t="s">
        <v>74</v>
      </c>
      <c r="AN653" s="1" t="s">
        <v>74</v>
      </c>
      <c r="AO653" s="1" t="s">
        <v>6465</v>
      </c>
      <c r="AP653" s="1" t="s">
        <v>6466</v>
      </c>
      <c r="AQ653" s="1" t="s">
        <v>74</v>
      </c>
      <c r="AR653" s="1" t="s">
        <v>74</v>
      </c>
      <c r="AS653" s="1" t="s">
        <v>74</v>
      </c>
      <c r="AT653" s="1" t="s">
        <v>6467</v>
      </c>
      <c r="AU653" s="1">
        <v>2011.0</v>
      </c>
      <c r="AV653" s="1">
        <v>71.0</v>
      </c>
      <c r="AW653" s="1">
        <v>253.0</v>
      </c>
      <c r="AX653" s="1" t="s">
        <v>74</v>
      </c>
      <c r="AY653" s="1" t="s">
        <v>74</v>
      </c>
      <c r="AZ653" s="1" t="s">
        <v>74</v>
      </c>
      <c r="BA653" s="1" t="s">
        <v>74</v>
      </c>
      <c r="BB653" s="1">
        <v>859.0</v>
      </c>
      <c r="BC653" s="1">
        <v>888.0</v>
      </c>
      <c r="BD653" s="1" t="s">
        <v>74</v>
      </c>
      <c r="BE653" s="1" t="s">
        <v>6468</v>
      </c>
      <c r="BF653" s="2" t="str">
        <f>HYPERLINK("http://dx.doi.org/10.3989/revindias.2011.028","http://dx.doi.org/10.3989/revindias.2011.028")</f>
        <v>http://dx.doi.org/10.3989/revindias.2011.028</v>
      </c>
      <c r="BG653" s="1" t="s">
        <v>74</v>
      </c>
      <c r="BH653" s="1" t="s">
        <v>74</v>
      </c>
      <c r="BI653" s="1" t="s">
        <v>74</v>
      </c>
      <c r="BJ653" s="1" t="s">
        <v>74</v>
      </c>
      <c r="BK653" s="1" t="s">
        <v>74</v>
      </c>
      <c r="BL653" s="1" t="s">
        <v>74</v>
      </c>
      <c r="BM653" s="1" t="s">
        <v>74</v>
      </c>
      <c r="BN653" s="1" t="s">
        <v>74</v>
      </c>
      <c r="BO653" s="1" t="s">
        <v>74</v>
      </c>
      <c r="BP653" s="1" t="s">
        <v>74</v>
      </c>
      <c r="BQ653" s="1" t="s">
        <v>74</v>
      </c>
      <c r="BR653" s="1" t="s">
        <v>74</v>
      </c>
      <c r="BS653" s="1" t="s">
        <v>6469</v>
      </c>
      <c r="BT653" s="1" t="str">
        <f>HYPERLINK("https%3A%2F%2Fwww.webofscience.com%2Fwos%2Fwoscc%2Ffull-record%2FWOS:000299303300008","View Full Record in Web of Science")</f>
        <v>View Full Record in Web of Science</v>
      </c>
    </row>
    <row r="654" ht="12.75" customHeight="1">
      <c r="A654" s="1" t="s">
        <v>72</v>
      </c>
      <c r="B654" s="1" t="s">
        <v>6470</v>
      </c>
      <c r="C654" s="1" t="s">
        <v>74</v>
      </c>
      <c r="D654" s="1" t="s">
        <v>74</v>
      </c>
      <c r="E654" s="1" t="s">
        <v>74</v>
      </c>
      <c r="F654" s="1" t="s">
        <v>6471</v>
      </c>
      <c r="G654" s="1" t="s">
        <v>74</v>
      </c>
      <c r="H654" s="1" t="s">
        <v>74</v>
      </c>
      <c r="I654" s="1" t="s">
        <v>6472</v>
      </c>
      <c r="J654" s="1" t="s">
        <v>959</v>
      </c>
      <c r="K654" s="1" t="s">
        <v>74</v>
      </c>
      <c r="L654" s="1" t="s">
        <v>74</v>
      </c>
      <c r="M654" s="1" t="s">
        <v>74</v>
      </c>
      <c r="N654" s="1" t="s">
        <v>74</v>
      </c>
      <c r="O654" s="1" t="s">
        <v>74</v>
      </c>
      <c r="P654" s="1" t="s">
        <v>74</v>
      </c>
      <c r="Q654" s="1" t="s">
        <v>74</v>
      </c>
      <c r="R654" s="1" t="s">
        <v>74</v>
      </c>
      <c r="S654" s="1" t="s">
        <v>74</v>
      </c>
      <c r="T654" s="1" t="s">
        <v>74</v>
      </c>
      <c r="U654" s="1" t="s">
        <v>74</v>
      </c>
      <c r="V654" s="1" t="s">
        <v>6473</v>
      </c>
      <c r="W654" s="1" t="s">
        <v>74</v>
      </c>
      <c r="X654" s="1" t="s">
        <v>74</v>
      </c>
      <c r="Y654" s="1" t="s">
        <v>74</v>
      </c>
      <c r="Z654" s="1" t="s">
        <v>74</v>
      </c>
      <c r="AA654" s="1" t="s">
        <v>6474</v>
      </c>
      <c r="AB654" s="1" t="s">
        <v>6475</v>
      </c>
      <c r="AC654" s="1" t="s">
        <v>74</v>
      </c>
      <c r="AD654" s="1" t="s">
        <v>74</v>
      </c>
      <c r="AE654" s="1" t="s">
        <v>74</v>
      </c>
      <c r="AF654" s="1" t="s">
        <v>74</v>
      </c>
      <c r="AG654" s="1" t="s">
        <v>74</v>
      </c>
      <c r="AH654" s="1" t="s">
        <v>74</v>
      </c>
      <c r="AI654" s="1" t="s">
        <v>74</v>
      </c>
      <c r="AJ654" s="1" t="s">
        <v>74</v>
      </c>
      <c r="AK654" s="1" t="s">
        <v>74</v>
      </c>
      <c r="AL654" s="1" t="s">
        <v>74</v>
      </c>
      <c r="AM654" s="1" t="s">
        <v>74</v>
      </c>
      <c r="AN654" s="1" t="s">
        <v>74</v>
      </c>
      <c r="AO654" s="1" t="s">
        <v>963</v>
      </c>
      <c r="AP654" s="1" t="s">
        <v>74</v>
      </c>
      <c r="AQ654" s="1" t="s">
        <v>74</v>
      </c>
      <c r="AR654" s="1" t="s">
        <v>74</v>
      </c>
      <c r="AS654" s="1" t="s">
        <v>74</v>
      </c>
      <c r="AT654" s="1" t="s">
        <v>294</v>
      </c>
      <c r="AU654" s="1">
        <v>2011.0</v>
      </c>
      <c r="AV654" s="1">
        <v>23.0</v>
      </c>
      <c r="AW654" s="1">
        <v>6.0</v>
      </c>
      <c r="AX654" s="1" t="s">
        <v>74</v>
      </c>
      <c r="AY654" s="1" t="s">
        <v>74</v>
      </c>
      <c r="AZ654" s="1" t="s">
        <v>74</v>
      </c>
      <c r="BA654" s="1" t="s">
        <v>74</v>
      </c>
      <c r="BB654" s="1">
        <v>1401.0</v>
      </c>
      <c r="BC654" s="1">
        <v>1409.0</v>
      </c>
      <c r="BD654" s="1" t="s">
        <v>74</v>
      </c>
      <c r="BE654" s="1" t="s">
        <v>6476</v>
      </c>
      <c r="BF654" s="2" t="str">
        <f>HYPERLINK("http://dx.doi.org/10.1002/elan.201000769","http://dx.doi.org/10.1002/elan.201000769")</f>
        <v>http://dx.doi.org/10.1002/elan.201000769</v>
      </c>
      <c r="BG654" s="1" t="s">
        <v>74</v>
      </c>
      <c r="BH654" s="1" t="s">
        <v>74</v>
      </c>
      <c r="BI654" s="1" t="s">
        <v>74</v>
      </c>
      <c r="BJ654" s="1" t="s">
        <v>74</v>
      </c>
      <c r="BK654" s="1" t="s">
        <v>74</v>
      </c>
      <c r="BL654" s="1" t="s">
        <v>74</v>
      </c>
      <c r="BM654" s="1" t="s">
        <v>74</v>
      </c>
      <c r="BN654" s="1" t="s">
        <v>74</v>
      </c>
      <c r="BO654" s="1" t="s">
        <v>74</v>
      </c>
      <c r="BP654" s="1" t="s">
        <v>74</v>
      </c>
      <c r="BQ654" s="1" t="s">
        <v>74</v>
      </c>
      <c r="BR654" s="1" t="s">
        <v>74</v>
      </c>
      <c r="BS654" s="1" t="s">
        <v>6477</v>
      </c>
      <c r="BT654" s="1" t="str">
        <f>HYPERLINK("https%3A%2F%2Fwww.webofscience.com%2Fwos%2Fwoscc%2Ffull-record%2FWOS:000291554700016","View Full Record in Web of Science")</f>
        <v>View Full Record in Web of Science</v>
      </c>
    </row>
    <row r="655" ht="12.75" customHeight="1">
      <c r="A655" s="1" t="s">
        <v>274</v>
      </c>
      <c r="B655" s="1" t="s">
        <v>6478</v>
      </c>
      <c r="C655" s="1" t="s">
        <v>74</v>
      </c>
      <c r="D655" s="1" t="s">
        <v>6479</v>
      </c>
      <c r="E655" s="1" t="s">
        <v>74</v>
      </c>
      <c r="F655" s="1" t="s">
        <v>6480</v>
      </c>
      <c r="G655" s="1" t="s">
        <v>74</v>
      </c>
      <c r="H655" s="1" t="s">
        <v>74</v>
      </c>
      <c r="I655" s="1" t="s">
        <v>6481</v>
      </c>
      <c r="J655" s="1" t="s">
        <v>6482</v>
      </c>
      <c r="K655" s="1" t="s">
        <v>74</v>
      </c>
      <c r="L655" s="1" t="s">
        <v>74</v>
      </c>
      <c r="M655" s="1" t="s">
        <v>74</v>
      </c>
      <c r="N655" s="1" t="s">
        <v>74</v>
      </c>
      <c r="O655" s="1" t="s">
        <v>74</v>
      </c>
      <c r="P655" s="1" t="s">
        <v>74</v>
      </c>
      <c r="Q655" s="1" t="s">
        <v>74</v>
      </c>
      <c r="R655" s="1" t="s">
        <v>74</v>
      </c>
      <c r="S655" s="1" t="s">
        <v>74</v>
      </c>
      <c r="T655" s="1" t="s">
        <v>74</v>
      </c>
      <c r="U655" s="1" t="s">
        <v>74</v>
      </c>
      <c r="V655" s="1" t="s">
        <v>6483</v>
      </c>
      <c r="W655" s="1" t="s">
        <v>74</v>
      </c>
      <c r="X655" s="1" t="s">
        <v>74</v>
      </c>
      <c r="Y655" s="1" t="s">
        <v>74</v>
      </c>
      <c r="Z655" s="1" t="s">
        <v>74</v>
      </c>
      <c r="AA655" s="1" t="s">
        <v>6484</v>
      </c>
      <c r="AB655" s="1" t="s">
        <v>6485</v>
      </c>
      <c r="AC655" s="1" t="s">
        <v>74</v>
      </c>
      <c r="AD655" s="1" t="s">
        <v>74</v>
      </c>
      <c r="AE655" s="1" t="s">
        <v>74</v>
      </c>
      <c r="AF655" s="1" t="s">
        <v>74</v>
      </c>
      <c r="AG655" s="1" t="s">
        <v>74</v>
      </c>
      <c r="AH655" s="1" t="s">
        <v>74</v>
      </c>
      <c r="AI655" s="1" t="s">
        <v>74</v>
      </c>
      <c r="AJ655" s="1" t="s">
        <v>74</v>
      </c>
      <c r="AK655" s="1" t="s">
        <v>74</v>
      </c>
      <c r="AL655" s="1" t="s">
        <v>74</v>
      </c>
      <c r="AM655" s="1" t="s">
        <v>74</v>
      </c>
      <c r="AN655" s="1" t="s">
        <v>74</v>
      </c>
      <c r="AO655" s="1" t="s">
        <v>74</v>
      </c>
      <c r="AP655" s="1" t="s">
        <v>74</v>
      </c>
      <c r="AQ655" s="1" t="s">
        <v>6486</v>
      </c>
      <c r="AR655" s="1" t="s">
        <v>74</v>
      </c>
      <c r="AS655" s="1" t="s">
        <v>74</v>
      </c>
      <c r="AT655" s="1" t="s">
        <v>74</v>
      </c>
      <c r="AU655" s="1">
        <v>2009.0</v>
      </c>
      <c r="AV655" s="1" t="s">
        <v>74</v>
      </c>
      <c r="AW655" s="1" t="s">
        <v>74</v>
      </c>
      <c r="AX655" s="1" t="s">
        <v>74</v>
      </c>
      <c r="AY655" s="1" t="s">
        <v>74</v>
      </c>
      <c r="AZ655" s="1" t="s">
        <v>74</v>
      </c>
      <c r="BA655" s="1" t="s">
        <v>74</v>
      </c>
      <c r="BB655" s="1">
        <v>341.0</v>
      </c>
      <c r="BC655" s="1">
        <v>419.0</v>
      </c>
      <c r="BD655" s="1" t="s">
        <v>74</v>
      </c>
      <c r="BE655" s="1" t="s">
        <v>74</v>
      </c>
      <c r="BF655" s="1" t="s">
        <v>74</v>
      </c>
      <c r="BG655" s="1" t="s">
        <v>74</v>
      </c>
      <c r="BH655" s="1" t="s">
        <v>74</v>
      </c>
      <c r="BI655" s="1" t="s">
        <v>74</v>
      </c>
      <c r="BJ655" s="1" t="s">
        <v>74</v>
      </c>
      <c r="BK655" s="1" t="s">
        <v>74</v>
      </c>
      <c r="BL655" s="1" t="s">
        <v>74</v>
      </c>
      <c r="BM655" s="1" t="s">
        <v>74</v>
      </c>
      <c r="BN655" s="1" t="s">
        <v>74</v>
      </c>
      <c r="BO655" s="1" t="s">
        <v>74</v>
      </c>
      <c r="BP655" s="1" t="s">
        <v>74</v>
      </c>
      <c r="BQ655" s="1" t="s">
        <v>74</v>
      </c>
      <c r="BR655" s="1" t="s">
        <v>74</v>
      </c>
      <c r="BS655" s="1" t="s">
        <v>6487</v>
      </c>
      <c r="BT655" s="1" t="str">
        <f>HYPERLINK("https%3A%2F%2Fwww.webofscience.com%2Fwos%2Fwoscc%2Ffull-record%2FWOS:000273474800012","View Full Record in Web of Science")</f>
        <v>View Full Record in Web of Science</v>
      </c>
    </row>
    <row r="656" ht="12.75" customHeight="1">
      <c r="A656" s="1" t="s">
        <v>72</v>
      </c>
      <c r="B656" s="1" t="s">
        <v>6488</v>
      </c>
      <c r="C656" s="1" t="s">
        <v>74</v>
      </c>
      <c r="D656" s="1" t="s">
        <v>74</v>
      </c>
      <c r="E656" s="1" t="s">
        <v>74</v>
      </c>
      <c r="F656" s="1" t="s">
        <v>6489</v>
      </c>
      <c r="G656" s="1" t="s">
        <v>74</v>
      </c>
      <c r="H656" s="1" t="s">
        <v>74</v>
      </c>
      <c r="I656" s="1" t="s">
        <v>6490</v>
      </c>
      <c r="J656" s="1" t="s">
        <v>6491</v>
      </c>
      <c r="K656" s="1" t="s">
        <v>74</v>
      </c>
      <c r="L656" s="1" t="s">
        <v>74</v>
      </c>
      <c r="M656" s="1" t="s">
        <v>74</v>
      </c>
      <c r="N656" s="1" t="s">
        <v>74</v>
      </c>
      <c r="O656" s="1" t="s">
        <v>74</v>
      </c>
      <c r="P656" s="1" t="s">
        <v>74</v>
      </c>
      <c r="Q656" s="1" t="s">
        <v>74</v>
      </c>
      <c r="R656" s="1" t="s">
        <v>74</v>
      </c>
      <c r="S656" s="1" t="s">
        <v>74</v>
      </c>
      <c r="T656" s="1" t="s">
        <v>74</v>
      </c>
      <c r="U656" s="1" t="s">
        <v>74</v>
      </c>
      <c r="V656" s="1" t="s">
        <v>6492</v>
      </c>
      <c r="W656" s="1" t="s">
        <v>74</v>
      </c>
      <c r="X656" s="1" t="s">
        <v>74</v>
      </c>
      <c r="Y656" s="1" t="s">
        <v>74</v>
      </c>
      <c r="Z656" s="1" t="s">
        <v>74</v>
      </c>
      <c r="AA656" s="1" t="s">
        <v>727</v>
      </c>
      <c r="AB656" s="1" t="s">
        <v>74</v>
      </c>
      <c r="AC656" s="1" t="s">
        <v>74</v>
      </c>
      <c r="AD656" s="1" t="s">
        <v>74</v>
      </c>
      <c r="AE656" s="1" t="s">
        <v>74</v>
      </c>
      <c r="AF656" s="1" t="s">
        <v>74</v>
      </c>
      <c r="AG656" s="1" t="s">
        <v>74</v>
      </c>
      <c r="AH656" s="1" t="s">
        <v>74</v>
      </c>
      <c r="AI656" s="1" t="s">
        <v>74</v>
      </c>
      <c r="AJ656" s="1" t="s">
        <v>74</v>
      </c>
      <c r="AK656" s="1" t="s">
        <v>74</v>
      </c>
      <c r="AL656" s="1" t="s">
        <v>74</v>
      </c>
      <c r="AM656" s="1" t="s">
        <v>74</v>
      </c>
      <c r="AN656" s="1" t="s">
        <v>74</v>
      </c>
      <c r="AO656" s="1" t="s">
        <v>6493</v>
      </c>
      <c r="AP656" s="1" t="s">
        <v>6494</v>
      </c>
      <c r="AQ656" s="1" t="s">
        <v>74</v>
      </c>
      <c r="AR656" s="1" t="s">
        <v>74</v>
      </c>
      <c r="AS656" s="1" t="s">
        <v>74</v>
      </c>
      <c r="AT656" s="1" t="s">
        <v>74</v>
      </c>
      <c r="AU656" s="1">
        <v>2009.0</v>
      </c>
      <c r="AV656" s="1">
        <v>92.0</v>
      </c>
      <c r="AW656" s="1">
        <v>2.0</v>
      </c>
      <c r="AX656" s="1" t="s">
        <v>74</v>
      </c>
      <c r="AY656" s="1" t="s">
        <v>74</v>
      </c>
      <c r="AZ656" s="1" t="s">
        <v>74</v>
      </c>
      <c r="BA656" s="1" t="s">
        <v>74</v>
      </c>
      <c r="BB656" s="1">
        <v>339.0</v>
      </c>
      <c r="BC656" s="1">
        <v>356.0</v>
      </c>
      <c r="BD656" s="1" t="s">
        <v>74</v>
      </c>
      <c r="BE656" s="1" t="s">
        <v>6495</v>
      </c>
      <c r="BF656" s="2" t="str">
        <f>HYPERLINK("http://dx.doi.org/10.1002/hlca.200800319","http://dx.doi.org/10.1002/hlca.200800319")</f>
        <v>http://dx.doi.org/10.1002/hlca.200800319</v>
      </c>
      <c r="BG656" s="1" t="s">
        <v>74</v>
      </c>
      <c r="BH656" s="1" t="s">
        <v>74</v>
      </c>
      <c r="BI656" s="1" t="s">
        <v>74</v>
      </c>
      <c r="BJ656" s="1" t="s">
        <v>74</v>
      </c>
      <c r="BK656" s="1" t="s">
        <v>74</v>
      </c>
      <c r="BL656" s="1" t="s">
        <v>74</v>
      </c>
      <c r="BM656" s="1" t="s">
        <v>74</v>
      </c>
      <c r="BN656" s="1" t="s">
        <v>74</v>
      </c>
      <c r="BO656" s="1" t="s">
        <v>74</v>
      </c>
      <c r="BP656" s="1" t="s">
        <v>74</v>
      </c>
      <c r="BQ656" s="1" t="s">
        <v>74</v>
      </c>
      <c r="BR656" s="1" t="s">
        <v>74</v>
      </c>
      <c r="BS656" s="1" t="s">
        <v>6496</v>
      </c>
      <c r="BT656" s="1" t="str">
        <f>HYPERLINK("https%3A%2F%2Fwww.webofscience.com%2Fwos%2Fwoscc%2Ffull-record%2FWOS:000263865600012","View Full Record in Web of Science")</f>
        <v>View Full Record in Web of Science</v>
      </c>
    </row>
    <row r="657" ht="12.75" customHeight="1">
      <c r="A657" s="1" t="s">
        <v>72</v>
      </c>
      <c r="B657" s="1" t="s">
        <v>655</v>
      </c>
      <c r="C657" s="1" t="s">
        <v>74</v>
      </c>
      <c r="D657" s="1" t="s">
        <v>74</v>
      </c>
      <c r="E657" s="1" t="s">
        <v>74</v>
      </c>
      <c r="F657" s="1" t="s">
        <v>656</v>
      </c>
      <c r="G657" s="1" t="s">
        <v>74</v>
      </c>
      <c r="H657" s="1" t="s">
        <v>74</v>
      </c>
      <c r="I657" s="1" t="s">
        <v>6497</v>
      </c>
      <c r="J657" s="1" t="s">
        <v>658</v>
      </c>
      <c r="K657" s="1" t="s">
        <v>74</v>
      </c>
      <c r="L657" s="1" t="s">
        <v>74</v>
      </c>
      <c r="M657" s="1" t="s">
        <v>74</v>
      </c>
      <c r="N657" s="1" t="s">
        <v>74</v>
      </c>
      <c r="O657" s="1" t="s">
        <v>74</v>
      </c>
      <c r="P657" s="1" t="s">
        <v>74</v>
      </c>
      <c r="Q657" s="1" t="s">
        <v>74</v>
      </c>
      <c r="R657" s="1" t="s">
        <v>74</v>
      </c>
      <c r="S657" s="1" t="s">
        <v>74</v>
      </c>
      <c r="T657" s="1" t="s">
        <v>74</v>
      </c>
      <c r="U657" s="1" t="s">
        <v>74</v>
      </c>
      <c r="V657" s="1" t="s">
        <v>6498</v>
      </c>
      <c r="W657" s="1" t="s">
        <v>74</v>
      </c>
      <c r="X657" s="1" t="s">
        <v>74</v>
      </c>
      <c r="Y657" s="1" t="s">
        <v>74</v>
      </c>
      <c r="Z657" s="1" t="s">
        <v>74</v>
      </c>
      <c r="AA657" s="1" t="s">
        <v>74</v>
      </c>
      <c r="AB657" s="1" t="s">
        <v>74</v>
      </c>
      <c r="AC657" s="1" t="s">
        <v>74</v>
      </c>
      <c r="AD657" s="1" t="s">
        <v>74</v>
      </c>
      <c r="AE657" s="1" t="s">
        <v>74</v>
      </c>
      <c r="AF657" s="1" t="s">
        <v>74</v>
      </c>
      <c r="AG657" s="1" t="s">
        <v>74</v>
      </c>
      <c r="AH657" s="1" t="s">
        <v>74</v>
      </c>
      <c r="AI657" s="1" t="s">
        <v>74</v>
      </c>
      <c r="AJ657" s="1" t="s">
        <v>74</v>
      </c>
      <c r="AK657" s="1" t="s">
        <v>74</v>
      </c>
      <c r="AL657" s="1" t="s">
        <v>74</v>
      </c>
      <c r="AM657" s="1" t="s">
        <v>74</v>
      </c>
      <c r="AN657" s="1" t="s">
        <v>74</v>
      </c>
      <c r="AO657" s="1" t="s">
        <v>660</v>
      </c>
      <c r="AP657" s="1" t="s">
        <v>74</v>
      </c>
      <c r="AQ657" s="1" t="s">
        <v>74</v>
      </c>
      <c r="AR657" s="1" t="s">
        <v>74</v>
      </c>
      <c r="AS657" s="1" t="s">
        <v>74</v>
      </c>
      <c r="AT657" s="1" t="s">
        <v>696</v>
      </c>
      <c r="AU657" s="1">
        <v>2009.0</v>
      </c>
      <c r="AV657" s="1">
        <v>39.0</v>
      </c>
      <c r="AW657" s="1">
        <v>1.0</v>
      </c>
      <c r="AX657" s="1" t="s">
        <v>74</v>
      </c>
      <c r="AY657" s="1" t="s">
        <v>74</v>
      </c>
      <c r="AZ657" s="1" t="s">
        <v>74</v>
      </c>
      <c r="BA657" s="1" t="s">
        <v>74</v>
      </c>
      <c r="BB657" s="1">
        <v>11.0</v>
      </c>
      <c r="BC657" s="1">
        <v>18.0</v>
      </c>
      <c r="BD657" s="1" t="s">
        <v>74</v>
      </c>
      <c r="BE657" s="1" t="s">
        <v>74</v>
      </c>
      <c r="BF657" s="1" t="s">
        <v>74</v>
      </c>
      <c r="BG657" s="1" t="s">
        <v>74</v>
      </c>
      <c r="BH657" s="1" t="s">
        <v>74</v>
      </c>
      <c r="BI657" s="1" t="s">
        <v>74</v>
      </c>
      <c r="BJ657" s="1" t="s">
        <v>74</v>
      </c>
      <c r="BK657" s="1" t="s">
        <v>74</v>
      </c>
      <c r="BL657" s="1" t="s">
        <v>74</v>
      </c>
      <c r="BM657" s="1" t="s">
        <v>74</v>
      </c>
      <c r="BN657" s="1" t="s">
        <v>74</v>
      </c>
      <c r="BO657" s="1" t="s">
        <v>74</v>
      </c>
      <c r="BP657" s="1" t="s">
        <v>74</v>
      </c>
      <c r="BQ657" s="1" t="s">
        <v>74</v>
      </c>
      <c r="BR657" s="1" t="s">
        <v>74</v>
      </c>
      <c r="BS657" s="1" t="s">
        <v>6499</v>
      </c>
      <c r="BT657" s="1" t="str">
        <f>HYPERLINK("https%3A%2F%2Fwww.webofscience.com%2Fwos%2Fwoscc%2Ffull-record%2FWOS:000264462200002","View Full Record in Web of Science")</f>
        <v>View Full Record in Web of Science</v>
      </c>
    </row>
    <row r="658" ht="12.75" customHeight="1">
      <c r="A658" s="1" t="s">
        <v>72</v>
      </c>
      <c r="B658" s="1" t="s">
        <v>6500</v>
      </c>
      <c r="C658" s="1" t="s">
        <v>74</v>
      </c>
      <c r="D658" s="1" t="s">
        <v>74</v>
      </c>
      <c r="E658" s="1" t="s">
        <v>74</v>
      </c>
      <c r="F658" s="1" t="s">
        <v>6501</v>
      </c>
      <c r="G658" s="1" t="s">
        <v>74</v>
      </c>
      <c r="H658" s="1" t="s">
        <v>74</v>
      </c>
      <c r="I658" s="1" t="s">
        <v>6502</v>
      </c>
      <c r="J658" s="1" t="s">
        <v>6503</v>
      </c>
      <c r="K658" s="1" t="s">
        <v>74</v>
      </c>
      <c r="L658" s="1" t="s">
        <v>74</v>
      </c>
      <c r="M658" s="1" t="s">
        <v>74</v>
      </c>
      <c r="N658" s="1" t="s">
        <v>74</v>
      </c>
      <c r="O658" s="1" t="s">
        <v>74</v>
      </c>
      <c r="P658" s="1" t="s">
        <v>74</v>
      </c>
      <c r="Q658" s="1" t="s">
        <v>74</v>
      </c>
      <c r="R658" s="1" t="s">
        <v>74</v>
      </c>
      <c r="S658" s="1" t="s">
        <v>74</v>
      </c>
      <c r="T658" s="1" t="s">
        <v>74</v>
      </c>
      <c r="U658" s="1" t="s">
        <v>74</v>
      </c>
      <c r="V658" s="1" t="s">
        <v>6504</v>
      </c>
      <c r="W658" s="1" t="s">
        <v>74</v>
      </c>
      <c r="X658" s="1" t="s">
        <v>74</v>
      </c>
      <c r="Y658" s="1" t="s">
        <v>74</v>
      </c>
      <c r="Z658" s="1" t="s">
        <v>74</v>
      </c>
      <c r="AA658" s="1" t="s">
        <v>2727</v>
      </c>
      <c r="AB658" s="1" t="s">
        <v>6505</v>
      </c>
      <c r="AC658" s="1" t="s">
        <v>74</v>
      </c>
      <c r="AD658" s="1" t="s">
        <v>74</v>
      </c>
      <c r="AE658" s="1" t="s">
        <v>74</v>
      </c>
      <c r="AF658" s="1" t="s">
        <v>74</v>
      </c>
      <c r="AG658" s="1" t="s">
        <v>74</v>
      </c>
      <c r="AH658" s="1" t="s">
        <v>74</v>
      </c>
      <c r="AI658" s="1" t="s">
        <v>74</v>
      </c>
      <c r="AJ658" s="1" t="s">
        <v>74</v>
      </c>
      <c r="AK658" s="1" t="s">
        <v>74</v>
      </c>
      <c r="AL658" s="1" t="s">
        <v>74</v>
      </c>
      <c r="AM658" s="1" t="s">
        <v>74</v>
      </c>
      <c r="AN658" s="1" t="s">
        <v>74</v>
      </c>
      <c r="AO658" s="1" t="s">
        <v>6506</v>
      </c>
      <c r="AP658" s="1" t="s">
        <v>6507</v>
      </c>
      <c r="AQ658" s="1" t="s">
        <v>74</v>
      </c>
      <c r="AR658" s="1" t="s">
        <v>74</v>
      </c>
      <c r="AS658" s="1" t="s">
        <v>74</v>
      </c>
      <c r="AT658" s="1" t="s">
        <v>74</v>
      </c>
      <c r="AU658" s="1">
        <v>2007.0</v>
      </c>
      <c r="AV658" s="1">
        <v>9.0</v>
      </c>
      <c r="AW658" s="1">
        <v>3.0</v>
      </c>
      <c r="AX658" s="1" t="s">
        <v>74</v>
      </c>
      <c r="AY658" s="1" t="s">
        <v>74</v>
      </c>
      <c r="AZ658" s="1" t="s">
        <v>74</v>
      </c>
      <c r="BA658" s="1" t="s">
        <v>74</v>
      </c>
      <c r="BB658" s="1" t="s">
        <v>74</v>
      </c>
      <c r="BC658" s="1" t="s">
        <v>74</v>
      </c>
      <c r="BD658" s="1" t="s">
        <v>6508</v>
      </c>
      <c r="BE658" s="1" t="s">
        <v>6509</v>
      </c>
      <c r="BF658" s="2" t="str">
        <f>HYPERLINK("http://dx.doi.org/10.1186/ar2208","http://dx.doi.org/10.1186/ar2208")</f>
        <v>http://dx.doi.org/10.1186/ar2208</v>
      </c>
      <c r="BG658" s="1" t="s">
        <v>74</v>
      </c>
      <c r="BH658" s="1" t="s">
        <v>74</v>
      </c>
      <c r="BI658" s="1" t="s">
        <v>74</v>
      </c>
      <c r="BJ658" s="1" t="s">
        <v>74</v>
      </c>
      <c r="BK658" s="1" t="s">
        <v>74</v>
      </c>
      <c r="BL658" s="1" t="s">
        <v>74</v>
      </c>
      <c r="BM658" s="1" t="s">
        <v>74</v>
      </c>
      <c r="BN658" s="1">
        <v>1.7521446E7</v>
      </c>
      <c r="BO658" s="1" t="s">
        <v>74</v>
      </c>
      <c r="BP658" s="1" t="s">
        <v>74</v>
      </c>
      <c r="BQ658" s="1" t="s">
        <v>74</v>
      </c>
      <c r="BR658" s="1" t="s">
        <v>74</v>
      </c>
      <c r="BS658" s="1" t="s">
        <v>6510</v>
      </c>
      <c r="BT658" s="1" t="str">
        <f>HYPERLINK("https%3A%2F%2Fwww.webofscience.com%2Fwos%2Fwoscc%2Ffull-record%2FWOS:000248809300018","View Full Record in Web of Science")</f>
        <v>View Full Record in Web of Science</v>
      </c>
    </row>
    <row r="659" ht="12.75" customHeight="1">
      <c r="A659" s="1" t="s">
        <v>72</v>
      </c>
      <c r="B659" s="1" t="s">
        <v>6511</v>
      </c>
      <c r="C659" s="1" t="s">
        <v>74</v>
      </c>
      <c r="D659" s="1" t="s">
        <v>74</v>
      </c>
      <c r="E659" s="1" t="s">
        <v>74</v>
      </c>
      <c r="F659" s="1" t="s">
        <v>6511</v>
      </c>
      <c r="G659" s="1" t="s">
        <v>74</v>
      </c>
      <c r="H659" s="1" t="s">
        <v>74</v>
      </c>
      <c r="I659" s="1" t="s">
        <v>6512</v>
      </c>
      <c r="J659" s="1" t="s">
        <v>5195</v>
      </c>
      <c r="K659" s="1" t="s">
        <v>74</v>
      </c>
      <c r="L659" s="1" t="s">
        <v>74</v>
      </c>
      <c r="M659" s="1" t="s">
        <v>74</v>
      </c>
      <c r="N659" s="1" t="s">
        <v>74</v>
      </c>
      <c r="O659" s="1" t="s">
        <v>74</v>
      </c>
      <c r="P659" s="1" t="s">
        <v>74</v>
      </c>
      <c r="Q659" s="1" t="s">
        <v>74</v>
      </c>
      <c r="R659" s="1" t="s">
        <v>74</v>
      </c>
      <c r="S659" s="1" t="s">
        <v>74</v>
      </c>
      <c r="T659" s="1" t="s">
        <v>74</v>
      </c>
      <c r="U659" s="1" t="s">
        <v>74</v>
      </c>
      <c r="V659" s="1" t="s">
        <v>6513</v>
      </c>
      <c r="W659" s="1" t="s">
        <v>74</v>
      </c>
      <c r="X659" s="1" t="s">
        <v>74</v>
      </c>
      <c r="Y659" s="1" t="s">
        <v>74</v>
      </c>
      <c r="Z659" s="1" t="s">
        <v>74</v>
      </c>
      <c r="AA659" s="1" t="s">
        <v>6514</v>
      </c>
      <c r="AB659" s="1" t="s">
        <v>6515</v>
      </c>
      <c r="AC659" s="1" t="s">
        <v>74</v>
      </c>
      <c r="AD659" s="1" t="s">
        <v>74</v>
      </c>
      <c r="AE659" s="1" t="s">
        <v>74</v>
      </c>
      <c r="AF659" s="1" t="s">
        <v>74</v>
      </c>
      <c r="AG659" s="1" t="s">
        <v>74</v>
      </c>
      <c r="AH659" s="1" t="s">
        <v>74</v>
      </c>
      <c r="AI659" s="1" t="s">
        <v>74</v>
      </c>
      <c r="AJ659" s="1" t="s">
        <v>74</v>
      </c>
      <c r="AK659" s="1" t="s">
        <v>74</v>
      </c>
      <c r="AL659" s="1" t="s">
        <v>74</v>
      </c>
      <c r="AM659" s="1" t="s">
        <v>74</v>
      </c>
      <c r="AN659" s="1" t="s">
        <v>74</v>
      </c>
      <c r="AO659" s="1" t="s">
        <v>5197</v>
      </c>
      <c r="AP659" s="1" t="s">
        <v>6516</v>
      </c>
      <c r="AQ659" s="1" t="s">
        <v>74</v>
      </c>
      <c r="AR659" s="1" t="s">
        <v>74</v>
      </c>
      <c r="AS659" s="1" t="s">
        <v>74</v>
      </c>
      <c r="AT659" s="1" t="s">
        <v>257</v>
      </c>
      <c r="AU659" s="1">
        <v>2006.0</v>
      </c>
      <c r="AV659" s="1">
        <v>15.0</v>
      </c>
      <c r="AW659" s="1">
        <v>1.0</v>
      </c>
      <c r="AX659" s="1" t="s">
        <v>74</v>
      </c>
      <c r="AY659" s="1" t="s">
        <v>74</v>
      </c>
      <c r="AZ659" s="1" t="s">
        <v>74</v>
      </c>
      <c r="BA659" s="1" t="s">
        <v>74</v>
      </c>
      <c r="BB659" s="1">
        <v>18.0</v>
      </c>
      <c r="BC659" s="1">
        <v>25.0</v>
      </c>
      <c r="BD659" s="1" t="s">
        <v>74</v>
      </c>
      <c r="BE659" s="1" t="s">
        <v>6517</v>
      </c>
      <c r="BF659" s="2" t="str">
        <f>HYPERLINK("http://dx.doi.org/10.1007/s00521-005-0003-0","http://dx.doi.org/10.1007/s00521-005-0003-0")</f>
        <v>http://dx.doi.org/10.1007/s00521-005-0003-0</v>
      </c>
      <c r="BG659" s="1" t="s">
        <v>74</v>
      </c>
      <c r="BH659" s="1" t="s">
        <v>74</v>
      </c>
      <c r="BI659" s="1" t="s">
        <v>74</v>
      </c>
      <c r="BJ659" s="1" t="s">
        <v>74</v>
      </c>
      <c r="BK659" s="1" t="s">
        <v>74</v>
      </c>
      <c r="BL659" s="1" t="s">
        <v>74</v>
      </c>
      <c r="BM659" s="1" t="s">
        <v>74</v>
      </c>
      <c r="BN659" s="1" t="s">
        <v>74</v>
      </c>
      <c r="BO659" s="1" t="s">
        <v>74</v>
      </c>
      <c r="BP659" s="1" t="s">
        <v>74</v>
      </c>
      <c r="BQ659" s="1" t="s">
        <v>74</v>
      </c>
      <c r="BR659" s="1" t="s">
        <v>74</v>
      </c>
      <c r="BS659" s="1" t="s">
        <v>6518</v>
      </c>
      <c r="BT659" s="1" t="str">
        <f>HYPERLINK("https%3A%2F%2Fwww.webofscience.com%2Fwos%2Fwoscc%2Ffull-record%2FWOS:000234344800003","View Full Record in Web of Science")</f>
        <v>View Full Record in Web of Science</v>
      </c>
    </row>
    <row r="660" ht="12.75" customHeight="1">
      <c r="A660" s="1" t="s">
        <v>72</v>
      </c>
      <c r="B660" s="1" t="s">
        <v>6519</v>
      </c>
      <c r="C660" s="1" t="s">
        <v>74</v>
      </c>
      <c r="D660" s="1" t="s">
        <v>74</v>
      </c>
      <c r="E660" s="1" t="s">
        <v>74</v>
      </c>
      <c r="F660" s="1" t="s">
        <v>6519</v>
      </c>
      <c r="G660" s="1" t="s">
        <v>74</v>
      </c>
      <c r="H660" s="1" t="s">
        <v>74</v>
      </c>
      <c r="I660" s="1" t="s">
        <v>6520</v>
      </c>
      <c r="J660" s="1" t="s">
        <v>4516</v>
      </c>
      <c r="K660" s="1" t="s">
        <v>74</v>
      </c>
      <c r="L660" s="1" t="s">
        <v>74</v>
      </c>
      <c r="M660" s="1" t="s">
        <v>74</v>
      </c>
      <c r="N660" s="1" t="s">
        <v>74</v>
      </c>
      <c r="O660" s="1" t="s">
        <v>74</v>
      </c>
      <c r="P660" s="1" t="s">
        <v>74</v>
      </c>
      <c r="Q660" s="1" t="s">
        <v>74</v>
      </c>
      <c r="R660" s="1" t="s">
        <v>74</v>
      </c>
      <c r="S660" s="1" t="s">
        <v>74</v>
      </c>
      <c r="T660" s="1" t="s">
        <v>74</v>
      </c>
      <c r="U660" s="1" t="s">
        <v>74</v>
      </c>
      <c r="V660" s="1" t="s">
        <v>6521</v>
      </c>
      <c r="W660" s="1" t="s">
        <v>74</v>
      </c>
      <c r="X660" s="1" t="s">
        <v>74</v>
      </c>
      <c r="Y660" s="1" t="s">
        <v>74</v>
      </c>
      <c r="Z660" s="1" t="s">
        <v>74</v>
      </c>
      <c r="AA660" s="1" t="s">
        <v>78</v>
      </c>
      <c r="AB660" s="1" t="s">
        <v>6522</v>
      </c>
      <c r="AC660" s="1" t="s">
        <v>74</v>
      </c>
      <c r="AD660" s="1" t="s">
        <v>74</v>
      </c>
      <c r="AE660" s="1" t="s">
        <v>74</v>
      </c>
      <c r="AF660" s="1" t="s">
        <v>74</v>
      </c>
      <c r="AG660" s="1" t="s">
        <v>74</v>
      </c>
      <c r="AH660" s="1" t="s">
        <v>74</v>
      </c>
      <c r="AI660" s="1" t="s">
        <v>74</v>
      </c>
      <c r="AJ660" s="1" t="s">
        <v>74</v>
      </c>
      <c r="AK660" s="1" t="s">
        <v>74</v>
      </c>
      <c r="AL660" s="1" t="s">
        <v>74</v>
      </c>
      <c r="AM660" s="1" t="s">
        <v>74</v>
      </c>
      <c r="AN660" s="1" t="s">
        <v>74</v>
      </c>
      <c r="AO660" s="1" t="s">
        <v>4520</v>
      </c>
      <c r="AP660" s="1" t="s">
        <v>74</v>
      </c>
      <c r="AQ660" s="1" t="s">
        <v>74</v>
      </c>
      <c r="AR660" s="1" t="s">
        <v>74</v>
      </c>
      <c r="AS660" s="1" t="s">
        <v>74</v>
      </c>
      <c r="AT660" s="1" t="s">
        <v>350</v>
      </c>
      <c r="AU660" s="1">
        <v>1998.0</v>
      </c>
      <c r="AV660" s="1">
        <v>9.0</v>
      </c>
      <c r="AW660" s="1">
        <v>4.0</v>
      </c>
      <c r="AX660" s="1" t="s">
        <v>74</v>
      </c>
      <c r="AY660" s="1" t="s">
        <v>74</v>
      </c>
      <c r="AZ660" s="1" t="s">
        <v>74</v>
      </c>
      <c r="BA660" s="1" t="s">
        <v>74</v>
      </c>
      <c r="BB660" s="1">
        <v>195.0</v>
      </c>
      <c r="BC660" s="1">
        <v>203.0</v>
      </c>
      <c r="BD660" s="1" t="s">
        <v>74</v>
      </c>
      <c r="BE660" s="1" t="s">
        <v>6523</v>
      </c>
      <c r="BF660" s="2" t="str">
        <f>HYPERLINK("http://dx.doi.org/10.1016/S0956-7135(97)00077-7","http://dx.doi.org/10.1016/S0956-7135(97)00077-7")</f>
        <v>http://dx.doi.org/10.1016/S0956-7135(97)00077-7</v>
      </c>
      <c r="BG660" s="1" t="s">
        <v>74</v>
      </c>
      <c r="BH660" s="1" t="s">
        <v>74</v>
      </c>
      <c r="BI660" s="1" t="s">
        <v>74</v>
      </c>
      <c r="BJ660" s="1" t="s">
        <v>74</v>
      </c>
      <c r="BK660" s="1" t="s">
        <v>74</v>
      </c>
      <c r="BL660" s="1" t="s">
        <v>74</v>
      </c>
      <c r="BM660" s="1" t="s">
        <v>74</v>
      </c>
      <c r="BN660" s="1" t="s">
        <v>74</v>
      </c>
      <c r="BO660" s="1" t="s">
        <v>74</v>
      </c>
      <c r="BP660" s="1" t="s">
        <v>74</v>
      </c>
      <c r="BQ660" s="1" t="s">
        <v>74</v>
      </c>
      <c r="BR660" s="1" t="s">
        <v>74</v>
      </c>
      <c r="BS660" s="1" t="s">
        <v>6524</v>
      </c>
      <c r="BT660" s="1" t="str">
        <f>HYPERLINK("https%3A%2F%2Fwww.webofscience.com%2Fwos%2Fwoscc%2Ffull-record%2FWOS:000074673100002","View Full Record in Web of Science")</f>
        <v>View Full Record in Web of Science</v>
      </c>
    </row>
    <row r="661" ht="12.75" customHeight="1">
      <c r="A661" s="1" t="s">
        <v>72</v>
      </c>
      <c r="B661" s="1" t="s">
        <v>6525</v>
      </c>
      <c r="C661" s="1" t="s">
        <v>74</v>
      </c>
      <c r="D661" s="1" t="s">
        <v>74</v>
      </c>
      <c r="E661" s="1" t="s">
        <v>74</v>
      </c>
      <c r="F661" s="1" t="s">
        <v>6525</v>
      </c>
      <c r="G661" s="1" t="s">
        <v>74</v>
      </c>
      <c r="H661" s="1" t="s">
        <v>74</v>
      </c>
      <c r="I661" s="1" t="s">
        <v>6526</v>
      </c>
      <c r="J661" s="1" t="s">
        <v>6527</v>
      </c>
      <c r="K661" s="1" t="s">
        <v>74</v>
      </c>
      <c r="L661" s="1" t="s">
        <v>74</v>
      </c>
      <c r="M661" s="1" t="s">
        <v>74</v>
      </c>
      <c r="N661" s="1" t="s">
        <v>74</v>
      </c>
      <c r="O661" s="1" t="s">
        <v>6528</v>
      </c>
      <c r="P661" s="1" t="s">
        <v>6529</v>
      </c>
      <c r="Q661" s="1" t="s">
        <v>6530</v>
      </c>
      <c r="R661" s="1" t="s">
        <v>6531</v>
      </c>
      <c r="S661" s="1" t="s">
        <v>74</v>
      </c>
      <c r="T661" s="1" t="s">
        <v>74</v>
      </c>
      <c r="U661" s="1" t="s">
        <v>74</v>
      </c>
      <c r="V661" s="1" t="s">
        <v>6532</v>
      </c>
      <c r="W661" s="1" t="s">
        <v>74</v>
      </c>
      <c r="X661" s="1" t="s">
        <v>74</v>
      </c>
      <c r="Y661" s="1" t="s">
        <v>74</v>
      </c>
      <c r="Z661" s="1" t="s">
        <v>74</v>
      </c>
      <c r="AA661" s="1" t="s">
        <v>74</v>
      </c>
      <c r="AB661" s="1" t="s">
        <v>6533</v>
      </c>
      <c r="AC661" s="1" t="s">
        <v>74</v>
      </c>
      <c r="AD661" s="1" t="s">
        <v>74</v>
      </c>
      <c r="AE661" s="1" t="s">
        <v>74</v>
      </c>
      <c r="AF661" s="1" t="s">
        <v>74</v>
      </c>
      <c r="AG661" s="1" t="s">
        <v>74</v>
      </c>
      <c r="AH661" s="1" t="s">
        <v>74</v>
      </c>
      <c r="AI661" s="1" t="s">
        <v>74</v>
      </c>
      <c r="AJ661" s="1" t="s">
        <v>74</v>
      </c>
      <c r="AK661" s="1" t="s">
        <v>74</v>
      </c>
      <c r="AL661" s="1" t="s">
        <v>74</v>
      </c>
      <c r="AM661" s="1" t="s">
        <v>74</v>
      </c>
      <c r="AN661" s="1" t="s">
        <v>74</v>
      </c>
      <c r="AO661" s="1" t="s">
        <v>6534</v>
      </c>
      <c r="AP661" s="1" t="s">
        <v>74</v>
      </c>
      <c r="AQ661" s="1" t="s">
        <v>74</v>
      </c>
      <c r="AR661" s="1" t="s">
        <v>74</v>
      </c>
      <c r="AS661" s="1" t="s">
        <v>74</v>
      </c>
      <c r="AT661" s="1" t="s">
        <v>74</v>
      </c>
      <c r="AU661" s="1">
        <v>1998.0</v>
      </c>
      <c r="AV661" s="1">
        <v>22.0</v>
      </c>
      <c r="AW661" s="1" t="s">
        <v>74</v>
      </c>
      <c r="AX661" s="1" t="s">
        <v>74</v>
      </c>
      <c r="AY661" s="1" t="s">
        <v>506</v>
      </c>
      <c r="AZ661" s="1" t="s">
        <v>74</v>
      </c>
      <c r="BA661" s="1" t="s">
        <v>74</v>
      </c>
      <c r="BB661" s="1" t="s">
        <v>6535</v>
      </c>
      <c r="BC661" s="1" t="s">
        <v>6536</v>
      </c>
      <c r="BD661" s="1" t="s">
        <v>74</v>
      </c>
      <c r="BE661" s="1" t="s">
        <v>6537</v>
      </c>
      <c r="BF661" s="2" t="str">
        <f>HYPERLINK("http://dx.doi.org/10.1016/S0098-1354(98)00197-5","http://dx.doi.org/10.1016/S0098-1354(98)00197-5")</f>
        <v>http://dx.doi.org/10.1016/S0098-1354(98)00197-5</v>
      </c>
      <c r="BG661" s="1" t="s">
        <v>74</v>
      </c>
      <c r="BH661" s="1" t="s">
        <v>74</v>
      </c>
      <c r="BI661" s="1" t="s">
        <v>74</v>
      </c>
      <c r="BJ661" s="1" t="s">
        <v>74</v>
      </c>
      <c r="BK661" s="1" t="s">
        <v>74</v>
      </c>
      <c r="BL661" s="1" t="s">
        <v>74</v>
      </c>
      <c r="BM661" s="1" t="s">
        <v>74</v>
      </c>
      <c r="BN661" s="1" t="s">
        <v>74</v>
      </c>
      <c r="BO661" s="1" t="s">
        <v>74</v>
      </c>
      <c r="BP661" s="1" t="s">
        <v>74</v>
      </c>
      <c r="BQ661" s="1" t="s">
        <v>74</v>
      </c>
      <c r="BR661" s="1" t="s">
        <v>74</v>
      </c>
      <c r="BS661" s="1" t="s">
        <v>6538</v>
      </c>
      <c r="BT661" s="1" t="str">
        <f>HYPERLINK("https%3A%2F%2Fwww.webofscience.com%2Fwos%2Fwoscc%2Ffull-record%2FWOS:000073455100168","View Full Record in Web of Science")</f>
        <v>View Full Record in Web of Science</v>
      </c>
    </row>
    <row r="662" ht="12.75" customHeight="1">
      <c r="A662" s="1" t="s">
        <v>72</v>
      </c>
      <c r="B662" s="1" t="s">
        <v>6539</v>
      </c>
      <c r="C662" s="1" t="s">
        <v>74</v>
      </c>
      <c r="D662" s="1" t="s">
        <v>74</v>
      </c>
      <c r="E662" s="1" t="s">
        <v>74</v>
      </c>
      <c r="F662" s="1" t="s">
        <v>6539</v>
      </c>
      <c r="G662" s="1" t="s">
        <v>74</v>
      </c>
      <c r="H662" s="1" t="s">
        <v>74</v>
      </c>
      <c r="I662" s="1" t="s">
        <v>6540</v>
      </c>
      <c r="J662" s="1" t="s">
        <v>2788</v>
      </c>
      <c r="K662" s="1" t="s">
        <v>74</v>
      </c>
      <c r="L662" s="1" t="s">
        <v>74</v>
      </c>
      <c r="M662" s="1" t="s">
        <v>74</v>
      </c>
      <c r="N662" s="1" t="s">
        <v>74</v>
      </c>
      <c r="O662" s="1" t="s">
        <v>74</v>
      </c>
      <c r="P662" s="1" t="s">
        <v>74</v>
      </c>
      <c r="Q662" s="1" t="s">
        <v>74</v>
      </c>
      <c r="R662" s="1" t="s">
        <v>74</v>
      </c>
      <c r="S662" s="1" t="s">
        <v>74</v>
      </c>
      <c r="T662" s="1" t="s">
        <v>74</v>
      </c>
      <c r="U662" s="1" t="s">
        <v>74</v>
      </c>
      <c r="V662" s="1" t="s">
        <v>6541</v>
      </c>
      <c r="W662" s="1" t="s">
        <v>74</v>
      </c>
      <c r="X662" s="1" t="s">
        <v>74</v>
      </c>
      <c r="Y662" s="1" t="s">
        <v>74</v>
      </c>
      <c r="Z662" s="1" t="s">
        <v>74</v>
      </c>
      <c r="AA662" s="1" t="s">
        <v>6542</v>
      </c>
      <c r="AB662" s="1" t="s">
        <v>6543</v>
      </c>
      <c r="AC662" s="1" t="s">
        <v>74</v>
      </c>
      <c r="AD662" s="1" t="s">
        <v>74</v>
      </c>
      <c r="AE662" s="1" t="s">
        <v>74</v>
      </c>
      <c r="AF662" s="1" t="s">
        <v>74</v>
      </c>
      <c r="AG662" s="1" t="s">
        <v>74</v>
      </c>
      <c r="AH662" s="1" t="s">
        <v>74</v>
      </c>
      <c r="AI662" s="1" t="s">
        <v>74</v>
      </c>
      <c r="AJ662" s="1" t="s">
        <v>74</v>
      </c>
      <c r="AK662" s="1" t="s">
        <v>74</v>
      </c>
      <c r="AL662" s="1" t="s">
        <v>74</v>
      </c>
      <c r="AM662" s="1" t="s">
        <v>74</v>
      </c>
      <c r="AN662" s="1" t="s">
        <v>74</v>
      </c>
      <c r="AO662" s="1" t="s">
        <v>2792</v>
      </c>
      <c r="AP662" s="1" t="s">
        <v>74</v>
      </c>
      <c r="AQ662" s="1" t="s">
        <v>74</v>
      </c>
      <c r="AR662" s="1" t="s">
        <v>74</v>
      </c>
      <c r="AS662" s="1" t="s">
        <v>74</v>
      </c>
      <c r="AT662" s="1" t="s">
        <v>74</v>
      </c>
      <c r="AU662" s="1">
        <v>1991.0</v>
      </c>
      <c r="AV662" s="1">
        <v>30.0</v>
      </c>
      <c r="AW662" s="1">
        <v>6.0</v>
      </c>
      <c r="AX662" s="1" t="s">
        <v>74</v>
      </c>
      <c r="AY662" s="1" t="s">
        <v>74</v>
      </c>
      <c r="AZ662" s="1" t="s">
        <v>74</v>
      </c>
      <c r="BA662" s="1" t="s">
        <v>74</v>
      </c>
      <c r="BB662" s="1">
        <v>1793.0</v>
      </c>
      <c r="BC662" s="1">
        <v>1795.0</v>
      </c>
      <c r="BD662" s="1" t="s">
        <v>74</v>
      </c>
      <c r="BE662" s="1" t="s">
        <v>6544</v>
      </c>
      <c r="BF662" s="2" t="str">
        <f>HYPERLINK("http://dx.doi.org/10.1016/0031-9422(91)85014-Q","http://dx.doi.org/10.1016/0031-9422(91)85014-Q")</f>
        <v>http://dx.doi.org/10.1016/0031-9422(91)85014-Q</v>
      </c>
      <c r="BG662" s="1" t="s">
        <v>74</v>
      </c>
      <c r="BH662" s="1" t="s">
        <v>74</v>
      </c>
      <c r="BI662" s="1" t="s">
        <v>74</v>
      </c>
      <c r="BJ662" s="1" t="s">
        <v>74</v>
      </c>
      <c r="BK662" s="1" t="s">
        <v>74</v>
      </c>
      <c r="BL662" s="1" t="s">
        <v>74</v>
      </c>
      <c r="BM662" s="1" t="s">
        <v>74</v>
      </c>
      <c r="BN662" s="1" t="s">
        <v>74</v>
      </c>
      <c r="BO662" s="1" t="s">
        <v>74</v>
      </c>
      <c r="BP662" s="1" t="s">
        <v>74</v>
      </c>
      <c r="BQ662" s="1" t="s">
        <v>74</v>
      </c>
      <c r="BR662" s="1" t="s">
        <v>74</v>
      </c>
      <c r="BS662" s="1" t="s">
        <v>6545</v>
      </c>
      <c r="BT662" s="1" t="str">
        <f>HYPERLINK("https%3A%2F%2Fwww.webofscience.com%2Fwos%2Fwoscc%2Ffull-record%2FWOS:A1991FN76000010","View Full Record in Web of Science")</f>
        <v>View Full Record in Web of Science</v>
      </c>
    </row>
    <row r="663" ht="12.75" customHeight="1">
      <c r="A663" s="1" t="s">
        <v>72</v>
      </c>
      <c r="B663" s="1" t="s">
        <v>6546</v>
      </c>
      <c r="C663" s="1" t="s">
        <v>74</v>
      </c>
      <c r="D663" s="1" t="s">
        <v>74</v>
      </c>
      <c r="E663" s="1" t="s">
        <v>74</v>
      </c>
      <c r="F663" s="1" t="s">
        <v>6547</v>
      </c>
      <c r="G663" s="1" t="s">
        <v>74</v>
      </c>
      <c r="H663" s="1" t="s">
        <v>74</v>
      </c>
      <c r="I663" s="1" t="s">
        <v>6548</v>
      </c>
      <c r="J663" s="1" t="s">
        <v>6549</v>
      </c>
      <c r="K663" s="1" t="s">
        <v>74</v>
      </c>
      <c r="L663" s="1" t="s">
        <v>74</v>
      </c>
      <c r="M663" s="1" t="s">
        <v>74</v>
      </c>
      <c r="N663" s="1" t="s">
        <v>74</v>
      </c>
      <c r="O663" s="1" t="s">
        <v>74</v>
      </c>
      <c r="P663" s="1" t="s">
        <v>74</v>
      </c>
      <c r="Q663" s="1" t="s">
        <v>74</v>
      </c>
      <c r="R663" s="1" t="s">
        <v>74</v>
      </c>
      <c r="S663" s="1" t="s">
        <v>74</v>
      </c>
      <c r="T663" s="1" t="s">
        <v>74</v>
      </c>
      <c r="U663" s="1" t="s">
        <v>74</v>
      </c>
      <c r="V663" s="1" t="s">
        <v>6550</v>
      </c>
      <c r="W663" s="1" t="s">
        <v>74</v>
      </c>
      <c r="X663" s="1" t="s">
        <v>74</v>
      </c>
      <c r="Y663" s="1" t="s">
        <v>74</v>
      </c>
      <c r="Z663" s="1" t="s">
        <v>74</v>
      </c>
      <c r="AA663" s="1" t="s">
        <v>6551</v>
      </c>
      <c r="AB663" s="1" t="s">
        <v>74</v>
      </c>
      <c r="AC663" s="1" t="s">
        <v>74</v>
      </c>
      <c r="AD663" s="1" t="s">
        <v>74</v>
      </c>
      <c r="AE663" s="1" t="s">
        <v>74</v>
      </c>
      <c r="AF663" s="1" t="s">
        <v>74</v>
      </c>
      <c r="AG663" s="1" t="s">
        <v>74</v>
      </c>
      <c r="AH663" s="1" t="s">
        <v>74</v>
      </c>
      <c r="AI663" s="1" t="s">
        <v>74</v>
      </c>
      <c r="AJ663" s="1" t="s">
        <v>74</v>
      </c>
      <c r="AK663" s="1" t="s">
        <v>74</v>
      </c>
      <c r="AL663" s="1" t="s">
        <v>74</v>
      </c>
      <c r="AM663" s="1" t="s">
        <v>74</v>
      </c>
      <c r="AN663" s="1" t="s">
        <v>74</v>
      </c>
      <c r="AO663" s="1" t="s">
        <v>6552</v>
      </c>
      <c r="AP663" s="1" t="s">
        <v>74</v>
      </c>
      <c r="AQ663" s="1" t="s">
        <v>74</v>
      </c>
      <c r="AR663" s="1" t="s">
        <v>74</v>
      </c>
      <c r="AS663" s="1" t="s">
        <v>74</v>
      </c>
      <c r="AT663" s="1" t="s">
        <v>235</v>
      </c>
      <c r="AU663" s="1">
        <v>2025.0</v>
      </c>
      <c r="AV663" s="1">
        <v>20.0</v>
      </c>
      <c r="AW663" s="1">
        <v>39.0</v>
      </c>
      <c r="AX663" s="1" t="s">
        <v>74</v>
      </c>
      <c r="AY663" s="1" t="s">
        <v>74</v>
      </c>
      <c r="AZ663" s="1" t="s">
        <v>74</v>
      </c>
      <c r="BA663" s="1" t="s">
        <v>74</v>
      </c>
      <c r="BB663" s="1" t="s">
        <v>74</v>
      </c>
      <c r="BC663" s="1" t="s">
        <v>74</v>
      </c>
      <c r="BD663" s="1">
        <v>1297.0</v>
      </c>
      <c r="BE663" s="1" t="s">
        <v>6553</v>
      </c>
      <c r="BF663" s="2" t="str">
        <f>HYPERLINK("http://dx.doi.org/10.26507/rei.v20n39.1297","http://dx.doi.org/10.26507/rei.v20n39.1297")</f>
        <v>http://dx.doi.org/10.26507/rei.v20n39.1297</v>
      </c>
      <c r="BG663" s="1" t="s">
        <v>74</v>
      </c>
      <c r="BH663" s="1" t="s">
        <v>74</v>
      </c>
      <c r="BI663" s="1" t="s">
        <v>74</v>
      </c>
      <c r="BJ663" s="1" t="s">
        <v>74</v>
      </c>
      <c r="BK663" s="1" t="s">
        <v>74</v>
      </c>
      <c r="BL663" s="1" t="s">
        <v>74</v>
      </c>
      <c r="BM663" s="1" t="s">
        <v>74</v>
      </c>
      <c r="BN663" s="1" t="s">
        <v>74</v>
      </c>
      <c r="BO663" s="1" t="s">
        <v>74</v>
      </c>
      <c r="BP663" s="1" t="s">
        <v>74</v>
      </c>
      <c r="BQ663" s="1" t="s">
        <v>74</v>
      </c>
      <c r="BR663" s="1" t="s">
        <v>74</v>
      </c>
      <c r="BS663" s="1" t="s">
        <v>6554</v>
      </c>
      <c r="BT663" s="1" t="str">
        <f>HYPERLINK("https%3A%2F%2Fwww.webofscience.com%2Fwos%2Fwoscc%2Ffull-record%2FWOS:001460561100008","View Full Record in Web of Science")</f>
        <v>View Full Record in Web of Science</v>
      </c>
    </row>
    <row r="664" ht="12.75" customHeight="1">
      <c r="A664" s="1" t="s">
        <v>72</v>
      </c>
      <c r="B664" s="1" t="s">
        <v>6555</v>
      </c>
      <c r="C664" s="1" t="s">
        <v>74</v>
      </c>
      <c r="D664" s="1" t="s">
        <v>74</v>
      </c>
      <c r="E664" s="1" t="s">
        <v>74</v>
      </c>
      <c r="F664" s="1" t="s">
        <v>6556</v>
      </c>
      <c r="G664" s="1" t="s">
        <v>74</v>
      </c>
      <c r="H664" s="1" t="s">
        <v>74</v>
      </c>
      <c r="I664" s="1" t="s">
        <v>6557</v>
      </c>
      <c r="J664" s="1" t="s">
        <v>6558</v>
      </c>
      <c r="K664" s="1" t="s">
        <v>74</v>
      </c>
      <c r="L664" s="1" t="s">
        <v>74</v>
      </c>
      <c r="M664" s="1" t="s">
        <v>74</v>
      </c>
      <c r="N664" s="1" t="s">
        <v>74</v>
      </c>
      <c r="O664" s="1" t="s">
        <v>74</v>
      </c>
      <c r="P664" s="1" t="s">
        <v>74</v>
      </c>
      <c r="Q664" s="1" t="s">
        <v>74</v>
      </c>
      <c r="R664" s="1" t="s">
        <v>74</v>
      </c>
      <c r="S664" s="1" t="s">
        <v>74</v>
      </c>
      <c r="T664" s="1" t="s">
        <v>74</v>
      </c>
      <c r="U664" s="1" t="s">
        <v>74</v>
      </c>
      <c r="V664" s="1" t="s">
        <v>6559</v>
      </c>
      <c r="W664" s="1" t="s">
        <v>74</v>
      </c>
      <c r="X664" s="1" t="s">
        <v>74</v>
      </c>
      <c r="Y664" s="1" t="s">
        <v>74</v>
      </c>
      <c r="Z664" s="1" t="s">
        <v>74</v>
      </c>
      <c r="AA664" s="1" t="s">
        <v>6560</v>
      </c>
      <c r="AB664" s="1" t="s">
        <v>6561</v>
      </c>
      <c r="AC664" s="1" t="s">
        <v>74</v>
      </c>
      <c r="AD664" s="1" t="s">
        <v>74</v>
      </c>
      <c r="AE664" s="1" t="s">
        <v>74</v>
      </c>
      <c r="AF664" s="1" t="s">
        <v>74</v>
      </c>
      <c r="AG664" s="1" t="s">
        <v>74</v>
      </c>
      <c r="AH664" s="1" t="s">
        <v>74</v>
      </c>
      <c r="AI664" s="1" t="s">
        <v>74</v>
      </c>
      <c r="AJ664" s="1" t="s">
        <v>74</v>
      </c>
      <c r="AK664" s="1" t="s">
        <v>74</v>
      </c>
      <c r="AL664" s="1" t="s">
        <v>74</v>
      </c>
      <c r="AM664" s="1" t="s">
        <v>74</v>
      </c>
      <c r="AN664" s="1" t="s">
        <v>74</v>
      </c>
      <c r="AO664" s="1" t="s">
        <v>6562</v>
      </c>
      <c r="AP664" s="1" t="s">
        <v>6563</v>
      </c>
      <c r="AQ664" s="1" t="s">
        <v>74</v>
      </c>
      <c r="AR664" s="1" t="s">
        <v>74</v>
      </c>
      <c r="AS664" s="1" t="s">
        <v>74</v>
      </c>
      <c r="AT664" s="1" t="s">
        <v>6564</v>
      </c>
      <c r="AU664" s="1">
        <v>2024.0</v>
      </c>
      <c r="AV664" s="1">
        <v>382.0</v>
      </c>
      <c r="AW664" s="1">
        <v>2287.0</v>
      </c>
      <c r="AX664" s="1" t="s">
        <v>74</v>
      </c>
      <c r="AY664" s="1" t="s">
        <v>74</v>
      </c>
      <c r="AZ664" s="1" t="s">
        <v>74</v>
      </c>
      <c r="BA664" s="1" t="s">
        <v>74</v>
      </c>
      <c r="BB664" s="1" t="s">
        <v>74</v>
      </c>
      <c r="BC664" s="1" t="s">
        <v>74</v>
      </c>
      <c r="BD664" s="1">
        <v>2.0230343E7</v>
      </c>
      <c r="BE664" s="1" t="s">
        <v>6565</v>
      </c>
      <c r="BF664" s="2" t="str">
        <f>HYPERLINK("http://dx.doi.org/10.1098/rsta.2023.0343","http://dx.doi.org/10.1098/rsta.2023.0343")</f>
        <v>http://dx.doi.org/10.1098/rsta.2023.0343</v>
      </c>
      <c r="BG664" s="1" t="s">
        <v>74</v>
      </c>
      <c r="BH664" s="1" t="s">
        <v>74</v>
      </c>
      <c r="BI664" s="1" t="s">
        <v>74</v>
      </c>
      <c r="BJ664" s="1" t="s">
        <v>74</v>
      </c>
      <c r="BK664" s="1" t="s">
        <v>74</v>
      </c>
      <c r="BL664" s="1" t="s">
        <v>74</v>
      </c>
      <c r="BM664" s="1" t="s">
        <v>74</v>
      </c>
      <c r="BN664" s="1">
        <v>3.9717976E7</v>
      </c>
      <c r="BO664" s="1" t="s">
        <v>74</v>
      </c>
      <c r="BP664" s="1" t="s">
        <v>74</v>
      </c>
      <c r="BQ664" s="1" t="s">
        <v>74</v>
      </c>
      <c r="BR664" s="1" t="s">
        <v>74</v>
      </c>
      <c r="BS664" s="1" t="s">
        <v>6566</v>
      </c>
      <c r="BT664" s="1" t="str">
        <f>HYPERLINK("https%3A%2F%2Fwww.webofscience.com%2Fwos%2Fwoscc%2Ffull-record%2FWOS:001385141600001","View Full Record in Web of Science")</f>
        <v>View Full Record in Web of Science</v>
      </c>
    </row>
    <row r="665" ht="12.75" customHeight="1">
      <c r="A665" s="1" t="s">
        <v>72</v>
      </c>
      <c r="B665" s="1" t="s">
        <v>6567</v>
      </c>
      <c r="C665" s="1" t="s">
        <v>74</v>
      </c>
      <c r="D665" s="1" t="s">
        <v>74</v>
      </c>
      <c r="E665" s="1" t="s">
        <v>74</v>
      </c>
      <c r="F665" s="1" t="s">
        <v>6568</v>
      </c>
      <c r="G665" s="1" t="s">
        <v>74</v>
      </c>
      <c r="H665" s="1" t="s">
        <v>74</v>
      </c>
      <c r="I665" s="1" t="s">
        <v>6569</v>
      </c>
      <c r="J665" s="1" t="s">
        <v>1045</v>
      </c>
      <c r="K665" s="1" t="s">
        <v>74</v>
      </c>
      <c r="L665" s="1" t="s">
        <v>74</v>
      </c>
      <c r="M665" s="1" t="s">
        <v>74</v>
      </c>
      <c r="N665" s="1" t="s">
        <v>74</v>
      </c>
      <c r="O665" s="1" t="s">
        <v>74</v>
      </c>
      <c r="P665" s="1" t="s">
        <v>74</v>
      </c>
      <c r="Q665" s="1" t="s">
        <v>74</v>
      </c>
      <c r="R665" s="1" t="s">
        <v>74</v>
      </c>
      <c r="S665" s="1" t="s">
        <v>74</v>
      </c>
      <c r="T665" s="1" t="s">
        <v>74</v>
      </c>
      <c r="U665" s="1" t="s">
        <v>74</v>
      </c>
      <c r="V665" s="1" t="s">
        <v>6570</v>
      </c>
      <c r="W665" s="1" t="s">
        <v>74</v>
      </c>
      <c r="X665" s="1" t="s">
        <v>74</v>
      </c>
      <c r="Y665" s="1" t="s">
        <v>74</v>
      </c>
      <c r="Z665" s="1" t="s">
        <v>74</v>
      </c>
      <c r="AA665" s="1" t="s">
        <v>6571</v>
      </c>
      <c r="AB665" s="1" t="s">
        <v>6572</v>
      </c>
      <c r="AC665" s="1" t="s">
        <v>74</v>
      </c>
      <c r="AD665" s="1" t="s">
        <v>74</v>
      </c>
      <c r="AE665" s="1" t="s">
        <v>74</v>
      </c>
      <c r="AF665" s="1" t="s">
        <v>74</v>
      </c>
      <c r="AG665" s="1" t="s">
        <v>74</v>
      </c>
      <c r="AH665" s="1" t="s">
        <v>74</v>
      </c>
      <c r="AI665" s="1" t="s">
        <v>74</v>
      </c>
      <c r="AJ665" s="1" t="s">
        <v>74</v>
      </c>
      <c r="AK665" s="1" t="s">
        <v>74</v>
      </c>
      <c r="AL665" s="1" t="s">
        <v>74</v>
      </c>
      <c r="AM665" s="1" t="s">
        <v>74</v>
      </c>
      <c r="AN665" s="1" t="s">
        <v>74</v>
      </c>
      <c r="AO665" s="1" t="s">
        <v>1047</v>
      </c>
      <c r="AP665" s="1" t="s">
        <v>1048</v>
      </c>
      <c r="AQ665" s="1" t="s">
        <v>74</v>
      </c>
      <c r="AR665" s="1" t="s">
        <v>74</v>
      </c>
      <c r="AS665" s="1" t="s">
        <v>74</v>
      </c>
      <c r="AT665" s="1" t="s">
        <v>111</v>
      </c>
      <c r="AU665" s="1">
        <v>2025.0</v>
      </c>
      <c r="AV665" s="1">
        <v>545.0</v>
      </c>
      <c r="AW665" s="1">
        <v>1.0</v>
      </c>
      <c r="AX665" s="1" t="s">
        <v>74</v>
      </c>
      <c r="AY665" s="1" t="s">
        <v>74</v>
      </c>
      <c r="AZ665" s="1" t="s">
        <v>74</v>
      </c>
      <c r="BA665" s="1" t="s">
        <v>74</v>
      </c>
      <c r="BB665" s="1" t="s">
        <v>74</v>
      </c>
      <c r="BC665" s="1" t="s">
        <v>74</v>
      </c>
      <c r="BD665" s="1">
        <v>129150.0</v>
      </c>
      <c r="BE665" s="1" t="s">
        <v>6573</v>
      </c>
      <c r="BF665" s="2" t="str">
        <f>HYPERLINK("http://dx.doi.org/10.1016/j.jmaa.2024.129150","http://dx.doi.org/10.1016/j.jmaa.2024.129150")</f>
        <v>http://dx.doi.org/10.1016/j.jmaa.2024.129150</v>
      </c>
      <c r="BG665" s="1" t="s">
        <v>74</v>
      </c>
      <c r="BH665" s="1" t="s">
        <v>148</v>
      </c>
      <c r="BI665" s="1" t="s">
        <v>74</v>
      </c>
      <c r="BJ665" s="1" t="s">
        <v>74</v>
      </c>
      <c r="BK665" s="1" t="s">
        <v>74</v>
      </c>
      <c r="BL665" s="1" t="s">
        <v>74</v>
      </c>
      <c r="BM665" s="1" t="s">
        <v>74</v>
      </c>
      <c r="BN665" s="1" t="s">
        <v>74</v>
      </c>
      <c r="BO665" s="1" t="s">
        <v>74</v>
      </c>
      <c r="BP665" s="1" t="s">
        <v>74</v>
      </c>
      <c r="BQ665" s="1" t="s">
        <v>74</v>
      </c>
      <c r="BR665" s="1" t="s">
        <v>74</v>
      </c>
      <c r="BS665" s="1" t="s">
        <v>6574</v>
      </c>
      <c r="BT665" s="1" t="str">
        <f>HYPERLINK("https%3A%2F%2Fwww.webofscience.com%2Fwos%2Fwoscc%2Ffull-record%2FWOS:001380965300001","View Full Record in Web of Science")</f>
        <v>View Full Record in Web of Science</v>
      </c>
    </row>
    <row r="666" ht="12.75" customHeight="1">
      <c r="A666" s="1" t="s">
        <v>72</v>
      </c>
      <c r="B666" s="1" t="s">
        <v>6575</v>
      </c>
      <c r="C666" s="1" t="s">
        <v>74</v>
      </c>
      <c r="D666" s="1" t="s">
        <v>74</v>
      </c>
      <c r="E666" s="1" t="s">
        <v>74</v>
      </c>
      <c r="F666" s="1" t="s">
        <v>6576</v>
      </c>
      <c r="G666" s="1" t="s">
        <v>74</v>
      </c>
      <c r="H666" s="1" t="s">
        <v>74</v>
      </c>
      <c r="I666" s="1" t="s">
        <v>6577</v>
      </c>
      <c r="J666" s="1" t="s">
        <v>6578</v>
      </c>
      <c r="K666" s="1" t="s">
        <v>74</v>
      </c>
      <c r="L666" s="1" t="s">
        <v>74</v>
      </c>
      <c r="M666" s="1" t="s">
        <v>74</v>
      </c>
      <c r="N666" s="1" t="s">
        <v>74</v>
      </c>
      <c r="O666" s="1" t="s">
        <v>74</v>
      </c>
      <c r="P666" s="1" t="s">
        <v>74</v>
      </c>
      <c r="Q666" s="1" t="s">
        <v>74</v>
      </c>
      <c r="R666" s="1" t="s">
        <v>74</v>
      </c>
      <c r="S666" s="1" t="s">
        <v>74</v>
      </c>
      <c r="T666" s="1" t="s">
        <v>74</v>
      </c>
      <c r="U666" s="1" t="s">
        <v>74</v>
      </c>
      <c r="V666" s="1" t="s">
        <v>6579</v>
      </c>
      <c r="W666" s="1" t="s">
        <v>74</v>
      </c>
      <c r="X666" s="1" t="s">
        <v>74</v>
      </c>
      <c r="Y666" s="1" t="s">
        <v>74</v>
      </c>
      <c r="Z666" s="1" t="s">
        <v>74</v>
      </c>
      <c r="AA666" s="1" t="s">
        <v>3577</v>
      </c>
      <c r="AB666" s="1" t="s">
        <v>6580</v>
      </c>
      <c r="AC666" s="1" t="s">
        <v>74</v>
      </c>
      <c r="AD666" s="1" t="s">
        <v>74</v>
      </c>
      <c r="AE666" s="1" t="s">
        <v>74</v>
      </c>
      <c r="AF666" s="1" t="s">
        <v>74</v>
      </c>
      <c r="AG666" s="1" t="s">
        <v>74</v>
      </c>
      <c r="AH666" s="1" t="s">
        <v>74</v>
      </c>
      <c r="AI666" s="1" t="s">
        <v>74</v>
      </c>
      <c r="AJ666" s="1" t="s">
        <v>74</v>
      </c>
      <c r="AK666" s="1" t="s">
        <v>74</v>
      </c>
      <c r="AL666" s="1" t="s">
        <v>74</v>
      </c>
      <c r="AM666" s="1" t="s">
        <v>74</v>
      </c>
      <c r="AN666" s="1" t="s">
        <v>74</v>
      </c>
      <c r="AO666" s="1" t="s">
        <v>6581</v>
      </c>
      <c r="AP666" s="1" t="s">
        <v>6582</v>
      </c>
      <c r="AQ666" s="1" t="s">
        <v>74</v>
      </c>
      <c r="AR666" s="1" t="s">
        <v>74</v>
      </c>
      <c r="AS666" s="1" t="s">
        <v>74</v>
      </c>
      <c r="AT666" s="1" t="s">
        <v>6583</v>
      </c>
      <c r="AU666" s="1">
        <v>2024.0</v>
      </c>
      <c r="AV666" s="1" t="s">
        <v>74</v>
      </c>
      <c r="AW666" s="1" t="s">
        <v>74</v>
      </c>
      <c r="AX666" s="1" t="s">
        <v>74</v>
      </c>
      <c r="AY666" s="1" t="s">
        <v>74</v>
      </c>
      <c r="AZ666" s="1" t="s">
        <v>74</v>
      </c>
      <c r="BA666" s="1" t="s">
        <v>74</v>
      </c>
      <c r="BB666" s="1" t="s">
        <v>74</v>
      </c>
      <c r="BC666" s="1" t="s">
        <v>74</v>
      </c>
      <c r="BD666" s="1" t="s">
        <v>74</v>
      </c>
      <c r="BE666" s="1" t="s">
        <v>6584</v>
      </c>
      <c r="BF666" s="2" t="str">
        <f>HYPERLINK("http://dx.doi.org/10.1017/lap.2024.32","http://dx.doi.org/10.1017/lap.2024.32")</f>
        <v>http://dx.doi.org/10.1017/lap.2024.32</v>
      </c>
      <c r="BG666" s="1" t="s">
        <v>74</v>
      </c>
      <c r="BH666" s="1" t="s">
        <v>4874</v>
      </c>
      <c r="BI666" s="1" t="s">
        <v>74</v>
      </c>
      <c r="BJ666" s="1" t="s">
        <v>74</v>
      </c>
      <c r="BK666" s="1" t="s">
        <v>74</v>
      </c>
      <c r="BL666" s="1" t="s">
        <v>74</v>
      </c>
      <c r="BM666" s="1" t="s">
        <v>74</v>
      </c>
      <c r="BN666" s="1" t="s">
        <v>74</v>
      </c>
      <c r="BO666" s="1" t="s">
        <v>74</v>
      </c>
      <c r="BP666" s="1" t="s">
        <v>74</v>
      </c>
      <c r="BQ666" s="1" t="s">
        <v>74</v>
      </c>
      <c r="BR666" s="1" t="s">
        <v>74</v>
      </c>
      <c r="BS666" s="1" t="s">
        <v>6585</v>
      </c>
      <c r="BT666" s="1" t="str">
        <f>HYPERLINK("https%3A%2F%2Fwww.webofscience.com%2Fwos%2Fwoscc%2Ffull-record%2FWOS:001332485200001","View Full Record in Web of Science")</f>
        <v>View Full Record in Web of Science</v>
      </c>
    </row>
    <row r="667" ht="12.75" customHeight="1">
      <c r="A667" s="1" t="s">
        <v>72</v>
      </c>
      <c r="B667" s="1" t="s">
        <v>6586</v>
      </c>
      <c r="C667" s="1" t="s">
        <v>74</v>
      </c>
      <c r="D667" s="1" t="s">
        <v>74</v>
      </c>
      <c r="E667" s="1" t="s">
        <v>74</v>
      </c>
      <c r="F667" s="1" t="s">
        <v>6587</v>
      </c>
      <c r="G667" s="1" t="s">
        <v>74</v>
      </c>
      <c r="H667" s="1" t="s">
        <v>74</v>
      </c>
      <c r="I667" s="1" t="s">
        <v>6588</v>
      </c>
      <c r="J667" s="1" t="s">
        <v>2629</v>
      </c>
      <c r="K667" s="1" t="s">
        <v>74</v>
      </c>
      <c r="L667" s="1" t="s">
        <v>74</v>
      </c>
      <c r="M667" s="1" t="s">
        <v>74</v>
      </c>
      <c r="N667" s="1" t="s">
        <v>74</v>
      </c>
      <c r="O667" s="1" t="s">
        <v>74</v>
      </c>
      <c r="P667" s="1" t="s">
        <v>74</v>
      </c>
      <c r="Q667" s="1" t="s">
        <v>74</v>
      </c>
      <c r="R667" s="1" t="s">
        <v>74</v>
      </c>
      <c r="S667" s="1" t="s">
        <v>74</v>
      </c>
      <c r="T667" s="1" t="s">
        <v>74</v>
      </c>
      <c r="U667" s="1" t="s">
        <v>74</v>
      </c>
      <c r="V667" s="1" t="s">
        <v>6589</v>
      </c>
      <c r="W667" s="1" t="s">
        <v>74</v>
      </c>
      <c r="X667" s="1" t="s">
        <v>74</v>
      </c>
      <c r="Y667" s="1" t="s">
        <v>74</v>
      </c>
      <c r="Z667" s="1" t="s">
        <v>74</v>
      </c>
      <c r="AA667" s="1" t="s">
        <v>6590</v>
      </c>
      <c r="AB667" s="1" t="s">
        <v>6591</v>
      </c>
      <c r="AC667" s="1" t="s">
        <v>74</v>
      </c>
      <c r="AD667" s="1" t="s">
        <v>74</v>
      </c>
      <c r="AE667" s="1" t="s">
        <v>74</v>
      </c>
      <c r="AF667" s="1" t="s">
        <v>74</v>
      </c>
      <c r="AG667" s="1" t="s">
        <v>74</v>
      </c>
      <c r="AH667" s="1" t="s">
        <v>74</v>
      </c>
      <c r="AI667" s="1" t="s">
        <v>74</v>
      </c>
      <c r="AJ667" s="1" t="s">
        <v>74</v>
      </c>
      <c r="AK667" s="1" t="s">
        <v>74</v>
      </c>
      <c r="AL667" s="1" t="s">
        <v>74</v>
      </c>
      <c r="AM667" s="1" t="s">
        <v>74</v>
      </c>
      <c r="AN667" s="1" t="s">
        <v>74</v>
      </c>
      <c r="AO667" s="1" t="s">
        <v>2637</v>
      </c>
      <c r="AP667" s="1" t="s">
        <v>2638</v>
      </c>
      <c r="AQ667" s="1" t="s">
        <v>74</v>
      </c>
      <c r="AR667" s="1" t="s">
        <v>74</v>
      </c>
      <c r="AS667" s="1" t="s">
        <v>74</v>
      </c>
      <c r="AT667" s="1" t="s">
        <v>696</v>
      </c>
      <c r="AU667" s="1">
        <v>2025.0</v>
      </c>
      <c r="AV667" s="1">
        <v>145.0</v>
      </c>
      <c r="AW667" s="1" t="s">
        <v>74</v>
      </c>
      <c r="AX667" s="1" t="s">
        <v>74</v>
      </c>
      <c r="AY667" s="1" t="s">
        <v>74</v>
      </c>
      <c r="AZ667" s="1" t="s">
        <v>74</v>
      </c>
      <c r="BA667" s="1" t="s">
        <v>74</v>
      </c>
      <c r="BB667" s="1" t="s">
        <v>74</v>
      </c>
      <c r="BC667" s="1" t="s">
        <v>74</v>
      </c>
      <c r="BD667" s="1">
        <v>107469.0</v>
      </c>
      <c r="BE667" s="1" t="s">
        <v>6592</v>
      </c>
      <c r="BF667" s="2" t="str">
        <f>HYPERLINK("http://dx.doi.org/10.1016/j.ultras.2024.107469","http://dx.doi.org/10.1016/j.ultras.2024.107469")</f>
        <v>http://dx.doi.org/10.1016/j.ultras.2024.107469</v>
      </c>
      <c r="BG667" s="1" t="s">
        <v>74</v>
      </c>
      <c r="BH667" s="1" t="s">
        <v>1245</v>
      </c>
      <c r="BI667" s="1" t="s">
        <v>74</v>
      </c>
      <c r="BJ667" s="1" t="s">
        <v>74</v>
      </c>
      <c r="BK667" s="1" t="s">
        <v>74</v>
      </c>
      <c r="BL667" s="1" t="s">
        <v>74</v>
      </c>
      <c r="BM667" s="1" t="s">
        <v>74</v>
      </c>
      <c r="BN667" s="1">
        <v>3.9341008E7</v>
      </c>
      <c r="BO667" s="1" t="s">
        <v>74</v>
      </c>
      <c r="BP667" s="1" t="s">
        <v>74</v>
      </c>
      <c r="BQ667" s="1" t="s">
        <v>74</v>
      </c>
      <c r="BR667" s="1" t="s">
        <v>74</v>
      </c>
      <c r="BS667" s="1" t="s">
        <v>6593</v>
      </c>
      <c r="BT667" s="1" t="str">
        <f>HYPERLINK("https%3A%2F%2Fwww.webofscience.com%2Fwos%2Fwoscc%2Ffull-record%2FWOS:001327453100001","View Full Record in Web of Science")</f>
        <v>View Full Record in Web of Science</v>
      </c>
    </row>
    <row r="668" ht="12.75" customHeight="1">
      <c r="A668" s="1" t="s">
        <v>72</v>
      </c>
      <c r="B668" s="1" t="s">
        <v>6594</v>
      </c>
      <c r="C668" s="1" t="s">
        <v>74</v>
      </c>
      <c r="D668" s="1" t="s">
        <v>74</v>
      </c>
      <c r="E668" s="1" t="s">
        <v>74</v>
      </c>
      <c r="F668" s="1" t="s">
        <v>6595</v>
      </c>
      <c r="G668" s="1" t="s">
        <v>74</v>
      </c>
      <c r="H668" s="1" t="s">
        <v>74</v>
      </c>
      <c r="I668" s="1" t="s">
        <v>6596</v>
      </c>
      <c r="J668" s="1" t="s">
        <v>6597</v>
      </c>
      <c r="K668" s="1" t="s">
        <v>74</v>
      </c>
      <c r="L668" s="1" t="s">
        <v>74</v>
      </c>
      <c r="M668" s="1" t="s">
        <v>74</v>
      </c>
      <c r="N668" s="1" t="s">
        <v>74</v>
      </c>
      <c r="O668" s="1" t="s">
        <v>74</v>
      </c>
      <c r="P668" s="1" t="s">
        <v>74</v>
      </c>
      <c r="Q668" s="1" t="s">
        <v>74</v>
      </c>
      <c r="R668" s="1" t="s">
        <v>74</v>
      </c>
      <c r="S668" s="1" t="s">
        <v>74</v>
      </c>
      <c r="T668" s="1" t="s">
        <v>74</v>
      </c>
      <c r="U668" s="1" t="s">
        <v>74</v>
      </c>
      <c r="V668" s="1" t="s">
        <v>6598</v>
      </c>
      <c r="W668" s="1" t="s">
        <v>74</v>
      </c>
      <c r="X668" s="1" t="s">
        <v>74</v>
      </c>
      <c r="Y668" s="1" t="s">
        <v>74</v>
      </c>
      <c r="Z668" s="1" t="s">
        <v>74</v>
      </c>
      <c r="AA668" s="1" t="s">
        <v>6599</v>
      </c>
      <c r="AB668" s="1" t="s">
        <v>6600</v>
      </c>
      <c r="AC668" s="1" t="s">
        <v>74</v>
      </c>
      <c r="AD668" s="1" t="s">
        <v>74</v>
      </c>
      <c r="AE668" s="1" t="s">
        <v>74</v>
      </c>
      <c r="AF668" s="1" t="s">
        <v>74</v>
      </c>
      <c r="AG668" s="1" t="s">
        <v>74</v>
      </c>
      <c r="AH668" s="1" t="s">
        <v>74</v>
      </c>
      <c r="AI668" s="1" t="s">
        <v>74</v>
      </c>
      <c r="AJ668" s="1" t="s">
        <v>74</v>
      </c>
      <c r="AK668" s="1" t="s">
        <v>74</v>
      </c>
      <c r="AL668" s="1" t="s">
        <v>74</v>
      </c>
      <c r="AM668" s="1" t="s">
        <v>74</v>
      </c>
      <c r="AN668" s="1" t="s">
        <v>74</v>
      </c>
      <c r="AO668" s="1" t="s">
        <v>74</v>
      </c>
      <c r="AP668" s="1" t="s">
        <v>6601</v>
      </c>
      <c r="AQ668" s="1" t="s">
        <v>74</v>
      </c>
      <c r="AR668" s="1" t="s">
        <v>74</v>
      </c>
      <c r="AS668" s="1" t="s">
        <v>74</v>
      </c>
      <c r="AT668" s="1" t="s">
        <v>158</v>
      </c>
      <c r="AU668" s="1">
        <v>2024.0</v>
      </c>
      <c r="AV668" s="1">
        <v>14.0</v>
      </c>
      <c r="AW668" s="1">
        <v>7.0</v>
      </c>
      <c r="AX668" s="1" t="s">
        <v>74</v>
      </c>
      <c r="AY668" s="1" t="s">
        <v>74</v>
      </c>
      <c r="AZ668" s="1" t="s">
        <v>74</v>
      </c>
      <c r="BA668" s="1" t="s">
        <v>74</v>
      </c>
      <c r="BB668" s="1" t="s">
        <v>74</v>
      </c>
      <c r="BC668" s="1" t="s">
        <v>74</v>
      </c>
      <c r="BD668" s="1">
        <v>582.0</v>
      </c>
      <c r="BE668" s="1" t="s">
        <v>6602</v>
      </c>
      <c r="BF668" s="2" t="str">
        <f>HYPERLINK("http://dx.doi.org/10.3390/bs14070582","http://dx.doi.org/10.3390/bs14070582")</f>
        <v>http://dx.doi.org/10.3390/bs14070582</v>
      </c>
      <c r="BG668" s="1" t="s">
        <v>74</v>
      </c>
      <c r="BH668" s="1" t="s">
        <v>74</v>
      </c>
      <c r="BI668" s="1" t="s">
        <v>74</v>
      </c>
      <c r="BJ668" s="1" t="s">
        <v>74</v>
      </c>
      <c r="BK668" s="1" t="s">
        <v>74</v>
      </c>
      <c r="BL668" s="1" t="s">
        <v>74</v>
      </c>
      <c r="BM668" s="1" t="s">
        <v>74</v>
      </c>
      <c r="BN668" s="1">
        <v>3.9062405E7</v>
      </c>
      <c r="BO668" s="1" t="s">
        <v>74</v>
      </c>
      <c r="BP668" s="1" t="s">
        <v>74</v>
      </c>
      <c r="BQ668" s="1" t="s">
        <v>74</v>
      </c>
      <c r="BR668" s="1" t="s">
        <v>74</v>
      </c>
      <c r="BS668" s="1" t="s">
        <v>6603</v>
      </c>
      <c r="BT668" s="1" t="str">
        <f>HYPERLINK("https%3A%2F%2Fwww.webofscience.com%2Fwos%2Fwoscc%2Ffull-record%2FWOS:001276605900001","View Full Record in Web of Science")</f>
        <v>View Full Record in Web of Science</v>
      </c>
    </row>
    <row r="669" ht="12.75" customHeight="1">
      <c r="A669" s="1" t="s">
        <v>72</v>
      </c>
      <c r="B669" s="1" t="s">
        <v>6604</v>
      </c>
      <c r="C669" s="1" t="s">
        <v>74</v>
      </c>
      <c r="D669" s="1" t="s">
        <v>74</v>
      </c>
      <c r="E669" s="1" t="s">
        <v>74</v>
      </c>
      <c r="F669" s="1" t="s">
        <v>6605</v>
      </c>
      <c r="G669" s="1" t="s">
        <v>74</v>
      </c>
      <c r="H669" s="1" t="s">
        <v>74</v>
      </c>
      <c r="I669" s="1" t="s">
        <v>6606</v>
      </c>
      <c r="J669" s="1" t="s">
        <v>6607</v>
      </c>
      <c r="K669" s="1" t="s">
        <v>74</v>
      </c>
      <c r="L669" s="1" t="s">
        <v>74</v>
      </c>
      <c r="M669" s="1" t="s">
        <v>74</v>
      </c>
      <c r="N669" s="1" t="s">
        <v>74</v>
      </c>
      <c r="O669" s="1" t="s">
        <v>74</v>
      </c>
      <c r="P669" s="1" t="s">
        <v>74</v>
      </c>
      <c r="Q669" s="1" t="s">
        <v>74</v>
      </c>
      <c r="R669" s="1" t="s">
        <v>74</v>
      </c>
      <c r="S669" s="1" t="s">
        <v>74</v>
      </c>
      <c r="T669" s="1" t="s">
        <v>74</v>
      </c>
      <c r="U669" s="1" t="s">
        <v>74</v>
      </c>
      <c r="V669" s="1" t="s">
        <v>6608</v>
      </c>
      <c r="W669" s="1" t="s">
        <v>74</v>
      </c>
      <c r="X669" s="1" t="s">
        <v>74</v>
      </c>
      <c r="Y669" s="1" t="s">
        <v>74</v>
      </c>
      <c r="Z669" s="1" t="s">
        <v>74</v>
      </c>
      <c r="AA669" s="1" t="s">
        <v>74</v>
      </c>
      <c r="AB669" s="1" t="s">
        <v>74</v>
      </c>
      <c r="AC669" s="1" t="s">
        <v>74</v>
      </c>
      <c r="AD669" s="1" t="s">
        <v>74</v>
      </c>
      <c r="AE669" s="1" t="s">
        <v>74</v>
      </c>
      <c r="AF669" s="1" t="s">
        <v>74</v>
      </c>
      <c r="AG669" s="1" t="s">
        <v>74</v>
      </c>
      <c r="AH669" s="1" t="s">
        <v>74</v>
      </c>
      <c r="AI669" s="1" t="s">
        <v>74</v>
      </c>
      <c r="AJ669" s="1" t="s">
        <v>74</v>
      </c>
      <c r="AK669" s="1" t="s">
        <v>74</v>
      </c>
      <c r="AL669" s="1" t="s">
        <v>74</v>
      </c>
      <c r="AM669" s="1" t="s">
        <v>74</v>
      </c>
      <c r="AN669" s="1" t="s">
        <v>74</v>
      </c>
      <c r="AO669" s="1" t="s">
        <v>74</v>
      </c>
      <c r="AP669" s="1" t="s">
        <v>6609</v>
      </c>
      <c r="AQ669" s="1" t="s">
        <v>74</v>
      </c>
      <c r="AR669" s="1" t="s">
        <v>74</v>
      </c>
      <c r="AS669" s="1" t="s">
        <v>74</v>
      </c>
      <c r="AT669" s="1" t="s">
        <v>1977</v>
      </c>
      <c r="AU669" s="1">
        <v>2023.0</v>
      </c>
      <c r="AV669" s="1">
        <v>34.0</v>
      </c>
      <c r="AW669" s="1">
        <v>1.0</v>
      </c>
      <c r="AX669" s="1" t="s">
        <v>74</v>
      </c>
      <c r="AY669" s="1" t="s">
        <v>74</v>
      </c>
      <c r="AZ669" s="1" t="s">
        <v>74</v>
      </c>
      <c r="BA669" s="1" t="s">
        <v>74</v>
      </c>
      <c r="BB669" s="1">
        <v>64.0</v>
      </c>
      <c r="BC669" s="1">
        <v>70.0</v>
      </c>
      <c r="BD669" s="1" t="s">
        <v>74</v>
      </c>
      <c r="BE669" s="1" t="s">
        <v>6610</v>
      </c>
      <c r="BF669" s="2" t="str">
        <f>HYPERLINK("http://dx.doi.org/10.1016/j.rmclc.2023.01.008","http://dx.doi.org/10.1016/j.rmclc.2023.01.008")</f>
        <v>http://dx.doi.org/10.1016/j.rmclc.2023.01.008</v>
      </c>
      <c r="BG669" s="1" t="s">
        <v>74</v>
      </c>
      <c r="BH669" s="1" t="s">
        <v>6611</v>
      </c>
      <c r="BI669" s="1" t="s">
        <v>74</v>
      </c>
      <c r="BJ669" s="1" t="s">
        <v>74</v>
      </c>
      <c r="BK669" s="1" t="s">
        <v>74</v>
      </c>
      <c r="BL669" s="1" t="s">
        <v>74</v>
      </c>
      <c r="BM669" s="1" t="s">
        <v>74</v>
      </c>
      <c r="BN669" s="1" t="s">
        <v>74</v>
      </c>
      <c r="BO669" s="1" t="s">
        <v>74</v>
      </c>
      <c r="BP669" s="1" t="s">
        <v>74</v>
      </c>
      <c r="BQ669" s="1" t="s">
        <v>74</v>
      </c>
      <c r="BR669" s="1" t="s">
        <v>74</v>
      </c>
      <c r="BS669" s="1" t="s">
        <v>6612</v>
      </c>
      <c r="BT669" s="1" t="str">
        <f>HYPERLINK("https%3A%2F%2Fwww.webofscience.com%2Fwos%2Fwoscc%2Ffull-record%2FWOS:001009497800001","View Full Record in Web of Science")</f>
        <v>View Full Record in Web of Science</v>
      </c>
    </row>
    <row r="670" ht="12.75" customHeight="1">
      <c r="A670" s="1" t="s">
        <v>72</v>
      </c>
      <c r="B670" s="1" t="s">
        <v>6613</v>
      </c>
      <c r="C670" s="1" t="s">
        <v>74</v>
      </c>
      <c r="D670" s="1" t="s">
        <v>74</v>
      </c>
      <c r="E670" s="1" t="s">
        <v>74</v>
      </c>
      <c r="F670" s="1" t="s">
        <v>6614</v>
      </c>
      <c r="G670" s="1" t="s">
        <v>74</v>
      </c>
      <c r="H670" s="1" t="s">
        <v>74</v>
      </c>
      <c r="I670" s="1" t="s">
        <v>6615</v>
      </c>
      <c r="J670" s="1" t="s">
        <v>1260</v>
      </c>
      <c r="K670" s="1" t="s">
        <v>74</v>
      </c>
      <c r="L670" s="1" t="s">
        <v>74</v>
      </c>
      <c r="M670" s="1" t="s">
        <v>74</v>
      </c>
      <c r="N670" s="1" t="s">
        <v>74</v>
      </c>
      <c r="O670" s="1" t="s">
        <v>74</v>
      </c>
      <c r="P670" s="1" t="s">
        <v>74</v>
      </c>
      <c r="Q670" s="1" t="s">
        <v>74</v>
      </c>
      <c r="R670" s="1" t="s">
        <v>74</v>
      </c>
      <c r="S670" s="1" t="s">
        <v>74</v>
      </c>
      <c r="T670" s="1" t="s">
        <v>74</v>
      </c>
      <c r="U670" s="1" t="s">
        <v>74</v>
      </c>
      <c r="V670" s="1" t="s">
        <v>6616</v>
      </c>
      <c r="W670" s="1" t="s">
        <v>74</v>
      </c>
      <c r="X670" s="1" t="s">
        <v>74</v>
      </c>
      <c r="Y670" s="1" t="s">
        <v>74</v>
      </c>
      <c r="Z670" s="1" t="s">
        <v>74</v>
      </c>
      <c r="AA670" s="1" t="s">
        <v>6617</v>
      </c>
      <c r="AB670" s="1" t="s">
        <v>6618</v>
      </c>
      <c r="AC670" s="1" t="s">
        <v>74</v>
      </c>
      <c r="AD670" s="1" t="s">
        <v>74</v>
      </c>
      <c r="AE670" s="1" t="s">
        <v>74</v>
      </c>
      <c r="AF670" s="1" t="s">
        <v>74</v>
      </c>
      <c r="AG670" s="1" t="s">
        <v>74</v>
      </c>
      <c r="AH670" s="1" t="s">
        <v>74</v>
      </c>
      <c r="AI670" s="1" t="s">
        <v>74</v>
      </c>
      <c r="AJ670" s="1" t="s">
        <v>74</v>
      </c>
      <c r="AK670" s="1" t="s">
        <v>74</v>
      </c>
      <c r="AL670" s="1" t="s">
        <v>74</v>
      </c>
      <c r="AM670" s="1" t="s">
        <v>74</v>
      </c>
      <c r="AN670" s="1" t="s">
        <v>74</v>
      </c>
      <c r="AO670" s="1" t="s">
        <v>74</v>
      </c>
      <c r="AP670" s="1" t="s">
        <v>1264</v>
      </c>
      <c r="AQ670" s="1" t="s">
        <v>74</v>
      </c>
      <c r="AR670" s="1" t="s">
        <v>74</v>
      </c>
      <c r="AS670" s="1" t="s">
        <v>74</v>
      </c>
      <c r="AT670" s="1" t="s">
        <v>678</v>
      </c>
      <c r="AU670" s="1">
        <v>2022.0</v>
      </c>
      <c r="AV670" s="1">
        <v>12.0</v>
      </c>
      <c r="AW670" s="1">
        <v>22.0</v>
      </c>
      <c r="AX670" s="1" t="s">
        <v>74</v>
      </c>
      <c r="AY670" s="1" t="s">
        <v>74</v>
      </c>
      <c r="AZ670" s="1" t="s">
        <v>74</v>
      </c>
      <c r="BA670" s="1" t="s">
        <v>74</v>
      </c>
      <c r="BB670" s="1" t="s">
        <v>74</v>
      </c>
      <c r="BC670" s="1" t="s">
        <v>74</v>
      </c>
      <c r="BD670" s="1">
        <v>3974.0</v>
      </c>
      <c r="BE670" s="1" t="s">
        <v>6619</v>
      </c>
      <c r="BF670" s="2" t="str">
        <f>HYPERLINK("http://dx.doi.org/10.3390/nano12223974","http://dx.doi.org/10.3390/nano12223974")</f>
        <v>http://dx.doi.org/10.3390/nano12223974</v>
      </c>
      <c r="BG670" s="1" t="s">
        <v>74</v>
      </c>
      <c r="BH670" s="1" t="s">
        <v>74</v>
      </c>
      <c r="BI670" s="1" t="s">
        <v>74</v>
      </c>
      <c r="BJ670" s="1" t="s">
        <v>74</v>
      </c>
      <c r="BK670" s="1" t="s">
        <v>74</v>
      </c>
      <c r="BL670" s="1" t="s">
        <v>74</v>
      </c>
      <c r="BM670" s="1" t="s">
        <v>74</v>
      </c>
      <c r="BN670" s="1">
        <v>3.643226E7</v>
      </c>
      <c r="BO670" s="1" t="s">
        <v>74</v>
      </c>
      <c r="BP670" s="1" t="s">
        <v>74</v>
      </c>
      <c r="BQ670" s="1" t="s">
        <v>74</v>
      </c>
      <c r="BR670" s="1" t="s">
        <v>74</v>
      </c>
      <c r="BS670" s="1" t="s">
        <v>6620</v>
      </c>
      <c r="BT670" s="1" t="str">
        <f>HYPERLINK("https%3A%2F%2Fwww.webofscience.com%2Fwos%2Fwoscc%2Ffull-record%2FWOS:000887683400001","View Full Record in Web of Science")</f>
        <v>View Full Record in Web of Science</v>
      </c>
    </row>
    <row r="671" ht="12.75" customHeight="1">
      <c r="A671" s="1" t="s">
        <v>72</v>
      </c>
      <c r="B671" s="1" t="s">
        <v>6621</v>
      </c>
      <c r="C671" s="1" t="s">
        <v>74</v>
      </c>
      <c r="D671" s="1" t="s">
        <v>74</v>
      </c>
      <c r="E671" s="1" t="s">
        <v>74</v>
      </c>
      <c r="F671" s="1" t="s">
        <v>6622</v>
      </c>
      <c r="G671" s="1" t="s">
        <v>74</v>
      </c>
      <c r="H671" s="1" t="s">
        <v>74</v>
      </c>
      <c r="I671" s="1" t="s">
        <v>6623</v>
      </c>
      <c r="J671" s="1" t="s">
        <v>229</v>
      </c>
      <c r="K671" s="1" t="s">
        <v>74</v>
      </c>
      <c r="L671" s="1" t="s">
        <v>74</v>
      </c>
      <c r="M671" s="1" t="s">
        <v>74</v>
      </c>
      <c r="N671" s="1" t="s">
        <v>74</v>
      </c>
      <c r="O671" s="1" t="s">
        <v>74</v>
      </c>
      <c r="P671" s="1" t="s">
        <v>74</v>
      </c>
      <c r="Q671" s="1" t="s">
        <v>74</v>
      </c>
      <c r="R671" s="1" t="s">
        <v>74</v>
      </c>
      <c r="S671" s="1" t="s">
        <v>74</v>
      </c>
      <c r="T671" s="1" t="s">
        <v>74</v>
      </c>
      <c r="U671" s="1" t="s">
        <v>74</v>
      </c>
      <c r="V671" s="1" t="s">
        <v>6624</v>
      </c>
      <c r="W671" s="1" t="s">
        <v>74</v>
      </c>
      <c r="X671" s="1" t="s">
        <v>74</v>
      </c>
      <c r="Y671" s="1" t="s">
        <v>74</v>
      </c>
      <c r="Z671" s="1" t="s">
        <v>74</v>
      </c>
      <c r="AA671" s="1" t="s">
        <v>6625</v>
      </c>
      <c r="AB671" s="1" t="s">
        <v>6626</v>
      </c>
      <c r="AC671" s="1" t="s">
        <v>74</v>
      </c>
      <c r="AD671" s="1" t="s">
        <v>74</v>
      </c>
      <c r="AE671" s="1" t="s">
        <v>74</v>
      </c>
      <c r="AF671" s="1" t="s">
        <v>74</v>
      </c>
      <c r="AG671" s="1" t="s">
        <v>74</v>
      </c>
      <c r="AH671" s="1" t="s">
        <v>74</v>
      </c>
      <c r="AI671" s="1" t="s">
        <v>74</v>
      </c>
      <c r="AJ671" s="1" t="s">
        <v>74</v>
      </c>
      <c r="AK671" s="1" t="s">
        <v>74</v>
      </c>
      <c r="AL671" s="1" t="s">
        <v>74</v>
      </c>
      <c r="AM671" s="1" t="s">
        <v>74</v>
      </c>
      <c r="AN671" s="1" t="s">
        <v>74</v>
      </c>
      <c r="AO671" s="1" t="s">
        <v>233</v>
      </c>
      <c r="AP671" s="1" t="s">
        <v>234</v>
      </c>
      <c r="AQ671" s="1" t="s">
        <v>74</v>
      </c>
      <c r="AR671" s="1" t="s">
        <v>74</v>
      </c>
      <c r="AS671" s="1" t="s">
        <v>74</v>
      </c>
      <c r="AT671" s="1" t="s">
        <v>652</v>
      </c>
      <c r="AU671" s="1">
        <v>2021.0</v>
      </c>
      <c r="AV671" s="1">
        <v>285.0</v>
      </c>
      <c r="AW671" s="1" t="s">
        <v>74</v>
      </c>
      <c r="AX671" s="1" t="s">
        <v>74</v>
      </c>
      <c r="AY671" s="1" t="s">
        <v>74</v>
      </c>
      <c r="AZ671" s="1" t="s">
        <v>74</v>
      </c>
      <c r="BA671" s="1" t="s">
        <v>74</v>
      </c>
      <c r="BB671" s="1" t="s">
        <v>74</v>
      </c>
      <c r="BC671" s="1" t="s">
        <v>74</v>
      </c>
      <c r="BD671" s="1">
        <v>131466.0</v>
      </c>
      <c r="BE671" s="1" t="s">
        <v>6627</v>
      </c>
      <c r="BF671" s="2" t="str">
        <f>HYPERLINK("http://dx.doi.org/10.1016/j.chemosphere.2021.131466","http://dx.doi.org/10.1016/j.chemosphere.2021.131466")</f>
        <v>http://dx.doi.org/10.1016/j.chemosphere.2021.131466</v>
      </c>
      <c r="BG671" s="1" t="s">
        <v>74</v>
      </c>
      <c r="BH671" s="1" t="s">
        <v>5351</v>
      </c>
      <c r="BI671" s="1" t="s">
        <v>74</v>
      </c>
      <c r="BJ671" s="1" t="s">
        <v>74</v>
      </c>
      <c r="BK671" s="1" t="s">
        <v>74</v>
      </c>
      <c r="BL671" s="1" t="s">
        <v>74</v>
      </c>
      <c r="BM671" s="1" t="s">
        <v>74</v>
      </c>
      <c r="BN671" s="1">
        <v>3.4271468E7</v>
      </c>
      <c r="BO671" s="1" t="s">
        <v>74</v>
      </c>
      <c r="BP671" s="1" t="s">
        <v>74</v>
      </c>
      <c r="BQ671" s="1" t="s">
        <v>74</v>
      </c>
      <c r="BR671" s="1" t="s">
        <v>74</v>
      </c>
      <c r="BS671" s="1" t="s">
        <v>6628</v>
      </c>
      <c r="BT671" s="1" t="str">
        <f>HYPERLINK("https%3A%2F%2Fwww.webofscience.com%2Fwos%2Fwoscc%2Ffull-record%2FWOS:000704464400005","View Full Record in Web of Science")</f>
        <v>View Full Record in Web of Science</v>
      </c>
    </row>
    <row r="672" ht="12.75" customHeight="1">
      <c r="A672" s="1" t="s">
        <v>72</v>
      </c>
      <c r="B672" s="1" t="s">
        <v>6629</v>
      </c>
      <c r="C672" s="1" t="s">
        <v>74</v>
      </c>
      <c r="D672" s="1" t="s">
        <v>74</v>
      </c>
      <c r="E672" s="1" t="s">
        <v>74</v>
      </c>
      <c r="F672" s="1" t="s">
        <v>6630</v>
      </c>
      <c r="G672" s="1" t="s">
        <v>74</v>
      </c>
      <c r="H672" s="1" t="s">
        <v>74</v>
      </c>
      <c r="I672" s="1" t="s">
        <v>6631</v>
      </c>
      <c r="J672" s="1" t="s">
        <v>6632</v>
      </c>
      <c r="K672" s="1" t="s">
        <v>74</v>
      </c>
      <c r="L672" s="1" t="s">
        <v>74</v>
      </c>
      <c r="M672" s="1" t="s">
        <v>74</v>
      </c>
      <c r="N672" s="1" t="s">
        <v>74</v>
      </c>
      <c r="O672" s="1" t="s">
        <v>74</v>
      </c>
      <c r="P672" s="1" t="s">
        <v>74</v>
      </c>
      <c r="Q672" s="1" t="s">
        <v>74</v>
      </c>
      <c r="R672" s="1" t="s">
        <v>74</v>
      </c>
      <c r="S672" s="1" t="s">
        <v>74</v>
      </c>
      <c r="T672" s="1" t="s">
        <v>74</v>
      </c>
      <c r="U672" s="1" t="s">
        <v>74</v>
      </c>
      <c r="V672" s="1" t="s">
        <v>6633</v>
      </c>
      <c r="W672" s="1" t="s">
        <v>74</v>
      </c>
      <c r="X672" s="1" t="s">
        <v>74</v>
      </c>
      <c r="Y672" s="1" t="s">
        <v>74</v>
      </c>
      <c r="Z672" s="1" t="s">
        <v>74</v>
      </c>
      <c r="AA672" s="1" t="s">
        <v>6634</v>
      </c>
      <c r="AB672" s="1" t="s">
        <v>6635</v>
      </c>
      <c r="AC672" s="1" t="s">
        <v>74</v>
      </c>
      <c r="AD672" s="1" t="s">
        <v>74</v>
      </c>
      <c r="AE672" s="1" t="s">
        <v>74</v>
      </c>
      <c r="AF672" s="1" t="s">
        <v>74</v>
      </c>
      <c r="AG672" s="1" t="s">
        <v>74</v>
      </c>
      <c r="AH672" s="1" t="s">
        <v>74</v>
      </c>
      <c r="AI672" s="1" t="s">
        <v>74</v>
      </c>
      <c r="AJ672" s="1" t="s">
        <v>74</v>
      </c>
      <c r="AK672" s="1" t="s">
        <v>74</v>
      </c>
      <c r="AL672" s="1" t="s">
        <v>74</v>
      </c>
      <c r="AM672" s="1" t="s">
        <v>74</v>
      </c>
      <c r="AN672" s="1" t="s">
        <v>74</v>
      </c>
      <c r="AO672" s="1" t="s">
        <v>6636</v>
      </c>
      <c r="AP672" s="1" t="s">
        <v>6637</v>
      </c>
      <c r="AQ672" s="1" t="s">
        <v>74</v>
      </c>
      <c r="AR672" s="1" t="s">
        <v>74</v>
      </c>
      <c r="AS672" s="1" t="s">
        <v>74</v>
      </c>
      <c r="AT672" s="1" t="s">
        <v>339</v>
      </c>
      <c r="AU672" s="1">
        <v>2021.0</v>
      </c>
      <c r="AV672" s="1">
        <v>147.0</v>
      </c>
      <c r="AW672" s="1" t="s">
        <v>74</v>
      </c>
      <c r="AX672" s="1" t="s">
        <v>74</v>
      </c>
      <c r="AY672" s="1" t="s">
        <v>74</v>
      </c>
      <c r="AZ672" s="1" t="s">
        <v>74</v>
      </c>
      <c r="BA672" s="1" t="s">
        <v>74</v>
      </c>
      <c r="BB672" s="1" t="s">
        <v>74</v>
      </c>
      <c r="BC672" s="1" t="s">
        <v>74</v>
      </c>
      <c r="BD672" s="1">
        <v>110558.0</v>
      </c>
      <c r="BE672" s="1" t="s">
        <v>6638</v>
      </c>
      <c r="BF672" s="2" t="str">
        <f>HYPERLINK("http://dx.doi.org/10.1016/j.foodres.2021.110558","http://dx.doi.org/10.1016/j.foodres.2021.110558")</f>
        <v>http://dx.doi.org/10.1016/j.foodres.2021.110558</v>
      </c>
      <c r="BG672" s="1" t="s">
        <v>74</v>
      </c>
      <c r="BH672" s="1" t="s">
        <v>296</v>
      </c>
      <c r="BI672" s="1" t="s">
        <v>74</v>
      </c>
      <c r="BJ672" s="1" t="s">
        <v>74</v>
      </c>
      <c r="BK672" s="1" t="s">
        <v>74</v>
      </c>
      <c r="BL672" s="1" t="s">
        <v>74</v>
      </c>
      <c r="BM672" s="1" t="s">
        <v>74</v>
      </c>
      <c r="BN672" s="1">
        <v>3.4399535E7</v>
      </c>
      <c r="BO672" s="1" t="s">
        <v>74</v>
      </c>
      <c r="BP672" s="1" t="s">
        <v>74</v>
      </c>
      <c r="BQ672" s="1" t="s">
        <v>74</v>
      </c>
      <c r="BR672" s="1" t="s">
        <v>74</v>
      </c>
      <c r="BS672" s="1" t="s">
        <v>6639</v>
      </c>
      <c r="BT672" s="1" t="str">
        <f>HYPERLINK("https%3A%2F%2Fwww.webofscience.com%2Fwos%2Fwoscc%2Ffull-record%2FWOS:000684808700010","View Full Record in Web of Science")</f>
        <v>View Full Record in Web of Science</v>
      </c>
    </row>
    <row r="673" ht="12.75" customHeight="1">
      <c r="A673" s="1" t="s">
        <v>72</v>
      </c>
      <c r="B673" s="1" t="s">
        <v>6640</v>
      </c>
      <c r="C673" s="1" t="s">
        <v>74</v>
      </c>
      <c r="D673" s="1" t="s">
        <v>74</v>
      </c>
      <c r="E673" s="1" t="s">
        <v>74</v>
      </c>
      <c r="F673" s="1" t="s">
        <v>6641</v>
      </c>
      <c r="G673" s="1" t="s">
        <v>74</v>
      </c>
      <c r="H673" s="1" t="s">
        <v>74</v>
      </c>
      <c r="I673" s="1" t="s">
        <v>6642</v>
      </c>
      <c r="J673" s="1" t="s">
        <v>6643</v>
      </c>
      <c r="K673" s="1" t="s">
        <v>74</v>
      </c>
      <c r="L673" s="1" t="s">
        <v>74</v>
      </c>
      <c r="M673" s="1" t="s">
        <v>74</v>
      </c>
      <c r="N673" s="1" t="s">
        <v>74</v>
      </c>
      <c r="O673" s="1" t="s">
        <v>74</v>
      </c>
      <c r="P673" s="1" t="s">
        <v>74</v>
      </c>
      <c r="Q673" s="1" t="s">
        <v>74</v>
      </c>
      <c r="R673" s="1" t="s">
        <v>74</v>
      </c>
      <c r="S673" s="1" t="s">
        <v>74</v>
      </c>
      <c r="T673" s="1" t="s">
        <v>74</v>
      </c>
      <c r="U673" s="1" t="s">
        <v>74</v>
      </c>
      <c r="V673" s="1" t="s">
        <v>6644</v>
      </c>
      <c r="W673" s="1" t="s">
        <v>74</v>
      </c>
      <c r="X673" s="1" t="s">
        <v>74</v>
      </c>
      <c r="Y673" s="1" t="s">
        <v>74</v>
      </c>
      <c r="Z673" s="1" t="s">
        <v>74</v>
      </c>
      <c r="AA673" s="1" t="s">
        <v>74</v>
      </c>
      <c r="AB673" s="1" t="s">
        <v>6645</v>
      </c>
      <c r="AC673" s="1" t="s">
        <v>74</v>
      </c>
      <c r="AD673" s="1" t="s">
        <v>74</v>
      </c>
      <c r="AE673" s="1" t="s">
        <v>74</v>
      </c>
      <c r="AF673" s="1" t="s">
        <v>74</v>
      </c>
      <c r="AG673" s="1" t="s">
        <v>74</v>
      </c>
      <c r="AH673" s="1" t="s">
        <v>74</v>
      </c>
      <c r="AI673" s="1" t="s">
        <v>74</v>
      </c>
      <c r="AJ673" s="1" t="s">
        <v>74</v>
      </c>
      <c r="AK673" s="1" t="s">
        <v>74</v>
      </c>
      <c r="AL673" s="1" t="s">
        <v>74</v>
      </c>
      <c r="AM673" s="1" t="s">
        <v>74</v>
      </c>
      <c r="AN673" s="1" t="s">
        <v>74</v>
      </c>
      <c r="AO673" s="1" t="s">
        <v>6646</v>
      </c>
      <c r="AP673" s="1" t="s">
        <v>6647</v>
      </c>
      <c r="AQ673" s="1" t="s">
        <v>74</v>
      </c>
      <c r="AR673" s="1" t="s">
        <v>74</v>
      </c>
      <c r="AS673" s="1" t="s">
        <v>74</v>
      </c>
      <c r="AT673" s="1" t="s">
        <v>739</v>
      </c>
      <c r="AU673" s="1">
        <v>2021.0</v>
      </c>
      <c r="AV673" s="1">
        <v>574.0</v>
      </c>
      <c r="AW673" s="1" t="s">
        <v>74</v>
      </c>
      <c r="AX673" s="1" t="s">
        <v>74</v>
      </c>
      <c r="AY673" s="1" t="s">
        <v>74</v>
      </c>
      <c r="AZ673" s="1" t="s">
        <v>74</v>
      </c>
      <c r="BA673" s="1" t="s">
        <v>74</v>
      </c>
      <c r="BB673" s="1">
        <v>434.0</v>
      </c>
      <c r="BC673" s="1">
        <v>452.0</v>
      </c>
      <c r="BD673" s="1" t="s">
        <v>74</v>
      </c>
      <c r="BE673" s="1" t="s">
        <v>6648</v>
      </c>
      <c r="BF673" s="2" t="str">
        <f>HYPERLINK("http://dx.doi.org/10.1016/j.jalgebra.2021.01.013","http://dx.doi.org/10.1016/j.jalgebra.2021.01.013")</f>
        <v>http://dx.doi.org/10.1016/j.jalgebra.2021.01.013</v>
      </c>
      <c r="BG673" s="1" t="s">
        <v>74</v>
      </c>
      <c r="BH673" s="1" t="s">
        <v>6649</v>
      </c>
      <c r="BI673" s="1" t="s">
        <v>74</v>
      </c>
      <c r="BJ673" s="1" t="s">
        <v>74</v>
      </c>
      <c r="BK673" s="1" t="s">
        <v>74</v>
      </c>
      <c r="BL673" s="1" t="s">
        <v>74</v>
      </c>
      <c r="BM673" s="1" t="s">
        <v>74</v>
      </c>
      <c r="BN673" s="1" t="s">
        <v>74</v>
      </c>
      <c r="BO673" s="1" t="s">
        <v>74</v>
      </c>
      <c r="BP673" s="1" t="s">
        <v>74</v>
      </c>
      <c r="BQ673" s="1" t="s">
        <v>74</v>
      </c>
      <c r="BR673" s="1" t="s">
        <v>74</v>
      </c>
      <c r="BS673" s="1" t="s">
        <v>6650</v>
      </c>
      <c r="BT673" s="1" t="str">
        <f>HYPERLINK("https%3A%2F%2Fwww.webofscience.com%2Fwos%2Fwoscc%2Ffull-record%2FWOS:000623913200020","View Full Record in Web of Science")</f>
        <v>View Full Record in Web of Science</v>
      </c>
    </row>
    <row r="674" ht="12.75" customHeight="1">
      <c r="A674" s="1" t="s">
        <v>72</v>
      </c>
      <c r="B674" s="1" t="s">
        <v>6651</v>
      </c>
      <c r="C674" s="1" t="s">
        <v>74</v>
      </c>
      <c r="D674" s="1" t="s">
        <v>74</v>
      </c>
      <c r="E674" s="1" t="s">
        <v>74</v>
      </c>
      <c r="F674" s="1" t="s">
        <v>6652</v>
      </c>
      <c r="G674" s="1" t="s">
        <v>74</v>
      </c>
      <c r="H674" s="1" t="s">
        <v>74</v>
      </c>
      <c r="I674" s="1" t="s">
        <v>6653</v>
      </c>
      <c r="J674" s="1" t="s">
        <v>6654</v>
      </c>
      <c r="K674" s="1" t="s">
        <v>74</v>
      </c>
      <c r="L674" s="1" t="s">
        <v>74</v>
      </c>
      <c r="M674" s="1" t="s">
        <v>74</v>
      </c>
      <c r="N674" s="1" t="s">
        <v>74</v>
      </c>
      <c r="O674" s="1" t="s">
        <v>74</v>
      </c>
      <c r="P674" s="1" t="s">
        <v>74</v>
      </c>
      <c r="Q674" s="1" t="s">
        <v>74</v>
      </c>
      <c r="R674" s="1" t="s">
        <v>74</v>
      </c>
      <c r="S674" s="1" t="s">
        <v>74</v>
      </c>
      <c r="T674" s="1" t="s">
        <v>74</v>
      </c>
      <c r="U674" s="1" t="s">
        <v>74</v>
      </c>
      <c r="V674" s="1" t="s">
        <v>6655</v>
      </c>
      <c r="W674" s="1" t="s">
        <v>74</v>
      </c>
      <c r="X674" s="1" t="s">
        <v>74</v>
      </c>
      <c r="Y674" s="1" t="s">
        <v>74</v>
      </c>
      <c r="Z674" s="1" t="s">
        <v>74</v>
      </c>
      <c r="AA674" s="1" t="s">
        <v>6656</v>
      </c>
      <c r="AB674" s="1" t="s">
        <v>6657</v>
      </c>
      <c r="AC674" s="1" t="s">
        <v>74</v>
      </c>
      <c r="AD674" s="1" t="s">
        <v>74</v>
      </c>
      <c r="AE674" s="1" t="s">
        <v>74</v>
      </c>
      <c r="AF674" s="1" t="s">
        <v>74</v>
      </c>
      <c r="AG674" s="1" t="s">
        <v>74</v>
      </c>
      <c r="AH674" s="1" t="s">
        <v>74</v>
      </c>
      <c r="AI674" s="1" t="s">
        <v>74</v>
      </c>
      <c r="AJ674" s="1" t="s">
        <v>74</v>
      </c>
      <c r="AK674" s="1" t="s">
        <v>74</v>
      </c>
      <c r="AL674" s="1" t="s">
        <v>74</v>
      </c>
      <c r="AM674" s="1" t="s">
        <v>74</v>
      </c>
      <c r="AN674" s="1" t="s">
        <v>74</v>
      </c>
      <c r="AO674" s="1" t="s">
        <v>6658</v>
      </c>
      <c r="AP674" s="1" t="s">
        <v>6659</v>
      </c>
      <c r="AQ674" s="1" t="s">
        <v>74</v>
      </c>
      <c r="AR674" s="1" t="s">
        <v>74</v>
      </c>
      <c r="AS674" s="1" t="s">
        <v>74</v>
      </c>
      <c r="AT674" s="1" t="s">
        <v>3077</v>
      </c>
      <c r="AU674" s="1">
        <v>2021.0</v>
      </c>
      <c r="AV674" s="1">
        <v>24.0</v>
      </c>
      <c r="AW674" s="1">
        <v>1.0</v>
      </c>
      <c r="AX674" s="1" t="s">
        <v>74</v>
      </c>
      <c r="AY674" s="1" t="s">
        <v>74</v>
      </c>
      <c r="AZ674" s="1" t="s">
        <v>74</v>
      </c>
      <c r="BA674" s="1" t="s">
        <v>74</v>
      </c>
      <c r="BB674" s="1">
        <v>320.0</v>
      </c>
      <c r="BC674" s="1">
        <v>329.0</v>
      </c>
      <c r="BD674" s="1" t="s">
        <v>74</v>
      </c>
      <c r="BE674" s="1" t="s">
        <v>6660</v>
      </c>
      <c r="BF674" s="2" t="str">
        <f>HYPERLINK("http://dx.doi.org/10.1080/15685551.2021.1989151","http://dx.doi.org/10.1080/15685551.2021.1989151")</f>
        <v>http://dx.doi.org/10.1080/15685551.2021.1989151</v>
      </c>
      <c r="BG674" s="1" t="s">
        <v>74</v>
      </c>
      <c r="BH674" s="1" t="s">
        <v>74</v>
      </c>
      <c r="BI674" s="1" t="s">
        <v>74</v>
      </c>
      <c r="BJ674" s="1" t="s">
        <v>74</v>
      </c>
      <c r="BK674" s="1" t="s">
        <v>74</v>
      </c>
      <c r="BL674" s="1" t="s">
        <v>74</v>
      </c>
      <c r="BM674" s="1" t="s">
        <v>74</v>
      </c>
      <c r="BN674" s="1">
        <v>3.4658659E7</v>
      </c>
      <c r="BO674" s="1" t="s">
        <v>74</v>
      </c>
      <c r="BP674" s="1" t="s">
        <v>74</v>
      </c>
      <c r="BQ674" s="1" t="s">
        <v>74</v>
      </c>
      <c r="BR674" s="1" t="s">
        <v>74</v>
      </c>
      <c r="BS674" s="1" t="s">
        <v>6661</v>
      </c>
      <c r="BT674" s="1" t="str">
        <f>HYPERLINK("https%3A%2F%2Fwww.webofscience.com%2Fwos%2Fwoscc%2Ffull-record%2FWOS:000706958000001","View Full Record in Web of Science")</f>
        <v>View Full Record in Web of Science</v>
      </c>
    </row>
    <row r="675" ht="12.75" customHeight="1">
      <c r="A675" s="1" t="s">
        <v>72</v>
      </c>
      <c r="B675" s="1" t="s">
        <v>6662</v>
      </c>
      <c r="C675" s="1" t="s">
        <v>74</v>
      </c>
      <c r="D675" s="1" t="s">
        <v>74</v>
      </c>
      <c r="E675" s="1" t="s">
        <v>74</v>
      </c>
      <c r="F675" s="1" t="s">
        <v>6663</v>
      </c>
      <c r="G675" s="1" t="s">
        <v>74</v>
      </c>
      <c r="H675" s="1" t="s">
        <v>74</v>
      </c>
      <c r="I675" s="1" t="s">
        <v>6664</v>
      </c>
      <c r="J675" s="1" t="s">
        <v>6665</v>
      </c>
      <c r="K675" s="1" t="s">
        <v>74</v>
      </c>
      <c r="L675" s="1" t="s">
        <v>74</v>
      </c>
      <c r="M675" s="1" t="s">
        <v>74</v>
      </c>
      <c r="N675" s="1" t="s">
        <v>74</v>
      </c>
      <c r="O675" s="1" t="s">
        <v>74</v>
      </c>
      <c r="P675" s="1" t="s">
        <v>74</v>
      </c>
      <c r="Q675" s="1" t="s">
        <v>74</v>
      </c>
      <c r="R675" s="1" t="s">
        <v>74</v>
      </c>
      <c r="S675" s="1" t="s">
        <v>74</v>
      </c>
      <c r="T675" s="1" t="s">
        <v>74</v>
      </c>
      <c r="U675" s="1" t="s">
        <v>74</v>
      </c>
      <c r="V675" s="1" t="s">
        <v>6666</v>
      </c>
      <c r="W675" s="1" t="s">
        <v>74</v>
      </c>
      <c r="X675" s="1" t="s">
        <v>74</v>
      </c>
      <c r="Y675" s="1" t="s">
        <v>74</v>
      </c>
      <c r="Z675" s="1" t="s">
        <v>74</v>
      </c>
      <c r="AA675" s="1" t="s">
        <v>6667</v>
      </c>
      <c r="AB675" s="1" t="s">
        <v>6668</v>
      </c>
      <c r="AC675" s="1" t="s">
        <v>74</v>
      </c>
      <c r="AD675" s="1" t="s">
        <v>74</v>
      </c>
      <c r="AE675" s="1" t="s">
        <v>74</v>
      </c>
      <c r="AF675" s="1" t="s">
        <v>74</v>
      </c>
      <c r="AG675" s="1" t="s">
        <v>74</v>
      </c>
      <c r="AH675" s="1" t="s">
        <v>74</v>
      </c>
      <c r="AI675" s="1" t="s">
        <v>74</v>
      </c>
      <c r="AJ675" s="1" t="s">
        <v>74</v>
      </c>
      <c r="AK675" s="1" t="s">
        <v>74</v>
      </c>
      <c r="AL675" s="1" t="s">
        <v>74</v>
      </c>
      <c r="AM675" s="1" t="s">
        <v>74</v>
      </c>
      <c r="AN675" s="1" t="s">
        <v>74</v>
      </c>
      <c r="AO675" s="1" t="s">
        <v>6669</v>
      </c>
      <c r="AP675" s="1" t="s">
        <v>6670</v>
      </c>
      <c r="AQ675" s="1" t="s">
        <v>74</v>
      </c>
      <c r="AR675" s="1" t="s">
        <v>74</v>
      </c>
      <c r="AS675" s="1" t="s">
        <v>74</v>
      </c>
      <c r="AT675" s="1" t="s">
        <v>158</v>
      </c>
      <c r="AU675" s="1">
        <v>2021.0</v>
      </c>
      <c r="AV675" s="1">
        <v>131.0</v>
      </c>
      <c r="AW675" s="1">
        <v>1.0</v>
      </c>
      <c r="AX675" s="1" t="s">
        <v>74</v>
      </c>
      <c r="AY675" s="1" t="s">
        <v>74</v>
      </c>
      <c r="AZ675" s="1" t="s">
        <v>74</v>
      </c>
      <c r="BA675" s="1" t="s">
        <v>74</v>
      </c>
      <c r="BB675" s="1">
        <v>155.0</v>
      </c>
      <c r="BC675" s="1">
        <v>168.0</v>
      </c>
      <c r="BD675" s="1" t="s">
        <v>74</v>
      </c>
      <c r="BE675" s="1" t="s">
        <v>6671</v>
      </c>
      <c r="BF675" s="2" t="str">
        <f>HYPERLINK("http://dx.doi.org/10.1111/jam.14957","http://dx.doi.org/10.1111/jam.14957")</f>
        <v>http://dx.doi.org/10.1111/jam.14957</v>
      </c>
      <c r="BG675" s="1" t="s">
        <v>74</v>
      </c>
      <c r="BH675" s="1" t="s">
        <v>6672</v>
      </c>
      <c r="BI675" s="1" t="s">
        <v>74</v>
      </c>
      <c r="BJ675" s="1" t="s">
        <v>74</v>
      </c>
      <c r="BK675" s="1" t="s">
        <v>74</v>
      </c>
      <c r="BL675" s="1" t="s">
        <v>74</v>
      </c>
      <c r="BM675" s="1" t="s">
        <v>74</v>
      </c>
      <c r="BN675" s="1">
        <v>3.3274558E7</v>
      </c>
      <c r="BO675" s="1" t="s">
        <v>74</v>
      </c>
      <c r="BP675" s="1" t="s">
        <v>74</v>
      </c>
      <c r="BQ675" s="1" t="s">
        <v>74</v>
      </c>
      <c r="BR675" s="1" t="s">
        <v>74</v>
      </c>
      <c r="BS675" s="1" t="s">
        <v>6673</v>
      </c>
      <c r="BT675" s="1" t="str">
        <f>HYPERLINK("https%3A%2F%2Fwww.webofscience.com%2Fwos%2Fwoscc%2Ffull-record%2FWOS:000599742100001","View Full Record in Web of Science")</f>
        <v>View Full Record in Web of Science</v>
      </c>
    </row>
    <row r="676" ht="12.75" customHeight="1">
      <c r="A676" s="1" t="s">
        <v>72</v>
      </c>
      <c r="B676" s="1" t="s">
        <v>6674</v>
      </c>
      <c r="C676" s="1" t="s">
        <v>74</v>
      </c>
      <c r="D676" s="1" t="s">
        <v>74</v>
      </c>
      <c r="E676" s="1" t="s">
        <v>74</v>
      </c>
      <c r="F676" s="1" t="s">
        <v>6675</v>
      </c>
      <c r="G676" s="1" t="s">
        <v>74</v>
      </c>
      <c r="H676" s="1" t="s">
        <v>74</v>
      </c>
      <c r="I676" s="1" t="s">
        <v>6676</v>
      </c>
      <c r="J676" s="1" t="s">
        <v>6677</v>
      </c>
      <c r="K676" s="1" t="s">
        <v>74</v>
      </c>
      <c r="L676" s="1" t="s">
        <v>74</v>
      </c>
      <c r="M676" s="1" t="s">
        <v>74</v>
      </c>
      <c r="N676" s="1" t="s">
        <v>74</v>
      </c>
      <c r="O676" s="1" t="s">
        <v>74</v>
      </c>
      <c r="P676" s="1" t="s">
        <v>74</v>
      </c>
      <c r="Q676" s="1" t="s">
        <v>74</v>
      </c>
      <c r="R676" s="1" t="s">
        <v>74</v>
      </c>
      <c r="S676" s="1" t="s">
        <v>74</v>
      </c>
      <c r="T676" s="1" t="s">
        <v>74</v>
      </c>
      <c r="U676" s="1" t="s">
        <v>74</v>
      </c>
      <c r="V676" s="1" t="s">
        <v>74</v>
      </c>
      <c r="W676" s="1" t="s">
        <v>74</v>
      </c>
      <c r="X676" s="1" t="s">
        <v>74</v>
      </c>
      <c r="Y676" s="1" t="s">
        <v>74</v>
      </c>
      <c r="Z676" s="1" t="s">
        <v>74</v>
      </c>
      <c r="AA676" s="1" t="s">
        <v>74</v>
      </c>
      <c r="AB676" s="1" t="s">
        <v>74</v>
      </c>
      <c r="AC676" s="1" t="s">
        <v>74</v>
      </c>
      <c r="AD676" s="1" t="s">
        <v>74</v>
      </c>
      <c r="AE676" s="1" t="s">
        <v>74</v>
      </c>
      <c r="AF676" s="1" t="s">
        <v>74</v>
      </c>
      <c r="AG676" s="1" t="s">
        <v>74</v>
      </c>
      <c r="AH676" s="1" t="s">
        <v>74</v>
      </c>
      <c r="AI676" s="1" t="s">
        <v>74</v>
      </c>
      <c r="AJ676" s="1" t="s">
        <v>74</v>
      </c>
      <c r="AK676" s="1" t="s">
        <v>74</v>
      </c>
      <c r="AL676" s="1" t="s">
        <v>74</v>
      </c>
      <c r="AM676" s="1" t="s">
        <v>74</v>
      </c>
      <c r="AN676" s="1" t="s">
        <v>74</v>
      </c>
      <c r="AO676" s="1" t="s">
        <v>6678</v>
      </c>
      <c r="AP676" s="1" t="s">
        <v>6679</v>
      </c>
      <c r="AQ676" s="1" t="s">
        <v>74</v>
      </c>
      <c r="AR676" s="1" t="s">
        <v>74</v>
      </c>
      <c r="AS676" s="1" t="s">
        <v>74</v>
      </c>
      <c r="AT676" s="1" t="s">
        <v>652</v>
      </c>
      <c r="AU676" s="1">
        <v>2020.0</v>
      </c>
      <c r="AV676" s="1">
        <v>30.0</v>
      </c>
      <c r="AW676" s="1">
        <v>2.0</v>
      </c>
      <c r="AX676" s="1" t="s">
        <v>74</v>
      </c>
      <c r="AY676" s="1" t="s">
        <v>74</v>
      </c>
      <c r="AZ676" s="1" t="s">
        <v>74</v>
      </c>
      <c r="BA676" s="1" t="s">
        <v>74</v>
      </c>
      <c r="BB676" s="1">
        <v>445.0</v>
      </c>
      <c r="BC676" s="1">
        <v>449.0</v>
      </c>
      <c r="BD676" s="1" t="s">
        <v>74</v>
      </c>
      <c r="BE676" s="1" t="s">
        <v>6680</v>
      </c>
      <c r="BF676" s="2" t="str">
        <f>HYPERLINK("http://dx.doi.org/10.7770/2452-610X.2020.CUHSO.05.A07","http://dx.doi.org/10.7770/2452-610X.2020.CUHSO.05.A07")</f>
        <v>http://dx.doi.org/10.7770/2452-610X.2020.CUHSO.05.A07</v>
      </c>
      <c r="BG676" s="1" t="s">
        <v>74</v>
      </c>
      <c r="BH676" s="1" t="s">
        <v>74</v>
      </c>
      <c r="BI676" s="1" t="s">
        <v>74</v>
      </c>
      <c r="BJ676" s="1" t="s">
        <v>74</v>
      </c>
      <c r="BK676" s="1" t="s">
        <v>74</v>
      </c>
      <c r="BL676" s="1" t="s">
        <v>74</v>
      </c>
      <c r="BM676" s="1" t="s">
        <v>74</v>
      </c>
      <c r="BN676" s="1" t="s">
        <v>74</v>
      </c>
      <c r="BO676" s="1" t="s">
        <v>74</v>
      </c>
      <c r="BP676" s="1" t="s">
        <v>74</v>
      </c>
      <c r="BQ676" s="1" t="s">
        <v>74</v>
      </c>
      <c r="BR676" s="1" t="s">
        <v>74</v>
      </c>
      <c r="BS676" s="1" t="s">
        <v>6681</v>
      </c>
      <c r="BT676" s="1" t="str">
        <f>HYPERLINK("https%3A%2F%2Fwww.webofscience.com%2Fwos%2Fwoscc%2Ffull-record%2FWOS:000624603100020","View Full Record in Web of Science")</f>
        <v>View Full Record in Web of Science</v>
      </c>
    </row>
    <row r="677" ht="12.75" customHeight="1">
      <c r="A677" s="1" t="s">
        <v>72</v>
      </c>
      <c r="B677" s="1" t="s">
        <v>6682</v>
      </c>
      <c r="C677" s="1" t="s">
        <v>74</v>
      </c>
      <c r="D677" s="1" t="s">
        <v>74</v>
      </c>
      <c r="E677" s="1" t="s">
        <v>74</v>
      </c>
      <c r="F677" s="1" t="s">
        <v>6683</v>
      </c>
      <c r="G677" s="1" t="s">
        <v>74</v>
      </c>
      <c r="H677" s="1" t="s">
        <v>74</v>
      </c>
      <c r="I677" s="1" t="s">
        <v>6684</v>
      </c>
      <c r="J677" s="1" t="s">
        <v>6685</v>
      </c>
      <c r="K677" s="1" t="s">
        <v>74</v>
      </c>
      <c r="L677" s="1" t="s">
        <v>74</v>
      </c>
      <c r="M677" s="1" t="s">
        <v>74</v>
      </c>
      <c r="N677" s="1" t="s">
        <v>74</v>
      </c>
      <c r="O677" s="1" t="s">
        <v>74</v>
      </c>
      <c r="P677" s="1" t="s">
        <v>74</v>
      </c>
      <c r="Q677" s="1" t="s">
        <v>74</v>
      </c>
      <c r="R677" s="1" t="s">
        <v>74</v>
      </c>
      <c r="S677" s="1" t="s">
        <v>74</v>
      </c>
      <c r="T677" s="1" t="s">
        <v>74</v>
      </c>
      <c r="U677" s="1" t="s">
        <v>74</v>
      </c>
      <c r="V677" s="1" t="s">
        <v>6686</v>
      </c>
      <c r="W677" s="1" t="s">
        <v>74</v>
      </c>
      <c r="X677" s="1" t="s">
        <v>74</v>
      </c>
      <c r="Y677" s="1" t="s">
        <v>74</v>
      </c>
      <c r="Z677" s="1" t="s">
        <v>74</v>
      </c>
      <c r="AA677" s="1" t="s">
        <v>6687</v>
      </c>
      <c r="AB677" s="1" t="s">
        <v>6688</v>
      </c>
      <c r="AC677" s="1" t="s">
        <v>74</v>
      </c>
      <c r="AD677" s="1" t="s">
        <v>74</v>
      </c>
      <c r="AE677" s="1" t="s">
        <v>74</v>
      </c>
      <c r="AF677" s="1" t="s">
        <v>74</v>
      </c>
      <c r="AG677" s="1" t="s">
        <v>74</v>
      </c>
      <c r="AH677" s="1" t="s">
        <v>74</v>
      </c>
      <c r="AI677" s="1" t="s">
        <v>74</v>
      </c>
      <c r="AJ677" s="1" t="s">
        <v>74</v>
      </c>
      <c r="AK677" s="1" t="s">
        <v>74</v>
      </c>
      <c r="AL677" s="1" t="s">
        <v>74</v>
      </c>
      <c r="AM677" s="1" t="s">
        <v>74</v>
      </c>
      <c r="AN677" s="1" t="s">
        <v>74</v>
      </c>
      <c r="AO677" s="1" t="s">
        <v>6689</v>
      </c>
      <c r="AP677" s="1" t="s">
        <v>6690</v>
      </c>
      <c r="AQ677" s="1" t="s">
        <v>74</v>
      </c>
      <c r="AR677" s="1" t="s">
        <v>74</v>
      </c>
      <c r="AS677" s="1" t="s">
        <v>74</v>
      </c>
      <c r="AT677" s="1" t="s">
        <v>3844</v>
      </c>
      <c r="AU677" s="1">
        <v>2020.0</v>
      </c>
      <c r="AV677" s="1">
        <v>42.0</v>
      </c>
      <c r="AW677" s="1">
        <v>9.0</v>
      </c>
      <c r="AX677" s="1" t="s">
        <v>74</v>
      </c>
      <c r="AY677" s="1" t="s">
        <v>74</v>
      </c>
      <c r="AZ677" s="1" t="s">
        <v>74</v>
      </c>
      <c r="BA677" s="1" t="s">
        <v>74</v>
      </c>
      <c r="BB677" s="1">
        <v>1522.0</v>
      </c>
      <c r="BC677" s="1">
        <v>1543.0</v>
      </c>
      <c r="BD677" s="1" t="s">
        <v>74</v>
      </c>
      <c r="BE677" s="1" t="s">
        <v>6691</v>
      </c>
      <c r="BF677" s="2" t="str">
        <f>HYPERLINK("http://dx.doi.org/10.1080/09500693.2020.1767317","http://dx.doi.org/10.1080/09500693.2020.1767317")</f>
        <v>http://dx.doi.org/10.1080/09500693.2020.1767317</v>
      </c>
      <c r="BG677" s="1" t="s">
        <v>74</v>
      </c>
      <c r="BH677" s="1" t="s">
        <v>4470</v>
      </c>
      <c r="BI677" s="1" t="s">
        <v>74</v>
      </c>
      <c r="BJ677" s="1" t="s">
        <v>74</v>
      </c>
      <c r="BK677" s="1" t="s">
        <v>74</v>
      </c>
      <c r="BL677" s="1" t="s">
        <v>74</v>
      </c>
      <c r="BM677" s="1" t="s">
        <v>74</v>
      </c>
      <c r="BN677" s="1" t="s">
        <v>74</v>
      </c>
      <c r="BO677" s="1" t="s">
        <v>74</v>
      </c>
      <c r="BP677" s="1" t="s">
        <v>74</v>
      </c>
      <c r="BQ677" s="1" t="s">
        <v>74</v>
      </c>
      <c r="BR677" s="1" t="s">
        <v>74</v>
      </c>
      <c r="BS677" s="1" t="s">
        <v>6692</v>
      </c>
      <c r="BT677" s="1" t="str">
        <f>HYPERLINK("https%3A%2F%2Fwww.webofscience.com%2Fwos%2Fwoscc%2Ffull-record%2FWOS:000543221700001","View Full Record in Web of Science")</f>
        <v>View Full Record in Web of Science</v>
      </c>
    </row>
    <row r="678" ht="12.75" customHeight="1">
      <c r="A678" s="1" t="s">
        <v>72</v>
      </c>
      <c r="B678" s="1" t="s">
        <v>6693</v>
      </c>
      <c r="C678" s="1" t="s">
        <v>74</v>
      </c>
      <c r="D678" s="1" t="s">
        <v>74</v>
      </c>
      <c r="E678" s="1" t="s">
        <v>74</v>
      </c>
      <c r="F678" s="1" t="s">
        <v>6694</v>
      </c>
      <c r="G678" s="1" t="s">
        <v>74</v>
      </c>
      <c r="H678" s="1" t="s">
        <v>74</v>
      </c>
      <c r="I678" s="1" t="s">
        <v>6695</v>
      </c>
      <c r="J678" s="1" t="s">
        <v>6696</v>
      </c>
      <c r="K678" s="1" t="s">
        <v>74</v>
      </c>
      <c r="L678" s="1" t="s">
        <v>74</v>
      </c>
      <c r="M678" s="1" t="s">
        <v>74</v>
      </c>
      <c r="N678" s="1" t="s">
        <v>74</v>
      </c>
      <c r="O678" s="1" t="s">
        <v>74</v>
      </c>
      <c r="P678" s="1" t="s">
        <v>74</v>
      </c>
      <c r="Q678" s="1" t="s">
        <v>74</v>
      </c>
      <c r="R678" s="1" t="s">
        <v>74</v>
      </c>
      <c r="S678" s="1" t="s">
        <v>74</v>
      </c>
      <c r="T678" s="1" t="s">
        <v>74</v>
      </c>
      <c r="U678" s="1" t="s">
        <v>74</v>
      </c>
      <c r="V678" s="1" t="s">
        <v>6697</v>
      </c>
      <c r="W678" s="1" t="s">
        <v>74</v>
      </c>
      <c r="X678" s="1" t="s">
        <v>74</v>
      </c>
      <c r="Y678" s="1" t="s">
        <v>74</v>
      </c>
      <c r="Z678" s="1" t="s">
        <v>74</v>
      </c>
      <c r="AA678" s="1" t="s">
        <v>6698</v>
      </c>
      <c r="AB678" s="1" t="s">
        <v>6699</v>
      </c>
      <c r="AC678" s="1" t="s">
        <v>74</v>
      </c>
      <c r="AD678" s="1" t="s">
        <v>74</v>
      </c>
      <c r="AE678" s="1" t="s">
        <v>74</v>
      </c>
      <c r="AF678" s="1" t="s">
        <v>74</v>
      </c>
      <c r="AG678" s="1" t="s">
        <v>74</v>
      </c>
      <c r="AH678" s="1" t="s">
        <v>74</v>
      </c>
      <c r="AI678" s="1" t="s">
        <v>74</v>
      </c>
      <c r="AJ678" s="1" t="s">
        <v>74</v>
      </c>
      <c r="AK678" s="1" t="s">
        <v>74</v>
      </c>
      <c r="AL678" s="1" t="s">
        <v>74</v>
      </c>
      <c r="AM678" s="1" t="s">
        <v>74</v>
      </c>
      <c r="AN678" s="1" t="s">
        <v>74</v>
      </c>
      <c r="AO678" s="1" t="s">
        <v>6700</v>
      </c>
      <c r="AP678" s="1" t="s">
        <v>6701</v>
      </c>
      <c r="AQ678" s="1" t="s">
        <v>74</v>
      </c>
      <c r="AR678" s="1" t="s">
        <v>74</v>
      </c>
      <c r="AS678" s="1" t="s">
        <v>74</v>
      </c>
      <c r="AT678" s="1" t="s">
        <v>294</v>
      </c>
      <c r="AU678" s="1">
        <v>2020.0</v>
      </c>
      <c r="AV678" s="1">
        <v>299.0</v>
      </c>
      <c r="AW678" s="1" t="s">
        <v>74</v>
      </c>
      <c r="AX678" s="1" t="s">
        <v>74</v>
      </c>
      <c r="AY678" s="1" t="s">
        <v>74</v>
      </c>
      <c r="AZ678" s="1" t="s">
        <v>74</v>
      </c>
      <c r="BA678" s="1" t="s">
        <v>74</v>
      </c>
      <c r="BB678" s="1" t="s">
        <v>74</v>
      </c>
      <c r="BC678" s="1" t="s">
        <v>74</v>
      </c>
      <c r="BD678" s="1">
        <v>110085.0</v>
      </c>
      <c r="BE678" s="1" t="s">
        <v>6702</v>
      </c>
      <c r="BF678" s="2" t="str">
        <f>HYPERLINK("http://dx.doi.org/10.1016/j.micromeso.2020.110085","http://dx.doi.org/10.1016/j.micromeso.2020.110085")</f>
        <v>http://dx.doi.org/10.1016/j.micromeso.2020.110085</v>
      </c>
      <c r="BG678" s="1" t="s">
        <v>74</v>
      </c>
      <c r="BH678" s="1" t="s">
        <v>74</v>
      </c>
      <c r="BI678" s="1" t="s">
        <v>74</v>
      </c>
      <c r="BJ678" s="1" t="s">
        <v>74</v>
      </c>
      <c r="BK678" s="1" t="s">
        <v>74</v>
      </c>
      <c r="BL678" s="1" t="s">
        <v>74</v>
      </c>
      <c r="BM678" s="1" t="s">
        <v>74</v>
      </c>
      <c r="BN678" s="1" t="s">
        <v>74</v>
      </c>
      <c r="BO678" s="1" t="s">
        <v>74</v>
      </c>
      <c r="BP678" s="1" t="s">
        <v>74</v>
      </c>
      <c r="BQ678" s="1" t="s">
        <v>74</v>
      </c>
      <c r="BR678" s="1" t="s">
        <v>74</v>
      </c>
      <c r="BS678" s="1" t="s">
        <v>6703</v>
      </c>
      <c r="BT678" s="1" t="str">
        <f>HYPERLINK("https%3A%2F%2Fwww.webofscience.com%2Fwos%2Fwoscc%2Ffull-record%2FWOS:000527326100003","View Full Record in Web of Science")</f>
        <v>View Full Record in Web of Science</v>
      </c>
    </row>
    <row r="679" ht="12.75" customHeight="1">
      <c r="A679" s="1" t="s">
        <v>72</v>
      </c>
      <c r="B679" s="1" t="s">
        <v>6704</v>
      </c>
      <c r="C679" s="1" t="s">
        <v>74</v>
      </c>
      <c r="D679" s="1" t="s">
        <v>74</v>
      </c>
      <c r="E679" s="1" t="s">
        <v>74</v>
      </c>
      <c r="F679" s="1" t="s">
        <v>6705</v>
      </c>
      <c r="G679" s="1" t="s">
        <v>74</v>
      </c>
      <c r="H679" s="1" t="s">
        <v>74</v>
      </c>
      <c r="I679" s="1" t="s">
        <v>6706</v>
      </c>
      <c r="J679" s="1" t="s">
        <v>2372</v>
      </c>
      <c r="K679" s="1" t="s">
        <v>74</v>
      </c>
      <c r="L679" s="1" t="s">
        <v>74</v>
      </c>
      <c r="M679" s="1" t="s">
        <v>74</v>
      </c>
      <c r="N679" s="1" t="s">
        <v>74</v>
      </c>
      <c r="O679" s="1" t="s">
        <v>74</v>
      </c>
      <c r="P679" s="1" t="s">
        <v>74</v>
      </c>
      <c r="Q679" s="1" t="s">
        <v>74</v>
      </c>
      <c r="R679" s="1" t="s">
        <v>74</v>
      </c>
      <c r="S679" s="1" t="s">
        <v>74</v>
      </c>
      <c r="T679" s="1" t="s">
        <v>74</v>
      </c>
      <c r="U679" s="1" t="s">
        <v>74</v>
      </c>
      <c r="V679" s="1" t="s">
        <v>6707</v>
      </c>
      <c r="W679" s="1" t="s">
        <v>74</v>
      </c>
      <c r="X679" s="1" t="s">
        <v>74</v>
      </c>
      <c r="Y679" s="1" t="s">
        <v>74</v>
      </c>
      <c r="Z679" s="1" t="s">
        <v>74</v>
      </c>
      <c r="AA679" s="1" t="s">
        <v>2374</v>
      </c>
      <c r="AB679" s="1" t="s">
        <v>2375</v>
      </c>
      <c r="AC679" s="1" t="s">
        <v>74</v>
      </c>
      <c r="AD679" s="1" t="s">
        <v>74</v>
      </c>
      <c r="AE679" s="1" t="s">
        <v>74</v>
      </c>
      <c r="AF679" s="1" t="s">
        <v>74</v>
      </c>
      <c r="AG679" s="1" t="s">
        <v>74</v>
      </c>
      <c r="AH679" s="1" t="s">
        <v>74</v>
      </c>
      <c r="AI679" s="1" t="s">
        <v>74</v>
      </c>
      <c r="AJ679" s="1" t="s">
        <v>74</v>
      </c>
      <c r="AK679" s="1" t="s">
        <v>74</v>
      </c>
      <c r="AL679" s="1" t="s">
        <v>74</v>
      </c>
      <c r="AM679" s="1" t="s">
        <v>74</v>
      </c>
      <c r="AN679" s="1" t="s">
        <v>74</v>
      </c>
      <c r="AO679" s="1" t="s">
        <v>2376</v>
      </c>
      <c r="AP679" s="1" t="s">
        <v>2377</v>
      </c>
      <c r="AQ679" s="1" t="s">
        <v>74</v>
      </c>
      <c r="AR679" s="1" t="s">
        <v>74</v>
      </c>
      <c r="AS679" s="1" t="s">
        <v>74</v>
      </c>
      <c r="AT679" s="1" t="s">
        <v>3077</v>
      </c>
      <c r="AU679" s="1">
        <v>2020.0</v>
      </c>
      <c r="AV679" s="1">
        <v>6.0</v>
      </c>
      <c r="AW679" s="1">
        <v>1.0</v>
      </c>
      <c r="AX679" s="1" t="s">
        <v>74</v>
      </c>
      <c r="AY679" s="1" t="s">
        <v>74</v>
      </c>
      <c r="AZ679" s="1" t="s">
        <v>74</v>
      </c>
      <c r="BA679" s="1" t="s">
        <v>74</v>
      </c>
      <c r="BB679" s="1" t="s">
        <v>74</v>
      </c>
      <c r="BC679" s="1" t="s">
        <v>74</v>
      </c>
      <c r="BD679" s="1" t="s">
        <v>6708</v>
      </c>
      <c r="BE679" s="1" t="s">
        <v>6709</v>
      </c>
      <c r="BF679" s="2" t="str">
        <f>HYPERLINK("http://dx.doi.org/10.1080/23288604.2020.1789031","http://dx.doi.org/10.1080/23288604.2020.1789031")</f>
        <v>http://dx.doi.org/10.1080/23288604.2020.1789031</v>
      </c>
      <c r="BG679" s="1" t="s">
        <v>74</v>
      </c>
      <c r="BH679" s="1" t="s">
        <v>74</v>
      </c>
      <c r="BI679" s="1" t="s">
        <v>74</v>
      </c>
      <c r="BJ679" s="1" t="s">
        <v>74</v>
      </c>
      <c r="BK679" s="1" t="s">
        <v>74</v>
      </c>
      <c r="BL679" s="1" t="s">
        <v>74</v>
      </c>
      <c r="BM679" s="1" t="s">
        <v>74</v>
      </c>
      <c r="BN679" s="1">
        <v>3.270628E7</v>
      </c>
      <c r="BO679" s="1" t="s">
        <v>74</v>
      </c>
      <c r="BP679" s="1" t="s">
        <v>74</v>
      </c>
      <c r="BQ679" s="1" t="s">
        <v>74</v>
      </c>
      <c r="BR679" s="1" t="s">
        <v>74</v>
      </c>
      <c r="BS679" s="1" t="s">
        <v>6710</v>
      </c>
      <c r="BT679" s="1" t="str">
        <f>HYPERLINK("https%3A%2F%2Fwww.webofscience.com%2Fwos%2Fwoscc%2Ffull-record%2FWOS:000551592900001","View Full Record in Web of Science")</f>
        <v>View Full Record in Web of Science</v>
      </c>
    </row>
    <row r="680" ht="12.75" customHeight="1">
      <c r="A680" s="1" t="s">
        <v>182</v>
      </c>
      <c r="B680" s="1" t="s">
        <v>6711</v>
      </c>
      <c r="C680" s="1" t="s">
        <v>74</v>
      </c>
      <c r="D680" s="1" t="s">
        <v>74</v>
      </c>
      <c r="E680" s="1" t="s">
        <v>184</v>
      </c>
      <c r="F680" s="1" t="s">
        <v>6712</v>
      </c>
      <c r="G680" s="1" t="s">
        <v>74</v>
      </c>
      <c r="H680" s="1" t="s">
        <v>74</v>
      </c>
      <c r="I680" s="1" t="s">
        <v>6713</v>
      </c>
      <c r="J680" s="1" t="s">
        <v>6714</v>
      </c>
      <c r="K680" s="1" t="s">
        <v>74</v>
      </c>
      <c r="L680" s="1" t="s">
        <v>74</v>
      </c>
      <c r="M680" s="1" t="s">
        <v>74</v>
      </c>
      <c r="N680" s="1" t="s">
        <v>74</v>
      </c>
      <c r="O680" s="1" t="s">
        <v>6715</v>
      </c>
      <c r="P680" s="1" t="s">
        <v>6716</v>
      </c>
      <c r="Q680" s="1" t="s">
        <v>6717</v>
      </c>
      <c r="R680" s="1" t="s">
        <v>6718</v>
      </c>
      <c r="S680" s="1" t="s">
        <v>74</v>
      </c>
      <c r="T680" s="1" t="s">
        <v>74</v>
      </c>
      <c r="U680" s="1" t="s">
        <v>74</v>
      </c>
      <c r="V680" s="1" t="s">
        <v>6719</v>
      </c>
      <c r="W680" s="1" t="s">
        <v>74</v>
      </c>
      <c r="X680" s="1" t="s">
        <v>74</v>
      </c>
      <c r="Y680" s="1" t="s">
        <v>74</v>
      </c>
      <c r="Z680" s="1" t="s">
        <v>74</v>
      </c>
      <c r="AA680" s="1" t="s">
        <v>6720</v>
      </c>
      <c r="AB680" s="1" t="s">
        <v>74</v>
      </c>
      <c r="AC680" s="1" t="s">
        <v>74</v>
      </c>
      <c r="AD680" s="1" t="s">
        <v>74</v>
      </c>
      <c r="AE680" s="1" t="s">
        <v>74</v>
      </c>
      <c r="AF680" s="1" t="s">
        <v>74</v>
      </c>
      <c r="AG680" s="1" t="s">
        <v>74</v>
      </c>
      <c r="AH680" s="1" t="s">
        <v>74</v>
      </c>
      <c r="AI680" s="1" t="s">
        <v>74</v>
      </c>
      <c r="AJ680" s="1" t="s">
        <v>74</v>
      </c>
      <c r="AK680" s="1" t="s">
        <v>74</v>
      </c>
      <c r="AL680" s="1" t="s">
        <v>74</v>
      </c>
      <c r="AM680" s="1" t="s">
        <v>74</v>
      </c>
      <c r="AN680" s="1" t="s">
        <v>74</v>
      </c>
      <c r="AO680" s="1" t="s">
        <v>74</v>
      </c>
      <c r="AP680" s="1" t="s">
        <v>74</v>
      </c>
      <c r="AQ680" s="1" t="s">
        <v>6721</v>
      </c>
      <c r="AR680" s="1" t="s">
        <v>74</v>
      </c>
      <c r="AS680" s="1" t="s">
        <v>74</v>
      </c>
      <c r="AT680" s="1" t="s">
        <v>74</v>
      </c>
      <c r="AU680" s="1">
        <v>2020.0</v>
      </c>
      <c r="AV680" s="1" t="s">
        <v>74</v>
      </c>
      <c r="AW680" s="1" t="s">
        <v>74</v>
      </c>
      <c r="AX680" s="1" t="s">
        <v>74</v>
      </c>
      <c r="AY680" s="1" t="s">
        <v>74</v>
      </c>
      <c r="AZ680" s="1" t="s">
        <v>74</v>
      </c>
      <c r="BA680" s="1" t="s">
        <v>74</v>
      </c>
      <c r="BB680" s="1">
        <v>78.0</v>
      </c>
      <c r="BC680" s="1">
        <v>83.0</v>
      </c>
      <c r="BD680" s="1" t="s">
        <v>74</v>
      </c>
      <c r="BE680" s="1" t="s">
        <v>6722</v>
      </c>
      <c r="BF680" s="2" t="str">
        <f>HYPERLINK("http://dx.doi.org/10.1109/sacvlc50805.2020.9129865","http://dx.doi.org/10.1109/sacvlc50805.2020.9129865")</f>
        <v>http://dx.doi.org/10.1109/sacvlc50805.2020.9129865</v>
      </c>
      <c r="BG680" s="1" t="s">
        <v>74</v>
      </c>
      <c r="BH680" s="1" t="s">
        <v>74</v>
      </c>
      <c r="BI680" s="1" t="s">
        <v>74</v>
      </c>
      <c r="BJ680" s="1" t="s">
        <v>74</v>
      </c>
      <c r="BK680" s="1" t="s">
        <v>74</v>
      </c>
      <c r="BL680" s="1" t="s">
        <v>74</v>
      </c>
      <c r="BM680" s="1" t="s">
        <v>74</v>
      </c>
      <c r="BN680" s="1" t="s">
        <v>74</v>
      </c>
      <c r="BO680" s="1" t="s">
        <v>74</v>
      </c>
      <c r="BP680" s="1" t="s">
        <v>74</v>
      </c>
      <c r="BQ680" s="1" t="s">
        <v>74</v>
      </c>
      <c r="BR680" s="1" t="s">
        <v>74</v>
      </c>
      <c r="BS680" s="1" t="s">
        <v>6723</v>
      </c>
      <c r="BT680" s="1" t="str">
        <f>HYPERLINK("https%3A%2F%2Fwww.webofscience.com%2Fwos%2Fwoscc%2Ffull-record%2FWOS:000856038700015","View Full Record in Web of Science")</f>
        <v>View Full Record in Web of Science</v>
      </c>
    </row>
    <row r="681" ht="12.75" customHeight="1">
      <c r="A681" s="1" t="s">
        <v>72</v>
      </c>
      <c r="B681" s="1" t="s">
        <v>6724</v>
      </c>
      <c r="C681" s="1" t="s">
        <v>74</v>
      </c>
      <c r="D681" s="1" t="s">
        <v>74</v>
      </c>
      <c r="E681" s="1" t="s">
        <v>74</v>
      </c>
      <c r="F681" s="1" t="s">
        <v>6725</v>
      </c>
      <c r="G681" s="1" t="s">
        <v>74</v>
      </c>
      <c r="H681" s="1" t="s">
        <v>74</v>
      </c>
      <c r="I681" s="1" t="s">
        <v>6726</v>
      </c>
      <c r="J681" s="1" t="s">
        <v>6685</v>
      </c>
      <c r="K681" s="1" t="s">
        <v>74</v>
      </c>
      <c r="L681" s="1" t="s">
        <v>74</v>
      </c>
      <c r="M681" s="1" t="s">
        <v>74</v>
      </c>
      <c r="N681" s="1" t="s">
        <v>74</v>
      </c>
      <c r="O681" s="1" t="s">
        <v>74</v>
      </c>
      <c r="P681" s="1" t="s">
        <v>74</v>
      </c>
      <c r="Q681" s="1" t="s">
        <v>74</v>
      </c>
      <c r="R681" s="1" t="s">
        <v>74</v>
      </c>
      <c r="S681" s="1" t="s">
        <v>74</v>
      </c>
      <c r="T681" s="1" t="s">
        <v>74</v>
      </c>
      <c r="U681" s="1" t="s">
        <v>74</v>
      </c>
      <c r="V681" s="1" t="s">
        <v>6727</v>
      </c>
      <c r="W681" s="1" t="s">
        <v>74</v>
      </c>
      <c r="X681" s="1" t="s">
        <v>74</v>
      </c>
      <c r="Y681" s="1" t="s">
        <v>74</v>
      </c>
      <c r="Z681" s="1" t="s">
        <v>74</v>
      </c>
      <c r="AA681" s="1" t="s">
        <v>6728</v>
      </c>
      <c r="AB681" s="1" t="s">
        <v>6729</v>
      </c>
      <c r="AC681" s="1" t="s">
        <v>74</v>
      </c>
      <c r="AD681" s="1" t="s">
        <v>74</v>
      </c>
      <c r="AE681" s="1" t="s">
        <v>74</v>
      </c>
      <c r="AF681" s="1" t="s">
        <v>74</v>
      </c>
      <c r="AG681" s="1" t="s">
        <v>74</v>
      </c>
      <c r="AH681" s="1" t="s">
        <v>74</v>
      </c>
      <c r="AI681" s="1" t="s">
        <v>74</v>
      </c>
      <c r="AJ681" s="1" t="s">
        <v>74</v>
      </c>
      <c r="AK681" s="1" t="s">
        <v>74</v>
      </c>
      <c r="AL681" s="1" t="s">
        <v>74</v>
      </c>
      <c r="AM681" s="1" t="s">
        <v>74</v>
      </c>
      <c r="AN681" s="1" t="s">
        <v>74</v>
      </c>
      <c r="AO681" s="1" t="s">
        <v>6689</v>
      </c>
      <c r="AP681" s="1" t="s">
        <v>6690</v>
      </c>
      <c r="AQ681" s="1" t="s">
        <v>74</v>
      </c>
      <c r="AR681" s="1" t="s">
        <v>74</v>
      </c>
      <c r="AS681" s="1" t="s">
        <v>74</v>
      </c>
      <c r="AT681" s="1" t="s">
        <v>6730</v>
      </c>
      <c r="AU681" s="1">
        <v>2019.0</v>
      </c>
      <c r="AV681" s="1">
        <v>41.0</v>
      </c>
      <c r="AW681" s="1">
        <v>13.0</v>
      </c>
      <c r="AX681" s="1" t="s">
        <v>74</v>
      </c>
      <c r="AY681" s="1" t="s">
        <v>74</v>
      </c>
      <c r="AZ681" s="1" t="s">
        <v>74</v>
      </c>
      <c r="BA681" s="1" t="s">
        <v>74</v>
      </c>
      <c r="BB681" s="1">
        <v>1827.0</v>
      </c>
      <c r="BC681" s="1">
        <v>1847.0</v>
      </c>
      <c r="BD681" s="1" t="s">
        <v>74</v>
      </c>
      <c r="BE681" s="1" t="s">
        <v>6731</v>
      </c>
      <c r="BF681" s="2" t="str">
        <f>HYPERLINK("http://dx.doi.org/10.1080/09500693.2019.1641855","http://dx.doi.org/10.1080/09500693.2019.1641855")</f>
        <v>http://dx.doi.org/10.1080/09500693.2019.1641855</v>
      </c>
      <c r="BG681" s="1" t="s">
        <v>74</v>
      </c>
      <c r="BH681" s="1" t="s">
        <v>6732</v>
      </c>
      <c r="BI681" s="1" t="s">
        <v>74</v>
      </c>
      <c r="BJ681" s="1" t="s">
        <v>74</v>
      </c>
      <c r="BK681" s="1" t="s">
        <v>74</v>
      </c>
      <c r="BL681" s="1" t="s">
        <v>74</v>
      </c>
      <c r="BM681" s="1" t="s">
        <v>74</v>
      </c>
      <c r="BN681" s="1" t="s">
        <v>74</v>
      </c>
      <c r="BO681" s="1" t="s">
        <v>74</v>
      </c>
      <c r="BP681" s="1" t="s">
        <v>74</v>
      </c>
      <c r="BQ681" s="1" t="s">
        <v>74</v>
      </c>
      <c r="BR681" s="1" t="s">
        <v>74</v>
      </c>
      <c r="BS681" s="1" t="s">
        <v>6733</v>
      </c>
      <c r="BT681" s="1" t="str">
        <f>HYPERLINK("https%3A%2F%2Fwww.webofscience.com%2Fwos%2Fwoscc%2Ffull-record%2FWOS:000480204000001","View Full Record in Web of Science")</f>
        <v>View Full Record in Web of Science</v>
      </c>
    </row>
    <row r="682" ht="12.75" customHeight="1">
      <c r="A682" s="1" t="s">
        <v>72</v>
      </c>
      <c r="B682" s="1" t="s">
        <v>6734</v>
      </c>
      <c r="C682" s="1" t="s">
        <v>74</v>
      </c>
      <c r="D682" s="1" t="s">
        <v>74</v>
      </c>
      <c r="E682" s="1" t="s">
        <v>74</v>
      </c>
      <c r="F682" s="1" t="s">
        <v>6735</v>
      </c>
      <c r="G682" s="1" t="s">
        <v>74</v>
      </c>
      <c r="H682" s="1" t="s">
        <v>74</v>
      </c>
      <c r="I682" s="1" t="s">
        <v>6736</v>
      </c>
      <c r="J682" s="1" t="s">
        <v>6737</v>
      </c>
      <c r="K682" s="1" t="s">
        <v>74</v>
      </c>
      <c r="L682" s="1" t="s">
        <v>74</v>
      </c>
      <c r="M682" s="1" t="s">
        <v>74</v>
      </c>
      <c r="N682" s="1" t="s">
        <v>74</v>
      </c>
      <c r="O682" s="1" t="s">
        <v>74</v>
      </c>
      <c r="P682" s="1" t="s">
        <v>74</v>
      </c>
      <c r="Q682" s="1" t="s">
        <v>74</v>
      </c>
      <c r="R682" s="1" t="s">
        <v>74</v>
      </c>
      <c r="S682" s="1" t="s">
        <v>74</v>
      </c>
      <c r="T682" s="1" t="s">
        <v>74</v>
      </c>
      <c r="U682" s="1" t="s">
        <v>74</v>
      </c>
      <c r="V682" s="1" t="s">
        <v>6738</v>
      </c>
      <c r="W682" s="1" t="s">
        <v>74</v>
      </c>
      <c r="X682" s="1" t="s">
        <v>74</v>
      </c>
      <c r="Y682" s="1" t="s">
        <v>74</v>
      </c>
      <c r="Z682" s="1" t="s">
        <v>74</v>
      </c>
      <c r="AA682" s="1" t="s">
        <v>6739</v>
      </c>
      <c r="AB682" s="1" t="s">
        <v>6740</v>
      </c>
      <c r="AC682" s="1" t="s">
        <v>74</v>
      </c>
      <c r="AD682" s="1" t="s">
        <v>74</v>
      </c>
      <c r="AE682" s="1" t="s">
        <v>74</v>
      </c>
      <c r="AF682" s="1" t="s">
        <v>74</v>
      </c>
      <c r="AG682" s="1" t="s">
        <v>74</v>
      </c>
      <c r="AH682" s="1" t="s">
        <v>74</v>
      </c>
      <c r="AI682" s="1" t="s">
        <v>74</v>
      </c>
      <c r="AJ682" s="1" t="s">
        <v>74</v>
      </c>
      <c r="AK682" s="1" t="s">
        <v>74</v>
      </c>
      <c r="AL682" s="1" t="s">
        <v>74</v>
      </c>
      <c r="AM682" s="1" t="s">
        <v>74</v>
      </c>
      <c r="AN682" s="1" t="s">
        <v>74</v>
      </c>
      <c r="AO682" s="1" t="s">
        <v>6741</v>
      </c>
      <c r="AP682" s="1" t="s">
        <v>6742</v>
      </c>
      <c r="AQ682" s="1" t="s">
        <v>74</v>
      </c>
      <c r="AR682" s="1" t="s">
        <v>74</v>
      </c>
      <c r="AS682" s="1" t="s">
        <v>74</v>
      </c>
      <c r="AT682" s="1" t="s">
        <v>306</v>
      </c>
      <c r="AU682" s="1">
        <v>2019.0</v>
      </c>
      <c r="AV682" s="1">
        <v>60.0</v>
      </c>
      <c r="AW682" s="1" t="s">
        <v>74</v>
      </c>
      <c r="AX682" s="1" t="s">
        <v>74</v>
      </c>
      <c r="AY682" s="1" t="s">
        <v>74</v>
      </c>
      <c r="AZ682" s="1" t="s">
        <v>74</v>
      </c>
      <c r="BA682" s="1" t="s">
        <v>74</v>
      </c>
      <c r="BB682" s="1">
        <v>170.0</v>
      </c>
      <c r="BC682" s="1">
        <v>174.0</v>
      </c>
      <c r="BD682" s="1" t="s">
        <v>74</v>
      </c>
      <c r="BE682" s="1" t="s">
        <v>6743</v>
      </c>
      <c r="BF682" s="2" t="str">
        <f>HYPERLINK("http://dx.doi.org/10.1016/j.nut.2018.08.019","http://dx.doi.org/10.1016/j.nut.2018.08.019")</f>
        <v>http://dx.doi.org/10.1016/j.nut.2018.08.019</v>
      </c>
      <c r="BG682" s="1" t="s">
        <v>74</v>
      </c>
      <c r="BH682" s="1" t="s">
        <v>74</v>
      </c>
      <c r="BI682" s="1" t="s">
        <v>74</v>
      </c>
      <c r="BJ682" s="1" t="s">
        <v>74</v>
      </c>
      <c r="BK682" s="1" t="s">
        <v>74</v>
      </c>
      <c r="BL682" s="1" t="s">
        <v>74</v>
      </c>
      <c r="BM682" s="1" t="s">
        <v>74</v>
      </c>
      <c r="BN682" s="1">
        <v>3.0611079E7</v>
      </c>
      <c r="BO682" s="1" t="s">
        <v>74</v>
      </c>
      <c r="BP682" s="1" t="s">
        <v>74</v>
      </c>
      <c r="BQ682" s="1" t="s">
        <v>74</v>
      </c>
      <c r="BR682" s="1" t="s">
        <v>74</v>
      </c>
      <c r="BS682" s="1" t="s">
        <v>6744</v>
      </c>
      <c r="BT682" s="1" t="str">
        <f>HYPERLINK("https%3A%2F%2Fwww.webofscience.com%2Fwos%2Fwoscc%2Ffull-record%2FWOS:000460191300028","View Full Record in Web of Science")</f>
        <v>View Full Record in Web of Science</v>
      </c>
    </row>
    <row r="683" ht="12.75" customHeight="1">
      <c r="A683" s="1" t="s">
        <v>72</v>
      </c>
      <c r="B683" s="1" t="s">
        <v>6745</v>
      </c>
      <c r="C683" s="1" t="s">
        <v>74</v>
      </c>
      <c r="D683" s="1" t="s">
        <v>74</v>
      </c>
      <c r="E683" s="1" t="s">
        <v>74</v>
      </c>
      <c r="F683" s="1" t="s">
        <v>6746</v>
      </c>
      <c r="G683" s="1" t="s">
        <v>74</v>
      </c>
      <c r="H683" s="1" t="s">
        <v>74</v>
      </c>
      <c r="I683" s="1" t="s">
        <v>6747</v>
      </c>
      <c r="J683" s="1" t="s">
        <v>1107</v>
      </c>
      <c r="K683" s="1" t="s">
        <v>74</v>
      </c>
      <c r="L683" s="1" t="s">
        <v>74</v>
      </c>
      <c r="M683" s="1" t="s">
        <v>74</v>
      </c>
      <c r="N683" s="1" t="s">
        <v>74</v>
      </c>
      <c r="O683" s="1" t="s">
        <v>74</v>
      </c>
      <c r="P683" s="1" t="s">
        <v>74</v>
      </c>
      <c r="Q683" s="1" t="s">
        <v>74</v>
      </c>
      <c r="R683" s="1" t="s">
        <v>74</v>
      </c>
      <c r="S683" s="1" t="s">
        <v>74</v>
      </c>
      <c r="T683" s="1" t="s">
        <v>74</v>
      </c>
      <c r="U683" s="1" t="s">
        <v>74</v>
      </c>
      <c r="V683" s="1" t="s">
        <v>6748</v>
      </c>
      <c r="W683" s="1" t="s">
        <v>74</v>
      </c>
      <c r="X683" s="1" t="s">
        <v>74</v>
      </c>
      <c r="Y683" s="1" t="s">
        <v>74</v>
      </c>
      <c r="Z683" s="1" t="s">
        <v>74</v>
      </c>
      <c r="AA683" s="1" t="s">
        <v>6749</v>
      </c>
      <c r="AB683" s="1" t="s">
        <v>6750</v>
      </c>
      <c r="AC683" s="1" t="s">
        <v>74</v>
      </c>
      <c r="AD683" s="1" t="s">
        <v>74</v>
      </c>
      <c r="AE683" s="1" t="s">
        <v>74</v>
      </c>
      <c r="AF683" s="1" t="s">
        <v>74</v>
      </c>
      <c r="AG683" s="1" t="s">
        <v>74</v>
      </c>
      <c r="AH683" s="1" t="s">
        <v>74</v>
      </c>
      <c r="AI683" s="1" t="s">
        <v>74</v>
      </c>
      <c r="AJ683" s="1" t="s">
        <v>74</v>
      </c>
      <c r="AK683" s="1" t="s">
        <v>74</v>
      </c>
      <c r="AL683" s="1" t="s">
        <v>74</v>
      </c>
      <c r="AM683" s="1" t="s">
        <v>74</v>
      </c>
      <c r="AN683" s="1" t="s">
        <v>74</v>
      </c>
      <c r="AO683" s="1" t="s">
        <v>1111</v>
      </c>
      <c r="AP683" s="1" t="s">
        <v>1112</v>
      </c>
      <c r="AQ683" s="1" t="s">
        <v>74</v>
      </c>
      <c r="AR683" s="1" t="s">
        <v>74</v>
      </c>
      <c r="AS683" s="1" t="s">
        <v>74</v>
      </c>
      <c r="AT683" s="1" t="s">
        <v>168</v>
      </c>
      <c r="AU683" s="1">
        <v>2018.0</v>
      </c>
      <c r="AV683" s="1">
        <v>524.0</v>
      </c>
      <c r="AW683" s="1" t="s">
        <v>74</v>
      </c>
      <c r="AX683" s="1" t="s">
        <v>74</v>
      </c>
      <c r="AY683" s="1" t="s">
        <v>74</v>
      </c>
      <c r="AZ683" s="1" t="s">
        <v>74</v>
      </c>
      <c r="BA683" s="1" t="s">
        <v>74</v>
      </c>
      <c r="BB683" s="1">
        <v>177.0</v>
      </c>
      <c r="BC683" s="1">
        <v>187.0</v>
      </c>
      <c r="BD683" s="1" t="s">
        <v>74</v>
      </c>
      <c r="BE683" s="1" t="s">
        <v>6751</v>
      </c>
      <c r="BF683" s="2" t="str">
        <f>HYPERLINK("http://dx.doi.org/10.1016/j.jcis.2018.03.113","http://dx.doi.org/10.1016/j.jcis.2018.03.113")</f>
        <v>http://dx.doi.org/10.1016/j.jcis.2018.03.113</v>
      </c>
      <c r="BG683" s="1" t="s">
        <v>74</v>
      </c>
      <c r="BH683" s="1" t="s">
        <v>74</v>
      </c>
      <c r="BI683" s="1" t="s">
        <v>74</v>
      </c>
      <c r="BJ683" s="1" t="s">
        <v>74</v>
      </c>
      <c r="BK683" s="1" t="s">
        <v>74</v>
      </c>
      <c r="BL683" s="1" t="s">
        <v>74</v>
      </c>
      <c r="BM683" s="1" t="s">
        <v>74</v>
      </c>
      <c r="BN683" s="1">
        <v>2.9653311E7</v>
      </c>
      <c r="BO683" s="1" t="s">
        <v>74</v>
      </c>
      <c r="BP683" s="1" t="s">
        <v>74</v>
      </c>
      <c r="BQ683" s="1" t="s">
        <v>74</v>
      </c>
      <c r="BR683" s="1" t="s">
        <v>74</v>
      </c>
      <c r="BS683" s="1" t="s">
        <v>6752</v>
      </c>
      <c r="BT683" s="1" t="str">
        <f>HYPERLINK("https%3A%2F%2Fwww.webofscience.com%2Fwos%2Fwoscc%2Ffull-record%2FWOS:000434494400020","View Full Record in Web of Science")</f>
        <v>View Full Record in Web of Science</v>
      </c>
    </row>
    <row r="684" ht="12.75" customHeight="1">
      <c r="A684" s="1" t="s">
        <v>72</v>
      </c>
      <c r="B684" s="1" t="s">
        <v>6753</v>
      </c>
      <c r="C684" s="1" t="s">
        <v>74</v>
      </c>
      <c r="D684" s="1" t="s">
        <v>74</v>
      </c>
      <c r="E684" s="1" t="s">
        <v>74</v>
      </c>
      <c r="F684" s="1" t="s">
        <v>6754</v>
      </c>
      <c r="G684" s="1" t="s">
        <v>74</v>
      </c>
      <c r="H684" s="1" t="s">
        <v>74</v>
      </c>
      <c r="I684" s="1" t="s">
        <v>6755</v>
      </c>
      <c r="J684" s="1" t="s">
        <v>6756</v>
      </c>
      <c r="K684" s="1" t="s">
        <v>74</v>
      </c>
      <c r="L684" s="1" t="s">
        <v>74</v>
      </c>
      <c r="M684" s="1" t="s">
        <v>74</v>
      </c>
      <c r="N684" s="1" t="s">
        <v>74</v>
      </c>
      <c r="O684" s="1" t="s">
        <v>74</v>
      </c>
      <c r="P684" s="1" t="s">
        <v>74</v>
      </c>
      <c r="Q684" s="1" t="s">
        <v>74</v>
      </c>
      <c r="R684" s="1" t="s">
        <v>74</v>
      </c>
      <c r="S684" s="1" t="s">
        <v>74</v>
      </c>
      <c r="T684" s="1" t="s">
        <v>74</v>
      </c>
      <c r="U684" s="1" t="s">
        <v>74</v>
      </c>
      <c r="V684" s="1" t="s">
        <v>6757</v>
      </c>
      <c r="W684" s="1" t="s">
        <v>74</v>
      </c>
      <c r="X684" s="1" t="s">
        <v>74</v>
      </c>
      <c r="Y684" s="1" t="s">
        <v>74</v>
      </c>
      <c r="Z684" s="1" t="s">
        <v>74</v>
      </c>
      <c r="AA684" s="1" t="s">
        <v>6758</v>
      </c>
      <c r="AB684" s="1" t="s">
        <v>6759</v>
      </c>
      <c r="AC684" s="1" t="s">
        <v>74</v>
      </c>
      <c r="AD684" s="1" t="s">
        <v>74</v>
      </c>
      <c r="AE684" s="1" t="s">
        <v>74</v>
      </c>
      <c r="AF684" s="1" t="s">
        <v>74</v>
      </c>
      <c r="AG684" s="1" t="s">
        <v>74</v>
      </c>
      <c r="AH684" s="1" t="s">
        <v>74</v>
      </c>
      <c r="AI684" s="1" t="s">
        <v>74</v>
      </c>
      <c r="AJ684" s="1" t="s">
        <v>74</v>
      </c>
      <c r="AK684" s="1" t="s">
        <v>74</v>
      </c>
      <c r="AL684" s="1" t="s">
        <v>74</v>
      </c>
      <c r="AM684" s="1" t="s">
        <v>74</v>
      </c>
      <c r="AN684" s="1" t="s">
        <v>74</v>
      </c>
      <c r="AO684" s="1" t="s">
        <v>6760</v>
      </c>
      <c r="AP684" s="1" t="s">
        <v>6761</v>
      </c>
      <c r="AQ684" s="1" t="s">
        <v>74</v>
      </c>
      <c r="AR684" s="1" t="s">
        <v>74</v>
      </c>
      <c r="AS684" s="1" t="s">
        <v>74</v>
      </c>
      <c r="AT684" s="1" t="s">
        <v>6762</v>
      </c>
      <c r="AU684" s="1">
        <v>2018.0</v>
      </c>
      <c r="AV684" s="1">
        <v>69.0</v>
      </c>
      <c r="AW684" s="1">
        <v>16.0</v>
      </c>
      <c r="AX684" s="1" t="s">
        <v>74</v>
      </c>
      <c r="AY684" s="1" t="s">
        <v>74</v>
      </c>
      <c r="AZ684" s="1" t="s">
        <v>74</v>
      </c>
      <c r="BA684" s="1" t="s">
        <v>74</v>
      </c>
      <c r="BB684" s="1">
        <v>4113.0</v>
      </c>
      <c r="BC684" s="1">
        <v>4126.0</v>
      </c>
      <c r="BD684" s="1" t="s">
        <v>74</v>
      </c>
      <c r="BE684" s="1" t="s">
        <v>6763</v>
      </c>
      <c r="BF684" s="2" t="str">
        <f>HYPERLINK("http://dx.doi.org/10.1093/jxb/ery207","http://dx.doi.org/10.1093/jxb/ery207")</f>
        <v>http://dx.doi.org/10.1093/jxb/ery207</v>
      </c>
      <c r="BG684" s="1" t="s">
        <v>74</v>
      </c>
      <c r="BH684" s="1" t="s">
        <v>74</v>
      </c>
      <c r="BI684" s="1" t="s">
        <v>74</v>
      </c>
      <c r="BJ684" s="1" t="s">
        <v>74</v>
      </c>
      <c r="BK684" s="1" t="s">
        <v>74</v>
      </c>
      <c r="BL684" s="1" t="s">
        <v>74</v>
      </c>
      <c r="BM684" s="1" t="s">
        <v>74</v>
      </c>
      <c r="BN684" s="1">
        <v>2.9860511E7</v>
      </c>
      <c r="BO684" s="1" t="s">
        <v>74</v>
      </c>
      <c r="BP684" s="1" t="s">
        <v>74</v>
      </c>
      <c r="BQ684" s="1" t="s">
        <v>74</v>
      </c>
      <c r="BR684" s="1" t="s">
        <v>74</v>
      </c>
      <c r="BS684" s="1" t="s">
        <v>6764</v>
      </c>
      <c r="BT684" s="1" t="str">
        <f>HYPERLINK("https%3A%2F%2Fwww.webofscience.com%2Fwos%2Fwoscc%2Ffull-record%2FWOS:000439796700024","View Full Record in Web of Science")</f>
        <v>View Full Record in Web of Science</v>
      </c>
    </row>
    <row r="685" ht="12.75" customHeight="1">
      <c r="A685" s="1" t="s">
        <v>72</v>
      </c>
      <c r="B685" s="1" t="s">
        <v>6765</v>
      </c>
      <c r="C685" s="1" t="s">
        <v>74</v>
      </c>
      <c r="D685" s="1" t="s">
        <v>74</v>
      </c>
      <c r="E685" s="1" t="s">
        <v>74</v>
      </c>
      <c r="F685" s="1" t="s">
        <v>6766</v>
      </c>
      <c r="G685" s="1" t="s">
        <v>74</v>
      </c>
      <c r="H685" s="1" t="s">
        <v>74</v>
      </c>
      <c r="I685" s="1" t="s">
        <v>6767</v>
      </c>
      <c r="J685" s="1" t="s">
        <v>6768</v>
      </c>
      <c r="K685" s="1" t="s">
        <v>74</v>
      </c>
      <c r="L685" s="1" t="s">
        <v>74</v>
      </c>
      <c r="M685" s="1" t="s">
        <v>74</v>
      </c>
      <c r="N685" s="1" t="s">
        <v>74</v>
      </c>
      <c r="O685" s="1" t="s">
        <v>74</v>
      </c>
      <c r="P685" s="1" t="s">
        <v>74</v>
      </c>
      <c r="Q685" s="1" t="s">
        <v>74</v>
      </c>
      <c r="R685" s="1" t="s">
        <v>74</v>
      </c>
      <c r="S685" s="1" t="s">
        <v>74</v>
      </c>
      <c r="T685" s="1" t="s">
        <v>74</v>
      </c>
      <c r="U685" s="1" t="s">
        <v>74</v>
      </c>
      <c r="V685" s="1" t="s">
        <v>6769</v>
      </c>
      <c r="W685" s="1" t="s">
        <v>74</v>
      </c>
      <c r="X685" s="1" t="s">
        <v>74</v>
      </c>
      <c r="Y685" s="1" t="s">
        <v>74</v>
      </c>
      <c r="Z685" s="1" t="s">
        <v>74</v>
      </c>
      <c r="AA685" s="1" t="s">
        <v>6770</v>
      </c>
      <c r="AB685" s="1" t="s">
        <v>6771</v>
      </c>
      <c r="AC685" s="1" t="s">
        <v>74</v>
      </c>
      <c r="AD685" s="1" t="s">
        <v>74</v>
      </c>
      <c r="AE685" s="1" t="s">
        <v>74</v>
      </c>
      <c r="AF685" s="1" t="s">
        <v>74</v>
      </c>
      <c r="AG685" s="1" t="s">
        <v>74</v>
      </c>
      <c r="AH685" s="1" t="s">
        <v>74</v>
      </c>
      <c r="AI685" s="1" t="s">
        <v>74</v>
      </c>
      <c r="AJ685" s="1" t="s">
        <v>74</v>
      </c>
      <c r="AK685" s="1" t="s">
        <v>74</v>
      </c>
      <c r="AL685" s="1" t="s">
        <v>74</v>
      </c>
      <c r="AM685" s="1" t="s">
        <v>74</v>
      </c>
      <c r="AN685" s="1" t="s">
        <v>74</v>
      </c>
      <c r="AO685" s="1" t="s">
        <v>6772</v>
      </c>
      <c r="AP685" s="1" t="s">
        <v>74</v>
      </c>
      <c r="AQ685" s="1" t="s">
        <v>74</v>
      </c>
      <c r="AR685" s="1" t="s">
        <v>74</v>
      </c>
      <c r="AS685" s="1" t="s">
        <v>74</v>
      </c>
      <c r="AT685" s="1" t="s">
        <v>652</v>
      </c>
      <c r="AU685" s="1">
        <v>2017.0</v>
      </c>
      <c r="AV685" s="1">
        <v>28.0</v>
      </c>
      <c r="AW685" s="1">
        <v>4.0</v>
      </c>
      <c r="AX685" s="1" t="s">
        <v>74</v>
      </c>
      <c r="AY685" s="1" t="s">
        <v>74</v>
      </c>
      <c r="AZ685" s="1" t="s">
        <v>74</v>
      </c>
      <c r="BA685" s="1" t="s">
        <v>74</v>
      </c>
      <c r="BB685" s="1">
        <v>120.0</v>
      </c>
      <c r="BC685" s="1">
        <v>132.0</v>
      </c>
      <c r="BD685" s="1" t="s">
        <v>74</v>
      </c>
      <c r="BE685" s="1" t="s">
        <v>6773</v>
      </c>
      <c r="BF685" s="2" t="str">
        <f>HYPERLINK("http://dx.doi.org/10.7166/28-4-1701","http://dx.doi.org/10.7166/28-4-1701")</f>
        <v>http://dx.doi.org/10.7166/28-4-1701</v>
      </c>
      <c r="BG685" s="1" t="s">
        <v>74</v>
      </c>
      <c r="BH685" s="1" t="s">
        <v>74</v>
      </c>
      <c r="BI685" s="1" t="s">
        <v>74</v>
      </c>
      <c r="BJ685" s="1" t="s">
        <v>74</v>
      </c>
      <c r="BK685" s="1" t="s">
        <v>74</v>
      </c>
      <c r="BL685" s="1" t="s">
        <v>74</v>
      </c>
      <c r="BM685" s="1" t="s">
        <v>74</v>
      </c>
      <c r="BN685" s="1" t="s">
        <v>74</v>
      </c>
      <c r="BO685" s="1" t="s">
        <v>74</v>
      </c>
      <c r="BP685" s="1" t="s">
        <v>74</v>
      </c>
      <c r="BQ685" s="1" t="s">
        <v>74</v>
      </c>
      <c r="BR685" s="1" t="s">
        <v>74</v>
      </c>
      <c r="BS685" s="1" t="s">
        <v>6774</v>
      </c>
      <c r="BT685" s="1" t="str">
        <f>HYPERLINK("https%3A%2F%2Fwww.webofscience.com%2Fwos%2Fwoscc%2Ffull-record%2FWOS:000427766800010","View Full Record in Web of Science")</f>
        <v>View Full Record in Web of Science</v>
      </c>
    </row>
    <row r="686" ht="12.75" customHeight="1">
      <c r="A686" s="1" t="s">
        <v>72</v>
      </c>
      <c r="B686" s="1" t="s">
        <v>6775</v>
      </c>
      <c r="C686" s="1" t="s">
        <v>74</v>
      </c>
      <c r="D686" s="1" t="s">
        <v>74</v>
      </c>
      <c r="E686" s="1" t="s">
        <v>74</v>
      </c>
      <c r="F686" s="1" t="s">
        <v>6776</v>
      </c>
      <c r="G686" s="1" t="s">
        <v>74</v>
      </c>
      <c r="H686" s="1" t="s">
        <v>74</v>
      </c>
      <c r="I686" s="1" t="s">
        <v>6777</v>
      </c>
      <c r="J686" s="1" t="s">
        <v>6778</v>
      </c>
      <c r="K686" s="1" t="s">
        <v>74</v>
      </c>
      <c r="L686" s="1" t="s">
        <v>74</v>
      </c>
      <c r="M686" s="1" t="s">
        <v>74</v>
      </c>
      <c r="N686" s="1" t="s">
        <v>74</v>
      </c>
      <c r="O686" s="1" t="s">
        <v>74</v>
      </c>
      <c r="P686" s="1" t="s">
        <v>74</v>
      </c>
      <c r="Q686" s="1" t="s">
        <v>74</v>
      </c>
      <c r="R686" s="1" t="s">
        <v>74</v>
      </c>
      <c r="S686" s="1" t="s">
        <v>74</v>
      </c>
      <c r="T686" s="1" t="s">
        <v>74</v>
      </c>
      <c r="U686" s="1" t="s">
        <v>74</v>
      </c>
      <c r="V686" s="1" t="s">
        <v>6779</v>
      </c>
      <c r="W686" s="1" t="s">
        <v>74</v>
      </c>
      <c r="X686" s="1" t="s">
        <v>74</v>
      </c>
      <c r="Y686" s="1" t="s">
        <v>74</v>
      </c>
      <c r="Z686" s="1" t="s">
        <v>74</v>
      </c>
      <c r="AA686" s="1" t="s">
        <v>6780</v>
      </c>
      <c r="AB686" s="1" t="s">
        <v>6781</v>
      </c>
      <c r="AC686" s="1" t="s">
        <v>74</v>
      </c>
      <c r="AD686" s="1" t="s">
        <v>74</v>
      </c>
      <c r="AE686" s="1" t="s">
        <v>74</v>
      </c>
      <c r="AF686" s="1" t="s">
        <v>74</v>
      </c>
      <c r="AG686" s="1" t="s">
        <v>74</v>
      </c>
      <c r="AH686" s="1" t="s">
        <v>74</v>
      </c>
      <c r="AI686" s="1" t="s">
        <v>74</v>
      </c>
      <c r="AJ686" s="1" t="s">
        <v>74</v>
      </c>
      <c r="AK686" s="1" t="s">
        <v>74</v>
      </c>
      <c r="AL686" s="1" t="s">
        <v>74</v>
      </c>
      <c r="AM686" s="1" t="s">
        <v>74</v>
      </c>
      <c r="AN686" s="1" t="s">
        <v>74</v>
      </c>
      <c r="AO686" s="1" t="s">
        <v>6782</v>
      </c>
      <c r="AP686" s="1" t="s">
        <v>6783</v>
      </c>
      <c r="AQ686" s="1" t="s">
        <v>74</v>
      </c>
      <c r="AR686" s="1" t="s">
        <v>74</v>
      </c>
      <c r="AS686" s="1" t="s">
        <v>74</v>
      </c>
      <c r="AT686" s="1" t="s">
        <v>678</v>
      </c>
      <c r="AU686" s="1">
        <v>2017.0</v>
      </c>
      <c r="AV686" s="1">
        <v>106.0</v>
      </c>
      <c r="AW686" s="1" t="s">
        <v>74</v>
      </c>
      <c r="AX686" s="1" t="s">
        <v>74</v>
      </c>
      <c r="AY686" s="1" t="s">
        <v>74</v>
      </c>
      <c r="AZ686" s="1" t="s">
        <v>74</v>
      </c>
      <c r="BA686" s="1" t="s">
        <v>74</v>
      </c>
      <c r="BB686" s="1">
        <v>171.0</v>
      </c>
      <c r="BC686" s="1">
        <v>180.0</v>
      </c>
      <c r="BD686" s="1" t="s">
        <v>74</v>
      </c>
      <c r="BE686" s="1" t="s">
        <v>6784</v>
      </c>
      <c r="BF686" s="2" t="str">
        <f>HYPERLINK("http://dx.doi.org/10.1016/j.fbp.2017.10.001","http://dx.doi.org/10.1016/j.fbp.2017.10.001")</f>
        <v>http://dx.doi.org/10.1016/j.fbp.2017.10.001</v>
      </c>
      <c r="BG686" s="1" t="s">
        <v>74</v>
      </c>
      <c r="BH686" s="1" t="s">
        <v>74</v>
      </c>
      <c r="BI686" s="1" t="s">
        <v>74</v>
      </c>
      <c r="BJ686" s="1" t="s">
        <v>74</v>
      </c>
      <c r="BK686" s="1" t="s">
        <v>74</v>
      </c>
      <c r="BL686" s="1" t="s">
        <v>74</v>
      </c>
      <c r="BM686" s="1" t="s">
        <v>74</v>
      </c>
      <c r="BN686" s="1" t="s">
        <v>74</v>
      </c>
      <c r="BO686" s="1" t="s">
        <v>74</v>
      </c>
      <c r="BP686" s="1" t="s">
        <v>74</v>
      </c>
      <c r="BQ686" s="1" t="s">
        <v>74</v>
      </c>
      <c r="BR686" s="1" t="s">
        <v>74</v>
      </c>
      <c r="BS686" s="1" t="s">
        <v>6785</v>
      </c>
      <c r="BT686" s="1" t="str">
        <f>HYPERLINK("https%3A%2F%2Fwww.webofscience.com%2Fwos%2Fwoscc%2Ffull-record%2FWOS:000417966400019","View Full Record in Web of Science")</f>
        <v>View Full Record in Web of Science</v>
      </c>
    </row>
    <row r="687" ht="12.75" customHeight="1">
      <c r="A687" s="1" t="s">
        <v>72</v>
      </c>
      <c r="B687" s="1" t="s">
        <v>6786</v>
      </c>
      <c r="C687" s="1" t="s">
        <v>74</v>
      </c>
      <c r="D687" s="1" t="s">
        <v>74</v>
      </c>
      <c r="E687" s="1" t="s">
        <v>74</v>
      </c>
      <c r="F687" s="1" t="s">
        <v>6787</v>
      </c>
      <c r="G687" s="1" t="s">
        <v>74</v>
      </c>
      <c r="H687" s="1" t="s">
        <v>74</v>
      </c>
      <c r="I687" s="1" t="s">
        <v>6788</v>
      </c>
      <c r="J687" s="1" t="s">
        <v>6789</v>
      </c>
      <c r="K687" s="1" t="s">
        <v>74</v>
      </c>
      <c r="L687" s="1" t="s">
        <v>74</v>
      </c>
      <c r="M687" s="1" t="s">
        <v>74</v>
      </c>
      <c r="N687" s="1" t="s">
        <v>74</v>
      </c>
      <c r="O687" s="1" t="s">
        <v>74</v>
      </c>
      <c r="P687" s="1" t="s">
        <v>74</v>
      </c>
      <c r="Q687" s="1" t="s">
        <v>74</v>
      </c>
      <c r="R687" s="1" t="s">
        <v>74</v>
      </c>
      <c r="S687" s="1" t="s">
        <v>74</v>
      </c>
      <c r="T687" s="1" t="s">
        <v>74</v>
      </c>
      <c r="U687" s="1" t="s">
        <v>74</v>
      </c>
      <c r="V687" s="1" t="s">
        <v>6790</v>
      </c>
      <c r="W687" s="1" t="s">
        <v>74</v>
      </c>
      <c r="X687" s="1" t="s">
        <v>74</v>
      </c>
      <c r="Y687" s="1" t="s">
        <v>74</v>
      </c>
      <c r="Z687" s="1" t="s">
        <v>74</v>
      </c>
      <c r="AA687" s="1" t="s">
        <v>6791</v>
      </c>
      <c r="AB687" s="1" t="s">
        <v>6792</v>
      </c>
      <c r="AC687" s="1" t="s">
        <v>74</v>
      </c>
      <c r="AD687" s="1" t="s">
        <v>74</v>
      </c>
      <c r="AE687" s="1" t="s">
        <v>74</v>
      </c>
      <c r="AF687" s="1" t="s">
        <v>74</v>
      </c>
      <c r="AG687" s="1" t="s">
        <v>74</v>
      </c>
      <c r="AH687" s="1" t="s">
        <v>74</v>
      </c>
      <c r="AI687" s="1" t="s">
        <v>74</v>
      </c>
      <c r="AJ687" s="1" t="s">
        <v>74</v>
      </c>
      <c r="AK687" s="1" t="s">
        <v>74</v>
      </c>
      <c r="AL687" s="1" t="s">
        <v>74</v>
      </c>
      <c r="AM687" s="1" t="s">
        <v>74</v>
      </c>
      <c r="AN687" s="1" t="s">
        <v>74</v>
      </c>
      <c r="AO687" s="1" t="s">
        <v>6793</v>
      </c>
      <c r="AP687" s="1" t="s">
        <v>6794</v>
      </c>
      <c r="AQ687" s="1" t="s">
        <v>74</v>
      </c>
      <c r="AR687" s="1" t="s">
        <v>74</v>
      </c>
      <c r="AS687" s="1" t="s">
        <v>74</v>
      </c>
      <c r="AT687" s="1" t="s">
        <v>270</v>
      </c>
      <c r="AU687" s="1">
        <v>2017.0</v>
      </c>
      <c r="AV687" s="1">
        <v>384.0</v>
      </c>
      <c r="AW687" s="1" t="s">
        <v>74</v>
      </c>
      <c r="AX687" s="1" t="s">
        <v>74</v>
      </c>
      <c r="AY687" s="1" t="s">
        <v>74</v>
      </c>
      <c r="AZ687" s="1" t="s">
        <v>74</v>
      </c>
      <c r="BA687" s="1" t="s">
        <v>74</v>
      </c>
      <c r="BB687" s="1">
        <v>279.0</v>
      </c>
      <c r="BC687" s="1">
        <v>286.0</v>
      </c>
      <c r="BD687" s="1" t="s">
        <v>74</v>
      </c>
      <c r="BE687" s="1" t="s">
        <v>6795</v>
      </c>
      <c r="BF687" s="2" t="str">
        <f>HYPERLINK("http://dx.doi.org/10.1016/j.foreco.2016.11.005","http://dx.doi.org/10.1016/j.foreco.2016.11.005")</f>
        <v>http://dx.doi.org/10.1016/j.foreco.2016.11.005</v>
      </c>
      <c r="BG687" s="1" t="s">
        <v>74</v>
      </c>
      <c r="BH687" s="1" t="s">
        <v>74</v>
      </c>
      <c r="BI687" s="1" t="s">
        <v>74</v>
      </c>
      <c r="BJ687" s="1" t="s">
        <v>74</v>
      </c>
      <c r="BK687" s="1" t="s">
        <v>74</v>
      </c>
      <c r="BL687" s="1" t="s">
        <v>74</v>
      </c>
      <c r="BM687" s="1" t="s">
        <v>74</v>
      </c>
      <c r="BN687" s="1" t="s">
        <v>74</v>
      </c>
      <c r="BO687" s="1" t="s">
        <v>74</v>
      </c>
      <c r="BP687" s="1" t="s">
        <v>74</v>
      </c>
      <c r="BQ687" s="1" t="s">
        <v>74</v>
      </c>
      <c r="BR687" s="1" t="s">
        <v>74</v>
      </c>
      <c r="BS687" s="1" t="s">
        <v>6796</v>
      </c>
      <c r="BT687" s="1" t="str">
        <f>HYPERLINK("https%3A%2F%2Fwww.webofscience.com%2Fwos%2Fwoscc%2Ffull-record%2FWOS:000390727600029","View Full Record in Web of Science")</f>
        <v>View Full Record in Web of Science</v>
      </c>
    </row>
    <row r="688" ht="12.75" customHeight="1">
      <c r="A688" s="1" t="s">
        <v>72</v>
      </c>
      <c r="B688" s="1" t="s">
        <v>3021</v>
      </c>
      <c r="C688" s="1" t="s">
        <v>74</v>
      </c>
      <c r="D688" s="1" t="s">
        <v>74</v>
      </c>
      <c r="E688" s="1" t="s">
        <v>74</v>
      </c>
      <c r="F688" s="1" t="s">
        <v>3022</v>
      </c>
      <c r="G688" s="1" t="s">
        <v>74</v>
      </c>
      <c r="H688" s="1" t="s">
        <v>74</v>
      </c>
      <c r="I688" s="1" t="s">
        <v>6797</v>
      </c>
      <c r="J688" s="1" t="s">
        <v>6798</v>
      </c>
      <c r="K688" s="1" t="s">
        <v>74</v>
      </c>
      <c r="L688" s="1" t="s">
        <v>74</v>
      </c>
      <c r="M688" s="1" t="s">
        <v>74</v>
      </c>
      <c r="N688" s="1" t="s">
        <v>74</v>
      </c>
      <c r="O688" s="1" t="s">
        <v>6799</v>
      </c>
      <c r="P688" s="1" t="s">
        <v>6800</v>
      </c>
      <c r="Q688" s="1" t="s">
        <v>6801</v>
      </c>
      <c r="R688" s="1" t="s">
        <v>74</v>
      </c>
      <c r="S688" s="1" t="s">
        <v>74</v>
      </c>
      <c r="T688" s="1" t="s">
        <v>74</v>
      </c>
      <c r="U688" s="1" t="s">
        <v>74</v>
      </c>
      <c r="V688" s="1" t="s">
        <v>6802</v>
      </c>
      <c r="W688" s="1" t="s">
        <v>74</v>
      </c>
      <c r="X688" s="1" t="s">
        <v>74</v>
      </c>
      <c r="Y688" s="1" t="s">
        <v>74</v>
      </c>
      <c r="Z688" s="1" t="s">
        <v>74</v>
      </c>
      <c r="AA688" s="1" t="s">
        <v>6803</v>
      </c>
      <c r="AB688" s="1" t="s">
        <v>6804</v>
      </c>
      <c r="AC688" s="1" t="s">
        <v>74</v>
      </c>
      <c r="AD688" s="1" t="s">
        <v>74</v>
      </c>
      <c r="AE688" s="1" t="s">
        <v>74</v>
      </c>
      <c r="AF688" s="1" t="s">
        <v>74</v>
      </c>
      <c r="AG688" s="1" t="s">
        <v>74</v>
      </c>
      <c r="AH688" s="1" t="s">
        <v>74</v>
      </c>
      <c r="AI688" s="1" t="s">
        <v>74</v>
      </c>
      <c r="AJ688" s="1" t="s">
        <v>74</v>
      </c>
      <c r="AK688" s="1" t="s">
        <v>74</v>
      </c>
      <c r="AL688" s="1" t="s">
        <v>74</v>
      </c>
      <c r="AM688" s="1" t="s">
        <v>74</v>
      </c>
      <c r="AN688" s="1" t="s">
        <v>74</v>
      </c>
      <c r="AO688" s="1" t="s">
        <v>6805</v>
      </c>
      <c r="AP688" s="1" t="s">
        <v>6806</v>
      </c>
      <c r="AQ688" s="1" t="s">
        <v>74</v>
      </c>
      <c r="AR688" s="1" t="s">
        <v>74</v>
      </c>
      <c r="AS688" s="1" t="s">
        <v>74</v>
      </c>
      <c r="AT688" s="1" t="s">
        <v>4768</v>
      </c>
      <c r="AU688" s="1">
        <v>2017.0</v>
      </c>
      <c r="AV688" s="1">
        <v>142.0</v>
      </c>
      <c r="AW688" s="1" t="s">
        <v>74</v>
      </c>
      <c r="AX688" s="1" t="s">
        <v>74</v>
      </c>
      <c r="AY688" s="1" t="s">
        <v>74</v>
      </c>
      <c r="AZ688" s="1" t="s">
        <v>74</v>
      </c>
      <c r="BA688" s="1" t="s">
        <v>74</v>
      </c>
      <c r="BB688" s="1">
        <v>72.0</v>
      </c>
      <c r="BC688" s="1">
        <v>78.0</v>
      </c>
      <c r="BD688" s="1" t="s">
        <v>74</v>
      </c>
      <c r="BE688" s="1" t="s">
        <v>6807</v>
      </c>
      <c r="BF688" s="2" t="str">
        <f>HYPERLINK("http://dx.doi.org/10.1016/j.compfluid.2016.07.012","http://dx.doi.org/10.1016/j.compfluid.2016.07.012")</f>
        <v>http://dx.doi.org/10.1016/j.compfluid.2016.07.012</v>
      </c>
      <c r="BG688" s="1" t="s">
        <v>74</v>
      </c>
      <c r="BH688" s="1" t="s">
        <v>74</v>
      </c>
      <c r="BI688" s="1" t="s">
        <v>74</v>
      </c>
      <c r="BJ688" s="1" t="s">
        <v>74</v>
      </c>
      <c r="BK688" s="1" t="s">
        <v>74</v>
      </c>
      <c r="BL688" s="1" t="s">
        <v>74</v>
      </c>
      <c r="BM688" s="1" t="s">
        <v>74</v>
      </c>
      <c r="BN688" s="1" t="s">
        <v>74</v>
      </c>
      <c r="BO688" s="1" t="s">
        <v>74</v>
      </c>
      <c r="BP688" s="1" t="s">
        <v>74</v>
      </c>
      <c r="BQ688" s="1" t="s">
        <v>74</v>
      </c>
      <c r="BR688" s="1" t="s">
        <v>74</v>
      </c>
      <c r="BS688" s="1" t="s">
        <v>6808</v>
      </c>
      <c r="BT688" s="1" t="str">
        <f>HYPERLINK("https%3A%2F%2Fwww.webofscience.com%2Fwos%2Fwoscc%2Ffull-record%2FWOS:000390077800009","View Full Record in Web of Science")</f>
        <v>View Full Record in Web of Science</v>
      </c>
    </row>
    <row r="689" ht="12.75" customHeight="1">
      <c r="A689" s="1" t="s">
        <v>182</v>
      </c>
      <c r="B689" s="1" t="s">
        <v>6809</v>
      </c>
      <c r="C689" s="1" t="s">
        <v>74</v>
      </c>
      <c r="D689" s="1" t="s">
        <v>6810</v>
      </c>
      <c r="E689" s="1" t="s">
        <v>74</v>
      </c>
      <c r="F689" s="1" t="s">
        <v>6811</v>
      </c>
      <c r="G689" s="1" t="s">
        <v>74</v>
      </c>
      <c r="H689" s="1" t="s">
        <v>74</v>
      </c>
      <c r="I689" s="1" t="s">
        <v>6812</v>
      </c>
      <c r="J689" s="1" t="s">
        <v>6813</v>
      </c>
      <c r="K689" s="1" t="s">
        <v>380</v>
      </c>
      <c r="L689" s="1" t="s">
        <v>74</v>
      </c>
      <c r="M689" s="1" t="s">
        <v>74</v>
      </c>
      <c r="N689" s="1" t="s">
        <v>74</v>
      </c>
      <c r="O689" s="1" t="s">
        <v>6814</v>
      </c>
      <c r="P689" s="1" t="s">
        <v>6815</v>
      </c>
      <c r="Q689" s="1" t="s">
        <v>6816</v>
      </c>
      <c r="R689" s="1" t="s">
        <v>6817</v>
      </c>
      <c r="S689" s="1" t="s">
        <v>74</v>
      </c>
      <c r="T689" s="1" t="s">
        <v>74</v>
      </c>
      <c r="U689" s="1" t="s">
        <v>74</v>
      </c>
      <c r="V689" s="1" t="s">
        <v>6818</v>
      </c>
      <c r="W689" s="1" t="s">
        <v>74</v>
      </c>
      <c r="X689" s="1" t="s">
        <v>74</v>
      </c>
      <c r="Y689" s="1" t="s">
        <v>74</v>
      </c>
      <c r="Z689" s="1" t="s">
        <v>74</v>
      </c>
      <c r="AA689" s="1" t="s">
        <v>6819</v>
      </c>
      <c r="AB689" s="1" t="s">
        <v>387</v>
      </c>
      <c r="AC689" s="1" t="s">
        <v>74</v>
      </c>
      <c r="AD689" s="1" t="s">
        <v>74</v>
      </c>
      <c r="AE689" s="1" t="s">
        <v>74</v>
      </c>
      <c r="AF689" s="1" t="s">
        <v>74</v>
      </c>
      <c r="AG689" s="1" t="s">
        <v>74</v>
      </c>
      <c r="AH689" s="1" t="s">
        <v>74</v>
      </c>
      <c r="AI689" s="1" t="s">
        <v>74</v>
      </c>
      <c r="AJ689" s="1" t="s">
        <v>74</v>
      </c>
      <c r="AK689" s="1" t="s">
        <v>74</v>
      </c>
      <c r="AL689" s="1" t="s">
        <v>74</v>
      </c>
      <c r="AM689" s="1" t="s">
        <v>74</v>
      </c>
      <c r="AN689" s="1" t="s">
        <v>74</v>
      </c>
      <c r="AO689" s="1" t="s">
        <v>388</v>
      </c>
      <c r="AP689" s="1" t="s">
        <v>74</v>
      </c>
      <c r="AQ689" s="1" t="s">
        <v>74</v>
      </c>
      <c r="AR689" s="1" t="s">
        <v>74</v>
      </c>
      <c r="AS689" s="1" t="s">
        <v>74</v>
      </c>
      <c r="AT689" s="1" t="s">
        <v>74</v>
      </c>
      <c r="AU689" s="1">
        <v>2016.0</v>
      </c>
      <c r="AV689" s="1">
        <v>91.0</v>
      </c>
      <c r="AW689" s="1" t="s">
        <v>74</v>
      </c>
      <c r="AX689" s="1" t="s">
        <v>74</v>
      </c>
      <c r="AY689" s="1" t="s">
        <v>74</v>
      </c>
      <c r="AZ689" s="1" t="s">
        <v>74</v>
      </c>
      <c r="BA689" s="1" t="s">
        <v>74</v>
      </c>
      <c r="BB689" s="1">
        <v>75.0</v>
      </c>
      <c r="BC689" s="1">
        <v>84.0</v>
      </c>
      <c r="BD689" s="1" t="s">
        <v>74</v>
      </c>
      <c r="BE689" s="1" t="s">
        <v>6820</v>
      </c>
      <c r="BF689" s="2" t="str">
        <f>HYPERLINK("http://dx.doi.org/10.1016/j.procs.2016.07.043","http://dx.doi.org/10.1016/j.procs.2016.07.043")</f>
        <v>http://dx.doi.org/10.1016/j.procs.2016.07.043</v>
      </c>
      <c r="BG689" s="1" t="s">
        <v>74</v>
      </c>
      <c r="BH689" s="1" t="s">
        <v>74</v>
      </c>
      <c r="BI689" s="1" t="s">
        <v>74</v>
      </c>
      <c r="BJ689" s="1" t="s">
        <v>74</v>
      </c>
      <c r="BK689" s="1" t="s">
        <v>74</v>
      </c>
      <c r="BL689" s="1" t="s">
        <v>74</v>
      </c>
      <c r="BM689" s="1" t="s">
        <v>74</v>
      </c>
      <c r="BN689" s="1" t="s">
        <v>74</v>
      </c>
      <c r="BO689" s="1" t="s">
        <v>74</v>
      </c>
      <c r="BP689" s="1" t="s">
        <v>74</v>
      </c>
      <c r="BQ689" s="1" t="s">
        <v>74</v>
      </c>
      <c r="BR689" s="1" t="s">
        <v>74</v>
      </c>
      <c r="BS689" s="1" t="s">
        <v>6821</v>
      </c>
      <c r="BT689" s="1" t="str">
        <f>HYPERLINK("https%3A%2F%2Fwww.webofscience.com%2Fwos%2Fwoscc%2Ffull-record%2FWOS:000387683300008","View Full Record in Web of Science")</f>
        <v>View Full Record in Web of Science</v>
      </c>
    </row>
    <row r="690" ht="12.75" customHeight="1">
      <c r="A690" s="1" t="s">
        <v>182</v>
      </c>
      <c r="B690" s="1" t="s">
        <v>6822</v>
      </c>
      <c r="C690" s="1" t="s">
        <v>74</v>
      </c>
      <c r="D690" s="1" t="s">
        <v>6823</v>
      </c>
      <c r="E690" s="1" t="s">
        <v>74</v>
      </c>
      <c r="F690" s="1" t="s">
        <v>6824</v>
      </c>
      <c r="G690" s="1" t="s">
        <v>74</v>
      </c>
      <c r="H690" s="1" t="s">
        <v>74</v>
      </c>
      <c r="I690" s="1" t="s">
        <v>6825</v>
      </c>
      <c r="J690" s="1" t="s">
        <v>6826</v>
      </c>
      <c r="K690" s="1" t="s">
        <v>6827</v>
      </c>
      <c r="L690" s="1" t="s">
        <v>74</v>
      </c>
      <c r="M690" s="1" t="s">
        <v>74</v>
      </c>
      <c r="N690" s="1" t="s">
        <v>74</v>
      </c>
      <c r="O690" s="1" t="s">
        <v>6828</v>
      </c>
      <c r="P690" s="1" t="s">
        <v>6829</v>
      </c>
      <c r="Q690" s="1" t="s">
        <v>6830</v>
      </c>
      <c r="R690" s="1" t="s">
        <v>6831</v>
      </c>
      <c r="S690" s="1" t="s">
        <v>74</v>
      </c>
      <c r="T690" s="1" t="s">
        <v>74</v>
      </c>
      <c r="U690" s="1" t="s">
        <v>74</v>
      </c>
      <c r="V690" s="1" t="s">
        <v>6832</v>
      </c>
      <c r="W690" s="1" t="s">
        <v>74</v>
      </c>
      <c r="X690" s="1" t="s">
        <v>74</v>
      </c>
      <c r="Y690" s="1" t="s">
        <v>74</v>
      </c>
      <c r="Z690" s="1" t="s">
        <v>74</v>
      </c>
      <c r="AA690" s="1" t="s">
        <v>6833</v>
      </c>
      <c r="AB690" s="1" t="s">
        <v>6834</v>
      </c>
      <c r="AC690" s="1" t="s">
        <v>74</v>
      </c>
      <c r="AD690" s="1" t="s">
        <v>74</v>
      </c>
      <c r="AE690" s="1" t="s">
        <v>74</v>
      </c>
      <c r="AF690" s="1" t="s">
        <v>74</v>
      </c>
      <c r="AG690" s="1" t="s">
        <v>74</v>
      </c>
      <c r="AH690" s="1" t="s">
        <v>74</v>
      </c>
      <c r="AI690" s="1" t="s">
        <v>74</v>
      </c>
      <c r="AJ690" s="1" t="s">
        <v>74</v>
      </c>
      <c r="AK690" s="1" t="s">
        <v>74</v>
      </c>
      <c r="AL690" s="1" t="s">
        <v>74</v>
      </c>
      <c r="AM690" s="1" t="s">
        <v>74</v>
      </c>
      <c r="AN690" s="1" t="s">
        <v>74</v>
      </c>
      <c r="AO690" s="1" t="s">
        <v>6835</v>
      </c>
      <c r="AP690" s="1" t="s">
        <v>74</v>
      </c>
      <c r="AQ690" s="1" t="s">
        <v>6836</v>
      </c>
      <c r="AR690" s="1" t="s">
        <v>74</v>
      </c>
      <c r="AS690" s="1" t="s">
        <v>74</v>
      </c>
      <c r="AT690" s="1" t="s">
        <v>74</v>
      </c>
      <c r="AU690" s="1">
        <v>2016.0</v>
      </c>
      <c r="AV690" s="1">
        <v>640.0</v>
      </c>
      <c r="AW690" s="1" t="s">
        <v>74</v>
      </c>
      <c r="AX690" s="1" t="s">
        <v>74</v>
      </c>
      <c r="AY690" s="1" t="s">
        <v>74</v>
      </c>
      <c r="AZ690" s="1" t="s">
        <v>74</v>
      </c>
      <c r="BA690" s="1" t="s">
        <v>74</v>
      </c>
      <c r="BB690" s="1">
        <v>189.0</v>
      </c>
      <c r="BC690" s="1">
        <v>197.0</v>
      </c>
      <c r="BD690" s="1" t="s">
        <v>74</v>
      </c>
      <c r="BE690" s="1" t="s">
        <v>6837</v>
      </c>
      <c r="BF690" s="2" t="str">
        <f>HYPERLINK("http://dx.doi.org/10.1007/978-3-319-30337-6_18","http://dx.doi.org/10.1007/978-3-319-30337-6_18")</f>
        <v>http://dx.doi.org/10.1007/978-3-319-30337-6_18</v>
      </c>
      <c r="BG690" s="1" t="s">
        <v>74</v>
      </c>
      <c r="BH690" s="1" t="s">
        <v>74</v>
      </c>
      <c r="BI690" s="1" t="s">
        <v>74</v>
      </c>
      <c r="BJ690" s="1" t="s">
        <v>74</v>
      </c>
      <c r="BK690" s="1" t="s">
        <v>74</v>
      </c>
      <c r="BL690" s="1" t="s">
        <v>74</v>
      </c>
      <c r="BM690" s="1" t="s">
        <v>74</v>
      </c>
      <c r="BN690" s="1" t="s">
        <v>74</v>
      </c>
      <c r="BO690" s="1" t="s">
        <v>74</v>
      </c>
      <c r="BP690" s="1" t="s">
        <v>74</v>
      </c>
      <c r="BQ690" s="1" t="s">
        <v>74</v>
      </c>
      <c r="BR690" s="1" t="s">
        <v>74</v>
      </c>
      <c r="BS690" s="1" t="s">
        <v>6838</v>
      </c>
      <c r="BT690" s="1" t="str">
        <f>HYPERLINK("https%3A%2F%2Fwww.webofscience.com%2Fwos%2Fwoscc%2Ffull-record%2FWOS:000386325800018","View Full Record in Web of Science")</f>
        <v>View Full Record in Web of Science</v>
      </c>
    </row>
    <row r="691" ht="12.75" customHeight="1">
      <c r="A691" s="1" t="s">
        <v>182</v>
      </c>
      <c r="B691" s="1" t="s">
        <v>6839</v>
      </c>
      <c r="C691" s="1" t="s">
        <v>74</v>
      </c>
      <c r="D691" s="1" t="s">
        <v>6840</v>
      </c>
      <c r="E691" s="1" t="s">
        <v>74</v>
      </c>
      <c r="F691" s="1" t="s">
        <v>6841</v>
      </c>
      <c r="G691" s="1" t="s">
        <v>74</v>
      </c>
      <c r="H691" s="1" t="s">
        <v>74</v>
      </c>
      <c r="I691" s="1" t="s">
        <v>6842</v>
      </c>
      <c r="J691" s="1" t="s">
        <v>6843</v>
      </c>
      <c r="K691" s="1" t="s">
        <v>74</v>
      </c>
      <c r="L691" s="1" t="s">
        <v>74</v>
      </c>
      <c r="M691" s="1" t="s">
        <v>74</v>
      </c>
      <c r="N691" s="1" t="s">
        <v>74</v>
      </c>
      <c r="O691" s="1" t="s">
        <v>6844</v>
      </c>
      <c r="P691" s="1" t="s">
        <v>6845</v>
      </c>
      <c r="Q691" s="1" t="s">
        <v>986</v>
      </c>
      <c r="R691" s="1" t="s">
        <v>6846</v>
      </c>
      <c r="S691" s="1" t="s">
        <v>74</v>
      </c>
      <c r="T691" s="1" t="s">
        <v>74</v>
      </c>
      <c r="U691" s="1" t="s">
        <v>74</v>
      </c>
      <c r="V691" s="1" t="s">
        <v>6847</v>
      </c>
      <c r="W691" s="1" t="s">
        <v>74</v>
      </c>
      <c r="X691" s="1" t="s">
        <v>74</v>
      </c>
      <c r="Y691" s="1" t="s">
        <v>74</v>
      </c>
      <c r="Z691" s="1" t="s">
        <v>74</v>
      </c>
      <c r="AA691" s="1" t="s">
        <v>6848</v>
      </c>
      <c r="AB691" s="1" t="s">
        <v>6849</v>
      </c>
      <c r="AC691" s="1" t="s">
        <v>74</v>
      </c>
      <c r="AD691" s="1" t="s">
        <v>74</v>
      </c>
      <c r="AE691" s="1" t="s">
        <v>74</v>
      </c>
      <c r="AF691" s="1" t="s">
        <v>74</v>
      </c>
      <c r="AG691" s="1" t="s">
        <v>74</v>
      </c>
      <c r="AH691" s="1" t="s">
        <v>74</v>
      </c>
      <c r="AI691" s="1" t="s">
        <v>74</v>
      </c>
      <c r="AJ691" s="1" t="s">
        <v>74</v>
      </c>
      <c r="AK691" s="1" t="s">
        <v>74</v>
      </c>
      <c r="AL691" s="1" t="s">
        <v>74</v>
      </c>
      <c r="AM691" s="1" t="s">
        <v>74</v>
      </c>
      <c r="AN691" s="1" t="s">
        <v>74</v>
      </c>
      <c r="AO691" s="1" t="s">
        <v>74</v>
      </c>
      <c r="AP691" s="1" t="s">
        <v>74</v>
      </c>
      <c r="AQ691" s="1" t="s">
        <v>6850</v>
      </c>
      <c r="AR691" s="1" t="s">
        <v>74</v>
      </c>
      <c r="AS691" s="1" t="s">
        <v>74</v>
      </c>
      <c r="AT691" s="1" t="s">
        <v>74</v>
      </c>
      <c r="AU691" s="1">
        <v>2016.0</v>
      </c>
      <c r="AV691" s="1" t="s">
        <v>74</v>
      </c>
      <c r="AW691" s="1" t="s">
        <v>74</v>
      </c>
      <c r="AX691" s="1" t="s">
        <v>74</v>
      </c>
      <c r="AY691" s="1" t="s">
        <v>74</v>
      </c>
      <c r="AZ691" s="1" t="s">
        <v>74</v>
      </c>
      <c r="BA691" s="1" t="s">
        <v>74</v>
      </c>
      <c r="BB691" s="1">
        <v>188.0</v>
      </c>
      <c r="BC691" s="1">
        <v>195.0</v>
      </c>
      <c r="BD691" s="1" t="s">
        <v>74</v>
      </c>
      <c r="BE691" s="1" t="s">
        <v>74</v>
      </c>
      <c r="BF691" s="1" t="s">
        <v>74</v>
      </c>
      <c r="BG691" s="1" t="s">
        <v>74</v>
      </c>
      <c r="BH691" s="1" t="s">
        <v>74</v>
      </c>
      <c r="BI691" s="1" t="s">
        <v>74</v>
      </c>
      <c r="BJ691" s="1" t="s">
        <v>74</v>
      </c>
      <c r="BK691" s="1" t="s">
        <v>74</v>
      </c>
      <c r="BL691" s="1" t="s">
        <v>74</v>
      </c>
      <c r="BM691" s="1" t="s">
        <v>74</v>
      </c>
      <c r="BN691" s="1" t="s">
        <v>74</v>
      </c>
      <c r="BO691" s="1" t="s">
        <v>74</v>
      </c>
      <c r="BP691" s="1" t="s">
        <v>74</v>
      </c>
      <c r="BQ691" s="1" t="s">
        <v>74</v>
      </c>
      <c r="BR691" s="1" t="s">
        <v>74</v>
      </c>
      <c r="BS691" s="1" t="s">
        <v>6851</v>
      </c>
      <c r="BT691" s="1" t="str">
        <f>HYPERLINK("https%3A%2F%2Fwww.webofscience.com%2Fwos%2Fwoscc%2Ffull-record%2FWOS:000391251000029","View Full Record in Web of Science")</f>
        <v>View Full Record in Web of Science</v>
      </c>
    </row>
    <row r="692" ht="12.75" customHeight="1">
      <c r="A692" s="1" t="s">
        <v>72</v>
      </c>
      <c r="B692" s="1" t="s">
        <v>6852</v>
      </c>
      <c r="C692" s="1" t="s">
        <v>74</v>
      </c>
      <c r="D692" s="1" t="s">
        <v>74</v>
      </c>
      <c r="E692" s="1" t="s">
        <v>74</v>
      </c>
      <c r="F692" s="1" t="s">
        <v>6853</v>
      </c>
      <c r="G692" s="1" t="s">
        <v>74</v>
      </c>
      <c r="H692" s="1" t="s">
        <v>74</v>
      </c>
      <c r="I692" s="1" t="s">
        <v>6854</v>
      </c>
      <c r="J692" s="1" t="s">
        <v>6855</v>
      </c>
      <c r="K692" s="1" t="s">
        <v>74</v>
      </c>
      <c r="L692" s="1" t="s">
        <v>74</v>
      </c>
      <c r="M692" s="1" t="s">
        <v>74</v>
      </c>
      <c r="N692" s="1" t="s">
        <v>74</v>
      </c>
      <c r="O692" s="1" t="s">
        <v>74</v>
      </c>
      <c r="P692" s="1" t="s">
        <v>74</v>
      </c>
      <c r="Q692" s="1" t="s">
        <v>74</v>
      </c>
      <c r="R692" s="1" t="s">
        <v>74</v>
      </c>
      <c r="S692" s="1" t="s">
        <v>74</v>
      </c>
      <c r="T692" s="1" t="s">
        <v>74</v>
      </c>
      <c r="U692" s="1" t="s">
        <v>74</v>
      </c>
      <c r="V692" s="1" t="s">
        <v>6856</v>
      </c>
      <c r="W692" s="1" t="s">
        <v>74</v>
      </c>
      <c r="X692" s="1" t="s">
        <v>74</v>
      </c>
      <c r="Y692" s="1" t="s">
        <v>74</v>
      </c>
      <c r="Z692" s="1" t="s">
        <v>74</v>
      </c>
      <c r="AA692" s="1" t="s">
        <v>6857</v>
      </c>
      <c r="AB692" s="1" t="s">
        <v>6858</v>
      </c>
      <c r="AC692" s="1" t="s">
        <v>74</v>
      </c>
      <c r="AD692" s="1" t="s">
        <v>74</v>
      </c>
      <c r="AE692" s="1" t="s">
        <v>74</v>
      </c>
      <c r="AF692" s="1" t="s">
        <v>74</v>
      </c>
      <c r="AG692" s="1" t="s">
        <v>74</v>
      </c>
      <c r="AH692" s="1" t="s">
        <v>74</v>
      </c>
      <c r="AI692" s="1" t="s">
        <v>74</v>
      </c>
      <c r="AJ692" s="1" t="s">
        <v>74</v>
      </c>
      <c r="AK692" s="1" t="s">
        <v>74</v>
      </c>
      <c r="AL692" s="1" t="s">
        <v>74</v>
      </c>
      <c r="AM692" s="1" t="s">
        <v>74</v>
      </c>
      <c r="AN692" s="1" t="s">
        <v>74</v>
      </c>
      <c r="AO692" s="1" t="s">
        <v>6859</v>
      </c>
      <c r="AP692" s="1" t="s">
        <v>6860</v>
      </c>
      <c r="AQ692" s="1" t="s">
        <v>74</v>
      </c>
      <c r="AR692" s="1" t="s">
        <v>74</v>
      </c>
      <c r="AS692" s="1" t="s">
        <v>74</v>
      </c>
      <c r="AT692" s="1" t="s">
        <v>90</v>
      </c>
      <c r="AU692" s="1">
        <v>2015.0</v>
      </c>
      <c r="AV692" s="1">
        <v>156.0</v>
      </c>
      <c r="AW692" s="1" t="s">
        <v>74</v>
      </c>
      <c r="AX692" s="1" t="s">
        <v>74</v>
      </c>
      <c r="AY692" s="1" t="s">
        <v>74</v>
      </c>
      <c r="AZ692" s="1" t="s">
        <v>74</v>
      </c>
      <c r="BA692" s="1" t="s">
        <v>74</v>
      </c>
      <c r="BB692" s="1">
        <v>96.0</v>
      </c>
      <c r="BC692" s="1">
        <v>102.0</v>
      </c>
      <c r="BD692" s="1" t="s">
        <v>74</v>
      </c>
      <c r="BE692" s="1" t="s">
        <v>6861</v>
      </c>
      <c r="BF692" s="2" t="str">
        <f>HYPERLINK("http://dx.doi.org/10.1016/j.fuel.2015.04.030","http://dx.doi.org/10.1016/j.fuel.2015.04.030")</f>
        <v>http://dx.doi.org/10.1016/j.fuel.2015.04.030</v>
      </c>
      <c r="BG692" s="1" t="s">
        <v>74</v>
      </c>
      <c r="BH692" s="1" t="s">
        <v>74</v>
      </c>
      <c r="BI692" s="1" t="s">
        <v>74</v>
      </c>
      <c r="BJ692" s="1" t="s">
        <v>74</v>
      </c>
      <c r="BK692" s="1" t="s">
        <v>74</v>
      </c>
      <c r="BL692" s="1" t="s">
        <v>74</v>
      </c>
      <c r="BM692" s="1" t="s">
        <v>74</v>
      </c>
      <c r="BN692" s="1" t="s">
        <v>74</v>
      </c>
      <c r="BO692" s="1" t="s">
        <v>74</v>
      </c>
      <c r="BP692" s="1" t="s">
        <v>74</v>
      </c>
      <c r="BQ692" s="1" t="s">
        <v>74</v>
      </c>
      <c r="BR692" s="1" t="s">
        <v>74</v>
      </c>
      <c r="BS692" s="1" t="s">
        <v>6862</v>
      </c>
      <c r="BT692" s="1" t="str">
        <f>HYPERLINK("https%3A%2F%2Fwww.webofscience.com%2Fwos%2Fwoscc%2Ffull-record%2FWOS:000354571400012","View Full Record in Web of Science")</f>
        <v>View Full Record in Web of Science</v>
      </c>
    </row>
    <row r="693" ht="12.75" customHeight="1">
      <c r="A693" s="1" t="s">
        <v>72</v>
      </c>
      <c r="B693" s="1" t="s">
        <v>6863</v>
      </c>
      <c r="C693" s="1" t="s">
        <v>74</v>
      </c>
      <c r="D693" s="1" t="s">
        <v>74</v>
      </c>
      <c r="E693" s="1" t="s">
        <v>74</v>
      </c>
      <c r="F693" s="1" t="s">
        <v>6864</v>
      </c>
      <c r="G693" s="1" t="s">
        <v>74</v>
      </c>
      <c r="H693" s="1" t="s">
        <v>74</v>
      </c>
      <c r="I693" s="1" t="s">
        <v>6865</v>
      </c>
      <c r="J693" s="1" t="s">
        <v>5506</v>
      </c>
      <c r="K693" s="1" t="s">
        <v>74</v>
      </c>
      <c r="L693" s="1" t="s">
        <v>74</v>
      </c>
      <c r="M693" s="1" t="s">
        <v>74</v>
      </c>
      <c r="N693" s="1" t="s">
        <v>74</v>
      </c>
      <c r="O693" s="1" t="s">
        <v>74</v>
      </c>
      <c r="P693" s="1" t="s">
        <v>74</v>
      </c>
      <c r="Q693" s="1" t="s">
        <v>74</v>
      </c>
      <c r="R693" s="1" t="s">
        <v>74</v>
      </c>
      <c r="S693" s="1" t="s">
        <v>74</v>
      </c>
      <c r="T693" s="1" t="s">
        <v>74</v>
      </c>
      <c r="U693" s="1" t="s">
        <v>74</v>
      </c>
      <c r="V693" s="1" t="s">
        <v>6866</v>
      </c>
      <c r="W693" s="1" t="s">
        <v>74</v>
      </c>
      <c r="X693" s="1" t="s">
        <v>74</v>
      </c>
      <c r="Y693" s="1" t="s">
        <v>74</v>
      </c>
      <c r="Z693" s="1" t="s">
        <v>74</v>
      </c>
      <c r="AA693" s="1" t="s">
        <v>6867</v>
      </c>
      <c r="AB693" s="1" t="s">
        <v>6868</v>
      </c>
      <c r="AC693" s="1" t="s">
        <v>74</v>
      </c>
      <c r="AD693" s="1" t="s">
        <v>74</v>
      </c>
      <c r="AE693" s="1" t="s">
        <v>74</v>
      </c>
      <c r="AF693" s="1" t="s">
        <v>74</v>
      </c>
      <c r="AG693" s="1" t="s">
        <v>74</v>
      </c>
      <c r="AH693" s="1" t="s">
        <v>74</v>
      </c>
      <c r="AI693" s="1" t="s">
        <v>74</v>
      </c>
      <c r="AJ693" s="1" t="s">
        <v>74</v>
      </c>
      <c r="AK693" s="1" t="s">
        <v>74</v>
      </c>
      <c r="AL693" s="1" t="s">
        <v>74</v>
      </c>
      <c r="AM693" s="1" t="s">
        <v>74</v>
      </c>
      <c r="AN693" s="1" t="s">
        <v>74</v>
      </c>
      <c r="AO693" s="1" t="s">
        <v>5510</v>
      </c>
      <c r="AP693" s="1" t="s">
        <v>5511</v>
      </c>
      <c r="AQ693" s="1" t="s">
        <v>74</v>
      </c>
      <c r="AR693" s="1" t="s">
        <v>74</v>
      </c>
      <c r="AS693" s="1" t="s">
        <v>74</v>
      </c>
      <c r="AT693" s="1" t="s">
        <v>350</v>
      </c>
      <c r="AU693" s="1">
        <v>2015.0</v>
      </c>
      <c r="AV693" s="1">
        <v>32.0</v>
      </c>
      <c r="AW693" s="1">
        <v>2.0</v>
      </c>
      <c r="AX693" s="1" t="s">
        <v>74</v>
      </c>
      <c r="AY693" s="1" t="s">
        <v>74</v>
      </c>
      <c r="AZ693" s="1" t="s">
        <v>74</v>
      </c>
      <c r="BA693" s="1" t="s">
        <v>74</v>
      </c>
      <c r="BB693" s="1">
        <v>829.0</v>
      </c>
      <c r="BC693" s="1">
        <v>836.0</v>
      </c>
      <c r="BD693" s="1" t="s">
        <v>74</v>
      </c>
      <c r="BE693" s="1" t="s">
        <v>6869</v>
      </c>
      <c r="BF693" s="2" t="str">
        <f>HYPERLINK("http://dx.doi.org/10.3305/nh.2015.32.2.9194","http://dx.doi.org/10.3305/nh.2015.32.2.9194")</f>
        <v>http://dx.doi.org/10.3305/nh.2015.32.2.9194</v>
      </c>
      <c r="BG693" s="1" t="s">
        <v>74</v>
      </c>
      <c r="BH693" s="1" t="s">
        <v>74</v>
      </c>
      <c r="BI693" s="1" t="s">
        <v>74</v>
      </c>
      <c r="BJ693" s="1" t="s">
        <v>74</v>
      </c>
      <c r="BK693" s="1" t="s">
        <v>74</v>
      </c>
      <c r="BL693" s="1" t="s">
        <v>74</v>
      </c>
      <c r="BM693" s="1" t="s">
        <v>74</v>
      </c>
      <c r="BN693" s="1">
        <v>2.6268118E7</v>
      </c>
      <c r="BO693" s="1" t="s">
        <v>74</v>
      </c>
      <c r="BP693" s="1" t="s">
        <v>74</v>
      </c>
      <c r="BQ693" s="1" t="s">
        <v>74</v>
      </c>
      <c r="BR693" s="1" t="s">
        <v>74</v>
      </c>
      <c r="BS693" s="1" t="s">
        <v>6870</v>
      </c>
      <c r="BT693" s="1" t="str">
        <f>HYPERLINK("https%3A%2F%2Fwww.webofscience.com%2Fwos%2Fwoscc%2Ffull-record%2FWOS:000359031000046","View Full Record in Web of Science")</f>
        <v>View Full Record in Web of Science</v>
      </c>
    </row>
    <row r="694" ht="12.75" customHeight="1">
      <c r="A694" s="1" t="s">
        <v>72</v>
      </c>
      <c r="B694" s="1" t="s">
        <v>6871</v>
      </c>
      <c r="C694" s="1" t="s">
        <v>74</v>
      </c>
      <c r="D694" s="1" t="s">
        <v>74</v>
      </c>
      <c r="E694" s="1" t="s">
        <v>74</v>
      </c>
      <c r="F694" s="1" t="s">
        <v>6872</v>
      </c>
      <c r="G694" s="1" t="s">
        <v>74</v>
      </c>
      <c r="H694" s="1" t="s">
        <v>74</v>
      </c>
      <c r="I694" s="1" t="s">
        <v>6873</v>
      </c>
      <c r="J694" s="1" t="s">
        <v>6874</v>
      </c>
      <c r="K694" s="1" t="s">
        <v>74</v>
      </c>
      <c r="L694" s="1" t="s">
        <v>74</v>
      </c>
      <c r="M694" s="1" t="s">
        <v>74</v>
      </c>
      <c r="N694" s="1" t="s">
        <v>74</v>
      </c>
      <c r="O694" s="1" t="s">
        <v>74</v>
      </c>
      <c r="P694" s="1" t="s">
        <v>74</v>
      </c>
      <c r="Q694" s="1" t="s">
        <v>74</v>
      </c>
      <c r="R694" s="1" t="s">
        <v>74</v>
      </c>
      <c r="S694" s="1" t="s">
        <v>74</v>
      </c>
      <c r="T694" s="1" t="s">
        <v>74</v>
      </c>
      <c r="U694" s="1" t="s">
        <v>74</v>
      </c>
      <c r="V694" s="1" t="s">
        <v>6875</v>
      </c>
      <c r="W694" s="1" t="s">
        <v>74</v>
      </c>
      <c r="X694" s="1" t="s">
        <v>74</v>
      </c>
      <c r="Y694" s="1" t="s">
        <v>74</v>
      </c>
      <c r="Z694" s="1" t="s">
        <v>74</v>
      </c>
      <c r="AA694" s="1" t="s">
        <v>74</v>
      </c>
      <c r="AB694" s="1" t="s">
        <v>74</v>
      </c>
      <c r="AC694" s="1" t="s">
        <v>74</v>
      </c>
      <c r="AD694" s="1" t="s">
        <v>74</v>
      </c>
      <c r="AE694" s="1" t="s">
        <v>74</v>
      </c>
      <c r="AF694" s="1" t="s">
        <v>74</v>
      </c>
      <c r="AG694" s="1" t="s">
        <v>74</v>
      </c>
      <c r="AH694" s="1" t="s">
        <v>74</v>
      </c>
      <c r="AI694" s="1" t="s">
        <v>74</v>
      </c>
      <c r="AJ694" s="1" t="s">
        <v>74</v>
      </c>
      <c r="AK694" s="1" t="s">
        <v>74</v>
      </c>
      <c r="AL694" s="1" t="s">
        <v>74</v>
      </c>
      <c r="AM694" s="1" t="s">
        <v>74</v>
      </c>
      <c r="AN694" s="1" t="s">
        <v>74</v>
      </c>
      <c r="AO694" s="1" t="s">
        <v>6876</v>
      </c>
      <c r="AP694" s="1" t="s">
        <v>6877</v>
      </c>
      <c r="AQ694" s="1" t="s">
        <v>74</v>
      </c>
      <c r="AR694" s="1" t="s">
        <v>74</v>
      </c>
      <c r="AS694" s="1" t="s">
        <v>74</v>
      </c>
      <c r="AT694" s="1" t="s">
        <v>180</v>
      </c>
      <c r="AU694" s="1">
        <v>2014.0</v>
      </c>
      <c r="AV694" s="1">
        <v>29.0</v>
      </c>
      <c r="AW694" s="1">
        <v>3.0</v>
      </c>
      <c r="AX694" s="1" t="s">
        <v>74</v>
      </c>
      <c r="AY694" s="1" t="s">
        <v>74</v>
      </c>
      <c r="AZ694" s="1" t="s">
        <v>74</v>
      </c>
      <c r="BA694" s="1" t="s">
        <v>74</v>
      </c>
      <c r="BB694" s="1">
        <v>1473.0</v>
      </c>
      <c r="BC694" s="1">
        <v>1480.0</v>
      </c>
      <c r="BD694" s="1" t="s">
        <v>74</v>
      </c>
      <c r="BE694" s="1" t="s">
        <v>6878</v>
      </c>
      <c r="BF694" s="2" t="str">
        <f>HYPERLINK("http://dx.doi.org/10.1109/TPWRS.2014.2298838","http://dx.doi.org/10.1109/TPWRS.2014.2298838")</f>
        <v>http://dx.doi.org/10.1109/TPWRS.2014.2298838</v>
      </c>
      <c r="BG694" s="1" t="s">
        <v>74</v>
      </c>
      <c r="BH694" s="1" t="s">
        <v>74</v>
      </c>
      <c r="BI694" s="1" t="s">
        <v>74</v>
      </c>
      <c r="BJ694" s="1" t="s">
        <v>74</v>
      </c>
      <c r="BK694" s="1" t="s">
        <v>74</v>
      </c>
      <c r="BL694" s="1" t="s">
        <v>74</v>
      </c>
      <c r="BM694" s="1" t="s">
        <v>74</v>
      </c>
      <c r="BN694" s="1" t="s">
        <v>74</v>
      </c>
      <c r="BO694" s="1" t="s">
        <v>74</v>
      </c>
      <c r="BP694" s="1" t="s">
        <v>74</v>
      </c>
      <c r="BQ694" s="1" t="s">
        <v>74</v>
      </c>
      <c r="BR694" s="1" t="s">
        <v>74</v>
      </c>
      <c r="BS694" s="1" t="s">
        <v>6879</v>
      </c>
      <c r="BT694" s="1" t="str">
        <f>HYPERLINK("https%3A%2F%2Fwww.webofscience.com%2Fwos%2Fwoscc%2Ffull-record%2FWOS:000335399100055","View Full Record in Web of Science")</f>
        <v>View Full Record in Web of Science</v>
      </c>
    </row>
    <row r="695" ht="12.75" customHeight="1">
      <c r="A695" s="1" t="s">
        <v>72</v>
      </c>
      <c r="B695" s="1" t="s">
        <v>6880</v>
      </c>
      <c r="C695" s="1" t="s">
        <v>74</v>
      </c>
      <c r="D695" s="1" t="s">
        <v>74</v>
      </c>
      <c r="E695" s="1" t="s">
        <v>74</v>
      </c>
      <c r="F695" s="1" t="s">
        <v>6881</v>
      </c>
      <c r="G695" s="1" t="s">
        <v>74</v>
      </c>
      <c r="H695" s="1" t="s">
        <v>74</v>
      </c>
      <c r="I695" s="1" t="s">
        <v>6882</v>
      </c>
      <c r="J695" s="1" t="s">
        <v>6883</v>
      </c>
      <c r="K695" s="1" t="s">
        <v>74</v>
      </c>
      <c r="L695" s="1" t="s">
        <v>74</v>
      </c>
      <c r="M695" s="1" t="s">
        <v>74</v>
      </c>
      <c r="N695" s="1" t="s">
        <v>74</v>
      </c>
      <c r="O695" s="1" t="s">
        <v>74</v>
      </c>
      <c r="P695" s="1" t="s">
        <v>74</v>
      </c>
      <c r="Q695" s="1" t="s">
        <v>74</v>
      </c>
      <c r="R695" s="1" t="s">
        <v>74</v>
      </c>
      <c r="S695" s="1" t="s">
        <v>74</v>
      </c>
      <c r="T695" s="1" t="s">
        <v>74</v>
      </c>
      <c r="U695" s="1" t="s">
        <v>74</v>
      </c>
      <c r="V695" s="1" t="s">
        <v>6884</v>
      </c>
      <c r="W695" s="1" t="s">
        <v>74</v>
      </c>
      <c r="X695" s="1" t="s">
        <v>74</v>
      </c>
      <c r="Y695" s="1" t="s">
        <v>74</v>
      </c>
      <c r="Z695" s="1" t="s">
        <v>74</v>
      </c>
      <c r="AA695" s="1" t="s">
        <v>6885</v>
      </c>
      <c r="AB695" s="1" t="s">
        <v>6886</v>
      </c>
      <c r="AC695" s="1" t="s">
        <v>74</v>
      </c>
      <c r="AD695" s="1" t="s">
        <v>74</v>
      </c>
      <c r="AE695" s="1" t="s">
        <v>74</v>
      </c>
      <c r="AF695" s="1" t="s">
        <v>74</v>
      </c>
      <c r="AG695" s="1" t="s">
        <v>74</v>
      </c>
      <c r="AH695" s="1" t="s">
        <v>74</v>
      </c>
      <c r="AI695" s="1" t="s">
        <v>74</v>
      </c>
      <c r="AJ695" s="1" t="s">
        <v>74</v>
      </c>
      <c r="AK695" s="1" t="s">
        <v>74</v>
      </c>
      <c r="AL695" s="1" t="s">
        <v>74</v>
      </c>
      <c r="AM695" s="1" t="s">
        <v>74</v>
      </c>
      <c r="AN695" s="1" t="s">
        <v>74</v>
      </c>
      <c r="AO695" s="1" t="s">
        <v>6887</v>
      </c>
      <c r="AP695" s="1" t="s">
        <v>6888</v>
      </c>
      <c r="AQ695" s="1" t="s">
        <v>74</v>
      </c>
      <c r="AR695" s="1" t="s">
        <v>74</v>
      </c>
      <c r="AS695" s="1" t="s">
        <v>74</v>
      </c>
      <c r="AT695" s="1" t="s">
        <v>4607</v>
      </c>
      <c r="AU695" s="1">
        <v>2014.0</v>
      </c>
      <c r="AV695" s="1">
        <v>11.0</v>
      </c>
      <c r="AW695" s="1">
        <v>1.0</v>
      </c>
      <c r="AX695" s="1" t="s">
        <v>74</v>
      </c>
      <c r="AY695" s="1" t="s">
        <v>74</v>
      </c>
      <c r="AZ695" s="1" t="s">
        <v>74</v>
      </c>
      <c r="BA695" s="1" t="s">
        <v>74</v>
      </c>
      <c r="BB695" s="1">
        <v>41.0</v>
      </c>
      <c r="BC695" s="1">
        <v>49.0</v>
      </c>
      <c r="BD695" s="1" t="s">
        <v>74</v>
      </c>
      <c r="BE695" s="1" t="s">
        <v>6889</v>
      </c>
      <c r="BF695" s="2" t="str">
        <f>HYPERLINK("http://dx.doi.org/10.1089/zeb.2013.0934","http://dx.doi.org/10.1089/zeb.2013.0934")</f>
        <v>http://dx.doi.org/10.1089/zeb.2013.0934</v>
      </c>
      <c r="BG695" s="1" t="s">
        <v>74</v>
      </c>
      <c r="BH695" s="1" t="s">
        <v>74</v>
      </c>
      <c r="BI695" s="1" t="s">
        <v>74</v>
      </c>
      <c r="BJ695" s="1" t="s">
        <v>74</v>
      </c>
      <c r="BK695" s="1" t="s">
        <v>74</v>
      </c>
      <c r="BL695" s="1" t="s">
        <v>74</v>
      </c>
      <c r="BM695" s="1" t="s">
        <v>74</v>
      </c>
      <c r="BN695" s="1">
        <v>2.4392798E7</v>
      </c>
      <c r="BO695" s="1" t="s">
        <v>74</v>
      </c>
      <c r="BP695" s="1" t="s">
        <v>74</v>
      </c>
      <c r="BQ695" s="1" t="s">
        <v>74</v>
      </c>
      <c r="BR695" s="1" t="s">
        <v>74</v>
      </c>
      <c r="BS695" s="1" t="s">
        <v>6890</v>
      </c>
      <c r="BT695" s="1" t="str">
        <f>HYPERLINK("https%3A%2F%2Fwww.webofscience.com%2Fwos%2Fwoscc%2Ffull-record%2FWOS:000333530200006","View Full Record in Web of Science")</f>
        <v>View Full Record in Web of Science</v>
      </c>
    </row>
    <row r="696" ht="12.75" customHeight="1">
      <c r="A696" s="1" t="s">
        <v>72</v>
      </c>
      <c r="B696" s="1" t="s">
        <v>6891</v>
      </c>
      <c r="C696" s="1" t="s">
        <v>74</v>
      </c>
      <c r="D696" s="1" t="s">
        <v>74</v>
      </c>
      <c r="E696" s="1" t="s">
        <v>74</v>
      </c>
      <c r="F696" s="1" t="s">
        <v>6892</v>
      </c>
      <c r="G696" s="1" t="s">
        <v>74</v>
      </c>
      <c r="H696" s="1" t="s">
        <v>74</v>
      </c>
      <c r="I696" s="1" t="s">
        <v>6893</v>
      </c>
      <c r="J696" s="1" t="s">
        <v>6894</v>
      </c>
      <c r="K696" s="1" t="s">
        <v>74</v>
      </c>
      <c r="L696" s="1" t="s">
        <v>74</v>
      </c>
      <c r="M696" s="1" t="s">
        <v>74</v>
      </c>
      <c r="N696" s="1" t="s">
        <v>74</v>
      </c>
      <c r="O696" s="1" t="s">
        <v>74</v>
      </c>
      <c r="P696" s="1" t="s">
        <v>74</v>
      </c>
      <c r="Q696" s="1" t="s">
        <v>74</v>
      </c>
      <c r="R696" s="1" t="s">
        <v>74</v>
      </c>
      <c r="S696" s="1" t="s">
        <v>74</v>
      </c>
      <c r="T696" s="1" t="s">
        <v>74</v>
      </c>
      <c r="U696" s="1" t="s">
        <v>74</v>
      </c>
      <c r="V696" s="1" t="s">
        <v>6895</v>
      </c>
      <c r="W696" s="1" t="s">
        <v>74</v>
      </c>
      <c r="X696" s="1" t="s">
        <v>74</v>
      </c>
      <c r="Y696" s="1" t="s">
        <v>74</v>
      </c>
      <c r="Z696" s="1" t="s">
        <v>74</v>
      </c>
      <c r="AA696" s="1" t="s">
        <v>6896</v>
      </c>
      <c r="AB696" s="1" t="s">
        <v>6897</v>
      </c>
      <c r="AC696" s="1" t="s">
        <v>74</v>
      </c>
      <c r="AD696" s="1" t="s">
        <v>74</v>
      </c>
      <c r="AE696" s="1" t="s">
        <v>74</v>
      </c>
      <c r="AF696" s="1" t="s">
        <v>74</v>
      </c>
      <c r="AG696" s="1" t="s">
        <v>74</v>
      </c>
      <c r="AH696" s="1" t="s">
        <v>74</v>
      </c>
      <c r="AI696" s="1" t="s">
        <v>74</v>
      </c>
      <c r="AJ696" s="1" t="s">
        <v>74</v>
      </c>
      <c r="AK696" s="1" t="s">
        <v>74</v>
      </c>
      <c r="AL696" s="1" t="s">
        <v>74</v>
      </c>
      <c r="AM696" s="1" t="s">
        <v>74</v>
      </c>
      <c r="AN696" s="1" t="s">
        <v>74</v>
      </c>
      <c r="AO696" s="1" t="s">
        <v>6898</v>
      </c>
      <c r="AP696" s="1" t="s">
        <v>6899</v>
      </c>
      <c r="AQ696" s="1" t="s">
        <v>74</v>
      </c>
      <c r="AR696" s="1" t="s">
        <v>74</v>
      </c>
      <c r="AS696" s="1" t="s">
        <v>74</v>
      </c>
      <c r="AT696" s="1" t="s">
        <v>606</v>
      </c>
      <c r="AU696" s="1">
        <v>2012.0</v>
      </c>
      <c r="AV696" s="1">
        <v>17.0</v>
      </c>
      <c r="AW696" s="1">
        <v>5.0</v>
      </c>
      <c r="AX696" s="1" t="s">
        <v>74</v>
      </c>
      <c r="AY696" s="1" t="s">
        <v>74</v>
      </c>
      <c r="AZ696" s="1" t="s">
        <v>74</v>
      </c>
      <c r="BA696" s="1" t="s">
        <v>74</v>
      </c>
      <c r="BB696" s="1">
        <v>972.0</v>
      </c>
      <c r="BC696" s="1">
        <v>980.0</v>
      </c>
      <c r="BD696" s="1" t="s">
        <v>74</v>
      </c>
      <c r="BE696" s="1" t="s">
        <v>6900</v>
      </c>
      <c r="BF696" s="2" t="str">
        <f>HYPERLINK("http://dx.doi.org/10.1007/s12257-012-0295-8","http://dx.doi.org/10.1007/s12257-012-0295-8")</f>
        <v>http://dx.doi.org/10.1007/s12257-012-0295-8</v>
      </c>
      <c r="BG696" s="1" t="s">
        <v>74</v>
      </c>
      <c r="BH696" s="1" t="s">
        <v>74</v>
      </c>
      <c r="BI696" s="1" t="s">
        <v>74</v>
      </c>
      <c r="BJ696" s="1" t="s">
        <v>74</v>
      </c>
      <c r="BK696" s="1" t="s">
        <v>74</v>
      </c>
      <c r="BL696" s="1" t="s">
        <v>74</v>
      </c>
      <c r="BM696" s="1" t="s">
        <v>74</v>
      </c>
      <c r="BN696" s="1" t="s">
        <v>74</v>
      </c>
      <c r="BO696" s="1" t="s">
        <v>74</v>
      </c>
      <c r="BP696" s="1" t="s">
        <v>74</v>
      </c>
      <c r="BQ696" s="1" t="s">
        <v>74</v>
      </c>
      <c r="BR696" s="1" t="s">
        <v>74</v>
      </c>
      <c r="BS696" s="1" t="s">
        <v>6901</v>
      </c>
      <c r="BT696" s="1" t="str">
        <f>HYPERLINK("https%3A%2F%2Fwww.webofscience.com%2Fwos%2Fwoscc%2Ffull-record%2FWOS:000310239800010","View Full Record in Web of Science")</f>
        <v>View Full Record in Web of Science</v>
      </c>
    </row>
    <row r="697" ht="12.75" customHeight="1">
      <c r="A697" s="1" t="s">
        <v>72</v>
      </c>
      <c r="B697" s="1" t="s">
        <v>6902</v>
      </c>
      <c r="C697" s="1" t="s">
        <v>74</v>
      </c>
      <c r="D697" s="1" t="s">
        <v>74</v>
      </c>
      <c r="E697" s="1" t="s">
        <v>74</v>
      </c>
      <c r="F697" s="1" t="s">
        <v>6903</v>
      </c>
      <c r="G697" s="1" t="s">
        <v>74</v>
      </c>
      <c r="H697" s="1" t="s">
        <v>74</v>
      </c>
      <c r="I697" s="1" t="s">
        <v>6904</v>
      </c>
      <c r="J697" s="1" t="s">
        <v>1644</v>
      </c>
      <c r="K697" s="1" t="s">
        <v>74</v>
      </c>
      <c r="L697" s="1" t="s">
        <v>74</v>
      </c>
      <c r="M697" s="1" t="s">
        <v>74</v>
      </c>
      <c r="N697" s="1" t="s">
        <v>74</v>
      </c>
      <c r="O697" s="1" t="s">
        <v>74</v>
      </c>
      <c r="P697" s="1" t="s">
        <v>74</v>
      </c>
      <c r="Q697" s="1" t="s">
        <v>74</v>
      </c>
      <c r="R697" s="1" t="s">
        <v>74</v>
      </c>
      <c r="S697" s="1" t="s">
        <v>74</v>
      </c>
      <c r="T697" s="1" t="s">
        <v>74</v>
      </c>
      <c r="U697" s="1" t="s">
        <v>74</v>
      </c>
      <c r="V697" s="1" t="s">
        <v>6905</v>
      </c>
      <c r="W697" s="1" t="s">
        <v>74</v>
      </c>
      <c r="X697" s="1" t="s">
        <v>74</v>
      </c>
      <c r="Y697" s="1" t="s">
        <v>74</v>
      </c>
      <c r="Z697" s="1" t="s">
        <v>74</v>
      </c>
      <c r="AA697" s="1" t="s">
        <v>6906</v>
      </c>
      <c r="AB697" s="1" t="s">
        <v>6907</v>
      </c>
      <c r="AC697" s="1" t="s">
        <v>74</v>
      </c>
      <c r="AD697" s="1" t="s">
        <v>74</v>
      </c>
      <c r="AE697" s="1" t="s">
        <v>74</v>
      </c>
      <c r="AF697" s="1" t="s">
        <v>74</v>
      </c>
      <c r="AG697" s="1" t="s">
        <v>74</v>
      </c>
      <c r="AH697" s="1" t="s">
        <v>74</v>
      </c>
      <c r="AI697" s="1" t="s">
        <v>74</v>
      </c>
      <c r="AJ697" s="1" t="s">
        <v>74</v>
      </c>
      <c r="AK697" s="1" t="s">
        <v>74</v>
      </c>
      <c r="AL697" s="1" t="s">
        <v>74</v>
      </c>
      <c r="AM697" s="1" t="s">
        <v>74</v>
      </c>
      <c r="AN697" s="1" t="s">
        <v>74</v>
      </c>
      <c r="AO697" s="1" t="s">
        <v>1648</v>
      </c>
      <c r="AP697" s="1" t="s">
        <v>74</v>
      </c>
      <c r="AQ697" s="1" t="s">
        <v>74</v>
      </c>
      <c r="AR697" s="1" t="s">
        <v>74</v>
      </c>
      <c r="AS697" s="1" t="s">
        <v>74</v>
      </c>
      <c r="AT697" s="1" t="s">
        <v>606</v>
      </c>
      <c r="AU697" s="1">
        <v>2011.0</v>
      </c>
      <c r="AV697" s="1">
        <v>6.0</v>
      </c>
      <c r="AW697" s="1">
        <v>10.0</v>
      </c>
      <c r="AX697" s="1" t="s">
        <v>74</v>
      </c>
      <c r="AY697" s="1" t="s">
        <v>74</v>
      </c>
      <c r="AZ697" s="1" t="s">
        <v>74</v>
      </c>
      <c r="BA697" s="1" t="s">
        <v>74</v>
      </c>
      <c r="BB697" s="1">
        <v>4984.0</v>
      </c>
      <c r="BC697" s="1">
        <v>4998.0</v>
      </c>
      <c r="BD697" s="1" t="s">
        <v>74</v>
      </c>
      <c r="BE697" s="1" t="s">
        <v>74</v>
      </c>
      <c r="BF697" s="1" t="s">
        <v>74</v>
      </c>
      <c r="BG697" s="1" t="s">
        <v>74</v>
      </c>
      <c r="BH697" s="1" t="s">
        <v>74</v>
      </c>
      <c r="BI697" s="1" t="s">
        <v>74</v>
      </c>
      <c r="BJ697" s="1" t="s">
        <v>74</v>
      </c>
      <c r="BK697" s="1" t="s">
        <v>74</v>
      </c>
      <c r="BL697" s="1" t="s">
        <v>74</v>
      </c>
      <c r="BM697" s="1" t="s">
        <v>74</v>
      </c>
      <c r="BN697" s="1" t="s">
        <v>74</v>
      </c>
      <c r="BO697" s="1" t="s">
        <v>74</v>
      </c>
      <c r="BP697" s="1" t="s">
        <v>74</v>
      </c>
      <c r="BQ697" s="1" t="s">
        <v>74</v>
      </c>
      <c r="BR697" s="1" t="s">
        <v>74</v>
      </c>
      <c r="BS697" s="1" t="s">
        <v>6908</v>
      </c>
      <c r="BT697" s="1" t="str">
        <f>HYPERLINK("https%3A%2F%2Fwww.webofscience.com%2Fwos%2Fwoscc%2Ffull-record%2FWOS:000297502500045","View Full Record in Web of Science")</f>
        <v>View Full Record in Web of Science</v>
      </c>
    </row>
    <row r="698" ht="12.75" customHeight="1">
      <c r="A698" s="1" t="s">
        <v>72</v>
      </c>
      <c r="B698" s="1" t="s">
        <v>6909</v>
      </c>
      <c r="C698" s="1" t="s">
        <v>74</v>
      </c>
      <c r="D698" s="1" t="s">
        <v>74</v>
      </c>
      <c r="E698" s="1" t="s">
        <v>74</v>
      </c>
      <c r="F698" s="1" t="s">
        <v>6910</v>
      </c>
      <c r="G698" s="1" t="s">
        <v>74</v>
      </c>
      <c r="H698" s="1" t="s">
        <v>74</v>
      </c>
      <c r="I698" s="1" t="s">
        <v>6911</v>
      </c>
      <c r="J698" s="1" t="s">
        <v>6912</v>
      </c>
      <c r="K698" s="1" t="s">
        <v>74</v>
      </c>
      <c r="L698" s="1" t="s">
        <v>74</v>
      </c>
      <c r="M698" s="1" t="s">
        <v>74</v>
      </c>
      <c r="N698" s="1" t="s">
        <v>74</v>
      </c>
      <c r="O698" s="1" t="s">
        <v>74</v>
      </c>
      <c r="P698" s="1" t="s">
        <v>74</v>
      </c>
      <c r="Q698" s="1" t="s">
        <v>74</v>
      </c>
      <c r="R698" s="1" t="s">
        <v>74</v>
      </c>
      <c r="S698" s="1" t="s">
        <v>74</v>
      </c>
      <c r="T698" s="1" t="s">
        <v>74</v>
      </c>
      <c r="U698" s="1" t="s">
        <v>74</v>
      </c>
      <c r="V698" s="1" t="s">
        <v>6913</v>
      </c>
      <c r="W698" s="1" t="s">
        <v>74</v>
      </c>
      <c r="X698" s="1" t="s">
        <v>74</v>
      </c>
      <c r="Y698" s="1" t="s">
        <v>74</v>
      </c>
      <c r="Z698" s="1" t="s">
        <v>74</v>
      </c>
      <c r="AA698" s="1" t="s">
        <v>6914</v>
      </c>
      <c r="AB698" s="1" t="s">
        <v>6915</v>
      </c>
      <c r="AC698" s="1" t="s">
        <v>74</v>
      </c>
      <c r="AD698" s="1" t="s">
        <v>74</v>
      </c>
      <c r="AE698" s="1" t="s">
        <v>74</v>
      </c>
      <c r="AF698" s="1" t="s">
        <v>74</v>
      </c>
      <c r="AG698" s="1" t="s">
        <v>74</v>
      </c>
      <c r="AH698" s="1" t="s">
        <v>74</v>
      </c>
      <c r="AI698" s="1" t="s">
        <v>74</v>
      </c>
      <c r="AJ698" s="1" t="s">
        <v>74</v>
      </c>
      <c r="AK698" s="1" t="s">
        <v>74</v>
      </c>
      <c r="AL698" s="1" t="s">
        <v>74</v>
      </c>
      <c r="AM698" s="1" t="s">
        <v>74</v>
      </c>
      <c r="AN698" s="1" t="s">
        <v>74</v>
      </c>
      <c r="AO698" s="1" t="s">
        <v>6916</v>
      </c>
      <c r="AP698" s="1" t="s">
        <v>74</v>
      </c>
      <c r="AQ698" s="1" t="s">
        <v>74</v>
      </c>
      <c r="AR698" s="1" t="s">
        <v>74</v>
      </c>
      <c r="AS698" s="1" t="s">
        <v>74</v>
      </c>
      <c r="AT698" s="1" t="s">
        <v>4107</v>
      </c>
      <c r="AU698" s="1">
        <v>2011.0</v>
      </c>
      <c r="AV698" s="1">
        <v>64.0</v>
      </c>
      <c r="AW698" s="1">
        <v>3.0</v>
      </c>
      <c r="AX698" s="1" t="s">
        <v>74</v>
      </c>
      <c r="AY698" s="1" t="s">
        <v>74</v>
      </c>
      <c r="AZ698" s="1" t="s">
        <v>74</v>
      </c>
      <c r="BA698" s="1" t="s">
        <v>74</v>
      </c>
      <c r="BB698" s="1">
        <v>365.0</v>
      </c>
      <c r="BC698" s="1">
        <v>371.0</v>
      </c>
      <c r="BD698" s="1" t="s">
        <v>74</v>
      </c>
      <c r="BE698" s="1" t="s">
        <v>6917</v>
      </c>
      <c r="BF698" s="2" t="str">
        <f>HYPERLINK("http://dx.doi.org/10.1590/S0370-44672011000300017","http://dx.doi.org/10.1590/S0370-44672011000300017")</f>
        <v>http://dx.doi.org/10.1590/S0370-44672011000300017</v>
      </c>
      <c r="BG698" s="1" t="s">
        <v>74</v>
      </c>
      <c r="BH698" s="1" t="s">
        <v>74</v>
      </c>
      <c r="BI698" s="1" t="s">
        <v>74</v>
      </c>
      <c r="BJ698" s="1" t="s">
        <v>74</v>
      </c>
      <c r="BK698" s="1" t="s">
        <v>74</v>
      </c>
      <c r="BL698" s="1" t="s">
        <v>74</v>
      </c>
      <c r="BM698" s="1" t="s">
        <v>74</v>
      </c>
      <c r="BN698" s="1" t="s">
        <v>74</v>
      </c>
      <c r="BO698" s="1" t="s">
        <v>74</v>
      </c>
      <c r="BP698" s="1" t="s">
        <v>74</v>
      </c>
      <c r="BQ698" s="1" t="s">
        <v>74</v>
      </c>
      <c r="BR698" s="1" t="s">
        <v>74</v>
      </c>
      <c r="BS698" s="1" t="s">
        <v>6918</v>
      </c>
      <c r="BT698" s="1" t="str">
        <f>HYPERLINK("https%3A%2F%2Fwww.webofscience.com%2Fwos%2Fwoscc%2Ffull-record%2FWOS:000295725100016","View Full Record in Web of Science")</f>
        <v>View Full Record in Web of Science</v>
      </c>
    </row>
    <row r="699" ht="12.75" customHeight="1">
      <c r="A699" s="1" t="s">
        <v>72</v>
      </c>
      <c r="B699" s="1" t="s">
        <v>6919</v>
      </c>
      <c r="C699" s="1" t="s">
        <v>74</v>
      </c>
      <c r="D699" s="1" t="s">
        <v>74</v>
      </c>
      <c r="E699" s="1" t="s">
        <v>74</v>
      </c>
      <c r="F699" s="1" t="s">
        <v>6920</v>
      </c>
      <c r="G699" s="1" t="s">
        <v>74</v>
      </c>
      <c r="H699" s="1" t="s">
        <v>74</v>
      </c>
      <c r="I699" s="1" t="s">
        <v>6921</v>
      </c>
      <c r="J699" s="1" t="s">
        <v>6922</v>
      </c>
      <c r="K699" s="1" t="s">
        <v>74</v>
      </c>
      <c r="L699" s="1" t="s">
        <v>74</v>
      </c>
      <c r="M699" s="1" t="s">
        <v>74</v>
      </c>
      <c r="N699" s="1" t="s">
        <v>74</v>
      </c>
      <c r="O699" s="1" t="s">
        <v>74</v>
      </c>
      <c r="P699" s="1" t="s">
        <v>74</v>
      </c>
      <c r="Q699" s="1" t="s">
        <v>74</v>
      </c>
      <c r="R699" s="1" t="s">
        <v>74</v>
      </c>
      <c r="S699" s="1" t="s">
        <v>74</v>
      </c>
      <c r="T699" s="1" t="s">
        <v>74</v>
      </c>
      <c r="U699" s="1" t="s">
        <v>74</v>
      </c>
      <c r="V699" s="1" t="s">
        <v>6923</v>
      </c>
      <c r="W699" s="1" t="s">
        <v>74</v>
      </c>
      <c r="X699" s="1" t="s">
        <v>74</v>
      </c>
      <c r="Y699" s="1" t="s">
        <v>74</v>
      </c>
      <c r="Z699" s="1" t="s">
        <v>74</v>
      </c>
      <c r="AA699" s="1" t="s">
        <v>6924</v>
      </c>
      <c r="AB699" s="1" t="s">
        <v>6925</v>
      </c>
      <c r="AC699" s="1" t="s">
        <v>74</v>
      </c>
      <c r="AD699" s="1" t="s">
        <v>74</v>
      </c>
      <c r="AE699" s="1" t="s">
        <v>74</v>
      </c>
      <c r="AF699" s="1" t="s">
        <v>74</v>
      </c>
      <c r="AG699" s="1" t="s">
        <v>74</v>
      </c>
      <c r="AH699" s="1" t="s">
        <v>74</v>
      </c>
      <c r="AI699" s="1" t="s">
        <v>74</v>
      </c>
      <c r="AJ699" s="1" t="s">
        <v>74</v>
      </c>
      <c r="AK699" s="1" t="s">
        <v>74</v>
      </c>
      <c r="AL699" s="1" t="s">
        <v>74</v>
      </c>
      <c r="AM699" s="1" t="s">
        <v>74</v>
      </c>
      <c r="AN699" s="1" t="s">
        <v>74</v>
      </c>
      <c r="AO699" s="1" t="s">
        <v>6926</v>
      </c>
      <c r="AP699" s="1" t="s">
        <v>6927</v>
      </c>
      <c r="AQ699" s="1" t="s">
        <v>74</v>
      </c>
      <c r="AR699" s="1" t="s">
        <v>74</v>
      </c>
      <c r="AS699" s="1" t="s">
        <v>74</v>
      </c>
      <c r="AT699" s="1" t="s">
        <v>6928</v>
      </c>
      <c r="AU699" s="1">
        <v>2011.0</v>
      </c>
      <c r="AV699" s="1">
        <v>23.0</v>
      </c>
      <c r="AW699" s="1">
        <v>2.0</v>
      </c>
      <c r="AX699" s="1" t="s">
        <v>74</v>
      </c>
      <c r="AY699" s="1" t="s">
        <v>74</v>
      </c>
      <c r="AZ699" s="1" t="s">
        <v>74</v>
      </c>
      <c r="BA699" s="1" t="s">
        <v>74</v>
      </c>
      <c r="BB699" s="1">
        <v>289.0</v>
      </c>
      <c r="BC699" s="1">
        <v>330.0</v>
      </c>
      <c r="BD699" s="1" t="s">
        <v>74</v>
      </c>
      <c r="BE699" s="1" t="s">
        <v>6929</v>
      </c>
      <c r="BF699" s="2" t="str">
        <f>HYPERLINK("http://dx.doi.org/10.1216/JIE-2011-23-2-289","http://dx.doi.org/10.1216/JIE-2011-23-2-289")</f>
        <v>http://dx.doi.org/10.1216/JIE-2011-23-2-289</v>
      </c>
      <c r="BG699" s="1" t="s">
        <v>74</v>
      </c>
      <c r="BH699" s="1" t="s">
        <v>74</v>
      </c>
      <c r="BI699" s="1" t="s">
        <v>74</v>
      </c>
      <c r="BJ699" s="1" t="s">
        <v>74</v>
      </c>
      <c r="BK699" s="1" t="s">
        <v>74</v>
      </c>
      <c r="BL699" s="1" t="s">
        <v>74</v>
      </c>
      <c r="BM699" s="1" t="s">
        <v>74</v>
      </c>
      <c r="BN699" s="1" t="s">
        <v>74</v>
      </c>
      <c r="BO699" s="1" t="s">
        <v>74</v>
      </c>
      <c r="BP699" s="1" t="s">
        <v>74</v>
      </c>
      <c r="BQ699" s="1" t="s">
        <v>74</v>
      </c>
      <c r="BR699" s="1" t="s">
        <v>74</v>
      </c>
      <c r="BS699" s="1" t="s">
        <v>6930</v>
      </c>
      <c r="BT699" s="1" t="str">
        <f>HYPERLINK("https%3A%2F%2Fwww.webofscience.com%2Fwos%2Fwoscc%2Ffull-record%2FWOS:000293197300005","View Full Record in Web of Science")</f>
        <v>View Full Record in Web of Science</v>
      </c>
    </row>
    <row r="700" ht="12.75" customHeight="1">
      <c r="A700" s="1" t="s">
        <v>72</v>
      </c>
      <c r="B700" s="1" t="s">
        <v>6931</v>
      </c>
      <c r="C700" s="1" t="s">
        <v>74</v>
      </c>
      <c r="D700" s="1" t="s">
        <v>74</v>
      </c>
      <c r="E700" s="1" t="s">
        <v>74</v>
      </c>
      <c r="F700" s="1" t="s">
        <v>6932</v>
      </c>
      <c r="G700" s="1" t="s">
        <v>74</v>
      </c>
      <c r="H700" s="1" t="s">
        <v>74</v>
      </c>
      <c r="I700" s="1" t="s">
        <v>6933</v>
      </c>
      <c r="J700" s="1" t="s">
        <v>6934</v>
      </c>
      <c r="K700" s="1" t="s">
        <v>74</v>
      </c>
      <c r="L700" s="1" t="s">
        <v>74</v>
      </c>
      <c r="M700" s="1" t="s">
        <v>74</v>
      </c>
      <c r="N700" s="1" t="s">
        <v>74</v>
      </c>
      <c r="O700" s="1" t="s">
        <v>74</v>
      </c>
      <c r="P700" s="1" t="s">
        <v>74</v>
      </c>
      <c r="Q700" s="1" t="s">
        <v>74</v>
      </c>
      <c r="R700" s="1" t="s">
        <v>74</v>
      </c>
      <c r="S700" s="1" t="s">
        <v>74</v>
      </c>
      <c r="T700" s="1" t="s">
        <v>74</v>
      </c>
      <c r="U700" s="1" t="s">
        <v>74</v>
      </c>
      <c r="V700" s="1" t="s">
        <v>6935</v>
      </c>
      <c r="W700" s="1" t="s">
        <v>74</v>
      </c>
      <c r="X700" s="1" t="s">
        <v>74</v>
      </c>
      <c r="Y700" s="1" t="s">
        <v>74</v>
      </c>
      <c r="Z700" s="1" t="s">
        <v>74</v>
      </c>
      <c r="AA700" s="1" t="s">
        <v>74</v>
      </c>
      <c r="AB700" s="1" t="s">
        <v>74</v>
      </c>
      <c r="AC700" s="1" t="s">
        <v>74</v>
      </c>
      <c r="AD700" s="1" t="s">
        <v>74</v>
      </c>
      <c r="AE700" s="1" t="s">
        <v>74</v>
      </c>
      <c r="AF700" s="1" t="s">
        <v>74</v>
      </c>
      <c r="AG700" s="1" t="s">
        <v>74</v>
      </c>
      <c r="AH700" s="1" t="s">
        <v>74</v>
      </c>
      <c r="AI700" s="1" t="s">
        <v>74</v>
      </c>
      <c r="AJ700" s="1" t="s">
        <v>74</v>
      </c>
      <c r="AK700" s="1" t="s">
        <v>74</v>
      </c>
      <c r="AL700" s="1" t="s">
        <v>74</v>
      </c>
      <c r="AM700" s="1" t="s">
        <v>74</v>
      </c>
      <c r="AN700" s="1" t="s">
        <v>74</v>
      </c>
      <c r="AO700" s="1" t="s">
        <v>6936</v>
      </c>
      <c r="AP700" s="1" t="s">
        <v>74</v>
      </c>
      <c r="AQ700" s="1" t="s">
        <v>74</v>
      </c>
      <c r="AR700" s="1" t="s">
        <v>74</v>
      </c>
      <c r="AS700" s="1" t="s">
        <v>74</v>
      </c>
      <c r="AT700" s="1" t="s">
        <v>4107</v>
      </c>
      <c r="AU700" s="1">
        <v>2009.0</v>
      </c>
      <c r="AV700" s="1">
        <v>14.0</v>
      </c>
      <c r="AW700" s="1">
        <v>47.0</v>
      </c>
      <c r="AX700" s="1" t="s">
        <v>74</v>
      </c>
      <c r="AY700" s="1" t="s">
        <v>74</v>
      </c>
      <c r="AZ700" s="1" t="s">
        <v>74</v>
      </c>
      <c r="BA700" s="1" t="s">
        <v>74</v>
      </c>
      <c r="BB700" s="1">
        <v>342.0</v>
      </c>
      <c r="BC700" s="1">
        <v>369.0</v>
      </c>
      <c r="BD700" s="1" t="s">
        <v>74</v>
      </c>
      <c r="BE700" s="1" t="s">
        <v>74</v>
      </c>
      <c r="BF700" s="1" t="s">
        <v>74</v>
      </c>
      <c r="BG700" s="1" t="s">
        <v>74</v>
      </c>
      <c r="BH700" s="1" t="s">
        <v>74</v>
      </c>
      <c r="BI700" s="1" t="s">
        <v>74</v>
      </c>
      <c r="BJ700" s="1" t="s">
        <v>74</v>
      </c>
      <c r="BK700" s="1" t="s">
        <v>74</v>
      </c>
      <c r="BL700" s="1" t="s">
        <v>74</v>
      </c>
      <c r="BM700" s="1" t="s">
        <v>74</v>
      </c>
      <c r="BN700" s="1" t="s">
        <v>74</v>
      </c>
      <c r="BO700" s="1" t="s">
        <v>74</v>
      </c>
      <c r="BP700" s="1" t="s">
        <v>74</v>
      </c>
      <c r="BQ700" s="1" t="s">
        <v>74</v>
      </c>
      <c r="BR700" s="1" t="s">
        <v>74</v>
      </c>
      <c r="BS700" s="1" t="s">
        <v>6937</v>
      </c>
      <c r="BT700" s="1" t="str">
        <f>HYPERLINK("https%3A%2F%2Fwww.webofscience.com%2Fwos%2Fwoscc%2Ffull-record%2FWOS:000270789600003","View Full Record in Web of Science")</f>
        <v>View Full Record in Web of Science</v>
      </c>
    </row>
    <row r="701" ht="12.75" customHeight="1">
      <c r="A701" s="1" t="s">
        <v>72</v>
      </c>
      <c r="B701" s="1" t="s">
        <v>6938</v>
      </c>
      <c r="C701" s="1" t="s">
        <v>74</v>
      </c>
      <c r="D701" s="1" t="s">
        <v>74</v>
      </c>
      <c r="E701" s="1" t="s">
        <v>74</v>
      </c>
      <c r="F701" s="1" t="s">
        <v>6939</v>
      </c>
      <c r="G701" s="1" t="s">
        <v>74</v>
      </c>
      <c r="H701" s="1" t="s">
        <v>74</v>
      </c>
      <c r="I701" s="1" t="s">
        <v>6940</v>
      </c>
      <c r="J701" s="1" t="s">
        <v>6941</v>
      </c>
      <c r="K701" s="1" t="s">
        <v>74</v>
      </c>
      <c r="L701" s="1" t="s">
        <v>74</v>
      </c>
      <c r="M701" s="1" t="s">
        <v>74</v>
      </c>
      <c r="N701" s="1" t="s">
        <v>74</v>
      </c>
      <c r="O701" s="1" t="s">
        <v>74</v>
      </c>
      <c r="P701" s="1" t="s">
        <v>74</v>
      </c>
      <c r="Q701" s="1" t="s">
        <v>74</v>
      </c>
      <c r="R701" s="1" t="s">
        <v>74</v>
      </c>
      <c r="S701" s="1" t="s">
        <v>74</v>
      </c>
      <c r="T701" s="1" t="s">
        <v>74</v>
      </c>
      <c r="U701" s="1" t="s">
        <v>74</v>
      </c>
      <c r="V701" s="1" t="s">
        <v>6942</v>
      </c>
      <c r="W701" s="1" t="s">
        <v>74</v>
      </c>
      <c r="X701" s="1" t="s">
        <v>74</v>
      </c>
      <c r="Y701" s="1" t="s">
        <v>74</v>
      </c>
      <c r="Z701" s="1" t="s">
        <v>74</v>
      </c>
      <c r="AA701" s="1" t="s">
        <v>727</v>
      </c>
      <c r="AB701" s="1" t="s">
        <v>74</v>
      </c>
      <c r="AC701" s="1" t="s">
        <v>74</v>
      </c>
      <c r="AD701" s="1" t="s">
        <v>74</v>
      </c>
      <c r="AE701" s="1" t="s">
        <v>74</v>
      </c>
      <c r="AF701" s="1" t="s">
        <v>74</v>
      </c>
      <c r="AG701" s="1" t="s">
        <v>74</v>
      </c>
      <c r="AH701" s="1" t="s">
        <v>74</v>
      </c>
      <c r="AI701" s="1" t="s">
        <v>74</v>
      </c>
      <c r="AJ701" s="1" t="s">
        <v>74</v>
      </c>
      <c r="AK701" s="1" t="s">
        <v>74</v>
      </c>
      <c r="AL701" s="1" t="s">
        <v>74</v>
      </c>
      <c r="AM701" s="1" t="s">
        <v>74</v>
      </c>
      <c r="AN701" s="1" t="s">
        <v>74</v>
      </c>
      <c r="AO701" s="1" t="s">
        <v>6943</v>
      </c>
      <c r="AP701" s="1" t="s">
        <v>6944</v>
      </c>
      <c r="AQ701" s="1" t="s">
        <v>74</v>
      </c>
      <c r="AR701" s="1" t="s">
        <v>74</v>
      </c>
      <c r="AS701" s="1" t="s">
        <v>74</v>
      </c>
      <c r="AT701" s="1" t="s">
        <v>74</v>
      </c>
      <c r="AU701" s="1">
        <v>2009.0</v>
      </c>
      <c r="AV701" s="1">
        <v>62.0</v>
      </c>
      <c r="AW701" s="1">
        <v>1.0</v>
      </c>
      <c r="AX701" s="1" t="s">
        <v>74</v>
      </c>
      <c r="AY701" s="1" t="s">
        <v>74</v>
      </c>
      <c r="AZ701" s="1" t="s">
        <v>74</v>
      </c>
      <c r="BA701" s="1" t="s">
        <v>74</v>
      </c>
      <c r="BB701" s="1">
        <v>141.0</v>
      </c>
      <c r="BC701" s="1">
        <v>149.0</v>
      </c>
      <c r="BD701" s="1" t="s">
        <v>6945</v>
      </c>
      <c r="BE701" s="1" t="s">
        <v>6946</v>
      </c>
      <c r="BF701" s="2" t="str">
        <f>HYPERLINK("http://dx.doi.org/10.1080/00958970802474771","http://dx.doi.org/10.1080/00958970802474771")</f>
        <v>http://dx.doi.org/10.1080/00958970802474771</v>
      </c>
      <c r="BG701" s="1" t="s">
        <v>74</v>
      </c>
      <c r="BH701" s="1" t="s">
        <v>74</v>
      </c>
      <c r="BI701" s="1" t="s">
        <v>74</v>
      </c>
      <c r="BJ701" s="1" t="s">
        <v>74</v>
      </c>
      <c r="BK701" s="1" t="s">
        <v>74</v>
      </c>
      <c r="BL701" s="1" t="s">
        <v>74</v>
      </c>
      <c r="BM701" s="1" t="s">
        <v>74</v>
      </c>
      <c r="BN701" s="1" t="s">
        <v>74</v>
      </c>
      <c r="BO701" s="1" t="s">
        <v>74</v>
      </c>
      <c r="BP701" s="1" t="s">
        <v>74</v>
      </c>
      <c r="BQ701" s="1" t="s">
        <v>74</v>
      </c>
      <c r="BR701" s="1" t="s">
        <v>74</v>
      </c>
      <c r="BS701" s="1" t="s">
        <v>6947</v>
      </c>
      <c r="BT701" s="1" t="str">
        <f>HYPERLINK("https%3A%2F%2Fwww.webofscience.com%2Fwos%2Fwoscc%2Ffull-record%2FWOS:000260926100015","View Full Record in Web of Science")</f>
        <v>View Full Record in Web of Science</v>
      </c>
    </row>
    <row r="702" ht="12.75" customHeight="1">
      <c r="A702" s="1" t="s">
        <v>72</v>
      </c>
      <c r="B702" s="1" t="s">
        <v>6948</v>
      </c>
      <c r="C702" s="1" t="s">
        <v>74</v>
      </c>
      <c r="D702" s="1" t="s">
        <v>74</v>
      </c>
      <c r="E702" s="1" t="s">
        <v>74</v>
      </c>
      <c r="F702" s="1" t="s">
        <v>6949</v>
      </c>
      <c r="G702" s="1" t="s">
        <v>74</v>
      </c>
      <c r="H702" s="1" t="s">
        <v>74</v>
      </c>
      <c r="I702" s="1" t="s">
        <v>6950</v>
      </c>
      <c r="J702" s="1" t="s">
        <v>6951</v>
      </c>
      <c r="K702" s="1" t="s">
        <v>74</v>
      </c>
      <c r="L702" s="1" t="s">
        <v>74</v>
      </c>
      <c r="M702" s="1" t="s">
        <v>74</v>
      </c>
      <c r="N702" s="1" t="s">
        <v>74</v>
      </c>
      <c r="O702" s="1" t="s">
        <v>74</v>
      </c>
      <c r="P702" s="1" t="s">
        <v>74</v>
      </c>
      <c r="Q702" s="1" t="s">
        <v>74</v>
      </c>
      <c r="R702" s="1" t="s">
        <v>74</v>
      </c>
      <c r="S702" s="1" t="s">
        <v>74</v>
      </c>
      <c r="T702" s="1" t="s">
        <v>74</v>
      </c>
      <c r="U702" s="1" t="s">
        <v>74</v>
      </c>
      <c r="V702" s="1" t="s">
        <v>74</v>
      </c>
      <c r="W702" s="1" t="s">
        <v>74</v>
      </c>
      <c r="X702" s="1" t="s">
        <v>74</v>
      </c>
      <c r="Y702" s="1" t="s">
        <v>74</v>
      </c>
      <c r="Z702" s="1" t="s">
        <v>74</v>
      </c>
      <c r="AA702" s="1" t="s">
        <v>74</v>
      </c>
      <c r="AB702" s="1" t="s">
        <v>74</v>
      </c>
      <c r="AC702" s="1" t="s">
        <v>74</v>
      </c>
      <c r="AD702" s="1" t="s">
        <v>74</v>
      </c>
      <c r="AE702" s="1" t="s">
        <v>74</v>
      </c>
      <c r="AF702" s="1" t="s">
        <v>74</v>
      </c>
      <c r="AG702" s="1" t="s">
        <v>74</v>
      </c>
      <c r="AH702" s="1" t="s">
        <v>74</v>
      </c>
      <c r="AI702" s="1" t="s">
        <v>74</v>
      </c>
      <c r="AJ702" s="1" t="s">
        <v>74</v>
      </c>
      <c r="AK702" s="1" t="s">
        <v>74</v>
      </c>
      <c r="AL702" s="1" t="s">
        <v>74</v>
      </c>
      <c r="AM702" s="1" t="s">
        <v>74</v>
      </c>
      <c r="AN702" s="1" t="s">
        <v>74</v>
      </c>
      <c r="AO702" s="1" t="s">
        <v>6952</v>
      </c>
      <c r="AP702" s="1" t="s">
        <v>6953</v>
      </c>
      <c r="AQ702" s="1" t="s">
        <v>74</v>
      </c>
      <c r="AR702" s="1" t="s">
        <v>74</v>
      </c>
      <c r="AS702" s="1" t="s">
        <v>74</v>
      </c>
      <c r="AT702" s="1" t="s">
        <v>728</v>
      </c>
      <c r="AU702" s="1">
        <v>2007.0</v>
      </c>
      <c r="AV702" s="1">
        <v>22.0</v>
      </c>
      <c r="AW702" s="1">
        <v>10.0</v>
      </c>
      <c r="AX702" s="1" t="s">
        <v>74</v>
      </c>
      <c r="AY702" s="1" t="s">
        <v>74</v>
      </c>
      <c r="AZ702" s="1" t="s">
        <v>74</v>
      </c>
      <c r="BA702" s="1" t="s">
        <v>74</v>
      </c>
      <c r="BB702" s="1">
        <v>1521.0</v>
      </c>
      <c r="BC702" s="1">
        <v>1522.0</v>
      </c>
      <c r="BD702" s="1" t="s">
        <v>74</v>
      </c>
      <c r="BE702" s="1" t="s">
        <v>6954</v>
      </c>
      <c r="BF702" s="2" t="str">
        <f>HYPERLINK("http://dx.doi.org/10.1002/mds.21515","http://dx.doi.org/10.1002/mds.21515")</f>
        <v>http://dx.doi.org/10.1002/mds.21515</v>
      </c>
      <c r="BG702" s="1" t="s">
        <v>74</v>
      </c>
      <c r="BH702" s="1" t="s">
        <v>74</v>
      </c>
      <c r="BI702" s="1" t="s">
        <v>74</v>
      </c>
      <c r="BJ702" s="1" t="s">
        <v>74</v>
      </c>
      <c r="BK702" s="1" t="s">
        <v>74</v>
      </c>
      <c r="BL702" s="1" t="s">
        <v>74</v>
      </c>
      <c r="BM702" s="1" t="s">
        <v>74</v>
      </c>
      <c r="BN702" s="1">
        <v>1.7486623E7</v>
      </c>
      <c r="BO702" s="1" t="s">
        <v>74</v>
      </c>
      <c r="BP702" s="1" t="s">
        <v>74</v>
      </c>
      <c r="BQ702" s="1" t="s">
        <v>74</v>
      </c>
      <c r="BR702" s="1" t="s">
        <v>74</v>
      </c>
      <c r="BS702" s="1" t="s">
        <v>6955</v>
      </c>
      <c r="BT702" s="1" t="str">
        <f>HYPERLINK("https%3A%2F%2Fwww.webofscience.com%2Fwos%2Fwoscc%2Ffull-record%2FWOS:000248527800034","View Full Record in Web of Science")</f>
        <v>View Full Record in Web of Science</v>
      </c>
    </row>
    <row r="703" ht="12.75" customHeight="1">
      <c r="A703" s="1" t="s">
        <v>72</v>
      </c>
      <c r="B703" s="1" t="s">
        <v>6956</v>
      </c>
      <c r="C703" s="1" t="s">
        <v>74</v>
      </c>
      <c r="D703" s="1" t="s">
        <v>74</v>
      </c>
      <c r="E703" s="1" t="s">
        <v>74</v>
      </c>
      <c r="F703" s="1" t="s">
        <v>6957</v>
      </c>
      <c r="G703" s="1" t="s">
        <v>74</v>
      </c>
      <c r="H703" s="1" t="s">
        <v>74</v>
      </c>
      <c r="I703" s="1" t="s">
        <v>6958</v>
      </c>
      <c r="J703" s="1" t="s">
        <v>568</v>
      </c>
      <c r="K703" s="1" t="s">
        <v>74</v>
      </c>
      <c r="L703" s="1" t="s">
        <v>74</v>
      </c>
      <c r="M703" s="1" t="s">
        <v>74</v>
      </c>
      <c r="N703" s="1" t="s">
        <v>74</v>
      </c>
      <c r="O703" s="1" t="s">
        <v>74</v>
      </c>
      <c r="P703" s="1" t="s">
        <v>74</v>
      </c>
      <c r="Q703" s="1" t="s">
        <v>74</v>
      </c>
      <c r="R703" s="1" t="s">
        <v>74</v>
      </c>
      <c r="S703" s="1" t="s">
        <v>74</v>
      </c>
      <c r="T703" s="1" t="s">
        <v>74</v>
      </c>
      <c r="U703" s="1" t="s">
        <v>74</v>
      </c>
      <c r="V703" s="1" t="s">
        <v>6959</v>
      </c>
      <c r="W703" s="1" t="s">
        <v>74</v>
      </c>
      <c r="X703" s="1" t="s">
        <v>74</v>
      </c>
      <c r="Y703" s="1" t="s">
        <v>74</v>
      </c>
      <c r="Z703" s="1" t="s">
        <v>74</v>
      </c>
      <c r="AA703" s="1" t="s">
        <v>74</v>
      </c>
      <c r="AB703" s="1" t="s">
        <v>6960</v>
      </c>
      <c r="AC703" s="1" t="s">
        <v>74</v>
      </c>
      <c r="AD703" s="1" t="s">
        <v>74</v>
      </c>
      <c r="AE703" s="1" t="s">
        <v>74</v>
      </c>
      <c r="AF703" s="1" t="s">
        <v>74</v>
      </c>
      <c r="AG703" s="1" t="s">
        <v>74</v>
      </c>
      <c r="AH703" s="1" t="s">
        <v>74</v>
      </c>
      <c r="AI703" s="1" t="s">
        <v>74</v>
      </c>
      <c r="AJ703" s="1" t="s">
        <v>74</v>
      </c>
      <c r="AK703" s="1" t="s">
        <v>74</v>
      </c>
      <c r="AL703" s="1" t="s">
        <v>74</v>
      </c>
      <c r="AM703" s="1" t="s">
        <v>74</v>
      </c>
      <c r="AN703" s="1" t="s">
        <v>74</v>
      </c>
      <c r="AO703" s="1" t="s">
        <v>572</v>
      </c>
      <c r="AP703" s="1" t="s">
        <v>573</v>
      </c>
      <c r="AQ703" s="1" t="s">
        <v>74</v>
      </c>
      <c r="AR703" s="1" t="s">
        <v>74</v>
      </c>
      <c r="AS703" s="1" t="s">
        <v>74</v>
      </c>
      <c r="AT703" s="1" t="s">
        <v>180</v>
      </c>
      <c r="AU703" s="1">
        <v>2006.0</v>
      </c>
      <c r="AV703" s="1">
        <v>20.0</v>
      </c>
      <c r="AW703" s="1">
        <v>5.0</v>
      </c>
      <c r="AX703" s="1" t="s">
        <v>74</v>
      </c>
      <c r="AY703" s="1" t="s">
        <v>74</v>
      </c>
      <c r="AZ703" s="1" t="s">
        <v>74</v>
      </c>
      <c r="BA703" s="1" t="s">
        <v>74</v>
      </c>
      <c r="BB703" s="1">
        <v>315.0</v>
      </c>
      <c r="BC703" s="1">
        <v>321.0</v>
      </c>
      <c r="BD703" s="1" t="s">
        <v>74</v>
      </c>
      <c r="BE703" s="1" t="s">
        <v>6961</v>
      </c>
      <c r="BF703" s="2" t="str">
        <f>HYPERLINK("http://dx.doi.org/10.1002/aoc.1050","http://dx.doi.org/10.1002/aoc.1050")</f>
        <v>http://dx.doi.org/10.1002/aoc.1050</v>
      </c>
      <c r="BG703" s="1" t="s">
        <v>74</v>
      </c>
      <c r="BH703" s="1" t="s">
        <v>74</v>
      </c>
      <c r="BI703" s="1" t="s">
        <v>74</v>
      </c>
      <c r="BJ703" s="1" t="s">
        <v>74</v>
      </c>
      <c r="BK703" s="1" t="s">
        <v>74</v>
      </c>
      <c r="BL703" s="1" t="s">
        <v>74</v>
      </c>
      <c r="BM703" s="1" t="s">
        <v>74</v>
      </c>
      <c r="BN703" s="1" t="s">
        <v>74</v>
      </c>
      <c r="BO703" s="1" t="s">
        <v>74</v>
      </c>
      <c r="BP703" s="1" t="s">
        <v>74</v>
      </c>
      <c r="BQ703" s="1" t="s">
        <v>74</v>
      </c>
      <c r="BR703" s="1" t="s">
        <v>74</v>
      </c>
      <c r="BS703" s="1" t="s">
        <v>6962</v>
      </c>
      <c r="BT703" s="1" t="str">
        <f>HYPERLINK("https%3A%2F%2Fwww.webofscience.com%2Fwos%2Fwoscc%2Ffull-record%2FWOS:000238053000003","View Full Record in Web of Science")</f>
        <v>View Full Record in Web of Science</v>
      </c>
    </row>
    <row r="704" ht="12.75" customHeight="1">
      <c r="A704" s="1" t="s">
        <v>72</v>
      </c>
      <c r="B704" s="1" t="s">
        <v>6963</v>
      </c>
      <c r="C704" s="1" t="s">
        <v>74</v>
      </c>
      <c r="D704" s="1" t="s">
        <v>74</v>
      </c>
      <c r="E704" s="1" t="s">
        <v>74</v>
      </c>
      <c r="F704" s="1" t="s">
        <v>6963</v>
      </c>
      <c r="G704" s="1" t="s">
        <v>74</v>
      </c>
      <c r="H704" s="1" t="s">
        <v>74</v>
      </c>
      <c r="I704" s="1" t="s">
        <v>6964</v>
      </c>
      <c r="J704" s="1" t="s">
        <v>6965</v>
      </c>
      <c r="K704" s="1" t="s">
        <v>74</v>
      </c>
      <c r="L704" s="1" t="s">
        <v>74</v>
      </c>
      <c r="M704" s="1" t="s">
        <v>74</v>
      </c>
      <c r="N704" s="1" t="s">
        <v>74</v>
      </c>
      <c r="O704" s="1" t="s">
        <v>74</v>
      </c>
      <c r="P704" s="1" t="s">
        <v>74</v>
      </c>
      <c r="Q704" s="1" t="s">
        <v>74</v>
      </c>
      <c r="R704" s="1" t="s">
        <v>74</v>
      </c>
      <c r="S704" s="1" t="s">
        <v>74</v>
      </c>
      <c r="T704" s="1" t="s">
        <v>74</v>
      </c>
      <c r="U704" s="1" t="s">
        <v>74</v>
      </c>
      <c r="V704" s="1" t="s">
        <v>6966</v>
      </c>
      <c r="W704" s="1" t="s">
        <v>74</v>
      </c>
      <c r="X704" s="1" t="s">
        <v>74</v>
      </c>
      <c r="Y704" s="1" t="s">
        <v>74</v>
      </c>
      <c r="Z704" s="1" t="s">
        <v>74</v>
      </c>
      <c r="AA704" s="1" t="s">
        <v>6967</v>
      </c>
      <c r="AB704" s="1" t="s">
        <v>6968</v>
      </c>
      <c r="AC704" s="1" t="s">
        <v>74</v>
      </c>
      <c r="AD704" s="1" t="s">
        <v>74</v>
      </c>
      <c r="AE704" s="1" t="s">
        <v>74</v>
      </c>
      <c r="AF704" s="1" t="s">
        <v>74</v>
      </c>
      <c r="AG704" s="1" t="s">
        <v>74</v>
      </c>
      <c r="AH704" s="1" t="s">
        <v>74</v>
      </c>
      <c r="AI704" s="1" t="s">
        <v>74</v>
      </c>
      <c r="AJ704" s="1" t="s">
        <v>74</v>
      </c>
      <c r="AK704" s="1" t="s">
        <v>74</v>
      </c>
      <c r="AL704" s="1" t="s">
        <v>74</v>
      </c>
      <c r="AM704" s="1" t="s">
        <v>74</v>
      </c>
      <c r="AN704" s="1" t="s">
        <v>74</v>
      </c>
      <c r="AO704" s="1" t="s">
        <v>6969</v>
      </c>
      <c r="AP704" s="1" t="s">
        <v>74</v>
      </c>
      <c r="AQ704" s="1" t="s">
        <v>74</v>
      </c>
      <c r="AR704" s="1" t="s">
        <v>74</v>
      </c>
      <c r="AS704" s="1" t="s">
        <v>74</v>
      </c>
      <c r="AT704" s="1" t="s">
        <v>2219</v>
      </c>
      <c r="AU704" s="1">
        <v>2006.0</v>
      </c>
      <c r="AV704" s="1">
        <v>172.0</v>
      </c>
      <c r="AW704" s="1">
        <v>3.0</v>
      </c>
      <c r="AX704" s="1" t="s">
        <v>74</v>
      </c>
      <c r="AY704" s="1" t="s">
        <v>74</v>
      </c>
      <c r="AZ704" s="1" t="s">
        <v>74</v>
      </c>
      <c r="BA704" s="1" t="s">
        <v>74</v>
      </c>
      <c r="BB704" s="1">
        <v>461.0</v>
      </c>
      <c r="BC704" s="1">
        <v>471.0</v>
      </c>
      <c r="BD704" s="1" t="s">
        <v>74</v>
      </c>
      <c r="BE704" s="1" t="s">
        <v>6970</v>
      </c>
      <c r="BF704" s="2" t="str">
        <f>HYPERLINK("http://dx.doi.org/10.1016/j.jmatprotec.2005.11.016","http://dx.doi.org/10.1016/j.jmatprotec.2005.11.016")</f>
        <v>http://dx.doi.org/10.1016/j.jmatprotec.2005.11.016</v>
      </c>
      <c r="BG704" s="1" t="s">
        <v>74</v>
      </c>
      <c r="BH704" s="1" t="s">
        <v>74</v>
      </c>
      <c r="BI704" s="1" t="s">
        <v>74</v>
      </c>
      <c r="BJ704" s="1" t="s">
        <v>74</v>
      </c>
      <c r="BK704" s="1" t="s">
        <v>74</v>
      </c>
      <c r="BL704" s="1" t="s">
        <v>74</v>
      </c>
      <c r="BM704" s="1" t="s">
        <v>74</v>
      </c>
      <c r="BN704" s="1" t="s">
        <v>74</v>
      </c>
      <c r="BO704" s="1" t="s">
        <v>74</v>
      </c>
      <c r="BP704" s="1" t="s">
        <v>74</v>
      </c>
      <c r="BQ704" s="1" t="s">
        <v>74</v>
      </c>
      <c r="BR704" s="1" t="s">
        <v>74</v>
      </c>
      <c r="BS704" s="1" t="s">
        <v>6971</v>
      </c>
      <c r="BT704" s="1" t="str">
        <f>HYPERLINK("https%3A%2F%2Fwww.webofscience.com%2Fwos%2Fwoscc%2Ffull-record%2FWOS:000236294600020","View Full Record in Web of Science")</f>
        <v>View Full Record in Web of Science</v>
      </c>
    </row>
    <row r="705" ht="12.75" customHeight="1">
      <c r="A705" s="1" t="s">
        <v>72</v>
      </c>
      <c r="B705" s="1" t="s">
        <v>6972</v>
      </c>
      <c r="C705" s="1" t="s">
        <v>74</v>
      </c>
      <c r="D705" s="1" t="s">
        <v>74</v>
      </c>
      <c r="E705" s="1" t="s">
        <v>74</v>
      </c>
      <c r="F705" s="1" t="s">
        <v>6972</v>
      </c>
      <c r="G705" s="1" t="s">
        <v>74</v>
      </c>
      <c r="H705" s="1" t="s">
        <v>74</v>
      </c>
      <c r="I705" s="1" t="s">
        <v>6973</v>
      </c>
      <c r="J705" s="1" t="s">
        <v>6974</v>
      </c>
      <c r="K705" s="1" t="s">
        <v>74</v>
      </c>
      <c r="L705" s="1" t="s">
        <v>74</v>
      </c>
      <c r="M705" s="1" t="s">
        <v>74</v>
      </c>
      <c r="N705" s="1" t="s">
        <v>74</v>
      </c>
      <c r="O705" s="1" t="s">
        <v>74</v>
      </c>
      <c r="P705" s="1" t="s">
        <v>74</v>
      </c>
      <c r="Q705" s="1" t="s">
        <v>74</v>
      </c>
      <c r="R705" s="1" t="s">
        <v>74</v>
      </c>
      <c r="S705" s="1" t="s">
        <v>74</v>
      </c>
      <c r="T705" s="1" t="s">
        <v>74</v>
      </c>
      <c r="U705" s="1" t="s">
        <v>74</v>
      </c>
      <c r="V705" s="1" t="s">
        <v>6975</v>
      </c>
      <c r="W705" s="1" t="s">
        <v>74</v>
      </c>
      <c r="X705" s="1" t="s">
        <v>74</v>
      </c>
      <c r="Y705" s="1" t="s">
        <v>74</v>
      </c>
      <c r="Z705" s="1" t="s">
        <v>74</v>
      </c>
      <c r="AA705" s="1" t="s">
        <v>74</v>
      </c>
      <c r="AB705" s="1" t="s">
        <v>74</v>
      </c>
      <c r="AC705" s="1" t="s">
        <v>74</v>
      </c>
      <c r="AD705" s="1" t="s">
        <v>74</v>
      </c>
      <c r="AE705" s="1" t="s">
        <v>74</v>
      </c>
      <c r="AF705" s="1" t="s">
        <v>74</v>
      </c>
      <c r="AG705" s="1" t="s">
        <v>74</v>
      </c>
      <c r="AH705" s="1" t="s">
        <v>74</v>
      </c>
      <c r="AI705" s="1" t="s">
        <v>74</v>
      </c>
      <c r="AJ705" s="1" t="s">
        <v>74</v>
      </c>
      <c r="AK705" s="1" t="s">
        <v>74</v>
      </c>
      <c r="AL705" s="1" t="s">
        <v>74</v>
      </c>
      <c r="AM705" s="1" t="s">
        <v>74</v>
      </c>
      <c r="AN705" s="1" t="s">
        <v>74</v>
      </c>
      <c r="AO705" s="1" t="s">
        <v>6976</v>
      </c>
      <c r="AP705" s="1" t="s">
        <v>6977</v>
      </c>
      <c r="AQ705" s="1" t="s">
        <v>74</v>
      </c>
      <c r="AR705" s="1" t="s">
        <v>74</v>
      </c>
      <c r="AS705" s="1" t="s">
        <v>74</v>
      </c>
      <c r="AT705" s="1" t="s">
        <v>652</v>
      </c>
      <c r="AU705" s="1">
        <v>2005.0</v>
      </c>
      <c r="AV705" s="1">
        <v>18.0</v>
      </c>
      <c r="AW705" s="1">
        <v>6.0</v>
      </c>
      <c r="AX705" s="1" t="s">
        <v>74</v>
      </c>
      <c r="AY705" s="1" t="s">
        <v>74</v>
      </c>
      <c r="AZ705" s="1" t="s">
        <v>74</v>
      </c>
      <c r="BA705" s="1" t="s">
        <v>74</v>
      </c>
      <c r="BB705" s="1">
        <v>387.0</v>
      </c>
      <c r="BC705" s="1">
        <v>390.0</v>
      </c>
      <c r="BD705" s="1" t="s">
        <v>74</v>
      </c>
      <c r="BE705" s="1" t="s">
        <v>6978</v>
      </c>
      <c r="BF705" s="2" t="str">
        <f>HYPERLINK("http://dx.doi.org/10.1080/14767050500277602","http://dx.doi.org/10.1080/14767050500277602")</f>
        <v>http://dx.doi.org/10.1080/14767050500277602</v>
      </c>
      <c r="BG705" s="1" t="s">
        <v>74</v>
      </c>
      <c r="BH705" s="1" t="s">
        <v>74</v>
      </c>
      <c r="BI705" s="1" t="s">
        <v>74</v>
      </c>
      <c r="BJ705" s="1" t="s">
        <v>74</v>
      </c>
      <c r="BK705" s="1" t="s">
        <v>74</v>
      </c>
      <c r="BL705" s="1" t="s">
        <v>74</v>
      </c>
      <c r="BM705" s="1" t="s">
        <v>74</v>
      </c>
      <c r="BN705" s="1">
        <v>1.6390804E7</v>
      </c>
      <c r="BO705" s="1" t="s">
        <v>74</v>
      </c>
      <c r="BP705" s="1" t="s">
        <v>74</v>
      </c>
      <c r="BQ705" s="1" t="s">
        <v>74</v>
      </c>
      <c r="BR705" s="1" t="s">
        <v>74</v>
      </c>
      <c r="BS705" s="1" t="s">
        <v>6979</v>
      </c>
      <c r="BT705" s="1" t="str">
        <f>HYPERLINK("https%3A%2F%2Fwww.webofscience.com%2Fwos%2Fwoscc%2Ffull-record%2FWOS:000234532100005","View Full Record in Web of Science")</f>
        <v>View Full Record in Web of Science</v>
      </c>
    </row>
    <row r="706" ht="12.75" customHeight="1">
      <c r="A706" s="1" t="s">
        <v>72</v>
      </c>
      <c r="B706" s="1" t="s">
        <v>6980</v>
      </c>
      <c r="C706" s="1" t="s">
        <v>74</v>
      </c>
      <c r="D706" s="1" t="s">
        <v>74</v>
      </c>
      <c r="E706" s="1" t="s">
        <v>74</v>
      </c>
      <c r="F706" s="1" t="s">
        <v>6980</v>
      </c>
      <c r="G706" s="1" t="s">
        <v>74</v>
      </c>
      <c r="H706" s="1" t="s">
        <v>74</v>
      </c>
      <c r="I706" s="1" t="s">
        <v>6981</v>
      </c>
      <c r="J706" s="1" t="s">
        <v>2106</v>
      </c>
      <c r="K706" s="1" t="s">
        <v>74</v>
      </c>
      <c r="L706" s="1" t="s">
        <v>74</v>
      </c>
      <c r="M706" s="1" t="s">
        <v>74</v>
      </c>
      <c r="N706" s="1" t="s">
        <v>74</v>
      </c>
      <c r="O706" s="1" t="s">
        <v>74</v>
      </c>
      <c r="P706" s="1" t="s">
        <v>74</v>
      </c>
      <c r="Q706" s="1" t="s">
        <v>74</v>
      </c>
      <c r="R706" s="1" t="s">
        <v>74</v>
      </c>
      <c r="S706" s="1" t="s">
        <v>74</v>
      </c>
      <c r="T706" s="1" t="s">
        <v>74</v>
      </c>
      <c r="U706" s="1" t="s">
        <v>74</v>
      </c>
      <c r="V706" s="1" t="s">
        <v>6982</v>
      </c>
      <c r="W706" s="1" t="s">
        <v>74</v>
      </c>
      <c r="X706" s="1" t="s">
        <v>74</v>
      </c>
      <c r="Y706" s="1" t="s">
        <v>74</v>
      </c>
      <c r="Z706" s="1" t="s">
        <v>74</v>
      </c>
      <c r="AA706" s="1" t="s">
        <v>6983</v>
      </c>
      <c r="AB706" s="1" t="s">
        <v>6984</v>
      </c>
      <c r="AC706" s="1" t="s">
        <v>74</v>
      </c>
      <c r="AD706" s="1" t="s">
        <v>74</v>
      </c>
      <c r="AE706" s="1" t="s">
        <v>74</v>
      </c>
      <c r="AF706" s="1" t="s">
        <v>74</v>
      </c>
      <c r="AG706" s="1" t="s">
        <v>74</v>
      </c>
      <c r="AH706" s="1" t="s">
        <v>74</v>
      </c>
      <c r="AI706" s="1" t="s">
        <v>74</v>
      </c>
      <c r="AJ706" s="1" t="s">
        <v>74</v>
      </c>
      <c r="AK706" s="1" t="s">
        <v>74</v>
      </c>
      <c r="AL706" s="1" t="s">
        <v>74</v>
      </c>
      <c r="AM706" s="1" t="s">
        <v>74</v>
      </c>
      <c r="AN706" s="1" t="s">
        <v>74</v>
      </c>
      <c r="AO706" s="1" t="s">
        <v>2110</v>
      </c>
      <c r="AP706" s="1" t="s">
        <v>2111</v>
      </c>
      <c r="AQ706" s="1" t="s">
        <v>74</v>
      </c>
      <c r="AR706" s="1" t="s">
        <v>74</v>
      </c>
      <c r="AS706" s="1" t="s">
        <v>74</v>
      </c>
      <c r="AT706" s="1" t="s">
        <v>606</v>
      </c>
      <c r="AU706" s="1">
        <v>2005.0</v>
      </c>
      <c r="AV706" s="1">
        <v>47.0</v>
      </c>
      <c r="AW706" s="1">
        <v>10.0</v>
      </c>
      <c r="AX706" s="1" t="s">
        <v>74</v>
      </c>
      <c r="AY706" s="1" t="s">
        <v>74</v>
      </c>
      <c r="AZ706" s="1" t="s">
        <v>74</v>
      </c>
      <c r="BA706" s="1" t="s">
        <v>74</v>
      </c>
      <c r="BB706" s="1">
        <v>618.0</v>
      </c>
      <c r="BC706" s="1">
        <v>624.0</v>
      </c>
      <c r="BD706" s="1" t="s">
        <v>74</v>
      </c>
      <c r="BE706" s="1" t="s">
        <v>6985</v>
      </c>
      <c r="BF706" s="2" t="str">
        <f>HYPERLINK("http://dx.doi.org/10.1784/insi.2005.47.10.618","http://dx.doi.org/10.1784/insi.2005.47.10.618")</f>
        <v>http://dx.doi.org/10.1784/insi.2005.47.10.618</v>
      </c>
      <c r="BG706" s="1" t="s">
        <v>74</v>
      </c>
      <c r="BH706" s="1" t="s">
        <v>74</v>
      </c>
      <c r="BI706" s="1" t="s">
        <v>74</v>
      </c>
      <c r="BJ706" s="1" t="s">
        <v>74</v>
      </c>
      <c r="BK706" s="1" t="s">
        <v>74</v>
      </c>
      <c r="BL706" s="1" t="s">
        <v>74</v>
      </c>
      <c r="BM706" s="1" t="s">
        <v>74</v>
      </c>
      <c r="BN706" s="1" t="s">
        <v>74</v>
      </c>
      <c r="BO706" s="1" t="s">
        <v>74</v>
      </c>
      <c r="BP706" s="1" t="s">
        <v>74</v>
      </c>
      <c r="BQ706" s="1" t="s">
        <v>74</v>
      </c>
      <c r="BR706" s="1" t="s">
        <v>74</v>
      </c>
      <c r="BS706" s="1" t="s">
        <v>6986</v>
      </c>
      <c r="BT706" s="1" t="str">
        <f>HYPERLINK("https%3A%2F%2Fwww.webofscience.com%2Fwos%2Fwoscc%2Ffull-record%2FWOS:000232793200010","View Full Record in Web of Science")</f>
        <v>View Full Record in Web of Science</v>
      </c>
    </row>
    <row r="707" ht="12.75" customHeight="1">
      <c r="A707" s="1" t="s">
        <v>72</v>
      </c>
      <c r="B707" s="1" t="s">
        <v>6987</v>
      </c>
      <c r="C707" s="1" t="s">
        <v>74</v>
      </c>
      <c r="D707" s="1" t="s">
        <v>74</v>
      </c>
      <c r="E707" s="1" t="s">
        <v>74</v>
      </c>
      <c r="F707" s="1" t="s">
        <v>6987</v>
      </c>
      <c r="G707" s="1" t="s">
        <v>74</v>
      </c>
      <c r="H707" s="1" t="s">
        <v>74</v>
      </c>
      <c r="I707" s="1" t="s">
        <v>6988</v>
      </c>
      <c r="J707" s="1" t="s">
        <v>1727</v>
      </c>
      <c r="K707" s="1" t="s">
        <v>74</v>
      </c>
      <c r="L707" s="1" t="s">
        <v>74</v>
      </c>
      <c r="M707" s="1" t="s">
        <v>74</v>
      </c>
      <c r="N707" s="1" t="s">
        <v>74</v>
      </c>
      <c r="O707" s="1" t="s">
        <v>74</v>
      </c>
      <c r="P707" s="1" t="s">
        <v>74</v>
      </c>
      <c r="Q707" s="1" t="s">
        <v>74</v>
      </c>
      <c r="R707" s="1" t="s">
        <v>74</v>
      </c>
      <c r="S707" s="1" t="s">
        <v>74</v>
      </c>
      <c r="T707" s="1" t="s">
        <v>74</v>
      </c>
      <c r="U707" s="1" t="s">
        <v>74</v>
      </c>
      <c r="V707" s="1" t="s">
        <v>6989</v>
      </c>
      <c r="W707" s="1" t="s">
        <v>74</v>
      </c>
      <c r="X707" s="1" t="s">
        <v>74</v>
      </c>
      <c r="Y707" s="1" t="s">
        <v>74</v>
      </c>
      <c r="Z707" s="1" t="s">
        <v>74</v>
      </c>
      <c r="AA707" s="1" t="s">
        <v>74</v>
      </c>
      <c r="AB707" s="1" t="s">
        <v>74</v>
      </c>
      <c r="AC707" s="1" t="s">
        <v>74</v>
      </c>
      <c r="AD707" s="1" t="s">
        <v>74</v>
      </c>
      <c r="AE707" s="1" t="s">
        <v>74</v>
      </c>
      <c r="AF707" s="1" t="s">
        <v>74</v>
      </c>
      <c r="AG707" s="1" t="s">
        <v>74</v>
      </c>
      <c r="AH707" s="1" t="s">
        <v>74</v>
      </c>
      <c r="AI707" s="1" t="s">
        <v>74</v>
      </c>
      <c r="AJ707" s="1" t="s">
        <v>74</v>
      </c>
      <c r="AK707" s="1" t="s">
        <v>74</v>
      </c>
      <c r="AL707" s="1" t="s">
        <v>74</v>
      </c>
      <c r="AM707" s="1" t="s">
        <v>74</v>
      </c>
      <c r="AN707" s="1" t="s">
        <v>74</v>
      </c>
      <c r="AO707" s="1" t="s">
        <v>1730</v>
      </c>
      <c r="AP707" s="1" t="s">
        <v>74</v>
      </c>
      <c r="AQ707" s="1" t="s">
        <v>74</v>
      </c>
      <c r="AR707" s="1" t="s">
        <v>74</v>
      </c>
      <c r="AS707" s="1" t="s">
        <v>74</v>
      </c>
      <c r="AT707" s="1" t="s">
        <v>6990</v>
      </c>
      <c r="AU707" s="1">
        <v>2002.0</v>
      </c>
      <c r="AV707" s="1">
        <v>329.0</v>
      </c>
      <c r="AW707" s="1" t="s">
        <v>74</v>
      </c>
      <c r="AX707" s="1" t="s">
        <v>74</v>
      </c>
      <c r="AY707" s="1" t="s">
        <v>74</v>
      </c>
      <c r="AZ707" s="1" t="s">
        <v>74</v>
      </c>
      <c r="BA707" s="1" t="s">
        <v>74</v>
      </c>
      <c r="BB707" s="1">
        <v>22.0</v>
      </c>
      <c r="BC707" s="1">
        <v>30.0</v>
      </c>
      <c r="BD707" s="1" t="s">
        <v>6991</v>
      </c>
      <c r="BE707" s="1" t="s">
        <v>6992</v>
      </c>
      <c r="BF707" s="2" t="str">
        <f>HYPERLINK("http://dx.doi.org/10.1016/S0020-1693(01)00782-4","http://dx.doi.org/10.1016/S0020-1693(01)00782-4")</f>
        <v>http://dx.doi.org/10.1016/S0020-1693(01)00782-4</v>
      </c>
      <c r="BG707" s="1" t="s">
        <v>74</v>
      </c>
      <c r="BH707" s="1" t="s">
        <v>74</v>
      </c>
      <c r="BI707" s="1" t="s">
        <v>74</v>
      </c>
      <c r="BJ707" s="1" t="s">
        <v>74</v>
      </c>
      <c r="BK707" s="1" t="s">
        <v>74</v>
      </c>
      <c r="BL707" s="1" t="s">
        <v>74</v>
      </c>
      <c r="BM707" s="1" t="s">
        <v>74</v>
      </c>
      <c r="BN707" s="1" t="s">
        <v>74</v>
      </c>
      <c r="BO707" s="1" t="s">
        <v>74</v>
      </c>
      <c r="BP707" s="1" t="s">
        <v>74</v>
      </c>
      <c r="BQ707" s="1" t="s">
        <v>74</v>
      </c>
      <c r="BR707" s="1" t="s">
        <v>74</v>
      </c>
      <c r="BS707" s="1" t="s">
        <v>6993</v>
      </c>
      <c r="BT707" s="1" t="str">
        <f>HYPERLINK("https%3A%2F%2Fwww.webofscience.com%2Fwos%2Fwoscc%2Ffull-record%2FWOS:000174492500004","View Full Record in Web of Science")</f>
        <v>View Full Record in Web of Science</v>
      </c>
    </row>
    <row r="708" ht="12.75" customHeight="1">
      <c r="A708" s="1" t="s">
        <v>72</v>
      </c>
      <c r="B708" s="1" t="s">
        <v>6994</v>
      </c>
      <c r="C708" s="1" t="s">
        <v>74</v>
      </c>
      <c r="D708" s="1" t="s">
        <v>74</v>
      </c>
      <c r="E708" s="1" t="s">
        <v>74</v>
      </c>
      <c r="F708" s="1" t="s">
        <v>6994</v>
      </c>
      <c r="G708" s="1" t="s">
        <v>74</v>
      </c>
      <c r="H708" s="1" t="s">
        <v>74</v>
      </c>
      <c r="I708" s="1" t="s">
        <v>6995</v>
      </c>
      <c r="J708" s="1" t="s">
        <v>2522</v>
      </c>
      <c r="K708" s="1" t="s">
        <v>74</v>
      </c>
      <c r="L708" s="1" t="s">
        <v>74</v>
      </c>
      <c r="M708" s="1" t="s">
        <v>74</v>
      </c>
      <c r="N708" s="1" t="s">
        <v>74</v>
      </c>
      <c r="O708" s="1" t="s">
        <v>74</v>
      </c>
      <c r="P708" s="1" t="s">
        <v>74</v>
      </c>
      <c r="Q708" s="1" t="s">
        <v>74</v>
      </c>
      <c r="R708" s="1" t="s">
        <v>74</v>
      </c>
      <c r="S708" s="1" t="s">
        <v>74</v>
      </c>
      <c r="T708" s="1" t="s">
        <v>74</v>
      </c>
      <c r="U708" s="1" t="s">
        <v>74</v>
      </c>
      <c r="V708" s="1" t="s">
        <v>74</v>
      </c>
      <c r="W708" s="1" t="s">
        <v>74</v>
      </c>
      <c r="X708" s="1" t="s">
        <v>74</v>
      </c>
      <c r="Y708" s="1" t="s">
        <v>74</v>
      </c>
      <c r="Z708" s="1" t="s">
        <v>74</v>
      </c>
      <c r="AA708" s="1" t="s">
        <v>74</v>
      </c>
      <c r="AB708" s="1" t="s">
        <v>74</v>
      </c>
      <c r="AC708" s="1" t="s">
        <v>74</v>
      </c>
      <c r="AD708" s="1" t="s">
        <v>74</v>
      </c>
      <c r="AE708" s="1" t="s">
        <v>74</v>
      </c>
      <c r="AF708" s="1" t="s">
        <v>74</v>
      </c>
      <c r="AG708" s="1" t="s">
        <v>74</v>
      </c>
      <c r="AH708" s="1" t="s">
        <v>74</v>
      </c>
      <c r="AI708" s="1" t="s">
        <v>74</v>
      </c>
      <c r="AJ708" s="1" t="s">
        <v>74</v>
      </c>
      <c r="AK708" s="1" t="s">
        <v>74</v>
      </c>
      <c r="AL708" s="1" t="s">
        <v>74</v>
      </c>
      <c r="AM708" s="1" t="s">
        <v>74</v>
      </c>
      <c r="AN708" s="1" t="s">
        <v>74</v>
      </c>
      <c r="AO708" s="1" t="s">
        <v>2524</v>
      </c>
      <c r="AP708" s="1" t="s">
        <v>74</v>
      </c>
      <c r="AQ708" s="1" t="s">
        <v>74</v>
      </c>
      <c r="AR708" s="1" t="s">
        <v>74</v>
      </c>
      <c r="AS708" s="1" t="s">
        <v>74</v>
      </c>
      <c r="AT708" s="1" t="s">
        <v>350</v>
      </c>
      <c r="AU708" s="1">
        <v>2001.0</v>
      </c>
      <c r="AV708" s="1">
        <v>222.0</v>
      </c>
      <c r="AW708" s="1" t="s">
        <v>74</v>
      </c>
      <c r="AX708" s="1">
        <v>2.0</v>
      </c>
      <c r="AY708" s="1" t="s">
        <v>74</v>
      </c>
      <c r="AZ708" s="1" t="s">
        <v>74</v>
      </c>
      <c r="BA708" s="1" t="s">
        <v>6996</v>
      </c>
      <c r="BB708" s="1" t="s">
        <v>6997</v>
      </c>
      <c r="BC708" s="1" t="s">
        <v>6997</v>
      </c>
      <c r="BD708" s="1" t="s">
        <v>74</v>
      </c>
      <c r="BE708" s="1" t="s">
        <v>74</v>
      </c>
      <c r="BF708" s="1" t="s">
        <v>74</v>
      </c>
      <c r="BG708" s="1" t="s">
        <v>74</v>
      </c>
      <c r="BH708" s="1" t="s">
        <v>74</v>
      </c>
      <c r="BI708" s="1" t="s">
        <v>74</v>
      </c>
      <c r="BJ708" s="1" t="s">
        <v>74</v>
      </c>
      <c r="BK708" s="1" t="s">
        <v>74</v>
      </c>
      <c r="BL708" s="1" t="s">
        <v>74</v>
      </c>
      <c r="BM708" s="1" t="s">
        <v>74</v>
      </c>
      <c r="BN708" s="1" t="s">
        <v>74</v>
      </c>
      <c r="BO708" s="1" t="s">
        <v>74</v>
      </c>
      <c r="BP708" s="1" t="s">
        <v>74</v>
      </c>
      <c r="BQ708" s="1" t="s">
        <v>74</v>
      </c>
      <c r="BR708" s="1" t="s">
        <v>74</v>
      </c>
      <c r="BS708" s="1" t="s">
        <v>6998</v>
      </c>
      <c r="BT708" s="1" t="str">
        <f>HYPERLINK("https%3A%2F%2Fwww.webofscience.com%2Fwos%2Fwoscc%2Ffull-record%2FWOS:000170690100255","View Full Record in Web of Science")</f>
        <v>View Full Record in Web of Science</v>
      </c>
    </row>
    <row r="709" ht="12.75" customHeight="1">
      <c r="A709" s="1" t="s">
        <v>72</v>
      </c>
      <c r="B709" s="1" t="s">
        <v>6999</v>
      </c>
      <c r="C709" s="1" t="s">
        <v>74</v>
      </c>
      <c r="D709" s="1" t="s">
        <v>74</v>
      </c>
      <c r="E709" s="1" t="s">
        <v>74</v>
      </c>
      <c r="F709" s="1" t="s">
        <v>6999</v>
      </c>
      <c r="G709" s="1" t="s">
        <v>74</v>
      </c>
      <c r="H709" s="1" t="s">
        <v>74</v>
      </c>
      <c r="I709" s="1" t="s">
        <v>7000</v>
      </c>
      <c r="J709" s="1" t="s">
        <v>2133</v>
      </c>
      <c r="K709" s="1" t="s">
        <v>74</v>
      </c>
      <c r="L709" s="1" t="s">
        <v>74</v>
      </c>
      <c r="M709" s="1" t="s">
        <v>74</v>
      </c>
      <c r="N709" s="1" t="s">
        <v>74</v>
      </c>
      <c r="O709" s="1" t="s">
        <v>74</v>
      </c>
      <c r="P709" s="1" t="s">
        <v>74</v>
      </c>
      <c r="Q709" s="1" t="s">
        <v>74</v>
      </c>
      <c r="R709" s="1" t="s">
        <v>74</v>
      </c>
      <c r="S709" s="1" t="s">
        <v>74</v>
      </c>
      <c r="T709" s="1" t="s">
        <v>74</v>
      </c>
      <c r="U709" s="1" t="s">
        <v>74</v>
      </c>
      <c r="V709" s="1" t="s">
        <v>7001</v>
      </c>
      <c r="W709" s="1" t="s">
        <v>74</v>
      </c>
      <c r="X709" s="1" t="s">
        <v>74</v>
      </c>
      <c r="Y709" s="1" t="s">
        <v>74</v>
      </c>
      <c r="Z709" s="1" t="s">
        <v>74</v>
      </c>
      <c r="AA709" s="1" t="s">
        <v>7002</v>
      </c>
      <c r="AB709" s="1" t="s">
        <v>7003</v>
      </c>
      <c r="AC709" s="1" t="s">
        <v>74</v>
      </c>
      <c r="AD709" s="1" t="s">
        <v>74</v>
      </c>
      <c r="AE709" s="1" t="s">
        <v>74</v>
      </c>
      <c r="AF709" s="1" t="s">
        <v>74</v>
      </c>
      <c r="AG709" s="1" t="s">
        <v>74</v>
      </c>
      <c r="AH709" s="1" t="s">
        <v>74</v>
      </c>
      <c r="AI709" s="1" t="s">
        <v>74</v>
      </c>
      <c r="AJ709" s="1" t="s">
        <v>74</v>
      </c>
      <c r="AK709" s="1" t="s">
        <v>74</v>
      </c>
      <c r="AL709" s="1" t="s">
        <v>74</v>
      </c>
      <c r="AM709" s="1" t="s">
        <v>74</v>
      </c>
      <c r="AN709" s="1" t="s">
        <v>74</v>
      </c>
      <c r="AO709" s="1" t="s">
        <v>2137</v>
      </c>
      <c r="AP709" s="1" t="s">
        <v>7004</v>
      </c>
      <c r="AQ709" s="1" t="s">
        <v>74</v>
      </c>
      <c r="AR709" s="1" t="s">
        <v>74</v>
      </c>
      <c r="AS709" s="1" t="s">
        <v>74</v>
      </c>
      <c r="AT709" s="1" t="s">
        <v>350</v>
      </c>
      <c r="AU709" s="1">
        <v>2001.0</v>
      </c>
      <c r="AV709" s="1">
        <v>16.0</v>
      </c>
      <c r="AW709" s="1">
        <v>8.0</v>
      </c>
      <c r="AX709" s="1" t="s">
        <v>74</v>
      </c>
      <c r="AY709" s="1" t="s">
        <v>74</v>
      </c>
      <c r="AZ709" s="1" t="s">
        <v>74</v>
      </c>
      <c r="BA709" s="1" t="s">
        <v>74</v>
      </c>
      <c r="BB709" s="1">
        <v>1583.0</v>
      </c>
      <c r="BC709" s="1">
        <v>1587.0</v>
      </c>
      <c r="BD709" s="1" t="s">
        <v>74</v>
      </c>
      <c r="BE709" s="1" t="s">
        <v>7005</v>
      </c>
      <c r="BF709" s="2" t="str">
        <f>HYPERLINK("http://dx.doi.org/10.1093/humrep/16.8.1583","http://dx.doi.org/10.1093/humrep/16.8.1583")</f>
        <v>http://dx.doi.org/10.1093/humrep/16.8.1583</v>
      </c>
      <c r="BG709" s="1" t="s">
        <v>74</v>
      </c>
      <c r="BH709" s="1" t="s">
        <v>74</v>
      </c>
      <c r="BI709" s="1" t="s">
        <v>74</v>
      </c>
      <c r="BJ709" s="1" t="s">
        <v>74</v>
      </c>
      <c r="BK709" s="1" t="s">
        <v>74</v>
      </c>
      <c r="BL709" s="1" t="s">
        <v>74</v>
      </c>
      <c r="BM709" s="1" t="s">
        <v>74</v>
      </c>
      <c r="BN709" s="1">
        <v>1.1473946E7</v>
      </c>
      <c r="BO709" s="1" t="s">
        <v>74</v>
      </c>
      <c r="BP709" s="1" t="s">
        <v>74</v>
      </c>
      <c r="BQ709" s="1" t="s">
        <v>74</v>
      </c>
      <c r="BR709" s="1" t="s">
        <v>74</v>
      </c>
      <c r="BS709" s="1" t="s">
        <v>7006</v>
      </c>
      <c r="BT709" s="1" t="str">
        <f>HYPERLINK("https%3A%2F%2Fwww.webofscience.com%2Fwos%2Fwoscc%2Ffull-record%2FWOS:000170441100008","View Full Record in Web of Science")</f>
        <v>View Full Record in Web of Science</v>
      </c>
    </row>
    <row r="710" ht="12.75" customHeight="1">
      <c r="A710" s="1" t="s">
        <v>72</v>
      </c>
      <c r="B710" s="1" t="s">
        <v>7007</v>
      </c>
      <c r="C710" s="1" t="s">
        <v>74</v>
      </c>
      <c r="D710" s="1" t="s">
        <v>74</v>
      </c>
      <c r="E710" s="1" t="s">
        <v>74</v>
      </c>
      <c r="F710" s="1" t="s">
        <v>7007</v>
      </c>
      <c r="G710" s="1" t="s">
        <v>74</v>
      </c>
      <c r="H710" s="1" t="s">
        <v>74</v>
      </c>
      <c r="I710" s="1" t="s">
        <v>7008</v>
      </c>
      <c r="J710" s="1" t="s">
        <v>7009</v>
      </c>
      <c r="K710" s="1" t="s">
        <v>74</v>
      </c>
      <c r="L710" s="1" t="s">
        <v>74</v>
      </c>
      <c r="M710" s="1" t="s">
        <v>74</v>
      </c>
      <c r="N710" s="1" t="s">
        <v>74</v>
      </c>
      <c r="O710" s="1" t="s">
        <v>74</v>
      </c>
      <c r="P710" s="1" t="s">
        <v>74</v>
      </c>
      <c r="Q710" s="1" t="s">
        <v>74</v>
      </c>
      <c r="R710" s="1" t="s">
        <v>74</v>
      </c>
      <c r="S710" s="1" t="s">
        <v>74</v>
      </c>
      <c r="T710" s="1" t="s">
        <v>74</v>
      </c>
      <c r="U710" s="1" t="s">
        <v>74</v>
      </c>
      <c r="V710" s="1" t="s">
        <v>7010</v>
      </c>
      <c r="W710" s="1" t="s">
        <v>74</v>
      </c>
      <c r="X710" s="1" t="s">
        <v>74</v>
      </c>
      <c r="Y710" s="1" t="s">
        <v>74</v>
      </c>
      <c r="Z710" s="1" t="s">
        <v>74</v>
      </c>
      <c r="AA710" s="1" t="s">
        <v>6542</v>
      </c>
      <c r="AB710" s="1" t="s">
        <v>6543</v>
      </c>
      <c r="AC710" s="1" t="s">
        <v>74</v>
      </c>
      <c r="AD710" s="1" t="s">
        <v>74</v>
      </c>
      <c r="AE710" s="1" t="s">
        <v>74</v>
      </c>
      <c r="AF710" s="1" t="s">
        <v>74</v>
      </c>
      <c r="AG710" s="1" t="s">
        <v>74</v>
      </c>
      <c r="AH710" s="1" t="s">
        <v>74</v>
      </c>
      <c r="AI710" s="1" t="s">
        <v>74</v>
      </c>
      <c r="AJ710" s="1" t="s">
        <v>74</v>
      </c>
      <c r="AK710" s="1" t="s">
        <v>74</v>
      </c>
      <c r="AL710" s="1" t="s">
        <v>74</v>
      </c>
      <c r="AM710" s="1" t="s">
        <v>74</v>
      </c>
      <c r="AN710" s="1" t="s">
        <v>74</v>
      </c>
      <c r="AO710" s="1" t="s">
        <v>7011</v>
      </c>
      <c r="AP710" s="1" t="s">
        <v>74</v>
      </c>
      <c r="AQ710" s="1" t="s">
        <v>74</v>
      </c>
      <c r="AR710" s="1" t="s">
        <v>74</v>
      </c>
      <c r="AS710" s="1" t="s">
        <v>74</v>
      </c>
      <c r="AT710" s="1" t="s">
        <v>652</v>
      </c>
      <c r="AU710" s="1">
        <v>1996.0</v>
      </c>
      <c r="AV710" s="1">
        <v>36.0</v>
      </c>
      <c r="AW710" s="1">
        <v>4.0</v>
      </c>
      <c r="AX710" s="1" t="s">
        <v>74</v>
      </c>
      <c r="AY710" s="1" t="s">
        <v>74</v>
      </c>
      <c r="AZ710" s="1" t="s">
        <v>74</v>
      </c>
      <c r="BA710" s="1" t="s">
        <v>74</v>
      </c>
      <c r="BB710" s="1">
        <v>393.0</v>
      </c>
      <c r="BC710" s="1">
        <v>399.0</v>
      </c>
      <c r="BD710" s="1" t="s">
        <v>74</v>
      </c>
      <c r="BE710" s="1" t="s">
        <v>7012</v>
      </c>
      <c r="BF710" s="2" t="str">
        <f>HYPERLINK("http://dx.doi.org/10.1016/S0098-8472(96)01026-X","http://dx.doi.org/10.1016/S0098-8472(96)01026-X")</f>
        <v>http://dx.doi.org/10.1016/S0098-8472(96)01026-X</v>
      </c>
      <c r="BG710" s="1" t="s">
        <v>74</v>
      </c>
      <c r="BH710" s="1" t="s">
        <v>74</v>
      </c>
      <c r="BI710" s="1" t="s">
        <v>74</v>
      </c>
      <c r="BJ710" s="1" t="s">
        <v>74</v>
      </c>
      <c r="BK710" s="1" t="s">
        <v>74</v>
      </c>
      <c r="BL710" s="1" t="s">
        <v>74</v>
      </c>
      <c r="BM710" s="1" t="s">
        <v>74</v>
      </c>
      <c r="BN710" s="1" t="s">
        <v>74</v>
      </c>
      <c r="BO710" s="1" t="s">
        <v>74</v>
      </c>
      <c r="BP710" s="1" t="s">
        <v>74</v>
      </c>
      <c r="BQ710" s="1" t="s">
        <v>74</v>
      </c>
      <c r="BR710" s="1" t="s">
        <v>74</v>
      </c>
      <c r="BS710" s="1" t="s">
        <v>7013</v>
      </c>
      <c r="BT710" s="1" t="str">
        <f>HYPERLINK("https%3A%2F%2Fwww.webofscience.com%2Fwos%2Fwoscc%2Ffull-record%2FWOS:A1996WC14600005","View Full Record in Web of Science")</f>
        <v>View Full Record in Web of Science</v>
      </c>
    </row>
    <row r="711" ht="12.75" customHeight="1">
      <c r="A711" s="1" t="s">
        <v>72</v>
      </c>
      <c r="B711" s="1" t="s">
        <v>7014</v>
      </c>
      <c r="C711" s="1" t="s">
        <v>74</v>
      </c>
      <c r="D711" s="1" t="s">
        <v>74</v>
      </c>
      <c r="E711" s="1" t="s">
        <v>74</v>
      </c>
      <c r="F711" s="1" t="s">
        <v>7014</v>
      </c>
      <c r="G711" s="1" t="s">
        <v>74</v>
      </c>
      <c r="H711" s="1" t="s">
        <v>74</v>
      </c>
      <c r="I711" s="1" t="s">
        <v>7015</v>
      </c>
      <c r="J711" s="1" t="s">
        <v>5890</v>
      </c>
      <c r="K711" s="1" t="s">
        <v>74</v>
      </c>
      <c r="L711" s="1" t="s">
        <v>74</v>
      </c>
      <c r="M711" s="1" t="s">
        <v>74</v>
      </c>
      <c r="N711" s="1" t="s">
        <v>74</v>
      </c>
      <c r="O711" s="1" t="s">
        <v>7016</v>
      </c>
      <c r="P711" s="1" t="s">
        <v>7017</v>
      </c>
      <c r="Q711" s="1" t="s">
        <v>7018</v>
      </c>
      <c r="R711" s="1" t="s">
        <v>74</v>
      </c>
      <c r="S711" s="1" t="s">
        <v>74</v>
      </c>
      <c r="T711" s="1" t="s">
        <v>74</v>
      </c>
      <c r="U711" s="1" t="s">
        <v>74</v>
      </c>
      <c r="V711" s="1" t="s">
        <v>7019</v>
      </c>
      <c r="W711" s="1" t="s">
        <v>74</v>
      </c>
      <c r="X711" s="1" t="s">
        <v>74</v>
      </c>
      <c r="Y711" s="1" t="s">
        <v>74</v>
      </c>
      <c r="Z711" s="1" t="s">
        <v>74</v>
      </c>
      <c r="AA711" s="1" t="s">
        <v>74</v>
      </c>
      <c r="AB711" s="1" t="s">
        <v>74</v>
      </c>
      <c r="AC711" s="1" t="s">
        <v>74</v>
      </c>
      <c r="AD711" s="1" t="s">
        <v>74</v>
      </c>
      <c r="AE711" s="1" t="s">
        <v>74</v>
      </c>
      <c r="AF711" s="1" t="s">
        <v>74</v>
      </c>
      <c r="AG711" s="1" t="s">
        <v>74</v>
      </c>
      <c r="AH711" s="1" t="s">
        <v>74</v>
      </c>
      <c r="AI711" s="1" t="s">
        <v>74</v>
      </c>
      <c r="AJ711" s="1" t="s">
        <v>74</v>
      </c>
      <c r="AK711" s="1" t="s">
        <v>74</v>
      </c>
      <c r="AL711" s="1" t="s">
        <v>74</v>
      </c>
      <c r="AM711" s="1" t="s">
        <v>74</v>
      </c>
      <c r="AN711" s="1" t="s">
        <v>74</v>
      </c>
      <c r="AO711" s="1" t="s">
        <v>5894</v>
      </c>
      <c r="AP711" s="1" t="s">
        <v>74</v>
      </c>
      <c r="AQ711" s="1" t="s">
        <v>74</v>
      </c>
      <c r="AR711" s="1" t="s">
        <v>74</v>
      </c>
      <c r="AS711" s="1" t="s">
        <v>74</v>
      </c>
      <c r="AT711" s="1" t="s">
        <v>5609</v>
      </c>
      <c r="AU711" s="1">
        <v>1995.0</v>
      </c>
      <c r="AV711" s="1">
        <v>6.0</v>
      </c>
      <c r="AW711" s="1">
        <v>1.0</v>
      </c>
      <c r="AX711" s="1" t="s">
        <v>74</v>
      </c>
      <c r="AY711" s="1" t="s">
        <v>74</v>
      </c>
      <c r="AZ711" s="1" t="s">
        <v>74</v>
      </c>
      <c r="BA711" s="1" t="s">
        <v>74</v>
      </c>
      <c r="BB711" s="1">
        <v>29.0</v>
      </c>
      <c r="BC711" s="1">
        <v>32.0</v>
      </c>
      <c r="BD711" s="1" t="s">
        <v>74</v>
      </c>
      <c r="BE711" s="1" t="s">
        <v>7020</v>
      </c>
      <c r="BF711" s="2" t="str">
        <f>HYPERLINK("http://dx.doi.org/10.5935/0103-5053.19950006","http://dx.doi.org/10.5935/0103-5053.19950006")</f>
        <v>http://dx.doi.org/10.5935/0103-5053.19950006</v>
      </c>
      <c r="BG711" s="1" t="s">
        <v>74</v>
      </c>
      <c r="BH711" s="1" t="s">
        <v>74</v>
      </c>
      <c r="BI711" s="1" t="s">
        <v>74</v>
      </c>
      <c r="BJ711" s="1" t="s">
        <v>74</v>
      </c>
      <c r="BK711" s="1" t="s">
        <v>74</v>
      </c>
      <c r="BL711" s="1" t="s">
        <v>74</v>
      </c>
      <c r="BM711" s="1" t="s">
        <v>74</v>
      </c>
      <c r="BN711" s="1" t="s">
        <v>74</v>
      </c>
      <c r="BO711" s="1" t="s">
        <v>74</v>
      </c>
      <c r="BP711" s="1" t="s">
        <v>74</v>
      </c>
      <c r="BQ711" s="1" t="s">
        <v>74</v>
      </c>
      <c r="BR711" s="1" t="s">
        <v>74</v>
      </c>
      <c r="BS711" s="1" t="s">
        <v>7021</v>
      </c>
      <c r="BT711" s="1" t="str">
        <f>HYPERLINK("https%3A%2F%2Fwww.webofscience.com%2Fwos%2Fwoscc%2Ffull-record%2FWOS:A1995RF70700007","View Full Record in Web of Science")</f>
        <v>View Full Record in Web of Science</v>
      </c>
    </row>
    <row r="712" ht="12.75" customHeight="1">
      <c r="A712" s="1" t="s">
        <v>72</v>
      </c>
      <c r="B712" s="1" t="s">
        <v>7022</v>
      </c>
      <c r="C712" s="1" t="s">
        <v>74</v>
      </c>
      <c r="D712" s="1" t="s">
        <v>74</v>
      </c>
      <c r="E712" s="1" t="s">
        <v>74</v>
      </c>
      <c r="F712" s="1" t="s">
        <v>7022</v>
      </c>
      <c r="G712" s="1" t="s">
        <v>74</v>
      </c>
      <c r="H712" s="1" t="s">
        <v>74</v>
      </c>
      <c r="I712" s="1" t="s">
        <v>7023</v>
      </c>
      <c r="J712" s="1" t="s">
        <v>7024</v>
      </c>
      <c r="K712" s="1" t="s">
        <v>74</v>
      </c>
      <c r="L712" s="1" t="s">
        <v>74</v>
      </c>
      <c r="M712" s="1" t="s">
        <v>74</v>
      </c>
      <c r="N712" s="1" t="s">
        <v>74</v>
      </c>
      <c r="O712" s="1" t="s">
        <v>74</v>
      </c>
      <c r="P712" s="1" t="s">
        <v>74</v>
      </c>
      <c r="Q712" s="1" t="s">
        <v>74</v>
      </c>
      <c r="R712" s="1" t="s">
        <v>74</v>
      </c>
      <c r="S712" s="1" t="s">
        <v>74</v>
      </c>
      <c r="T712" s="1" t="s">
        <v>74</v>
      </c>
      <c r="U712" s="1" t="s">
        <v>74</v>
      </c>
      <c r="V712" s="1" t="s">
        <v>74</v>
      </c>
      <c r="W712" s="1" t="s">
        <v>74</v>
      </c>
      <c r="X712" s="1" t="s">
        <v>74</v>
      </c>
      <c r="Y712" s="1" t="s">
        <v>74</v>
      </c>
      <c r="Z712" s="1" t="s">
        <v>74</v>
      </c>
      <c r="AA712" s="1" t="s">
        <v>7025</v>
      </c>
      <c r="AB712" s="1" t="s">
        <v>7026</v>
      </c>
      <c r="AC712" s="1" t="s">
        <v>74</v>
      </c>
      <c r="AD712" s="1" t="s">
        <v>74</v>
      </c>
      <c r="AE712" s="1" t="s">
        <v>74</v>
      </c>
      <c r="AF712" s="1" t="s">
        <v>74</v>
      </c>
      <c r="AG712" s="1" t="s">
        <v>74</v>
      </c>
      <c r="AH712" s="1" t="s">
        <v>74</v>
      </c>
      <c r="AI712" s="1" t="s">
        <v>74</v>
      </c>
      <c r="AJ712" s="1" t="s">
        <v>74</v>
      </c>
      <c r="AK712" s="1" t="s">
        <v>74</v>
      </c>
      <c r="AL712" s="1" t="s">
        <v>74</v>
      </c>
      <c r="AM712" s="1" t="s">
        <v>74</v>
      </c>
      <c r="AN712" s="1" t="s">
        <v>74</v>
      </c>
      <c r="AO712" s="1" t="s">
        <v>7027</v>
      </c>
      <c r="AP712" s="1" t="s">
        <v>74</v>
      </c>
      <c r="AQ712" s="1" t="s">
        <v>74</v>
      </c>
      <c r="AR712" s="1" t="s">
        <v>74</v>
      </c>
      <c r="AS712" s="1" t="s">
        <v>74</v>
      </c>
      <c r="AT712" s="1" t="s">
        <v>180</v>
      </c>
      <c r="AU712" s="1">
        <v>1993.0</v>
      </c>
      <c r="AV712" s="1">
        <v>141.0</v>
      </c>
      <c r="AW712" s="1">
        <v>1.0</v>
      </c>
      <c r="AX712" s="1" t="s">
        <v>74</v>
      </c>
      <c r="AY712" s="1" t="s">
        <v>74</v>
      </c>
      <c r="AZ712" s="1" t="s">
        <v>74</v>
      </c>
      <c r="BA712" s="1" t="s">
        <v>74</v>
      </c>
      <c r="BB712" s="1">
        <v>48.0</v>
      </c>
      <c r="BC712" s="1">
        <v>57.0</v>
      </c>
      <c r="BD712" s="1" t="s">
        <v>74</v>
      </c>
      <c r="BE712" s="1" t="s">
        <v>7028</v>
      </c>
      <c r="BF712" s="2" t="str">
        <f>HYPERLINK("http://dx.doi.org/10.1006/jcat.1993.1117","http://dx.doi.org/10.1006/jcat.1993.1117")</f>
        <v>http://dx.doi.org/10.1006/jcat.1993.1117</v>
      </c>
      <c r="BG712" s="1" t="s">
        <v>74</v>
      </c>
      <c r="BH712" s="1" t="s">
        <v>74</v>
      </c>
      <c r="BI712" s="1" t="s">
        <v>74</v>
      </c>
      <c r="BJ712" s="1" t="s">
        <v>74</v>
      </c>
      <c r="BK712" s="1" t="s">
        <v>74</v>
      </c>
      <c r="BL712" s="1" t="s">
        <v>74</v>
      </c>
      <c r="BM712" s="1" t="s">
        <v>74</v>
      </c>
      <c r="BN712" s="1" t="s">
        <v>74</v>
      </c>
      <c r="BO712" s="1" t="s">
        <v>74</v>
      </c>
      <c r="BP712" s="1" t="s">
        <v>74</v>
      </c>
      <c r="BQ712" s="1" t="s">
        <v>74</v>
      </c>
      <c r="BR712" s="1" t="s">
        <v>74</v>
      </c>
      <c r="BS712" s="1" t="s">
        <v>7029</v>
      </c>
      <c r="BT712" s="1" t="str">
        <f>HYPERLINK("https%3A%2F%2Fwww.webofscience.com%2Fwos%2Fwoscc%2Ffull-record%2FWOS:A1993KZ47200005","View Full Record in Web of Science")</f>
        <v>View Full Record in Web of Science</v>
      </c>
    </row>
    <row r="713" ht="12.75" customHeight="1">
      <c r="A713" s="1" t="s">
        <v>72</v>
      </c>
      <c r="B713" s="1" t="s">
        <v>7030</v>
      </c>
      <c r="C713" s="1" t="s">
        <v>74</v>
      </c>
      <c r="D713" s="1" t="s">
        <v>74</v>
      </c>
      <c r="E713" s="1" t="s">
        <v>74</v>
      </c>
      <c r="F713" s="1" t="s">
        <v>7031</v>
      </c>
      <c r="G713" s="1" t="s">
        <v>74</v>
      </c>
      <c r="H713" s="1" t="s">
        <v>74</v>
      </c>
      <c r="I713" s="1" t="s">
        <v>7032</v>
      </c>
      <c r="J713" s="1" t="s">
        <v>2866</v>
      </c>
      <c r="K713" s="1" t="s">
        <v>74</v>
      </c>
      <c r="L713" s="1" t="s">
        <v>74</v>
      </c>
      <c r="M713" s="1" t="s">
        <v>74</v>
      </c>
      <c r="N713" s="1" t="s">
        <v>74</v>
      </c>
      <c r="O713" s="1" t="s">
        <v>74</v>
      </c>
      <c r="P713" s="1" t="s">
        <v>74</v>
      </c>
      <c r="Q713" s="1" t="s">
        <v>74</v>
      </c>
      <c r="R713" s="1" t="s">
        <v>74</v>
      </c>
      <c r="S713" s="1" t="s">
        <v>74</v>
      </c>
      <c r="T713" s="1" t="s">
        <v>74</v>
      </c>
      <c r="U713" s="1" t="s">
        <v>74</v>
      </c>
      <c r="V713" s="1" t="s">
        <v>7033</v>
      </c>
      <c r="W713" s="1" t="s">
        <v>74</v>
      </c>
      <c r="X713" s="1" t="s">
        <v>74</v>
      </c>
      <c r="Y713" s="1" t="s">
        <v>74</v>
      </c>
      <c r="Z713" s="1" t="s">
        <v>74</v>
      </c>
      <c r="AA713" s="1" t="s">
        <v>7034</v>
      </c>
      <c r="AB713" s="1" t="s">
        <v>74</v>
      </c>
      <c r="AC713" s="1" t="s">
        <v>74</v>
      </c>
      <c r="AD713" s="1" t="s">
        <v>74</v>
      </c>
      <c r="AE713" s="1" t="s">
        <v>74</v>
      </c>
      <c r="AF713" s="1" t="s">
        <v>74</v>
      </c>
      <c r="AG713" s="1" t="s">
        <v>74</v>
      </c>
      <c r="AH713" s="1" t="s">
        <v>74</v>
      </c>
      <c r="AI713" s="1" t="s">
        <v>74</v>
      </c>
      <c r="AJ713" s="1" t="s">
        <v>74</v>
      </c>
      <c r="AK713" s="1" t="s">
        <v>74</v>
      </c>
      <c r="AL713" s="1" t="s">
        <v>74</v>
      </c>
      <c r="AM713" s="1" t="s">
        <v>74</v>
      </c>
      <c r="AN713" s="1" t="s">
        <v>74</v>
      </c>
      <c r="AO713" s="1" t="s">
        <v>74</v>
      </c>
      <c r="AP713" s="1" t="s">
        <v>2870</v>
      </c>
      <c r="AQ713" s="1" t="s">
        <v>74</v>
      </c>
      <c r="AR713" s="1" t="s">
        <v>74</v>
      </c>
      <c r="AS713" s="1" t="s">
        <v>74</v>
      </c>
      <c r="AT713" s="1" t="s">
        <v>7035</v>
      </c>
      <c r="AU713" s="1">
        <v>2025.0</v>
      </c>
      <c r="AV713" s="1">
        <v>15.0</v>
      </c>
      <c r="AW713" s="1">
        <v>3.0</v>
      </c>
      <c r="AX713" s="1" t="s">
        <v>74</v>
      </c>
      <c r="AY713" s="1" t="s">
        <v>74</v>
      </c>
      <c r="AZ713" s="1" t="s">
        <v>74</v>
      </c>
      <c r="BA713" s="1" t="s">
        <v>74</v>
      </c>
      <c r="BB713" s="1" t="s">
        <v>74</v>
      </c>
      <c r="BC713" s="1" t="s">
        <v>74</v>
      </c>
      <c r="BD713" s="1">
        <v>316.0</v>
      </c>
      <c r="BE713" s="1" t="s">
        <v>7036</v>
      </c>
      <c r="BF713" s="2" t="str">
        <f>HYPERLINK("http://dx.doi.org/10.3390/educsci15030316","http://dx.doi.org/10.3390/educsci15030316")</f>
        <v>http://dx.doi.org/10.3390/educsci15030316</v>
      </c>
      <c r="BG713" s="1" t="s">
        <v>74</v>
      </c>
      <c r="BH713" s="1" t="s">
        <v>74</v>
      </c>
      <c r="BI713" s="1" t="s">
        <v>74</v>
      </c>
      <c r="BJ713" s="1" t="s">
        <v>74</v>
      </c>
      <c r="BK713" s="1" t="s">
        <v>74</v>
      </c>
      <c r="BL713" s="1" t="s">
        <v>74</v>
      </c>
      <c r="BM713" s="1" t="s">
        <v>74</v>
      </c>
      <c r="BN713" s="1" t="s">
        <v>74</v>
      </c>
      <c r="BO713" s="1" t="s">
        <v>74</v>
      </c>
      <c r="BP713" s="1" t="s">
        <v>74</v>
      </c>
      <c r="BQ713" s="1" t="s">
        <v>74</v>
      </c>
      <c r="BR713" s="1" t="s">
        <v>74</v>
      </c>
      <c r="BS713" s="1" t="s">
        <v>7037</v>
      </c>
      <c r="BT713" s="1" t="str">
        <f>HYPERLINK("https%3A%2F%2Fwww.webofscience.com%2Fwos%2Fwoscc%2Ffull-record%2FWOS:001453849300001","View Full Record in Web of Science")</f>
        <v>View Full Record in Web of Science</v>
      </c>
    </row>
    <row r="714" ht="12.75" customHeight="1">
      <c r="A714" s="1" t="s">
        <v>72</v>
      </c>
      <c r="B714" s="1" t="s">
        <v>7038</v>
      </c>
      <c r="C714" s="1" t="s">
        <v>74</v>
      </c>
      <c r="D714" s="1" t="s">
        <v>74</v>
      </c>
      <c r="E714" s="1" t="s">
        <v>74</v>
      </c>
      <c r="F714" s="1" t="s">
        <v>7039</v>
      </c>
      <c r="G714" s="1" t="s">
        <v>74</v>
      </c>
      <c r="H714" s="1" t="s">
        <v>74</v>
      </c>
      <c r="I714" s="1" t="s">
        <v>7040</v>
      </c>
      <c r="J714" s="1" t="s">
        <v>7041</v>
      </c>
      <c r="K714" s="1" t="s">
        <v>74</v>
      </c>
      <c r="L714" s="1" t="s">
        <v>74</v>
      </c>
      <c r="M714" s="1" t="s">
        <v>74</v>
      </c>
      <c r="N714" s="1" t="s">
        <v>74</v>
      </c>
      <c r="O714" s="1" t="s">
        <v>74</v>
      </c>
      <c r="P714" s="1" t="s">
        <v>74</v>
      </c>
      <c r="Q714" s="1" t="s">
        <v>74</v>
      </c>
      <c r="R714" s="1" t="s">
        <v>74</v>
      </c>
      <c r="S714" s="1" t="s">
        <v>74</v>
      </c>
      <c r="T714" s="1" t="s">
        <v>74</v>
      </c>
      <c r="U714" s="1" t="s">
        <v>74</v>
      </c>
      <c r="V714" s="1" t="s">
        <v>7042</v>
      </c>
      <c r="W714" s="1" t="s">
        <v>74</v>
      </c>
      <c r="X714" s="1" t="s">
        <v>74</v>
      </c>
      <c r="Y714" s="1" t="s">
        <v>74</v>
      </c>
      <c r="Z714" s="1" t="s">
        <v>74</v>
      </c>
      <c r="AA714" s="1" t="s">
        <v>74</v>
      </c>
      <c r="AB714" s="1" t="s">
        <v>7043</v>
      </c>
      <c r="AC714" s="1" t="s">
        <v>74</v>
      </c>
      <c r="AD714" s="1" t="s">
        <v>74</v>
      </c>
      <c r="AE714" s="1" t="s">
        <v>74</v>
      </c>
      <c r="AF714" s="1" t="s">
        <v>74</v>
      </c>
      <c r="AG714" s="1" t="s">
        <v>74</v>
      </c>
      <c r="AH714" s="1" t="s">
        <v>74</v>
      </c>
      <c r="AI714" s="1" t="s">
        <v>74</v>
      </c>
      <c r="AJ714" s="1" t="s">
        <v>74</v>
      </c>
      <c r="AK714" s="1" t="s">
        <v>74</v>
      </c>
      <c r="AL714" s="1" t="s">
        <v>74</v>
      </c>
      <c r="AM714" s="1" t="s">
        <v>74</v>
      </c>
      <c r="AN714" s="1" t="s">
        <v>74</v>
      </c>
      <c r="AO714" s="1" t="s">
        <v>7044</v>
      </c>
      <c r="AP714" s="1" t="s">
        <v>7045</v>
      </c>
      <c r="AQ714" s="1" t="s">
        <v>74</v>
      </c>
      <c r="AR714" s="1" t="s">
        <v>74</v>
      </c>
      <c r="AS714" s="1" t="s">
        <v>74</v>
      </c>
      <c r="AT714" s="1" t="s">
        <v>7046</v>
      </c>
      <c r="AU714" s="1">
        <v>2024.0</v>
      </c>
      <c r="AV714" s="1" t="s">
        <v>74</v>
      </c>
      <c r="AW714" s="1" t="s">
        <v>74</v>
      </c>
      <c r="AX714" s="1" t="s">
        <v>74</v>
      </c>
      <c r="AY714" s="1" t="s">
        <v>74</v>
      </c>
      <c r="AZ714" s="1" t="s">
        <v>74</v>
      </c>
      <c r="BA714" s="1" t="s">
        <v>74</v>
      </c>
      <c r="BB714" s="1" t="s">
        <v>74</v>
      </c>
      <c r="BC714" s="1" t="s">
        <v>74</v>
      </c>
      <c r="BD714" s="1" t="s">
        <v>74</v>
      </c>
      <c r="BE714" s="1" t="s">
        <v>7047</v>
      </c>
      <c r="BF714" s="2" t="str">
        <f>HYPERLINK("http://dx.doi.org/10.1080/1369183X.2024.2385681","http://dx.doi.org/10.1080/1369183X.2024.2385681")</f>
        <v>http://dx.doi.org/10.1080/1369183X.2024.2385681</v>
      </c>
      <c r="BG714" s="1" t="s">
        <v>74</v>
      </c>
      <c r="BH714" s="1" t="s">
        <v>2173</v>
      </c>
      <c r="BI714" s="1" t="s">
        <v>74</v>
      </c>
      <c r="BJ714" s="1" t="s">
        <v>74</v>
      </c>
      <c r="BK714" s="1" t="s">
        <v>74</v>
      </c>
      <c r="BL714" s="1" t="s">
        <v>74</v>
      </c>
      <c r="BM714" s="1" t="s">
        <v>74</v>
      </c>
      <c r="BN714" s="1" t="s">
        <v>74</v>
      </c>
      <c r="BO714" s="1" t="s">
        <v>74</v>
      </c>
      <c r="BP714" s="1" t="s">
        <v>74</v>
      </c>
      <c r="BQ714" s="1" t="s">
        <v>74</v>
      </c>
      <c r="BR714" s="1" t="s">
        <v>74</v>
      </c>
      <c r="BS714" s="1" t="s">
        <v>7048</v>
      </c>
      <c r="BT714" s="1" t="str">
        <f>HYPERLINK("https%3A%2F%2Fwww.webofscience.com%2Fwos%2Fwoscc%2Ffull-record%2FWOS:001285591300001","View Full Record in Web of Science")</f>
        <v>View Full Record in Web of Science</v>
      </c>
    </row>
    <row r="715" ht="12.75" customHeight="1">
      <c r="A715" s="1" t="s">
        <v>72</v>
      </c>
      <c r="B715" s="1" t="s">
        <v>7049</v>
      </c>
      <c r="C715" s="1" t="s">
        <v>74</v>
      </c>
      <c r="D715" s="1" t="s">
        <v>74</v>
      </c>
      <c r="E715" s="1" t="s">
        <v>74</v>
      </c>
      <c r="F715" s="1" t="s">
        <v>7050</v>
      </c>
      <c r="G715" s="1" t="s">
        <v>74</v>
      </c>
      <c r="H715" s="1" t="s">
        <v>74</v>
      </c>
      <c r="I715" s="1" t="s">
        <v>7051</v>
      </c>
      <c r="J715" s="1" t="s">
        <v>7052</v>
      </c>
      <c r="K715" s="1" t="s">
        <v>74</v>
      </c>
      <c r="L715" s="1" t="s">
        <v>74</v>
      </c>
      <c r="M715" s="1" t="s">
        <v>74</v>
      </c>
      <c r="N715" s="1" t="s">
        <v>74</v>
      </c>
      <c r="O715" s="1" t="s">
        <v>74</v>
      </c>
      <c r="P715" s="1" t="s">
        <v>74</v>
      </c>
      <c r="Q715" s="1" t="s">
        <v>74</v>
      </c>
      <c r="R715" s="1" t="s">
        <v>74</v>
      </c>
      <c r="S715" s="1" t="s">
        <v>74</v>
      </c>
      <c r="T715" s="1" t="s">
        <v>74</v>
      </c>
      <c r="U715" s="1" t="s">
        <v>74</v>
      </c>
      <c r="V715" s="1" t="s">
        <v>7053</v>
      </c>
      <c r="W715" s="1" t="s">
        <v>74</v>
      </c>
      <c r="X715" s="1" t="s">
        <v>74</v>
      </c>
      <c r="Y715" s="1" t="s">
        <v>74</v>
      </c>
      <c r="Z715" s="1" t="s">
        <v>74</v>
      </c>
      <c r="AA715" s="1" t="s">
        <v>7054</v>
      </c>
      <c r="AB715" s="1" t="s">
        <v>7055</v>
      </c>
      <c r="AC715" s="1" t="s">
        <v>74</v>
      </c>
      <c r="AD715" s="1" t="s">
        <v>74</v>
      </c>
      <c r="AE715" s="1" t="s">
        <v>74</v>
      </c>
      <c r="AF715" s="1" t="s">
        <v>74</v>
      </c>
      <c r="AG715" s="1" t="s">
        <v>74</v>
      </c>
      <c r="AH715" s="1" t="s">
        <v>74</v>
      </c>
      <c r="AI715" s="1" t="s">
        <v>74</v>
      </c>
      <c r="AJ715" s="1" t="s">
        <v>74</v>
      </c>
      <c r="AK715" s="1" t="s">
        <v>74</v>
      </c>
      <c r="AL715" s="1" t="s">
        <v>74</v>
      </c>
      <c r="AM715" s="1" t="s">
        <v>74</v>
      </c>
      <c r="AN715" s="1" t="s">
        <v>74</v>
      </c>
      <c r="AO715" s="1" t="s">
        <v>7056</v>
      </c>
      <c r="AP715" s="1" t="s">
        <v>7057</v>
      </c>
      <c r="AQ715" s="1" t="s">
        <v>74</v>
      </c>
      <c r="AR715" s="1" t="s">
        <v>74</v>
      </c>
      <c r="AS715" s="1" t="s">
        <v>74</v>
      </c>
      <c r="AT715" s="1" t="s">
        <v>7058</v>
      </c>
      <c r="AU715" s="1">
        <v>2024.0</v>
      </c>
      <c r="AV715" s="1">
        <v>555.0</v>
      </c>
      <c r="AW715" s="1" t="s">
        <v>74</v>
      </c>
      <c r="AX715" s="1" t="s">
        <v>74</v>
      </c>
      <c r="AY715" s="1" t="s">
        <v>74</v>
      </c>
      <c r="AZ715" s="1" t="s">
        <v>74</v>
      </c>
      <c r="BA715" s="1" t="s">
        <v>74</v>
      </c>
      <c r="BB715" s="1">
        <v>23.0</v>
      </c>
      <c r="BC715" s="1">
        <v>31.0</v>
      </c>
      <c r="BD715" s="1" t="s">
        <v>74</v>
      </c>
      <c r="BE715" s="1" t="s">
        <v>7059</v>
      </c>
      <c r="BF715" s="2" t="str">
        <f>HYPERLINK("http://dx.doi.org/10.1016/j.neuroscience.2024.07.024","http://dx.doi.org/10.1016/j.neuroscience.2024.07.024")</f>
        <v>http://dx.doi.org/10.1016/j.neuroscience.2024.07.024</v>
      </c>
      <c r="BG715" s="1" t="s">
        <v>74</v>
      </c>
      <c r="BH715" s="1" t="s">
        <v>4298</v>
      </c>
      <c r="BI715" s="1" t="s">
        <v>74</v>
      </c>
      <c r="BJ715" s="1" t="s">
        <v>74</v>
      </c>
      <c r="BK715" s="1" t="s">
        <v>74</v>
      </c>
      <c r="BL715" s="1" t="s">
        <v>74</v>
      </c>
      <c r="BM715" s="1" t="s">
        <v>74</v>
      </c>
      <c r="BN715" s="1">
        <v>3.9032804E7</v>
      </c>
      <c r="BO715" s="1" t="s">
        <v>74</v>
      </c>
      <c r="BP715" s="1" t="s">
        <v>74</v>
      </c>
      <c r="BQ715" s="1" t="s">
        <v>74</v>
      </c>
      <c r="BR715" s="1" t="s">
        <v>74</v>
      </c>
      <c r="BS715" s="1" t="s">
        <v>7060</v>
      </c>
      <c r="BT715" s="1" t="str">
        <f>HYPERLINK("https%3A%2F%2Fwww.webofscience.com%2Fwos%2Fwoscc%2Ffull-record%2FWOS:001281716000001","View Full Record in Web of Science")</f>
        <v>View Full Record in Web of Science</v>
      </c>
    </row>
    <row r="716" ht="12.75" customHeight="1">
      <c r="A716" s="1" t="s">
        <v>72</v>
      </c>
      <c r="B716" s="1" t="s">
        <v>7061</v>
      </c>
      <c r="C716" s="1" t="s">
        <v>74</v>
      </c>
      <c r="D716" s="1" t="s">
        <v>74</v>
      </c>
      <c r="E716" s="1" t="s">
        <v>74</v>
      </c>
      <c r="F716" s="1" t="s">
        <v>7062</v>
      </c>
      <c r="G716" s="1" t="s">
        <v>74</v>
      </c>
      <c r="H716" s="1" t="s">
        <v>74</v>
      </c>
      <c r="I716" s="1" t="s">
        <v>7063</v>
      </c>
      <c r="J716" s="1" t="s">
        <v>1294</v>
      </c>
      <c r="K716" s="1" t="s">
        <v>74</v>
      </c>
      <c r="L716" s="1" t="s">
        <v>74</v>
      </c>
      <c r="M716" s="1" t="s">
        <v>74</v>
      </c>
      <c r="N716" s="1" t="s">
        <v>74</v>
      </c>
      <c r="O716" s="1" t="s">
        <v>74</v>
      </c>
      <c r="P716" s="1" t="s">
        <v>74</v>
      </c>
      <c r="Q716" s="1" t="s">
        <v>74</v>
      </c>
      <c r="R716" s="1" t="s">
        <v>74</v>
      </c>
      <c r="S716" s="1" t="s">
        <v>74</v>
      </c>
      <c r="T716" s="1" t="s">
        <v>74</v>
      </c>
      <c r="U716" s="1" t="s">
        <v>74</v>
      </c>
      <c r="V716" s="1" t="s">
        <v>7064</v>
      </c>
      <c r="W716" s="1" t="s">
        <v>74</v>
      </c>
      <c r="X716" s="1" t="s">
        <v>74</v>
      </c>
      <c r="Y716" s="1" t="s">
        <v>74</v>
      </c>
      <c r="Z716" s="1" t="s">
        <v>74</v>
      </c>
      <c r="AA716" s="1" t="s">
        <v>74</v>
      </c>
      <c r="AB716" s="1" t="s">
        <v>74</v>
      </c>
      <c r="AC716" s="1" t="s">
        <v>74</v>
      </c>
      <c r="AD716" s="1" t="s">
        <v>74</v>
      </c>
      <c r="AE716" s="1" t="s">
        <v>74</v>
      </c>
      <c r="AF716" s="1" t="s">
        <v>74</v>
      </c>
      <c r="AG716" s="1" t="s">
        <v>74</v>
      </c>
      <c r="AH716" s="1" t="s">
        <v>74</v>
      </c>
      <c r="AI716" s="1" t="s">
        <v>74</v>
      </c>
      <c r="AJ716" s="1" t="s">
        <v>74</v>
      </c>
      <c r="AK716" s="1" t="s">
        <v>74</v>
      </c>
      <c r="AL716" s="1" t="s">
        <v>74</v>
      </c>
      <c r="AM716" s="1" t="s">
        <v>74</v>
      </c>
      <c r="AN716" s="1" t="s">
        <v>74</v>
      </c>
      <c r="AO716" s="1" t="s">
        <v>1297</v>
      </c>
      <c r="AP716" s="1" t="s">
        <v>1298</v>
      </c>
      <c r="AQ716" s="1" t="s">
        <v>74</v>
      </c>
      <c r="AR716" s="1" t="s">
        <v>74</v>
      </c>
      <c r="AS716" s="1" t="s">
        <v>74</v>
      </c>
      <c r="AT716" s="1" t="s">
        <v>3535</v>
      </c>
      <c r="AU716" s="1">
        <v>2024.0</v>
      </c>
      <c r="AV716" s="1" t="s">
        <v>74</v>
      </c>
      <c r="AW716" s="1">
        <v>33.0</v>
      </c>
      <c r="AX716" s="1" t="s">
        <v>74</v>
      </c>
      <c r="AY716" s="1" t="s">
        <v>74</v>
      </c>
      <c r="AZ716" s="1" t="s">
        <v>74</v>
      </c>
      <c r="BA716" s="1" t="s">
        <v>74</v>
      </c>
      <c r="BB716" s="1" t="s">
        <v>74</v>
      </c>
      <c r="BC716" s="1" t="s">
        <v>74</v>
      </c>
      <c r="BD716" s="1" t="s">
        <v>74</v>
      </c>
      <c r="BE716" s="1" t="s">
        <v>74</v>
      </c>
      <c r="BF716" s="1" t="s">
        <v>74</v>
      </c>
      <c r="BG716" s="1" t="s">
        <v>74</v>
      </c>
      <c r="BH716" s="1" t="s">
        <v>74</v>
      </c>
      <c r="BI716" s="1" t="s">
        <v>74</v>
      </c>
      <c r="BJ716" s="1" t="s">
        <v>74</v>
      </c>
      <c r="BK716" s="1" t="s">
        <v>74</v>
      </c>
      <c r="BL716" s="1" t="s">
        <v>74</v>
      </c>
      <c r="BM716" s="1" t="s">
        <v>74</v>
      </c>
      <c r="BN716" s="1" t="s">
        <v>74</v>
      </c>
      <c r="BO716" s="1" t="s">
        <v>74</v>
      </c>
      <c r="BP716" s="1" t="s">
        <v>74</v>
      </c>
      <c r="BQ716" s="1" t="s">
        <v>74</v>
      </c>
      <c r="BR716" s="1" t="s">
        <v>74</v>
      </c>
      <c r="BS716" s="1" t="s">
        <v>7065</v>
      </c>
      <c r="BT716" s="1" t="str">
        <f>HYPERLINK("https%3A%2F%2Fwww.webofscience.com%2Fwos%2Fwoscc%2Ffull-record%2FWOS:001367372400012","View Full Record in Web of Science")</f>
        <v>View Full Record in Web of Science</v>
      </c>
    </row>
    <row r="717" ht="12.75" customHeight="1">
      <c r="A717" s="1" t="s">
        <v>72</v>
      </c>
      <c r="B717" s="1" t="s">
        <v>7066</v>
      </c>
      <c r="C717" s="1" t="s">
        <v>74</v>
      </c>
      <c r="D717" s="1" t="s">
        <v>74</v>
      </c>
      <c r="E717" s="1" t="s">
        <v>74</v>
      </c>
      <c r="F717" s="1" t="s">
        <v>7067</v>
      </c>
      <c r="G717" s="1" t="s">
        <v>74</v>
      </c>
      <c r="H717" s="1" t="s">
        <v>74</v>
      </c>
      <c r="I717" s="1" t="s">
        <v>7068</v>
      </c>
      <c r="J717" s="1" t="s">
        <v>7069</v>
      </c>
      <c r="K717" s="1" t="s">
        <v>74</v>
      </c>
      <c r="L717" s="1" t="s">
        <v>74</v>
      </c>
      <c r="M717" s="1" t="s">
        <v>74</v>
      </c>
      <c r="N717" s="1" t="s">
        <v>74</v>
      </c>
      <c r="O717" s="1" t="s">
        <v>74</v>
      </c>
      <c r="P717" s="1" t="s">
        <v>74</v>
      </c>
      <c r="Q717" s="1" t="s">
        <v>74</v>
      </c>
      <c r="R717" s="1" t="s">
        <v>74</v>
      </c>
      <c r="S717" s="1" t="s">
        <v>74</v>
      </c>
      <c r="T717" s="1" t="s">
        <v>74</v>
      </c>
      <c r="U717" s="1" t="s">
        <v>74</v>
      </c>
      <c r="V717" s="1" t="s">
        <v>7070</v>
      </c>
      <c r="W717" s="1" t="s">
        <v>74</v>
      </c>
      <c r="X717" s="1" t="s">
        <v>74</v>
      </c>
      <c r="Y717" s="1" t="s">
        <v>74</v>
      </c>
      <c r="Z717" s="1" t="s">
        <v>74</v>
      </c>
      <c r="AA717" s="1" t="s">
        <v>74</v>
      </c>
      <c r="AB717" s="1" t="s">
        <v>7071</v>
      </c>
      <c r="AC717" s="1" t="s">
        <v>74</v>
      </c>
      <c r="AD717" s="1" t="s">
        <v>74</v>
      </c>
      <c r="AE717" s="1" t="s">
        <v>74</v>
      </c>
      <c r="AF717" s="1" t="s">
        <v>74</v>
      </c>
      <c r="AG717" s="1" t="s">
        <v>74</v>
      </c>
      <c r="AH717" s="1" t="s">
        <v>74</v>
      </c>
      <c r="AI717" s="1" t="s">
        <v>74</v>
      </c>
      <c r="AJ717" s="1" t="s">
        <v>74</v>
      </c>
      <c r="AK717" s="1" t="s">
        <v>74</v>
      </c>
      <c r="AL717" s="1" t="s">
        <v>74</v>
      </c>
      <c r="AM717" s="1" t="s">
        <v>74</v>
      </c>
      <c r="AN717" s="1" t="s">
        <v>74</v>
      </c>
      <c r="AO717" s="1" t="s">
        <v>7072</v>
      </c>
      <c r="AP717" s="1" t="s">
        <v>7073</v>
      </c>
      <c r="AQ717" s="1" t="s">
        <v>74</v>
      </c>
      <c r="AR717" s="1" t="s">
        <v>74</v>
      </c>
      <c r="AS717" s="1" t="s">
        <v>74</v>
      </c>
      <c r="AT717" s="1" t="s">
        <v>606</v>
      </c>
      <c r="AU717" s="1">
        <v>2024.0</v>
      </c>
      <c r="AV717" s="1">
        <v>79.0</v>
      </c>
      <c r="AW717" s="1" t="s">
        <v>74</v>
      </c>
      <c r="AX717" s="1" t="s">
        <v>74</v>
      </c>
      <c r="AY717" s="1" t="s">
        <v>74</v>
      </c>
      <c r="AZ717" s="1" t="s">
        <v>74</v>
      </c>
      <c r="BA717" s="1" t="s">
        <v>74</v>
      </c>
      <c r="BB717" s="1" t="s">
        <v>74</v>
      </c>
      <c r="BC717" s="1" t="s">
        <v>74</v>
      </c>
      <c r="BD717" s="1">
        <v>104128.0</v>
      </c>
      <c r="BE717" s="1" t="s">
        <v>7074</v>
      </c>
      <c r="BF717" s="2" t="str">
        <f>HYPERLINK("http://dx.doi.org/10.1016/j.nonrwa.2024.104128","http://dx.doi.org/10.1016/j.nonrwa.2024.104128")</f>
        <v>http://dx.doi.org/10.1016/j.nonrwa.2024.104128</v>
      </c>
      <c r="BG717" s="1" t="s">
        <v>74</v>
      </c>
      <c r="BH717" s="1" t="s">
        <v>782</v>
      </c>
      <c r="BI717" s="1" t="s">
        <v>74</v>
      </c>
      <c r="BJ717" s="1" t="s">
        <v>74</v>
      </c>
      <c r="BK717" s="1" t="s">
        <v>74</v>
      </c>
      <c r="BL717" s="1" t="s">
        <v>74</v>
      </c>
      <c r="BM717" s="1" t="s">
        <v>74</v>
      </c>
      <c r="BN717" s="1" t="s">
        <v>74</v>
      </c>
      <c r="BO717" s="1" t="s">
        <v>74</v>
      </c>
      <c r="BP717" s="1" t="s">
        <v>74</v>
      </c>
      <c r="BQ717" s="1" t="s">
        <v>74</v>
      </c>
      <c r="BR717" s="1" t="s">
        <v>74</v>
      </c>
      <c r="BS717" s="1" t="s">
        <v>7075</v>
      </c>
      <c r="BT717" s="1" t="str">
        <f>HYPERLINK("https%3A%2F%2Fwww.webofscience.com%2Fwos%2Fwoscc%2Ffull-record%2FWOS:001235607000001","View Full Record in Web of Science")</f>
        <v>View Full Record in Web of Science</v>
      </c>
    </row>
    <row r="718" ht="12.75" customHeight="1">
      <c r="A718" s="1" t="s">
        <v>72</v>
      </c>
      <c r="B718" s="1" t="s">
        <v>7076</v>
      </c>
      <c r="C718" s="1" t="s">
        <v>74</v>
      </c>
      <c r="D718" s="1" t="s">
        <v>74</v>
      </c>
      <c r="E718" s="1" t="s">
        <v>74</v>
      </c>
      <c r="F718" s="1" t="s">
        <v>7077</v>
      </c>
      <c r="G718" s="1" t="s">
        <v>74</v>
      </c>
      <c r="H718" s="1" t="s">
        <v>74</v>
      </c>
      <c r="I718" s="1" t="s">
        <v>7078</v>
      </c>
      <c r="J718" s="1" t="s">
        <v>7079</v>
      </c>
      <c r="K718" s="1" t="s">
        <v>74</v>
      </c>
      <c r="L718" s="1" t="s">
        <v>74</v>
      </c>
      <c r="M718" s="1" t="s">
        <v>74</v>
      </c>
      <c r="N718" s="1" t="s">
        <v>74</v>
      </c>
      <c r="O718" s="1" t="s">
        <v>74</v>
      </c>
      <c r="P718" s="1" t="s">
        <v>74</v>
      </c>
      <c r="Q718" s="1" t="s">
        <v>74</v>
      </c>
      <c r="R718" s="1" t="s">
        <v>74</v>
      </c>
      <c r="S718" s="1" t="s">
        <v>74</v>
      </c>
      <c r="T718" s="1" t="s">
        <v>74</v>
      </c>
      <c r="U718" s="1" t="s">
        <v>74</v>
      </c>
      <c r="V718" s="1" t="s">
        <v>7080</v>
      </c>
      <c r="W718" s="1" t="s">
        <v>74</v>
      </c>
      <c r="X718" s="1" t="s">
        <v>74</v>
      </c>
      <c r="Y718" s="1" t="s">
        <v>74</v>
      </c>
      <c r="Z718" s="1" t="s">
        <v>74</v>
      </c>
      <c r="AA718" s="1" t="s">
        <v>3407</v>
      </c>
      <c r="AB718" s="1" t="s">
        <v>7081</v>
      </c>
      <c r="AC718" s="1" t="s">
        <v>74</v>
      </c>
      <c r="AD718" s="1" t="s">
        <v>74</v>
      </c>
      <c r="AE718" s="1" t="s">
        <v>74</v>
      </c>
      <c r="AF718" s="1" t="s">
        <v>74</v>
      </c>
      <c r="AG718" s="1" t="s">
        <v>74</v>
      </c>
      <c r="AH718" s="1" t="s">
        <v>74</v>
      </c>
      <c r="AI718" s="1" t="s">
        <v>74</v>
      </c>
      <c r="AJ718" s="1" t="s">
        <v>74</v>
      </c>
      <c r="AK718" s="1" t="s">
        <v>74</v>
      </c>
      <c r="AL718" s="1" t="s">
        <v>74</v>
      </c>
      <c r="AM718" s="1" t="s">
        <v>74</v>
      </c>
      <c r="AN718" s="1" t="s">
        <v>74</v>
      </c>
      <c r="AO718" s="1" t="s">
        <v>7082</v>
      </c>
      <c r="AP718" s="1" t="s">
        <v>7083</v>
      </c>
      <c r="AQ718" s="1" t="s">
        <v>74</v>
      </c>
      <c r="AR718" s="1" t="s">
        <v>74</v>
      </c>
      <c r="AS718" s="1" t="s">
        <v>74</v>
      </c>
      <c r="AT718" s="1" t="s">
        <v>7084</v>
      </c>
      <c r="AU718" s="1">
        <v>2024.0</v>
      </c>
      <c r="AV718" s="1" t="s">
        <v>74</v>
      </c>
      <c r="AW718" s="1" t="s">
        <v>74</v>
      </c>
      <c r="AX718" s="1" t="s">
        <v>74</v>
      </c>
      <c r="AY718" s="1" t="s">
        <v>74</v>
      </c>
      <c r="AZ718" s="1" t="s">
        <v>74</v>
      </c>
      <c r="BA718" s="1" t="s">
        <v>74</v>
      </c>
      <c r="BB718" s="1" t="s">
        <v>74</v>
      </c>
      <c r="BC718" s="1" t="s">
        <v>74</v>
      </c>
      <c r="BD718" s="1" t="s">
        <v>74</v>
      </c>
      <c r="BE718" s="1" t="s">
        <v>7085</v>
      </c>
      <c r="BF718" s="2" t="str">
        <f>HYPERLINK("http://dx.doi.org/10.1080/00207411.2024.2334479","http://dx.doi.org/10.1080/00207411.2024.2334479")</f>
        <v>http://dx.doi.org/10.1080/00207411.2024.2334479</v>
      </c>
      <c r="BG718" s="1" t="s">
        <v>74</v>
      </c>
      <c r="BH718" s="1" t="s">
        <v>4907</v>
      </c>
      <c r="BI718" s="1" t="s">
        <v>74</v>
      </c>
      <c r="BJ718" s="1" t="s">
        <v>74</v>
      </c>
      <c r="BK718" s="1" t="s">
        <v>74</v>
      </c>
      <c r="BL718" s="1" t="s">
        <v>74</v>
      </c>
      <c r="BM718" s="1" t="s">
        <v>74</v>
      </c>
      <c r="BN718" s="1" t="s">
        <v>74</v>
      </c>
      <c r="BO718" s="1" t="s">
        <v>74</v>
      </c>
      <c r="BP718" s="1" t="s">
        <v>74</v>
      </c>
      <c r="BQ718" s="1" t="s">
        <v>74</v>
      </c>
      <c r="BR718" s="1" t="s">
        <v>74</v>
      </c>
      <c r="BS718" s="1" t="s">
        <v>7086</v>
      </c>
      <c r="BT718" s="1" t="str">
        <f>HYPERLINK("https%3A%2F%2Fwww.webofscience.com%2Fwos%2Fwoscc%2Ffull-record%2FWOS:001194234600001","View Full Record in Web of Science")</f>
        <v>View Full Record in Web of Science</v>
      </c>
    </row>
    <row r="719" ht="12.75" customHeight="1">
      <c r="A719" s="1" t="s">
        <v>72</v>
      </c>
      <c r="B719" s="1" t="s">
        <v>7087</v>
      </c>
      <c r="C719" s="1" t="s">
        <v>74</v>
      </c>
      <c r="D719" s="1" t="s">
        <v>74</v>
      </c>
      <c r="E719" s="1" t="s">
        <v>74</v>
      </c>
      <c r="F719" s="1" t="s">
        <v>7088</v>
      </c>
      <c r="G719" s="1" t="s">
        <v>74</v>
      </c>
      <c r="H719" s="1" t="s">
        <v>74</v>
      </c>
      <c r="I719" s="1" t="s">
        <v>7089</v>
      </c>
      <c r="J719" s="1" t="s">
        <v>7090</v>
      </c>
      <c r="K719" s="1" t="s">
        <v>74</v>
      </c>
      <c r="L719" s="1" t="s">
        <v>74</v>
      </c>
      <c r="M719" s="1" t="s">
        <v>74</v>
      </c>
      <c r="N719" s="1" t="s">
        <v>74</v>
      </c>
      <c r="O719" s="1" t="s">
        <v>74</v>
      </c>
      <c r="P719" s="1" t="s">
        <v>74</v>
      </c>
      <c r="Q719" s="1" t="s">
        <v>74</v>
      </c>
      <c r="R719" s="1" t="s">
        <v>74</v>
      </c>
      <c r="S719" s="1" t="s">
        <v>74</v>
      </c>
      <c r="T719" s="1" t="s">
        <v>74</v>
      </c>
      <c r="U719" s="1" t="s">
        <v>74</v>
      </c>
      <c r="V719" s="1" t="s">
        <v>7091</v>
      </c>
      <c r="W719" s="1" t="s">
        <v>74</v>
      </c>
      <c r="X719" s="1" t="s">
        <v>74</v>
      </c>
      <c r="Y719" s="1" t="s">
        <v>74</v>
      </c>
      <c r="Z719" s="1" t="s">
        <v>74</v>
      </c>
      <c r="AA719" s="1" t="s">
        <v>7092</v>
      </c>
      <c r="AB719" s="1" t="s">
        <v>7093</v>
      </c>
      <c r="AC719" s="1" t="s">
        <v>74</v>
      </c>
      <c r="AD719" s="1" t="s">
        <v>74</v>
      </c>
      <c r="AE719" s="1" t="s">
        <v>74</v>
      </c>
      <c r="AF719" s="1" t="s">
        <v>74</v>
      </c>
      <c r="AG719" s="1" t="s">
        <v>74</v>
      </c>
      <c r="AH719" s="1" t="s">
        <v>74</v>
      </c>
      <c r="AI719" s="1" t="s">
        <v>74</v>
      </c>
      <c r="AJ719" s="1" t="s">
        <v>74</v>
      </c>
      <c r="AK719" s="1" t="s">
        <v>74</v>
      </c>
      <c r="AL719" s="1" t="s">
        <v>74</v>
      </c>
      <c r="AM719" s="1" t="s">
        <v>74</v>
      </c>
      <c r="AN719" s="1" t="s">
        <v>74</v>
      </c>
      <c r="AO719" s="1" t="s">
        <v>74</v>
      </c>
      <c r="AP719" s="1" t="s">
        <v>7094</v>
      </c>
      <c r="AQ719" s="1" t="s">
        <v>74</v>
      </c>
      <c r="AR719" s="1" t="s">
        <v>74</v>
      </c>
      <c r="AS719" s="1" t="s">
        <v>74</v>
      </c>
      <c r="AT719" s="1" t="s">
        <v>74</v>
      </c>
      <c r="AU719" s="1">
        <v>2024.0</v>
      </c>
      <c r="AV719" s="1">
        <v>5.0</v>
      </c>
      <c r="AW719" s="1" t="s">
        <v>74</v>
      </c>
      <c r="AX719" s="1" t="s">
        <v>74</v>
      </c>
      <c r="AY719" s="1" t="s">
        <v>74</v>
      </c>
      <c r="AZ719" s="1" t="s">
        <v>74</v>
      </c>
      <c r="BA719" s="1" t="s">
        <v>74</v>
      </c>
      <c r="BB719" s="1">
        <v>1.0</v>
      </c>
      <c r="BC719" s="1">
        <v>20.0</v>
      </c>
      <c r="BD719" s="1" t="s">
        <v>74</v>
      </c>
      <c r="BE719" s="1" t="s">
        <v>7095</v>
      </c>
      <c r="BF719" s="2" t="str">
        <f>HYPERLINK("http://dx.doi.org/10.1109/OJVT.2023.3331534","http://dx.doi.org/10.1109/OJVT.2023.3331534")</f>
        <v>http://dx.doi.org/10.1109/OJVT.2023.3331534</v>
      </c>
      <c r="BG719" s="1" t="s">
        <v>74</v>
      </c>
      <c r="BH719" s="1" t="s">
        <v>74</v>
      </c>
      <c r="BI719" s="1" t="s">
        <v>74</v>
      </c>
      <c r="BJ719" s="1" t="s">
        <v>74</v>
      </c>
      <c r="BK719" s="1" t="s">
        <v>74</v>
      </c>
      <c r="BL719" s="1" t="s">
        <v>74</v>
      </c>
      <c r="BM719" s="1" t="s">
        <v>74</v>
      </c>
      <c r="BN719" s="1" t="s">
        <v>74</v>
      </c>
      <c r="BO719" s="1" t="s">
        <v>74</v>
      </c>
      <c r="BP719" s="1" t="s">
        <v>74</v>
      </c>
      <c r="BQ719" s="1" t="s">
        <v>74</v>
      </c>
      <c r="BR719" s="1" t="s">
        <v>74</v>
      </c>
      <c r="BS719" s="1" t="s">
        <v>7096</v>
      </c>
      <c r="BT719" s="1" t="str">
        <f>HYPERLINK("https%3A%2F%2Fwww.webofscience.com%2Fwos%2Fwoscc%2Ffull-record%2FWOS:001115744600001","View Full Record in Web of Science")</f>
        <v>View Full Record in Web of Science</v>
      </c>
    </row>
    <row r="720" ht="12.75" customHeight="1">
      <c r="A720" s="1" t="s">
        <v>72</v>
      </c>
      <c r="B720" s="1" t="s">
        <v>7097</v>
      </c>
      <c r="C720" s="1" t="s">
        <v>74</v>
      </c>
      <c r="D720" s="1" t="s">
        <v>74</v>
      </c>
      <c r="E720" s="1" t="s">
        <v>74</v>
      </c>
      <c r="F720" s="1" t="s">
        <v>7098</v>
      </c>
      <c r="G720" s="1" t="s">
        <v>74</v>
      </c>
      <c r="H720" s="1" t="s">
        <v>74</v>
      </c>
      <c r="I720" s="1" t="s">
        <v>7099</v>
      </c>
      <c r="J720" s="1" t="s">
        <v>7100</v>
      </c>
      <c r="K720" s="1" t="s">
        <v>74</v>
      </c>
      <c r="L720" s="1" t="s">
        <v>74</v>
      </c>
      <c r="M720" s="1" t="s">
        <v>74</v>
      </c>
      <c r="N720" s="1" t="s">
        <v>74</v>
      </c>
      <c r="O720" s="1" t="s">
        <v>74</v>
      </c>
      <c r="P720" s="1" t="s">
        <v>74</v>
      </c>
      <c r="Q720" s="1" t="s">
        <v>74</v>
      </c>
      <c r="R720" s="1" t="s">
        <v>74</v>
      </c>
      <c r="S720" s="1" t="s">
        <v>74</v>
      </c>
      <c r="T720" s="1" t="s">
        <v>74</v>
      </c>
      <c r="U720" s="1" t="s">
        <v>74</v>
      </c>
      <c r="V720" s="1" t="s">
        <v>74</v>
      </c>
      <c r="W720" s="1" t="s">
        <v>74</v>
      </c>
      <c r="X720" s="1" t="s">
        <v>74</v>
      </c>
      <c r="Y720" s="1" t="s">
        <v>74</v>
      </c>
      <c r="Z720" s="1" t="s">
        <v>74</v>
      </c>
      <c r="AA720" s="1" t="s">
        <v>7101</v>
      </c>
      <c r="AB720" s="1" t="s">
        <v>7102</v>
      </c>
      <c r="AC720" s="1" t="s">
        <v>74</v>
      </c>
      <c r="AD720" s="1" t="s">
        <v>74</v>
      </c>
      <c r="AE720" s="1" t="s">
        <v>74</v>
      </c>
      <c r="AF720" s="1" t="s">
        <v>74</v>
      </c>
      <c r="AG720" s="1" t="s">
        <v>74</v>
      </c>
      <c r="AH720" s="1" t="s">
        <v>74</v>
      </c>
      <c r="AI720" s="1" t="s">
        <v>74</v>
      </c>
      <c r="AJ720" s="1" t="s">
        <v>74</v>
      </c>
      <c r="AK720" s="1" t="s">
        <v>74</v>
      </c>
      <c r="AL720" s="1" t="s">
        <v>74</v>
      </c>
      <c r="AM720" s="1" t="s">
        <v>74</v>
      </c>
      <c r="AN720" s="1" t="s">
        <v>74</v>
      </c>
      <c r="AO720" s="1" t="s">
        <v>74</v>
      </c>
      <c r="AP720" s="1" t="s">
        <v>7103</v>
      </c>
      <c r="AQ720" s="1" t="s">
        <v>74</v>
      </c>
      <c r="AR720" s="1" t="s">
        <v>74</v>
      </c>
      <c r="AS720" s="1" t="s">
        <v>74</v>
      </c>
      <c r="AT720" s="1" t="s">
        <v>7104</v>
      </c>
      <c r="AU720" s="1">
        <v>2023.0</v>
      </c>
      <c r="AV720" s="1">
        <v>10.0</v>
      </c>
      <c r="AW720" s="1" t="s">
        <v>74</v>
      </c>
      <c r="AX720" s="1" t="s">
        <v>74</v>
      </c>
      <c r="AY720" s="1" t="s">
        <v>74</v>
      </c>
      <c r="AZ720" s="1" t="s">
        <v>74</v>
      </c>
      <c r="BA720" s="1" t="s">
        <v>74</v>
      </c>
      <c r="BB720" s="1" t="s">
        <v>74</v>
      </c>
      <c r="BC720" s="1" t="s">
        <v>74</v>
      </c>
      <c r="BD720" s="1">
        <v>1281543.0</v>
      </c>
      <c r="BE720" s="1" t="s">
        <v>7105</v>
      </c>
      <c r="BF720" s="2" t="str">
        <f>HYPERLINK("http://dx.doi.org/10.3389/fmolb.2023.1281543","http://dx.doi.org/10.3389/fmolb.2023.1281543")</f>
        <v>http://dx.doi.org/10.3389/fmolb.2023.1281543</v>
      </c>
      <c r="BG720" s="1" t="s">
        <v>74</v>
      </c>
      <c r="BH720" s="1" t="s">
        <v>74</v>
      </c>
      <c r="BI720" s="1" t="s">
        <v>74</v>
      </c>
      <c r="BJ720" s="1" t="s">
        <v>74</v>
      </c>
      <c r="BK720" s="1" t="s">
        <v>74</v>
      </c>
      <c r="BL720" s="1" t="s">
        <v>74</v>
      </c>
      <c r="BM720" s="1" t="s">
        <v>74</v>
      </c>
      <c r="BN720" s="1">
        <v>3.7711389E7</v>
      </c>
      <c r="BO720" s="1" t="s">
        <v>74</v>
      </c>
      <c r="BP720" s="1" t="s">
        <v>74</v>
      </c>
      <c r="BQ720" s="1" t="s">
        <v>74</v>
      </c>
      <c r="BR720" s="1" t="s">
        <v>74</v>
      </c>
      <c r="BS720" s="1" t="s">
        <v>7106</v>
      </c>
      <c r="BT720" s="1" t="str">
        <f>HYPERLINK("https%3A%2F%2Fwww.webofscience.com%2Fwos%2Fwoscc%2Ffull-record%2FWOS:001079145500001","View Full Record in Web of Science")</f>
        <v>View Full Record in Web of Science</v>
      </c>
    </row>
    <row r="721" ht="12.75" customHeight="1">
      <c r="A721" s="1" t="s">
        <v>72</v>
      </c>
      <c r="B721" s="1" t="s">
        <v>7107</v>
      </c>
      <c r="C721" s="1" t="s">
        <v>74</v>
      </c>
      <c r="D721" s="1" t="s">
        <v>74</v>
      </c>
      <c r="E721" s="1" t="s">
        <v>74</v>
      </c>
      <c r="F721" s="1" t="s">
        <v>7108</v>
      </c>
      <c r="G721" s="1" t="s">
        <v>74</v>
      </c>
      <c r="H721" s="1" t="s">
        <v>74</v>
      </c>
      <c r="I721" s="1" t="s">
        <v>7109</v>
      </c>
      <c r="J721" s="1" t="s">
        <v>7110</v>
      </c>
      <c r="K721" s="1" t="s">
        <v>74</v>
      </c>
      <c r="L721" s="1" t="s">
        <v>74</v>
      </c>
      <c r="M721" s="1" t="s">
        <v>74</v>
      </c>
      <c r="N721" s="1" t="s">
        <v>74</v>
      </c>
      <c r="O721" s="1" t="s">
        <v>74</v>
      </c>
      <c r="P721" s="1" t="s">
        <v>74</v>
      </c>
      <c r="Q721" s="1" t="s">
        <v>74</v>
      </c>
      <c r="R721" s="1" t="s">
        <v>74</v>
      </c>
      <c r="S721" s="1" t="s">
        <v>74</v>
      </c>
      <c r="T721" s="1" t="s">
        <v>74</v>
      </c>
      <c r="U721" s="1" t="s">
        <v>74</v>
      </c>
      <c r="V721" s="1" t="s">
        <v>7111</v>
      </c>
      <c r="W721" s="1" t="s">
        <v>74</v>
      </c>
      <c r="X721" s="1" t="s">
        <v>74</v>
      </c>
      <c r="Y721" s="1" t="s">
        <v>74</v>
      </c>
      <c r="Z721" s="1" t="s">
        <v>74</v>
      </c>
      <c r="AA721" s="1" t="s">
        <v>7112</v>
      </c>
      <c r="AB721" s="1" t="s">
        <v>7081</v>
      </c>
      <c r="AC721" s="1" t="s">
        <v>74</v>
      </c>
      <c r="AD721" s="1" t="s">
        <v>74</v>
      </c>
      <c r="AE721" s="1" t="s">
        <v>74</v>
      </c>
      <c r="AF721" s="1" t="s">
        <v>74</v>
      </c>
      <c r="AG721" s="1" t="s">
        <v>74</v>
      </c>
      <c r="AH721" s="1" t="s">
        <v>74</v>
      </c>
      <c r="AI721" s="1" t="s">
        <v>74</v>
      </c>
      <c r="AJ721" s="1" t="s">
        <v>74</v>
      </c>
      <c r="AK721" s="1" t="s">
        <v>74</v>
      </c>
      <c r="AL721" s="1" t="s">
        <v>74</v>
      </c>
      <c r="AM721" s="1" t="s">
        <v>74</v>
      </c>
      <c r="AN721" s="1" t="s">
        <v>74</v>
      </c>
      <c r="AO721" s="1" t="s">
        <v>7113</v>
      </c>
      <c r="AP721" s="1" t="s">
        <v>74</v>
      </c>
      <c r="AQ721" s="1" t="s">
        <v>74</v>
      </c>
      <c r="AR721" s="1" t="s">
        <v>74</v>
      </c>
      <c r="AS721" s="1" t="s">
        <v>74</v>
      </c>
      <c r="AT721" s="1" t="s">
        <v>74</v>
      </c>
      <c r="AU721" s="1">
        <v>2023.0</v>
      </c>
      <c r="AV721" s="1">
        <v>23.0</v>
      </c>
      <c r="AW721" s="1">
        <v>3.0</v>
      </c>
      <c r="AX721" s="1" t="s">
        <v>74</v>
      </c>
      <c r="AY721" s="1" t="s">
        <v>74</v>
      </c>
      <c r="AZ721" s="1" t="s">
        <v>74</v>
      </c>
      <c r="BA721" s="1" t="s">
        <v>74</v>
      </c>
      <c r="BB721" s="1" t="s">
        <v>74</v>
      </c>
      <c r="BC721" s="1" t="s">
        <v>74</v>
      </c>
      <c r="BD721" s="1">
        <v>7851.0</v>
      </c>
      <c r="BE721" s="1" t="s">
        <v>7114</v>
      </c>
      <c r="BF721" s="2" t="str">
        <f>HYPERLINK("http://dx.doi.org/10.22605/RRH7851","http://dx.doi.org/10.22605/RRH7851")</f>
        <v>http://dx.doi.org/10.22605/RRH7851</v>
      </c>
      <c r="BG721" s="1" t="s">
        <v>74</v>
      </c>
      <c r="BH721" s="1" t="s">
        <v>74</v>
      </c>
      <c r="BI721" s="1" t="s">
        <v>74</v>
      </c>
      <c r="BJ721" s="1" t="s">
        <v>74</v>
      </c>
      <c r="BK721" s="1" t="s">
        <v>74</v>
      </c>
      <c r="BL721" s="1" t="s">
        <v>74</v>
      </c>
      <c r="BM721" s="1" t="s">
        <v>74</v>
      </c>
      <c r="BN721" s="1">
        <v>3.7633312E7</v>
      </c>
      <c r="BO721" s="1" t="s">
        <v>74</v>
      </c>
      <c r="BP721" s="1" t="s">
        <v>74</v>
      </c>
      <c r="BQ721" s="1" t="s">
        <v>74</v>
      </c>
      <c r="BR721" s="1" t="s">
        <v>74</v>
      </c>
      <c r="BS721" s="1" t="s">
        <v>7115</v>
      </c>
      <c r="BT721" s="1" t="str">
        <f>HYPERLINK("https%3A%2F%2Fwww.webofscience.com%2Fwos%2Fwoscc%2Ffull-record%2FWOS:001055161800001","View Full Record in Web of Science")</f>
        <v>View Full Record in Web of Science</v>
      </c>
    </row>
    <row r="722" ht="12.75" customHeight="1">
      <c r="A722" s="1" t="s">
        <v>72</v>
      </c>
      <c r="B722" s="1" t="s">
        <v>7116</v>
      </c>
      <c r="C722" s="1" t="s">
        <v>74</v>
      </c>
      <c r="D722" s="1" t="s">
        <v>74</v>
      </c>
      <c r="E722" s="1" t="s">
        <v>74</v>
      </c>
      <c r="F722" s="1" t="s">
        <v>7117</v>
      </c>
      <c r="G722" s="1" t="s">
        <v>74</v>
      </c>
      <c r="H722" s="1" t="s">
        <v>74</v>
      </c>
      <c r="I722" s="1" t="s">
        <v>7118</v>
      </c>
      <c r="J722" s="1" t="s">
        <v>312</v>
      </c>
      <c r="K722" s="1" t="s">
        <v>74</v>
      </c>
      <c r="L722" s="1" t="s">
        <v>74</v>
      </c>
      <c r="M722" s="1" t="s">
        <v>74</v>
      </c>
      <c r="N722" s="1" t="s">
        <v>74</v>
      </c>
      <c r="O722" s="1" t="s">
        <v>74</v>
      </c>
      <c r="P722" s="1" t="s">
        <v>74</v>
      </c>
      <c r="Q722" s="1" t="s">
        <v>74</v>
      </c>
      <c r="R722" s="1" t="s">
        <v>74</v>
      </c>
      <c r="S722" s="1" t="s">
        <v>74</v>
      </c>
      <c r="T722" s="1" t="s">
        <v>74</v>
      </c>
      <c r="U722" s="1" t="s">
        <v>74</v>
      </c>
      <c r="V722" s="1" t="s">
        <v>7119</v>
      </c>
      <c r="W722" s="1" t="s">
        <v>74</v>
      </c>
      <c r="X722" s="1" t="s">
        <v>74</v>
      </c>
      <c r="Y722" s="1" t="s">
        <v>74</v>
      </c>
      <c r="Z722" s="1" t="s">
        <v>74</v>
      </c>
      <c r="AA722" s="1" t="s">
        <v>7120</v>
      </c>
      <c r="AB722" s="1" t="s">
        <v>7121</v>
      </c>
      <c r="AC722" s="1" t="s">
        <v>74</v>
      </c>
      <c r="AD722" s="1" t="s">
        <v>74</v>
      </c>
      <c r="AE722" s="1" t="s">
        <v>74</v>
      </c>
      <c r="AF722" s="1" t="s">
        <v>74</v>
      </c>
      <c r="AG722" s="1" t="s">
        <v>74</v>
      </c>
      <c r="AH722" s="1" t="s">
        <v>74</v>
      </c>
      <c r="AI722" s="1" t="s">
        <v>74</v>
      </c>
      <c r="AJ722" s="1" t="s">
        <v>74</v>
      </c>
      <c r="AK722" s="1" t="s">
        <v>74</v>
      </c>
      <c r="AL722" s="1" t="s">
        <v>74</v>
      </c>
      <c r="AM722" s="1" t="s">
        <v>74</v>
      </c>
      <c r="AN722" s="1" t="s">
        <v>74</v>
      </c>
      <c r="AO722" s="1" t="s">
        <v>315</v>
      </c>
      <c r="AP722" s="1" t="s">
        <v>316</v>
      </c>
      <c r="AQ722" s="1" t="s">
        <v>74</v>
      </c>
      <c r="AR722" s="1" t="s">
        <v>74</v>
      </c>
      <c r="AS722" s="1" t="s">
        <v>74</v>
      </c>
      <c r="AT722" s="1" t="s">
        <v>350</v>
      </c>
      <c r="AU722" s="1">
        <v>2022.0</v>
      </c>
      <c r="AV722" s="1">
        <v>150.0</v>
      </c>
      <c r="AW722" s="1">
        <v>8.0</v>
      </c>
      <c r="AX722" s="1" t="s">
        <v>74</v>
      </c>
      <c r="AY722" s="1" t="s">
        <v>74</v>
      </c>
      <c r="AZ722" s="1" t="s">
        <v>74</v>
      </c>
      <c r="BA722" s="1" t="s">
        <v>74</v>
      </c>
      <c r="BB722" s="1">
        <v>1095.0</v>
      </c>
      <c r="BC722" s="1">
        <v>1107.0</v>
      </c>
      <c r="BD722" s="1" t="s">
        <v>74</v>
      </c>
      <c r="BE722" s="1" t="s">
        <v>74</v>
      </c>
      <c r="BF722" s="1" t="s">
        <v>74</v>
      </c>
      <c r="BG722" s="1" t="s">
        <v>74</v>
      </c>
      <c r="BH722" s="1" t="s">
        <v>74</v>
      </c>
      <c r="BI722" s="1" t="s">
        <v>74</v>
      </c>
      <c r="BJ722" s="1" t="s">
        <v>74</v>
      </c>
      <c r="BK722" s="1" t="s">
        <v>74</v>
      </c>
      <c r="BL722" s="1" t="s">
        <v>74</v>
      </c>
      <c r="BM722" s="1" t="s">
        <v>74</v>
      </c>
      <c r="BN722" s="1">
        <v>3.7358158E7</v>
      </c>
      <c r="BO722" s="1" t="s">
        <v>74</v>
      </c>
      <c r="BP722" s="1" t="s">
        <v>74</v>
      </c>
      <c r="BQ722" s="1" t="s">
        <v>74</v>
      </c>
      <c r="BR722" s="1" t="s">
        <v>74</v>
      </c>
      <c r="BS722" s="1" t="s">
        <v>7122</v>
      </c>
      <c r="BT722" s="1" t="str">
        <f>HYPERLINK("https%3A%2F%2Fwww.webofscience.com%2Fwos%2Fwoscc%2Ffull-record%2FWOS:000968680200014","View Full Record in Web of Science")</f>
        <v>View Full Record in Web of Science</v>
      </c>
    </row>
    <row r="723" ht="12.75" customHeight="1">
      <c r="A723" s="1" t="s">
        <v>72</v>
      </c>
      <c r="B723" s="1" t="s">
        <v>7123</v>
      </c>
      <c r="C723" s="1" t="s">
        <v>74</v>
      </c>
      <c r="D723" s="1" t="s">
        <v>74</v>
      </c>
      <c r="E723" s="1" t="s">
        <v>74</v>
      </c>
      <c r="F723" s="1" t="s">
        <v>7124</v>
      </c>
      <c r="G723" s="1" t="s">
        <v>74</v>
      </c>
      <c r="H723" s="1" t="s">
        <v>74</v>
      </c>
      <c r="I723" s="1" t="s">
        <v>7125</v>
      </c>
      <c r="J723" s="1" t="s">
        <v>7126</v>
      </c>
      <c r="K723" s="1" t="s">
        <v>74</v>
      </c>
      <c r="L723" s="1" t="s">
        <v>74</v>
      </c>
      <c r="M723" s="1" t="s">
        <v>74</v>
      </c>
      <c r="N723" s="1" t="s">
        <v>74</v>
      </c>
      <c r="O723" s="1" t="s">
        <v>74</v>
      </c>
      <c r="P723" s="1" t="s">
        <v>74</v>
      </c>
      <c r="Q723" s="1" t="s">
        <v>74</v>
      </c>
      <c r="R723" s="1" t="s">
        <v>74</v>
      </c>
      <c r="S723" s="1" t="s">
        <v>74</v>
      </c>
      <c r="T723" s="1" t="s">
        <v>74</v>
      </c>
      <c r="U723" s="1" t="s">
        <v>74</v>
      </c>
      <c r="V723" s="1" t="s">
        <v>7127</v>
      </c>
      <c r="W723" s="1" t="s">
        <v>74</v>
      </c>
      <c r="X723" s="1" t="s">
        <v>74</v>
      </c>
      <c r="Y723" s="1" t="s">
        <v>74</v>
      </c>
      <c r="Z723" s="1" t="s">
        <v>74</v>
      </c>
      <c r="AA723" s="1" t="s">
        <v>74</v>
      </c>
      <c r="AB723" s="1" t="s">
        <v>74</v>
      </c>
      <c r="AC723" s="1" t="s">
        <v>74</v>
      </c>
      <c r="AD723" s="1" t="s">
        <v>74</v>
      </c>
      <c r="AE723" s="1" t="s">
        <v>74</v>
      </c>
      <c r="AF723" s="1" t="s">
        <v>74</v>
      </c>
      <c r="AG723" s="1" t="s">
        <v>74</v>
      </c>
      <c r="AH723" s="1" t="s">
        <v>74</v>
      </c>
      <c r="AI723" s="1" t="s">
        <v>74</v>
      </c>
      <c r="AJ723" s="1" t="s">
        <v>74</v>
      </c>
      <c r="AK723" s="1" t="s">
        <v>74</v>
      </c>
      <c r="AL723" s="1" t="s">
        <v>74</v>
      </c>
      <c r="AM723" s="1" t="s">
        <v>74</v>
      </c>
      <c r="AN723" s="1" t="s">
        <v>74</v>
      </c>
      <c r="AO723" s="1" t="s">
        <v>7128</v>
      </c>
      <c r="AP723" s="1" t="s">
        <v>7129</v>
      </c>
      <c r="AQ723" s="1" t="s">
        <v>74</v>
      </c>
      <c r="AR723" s="1" t="s">
        <v>74</v>
      </c>
      <c r="AS723" s="1" t="s">
        <v>74</v>
      </c>
      <c r="AT723" s="1" t="s">
        <v>3535</v>
      </c>
      <c r="AU723" s="1">
        <v>2022.0</v>
      </c>
      <c r="AV723" s="1">
        <v>19.0</v>
      </c>
      <c r="AW723" s="1">
        <v>2.0</v>
      </c>
      <c r="AX723" s="1" t="s">
        <v>74</v>
      </c>
      <c r="AY723" s="1" t="s">
        <v>74</v>
      </c>
      <c r="AZ723" s="1" t="s">
        <v>74</v>
      </c>
      <c r="BA723" s="1" t="s">
        <v>74</v>
      </c>
      <c r="BB723" s="1" t="s">
        <v>74</v>
      </c>
      <c r="BC723" s="1" t="s">
        <v>74</v>
      </c>
      <c r="BD723" s="1" t="s">
        <v>7130</v>
      </c>
      <c r="BE723" s="1" t="s">
        <v>7131</v>
      </c>
      <c r="BF723" s="2" t="str">
        <f>HYPERLINK("http://dx.doi.org/10.15517/c.a..v19i2.50899","http://dx.doi.org/10.15517/c.a..v19i2.50899")</f>
        <v>http://dx.doi.org/10.15517/c.a..v19i2.50899</v>
      </c>
      <c r="BG723" s="1" t="s">
        <v>74</v>
      </c>
      <c r="BH723" s="1" t="s">
        <v>74</v>
      </c>
      <c r="BI723" s="1" t="s">
        <v>74</v>
      </c>
      <c r="BJ723" s="1" t="s">
        <v>74</v>
      </c>
      <c r="BK723" s="1" t="s">
        <v>74</v>
      </c>
      <c r="BL723" s="1" t="s">
        <v>74</v>
      </c>
      <c r="BM723" s="1" t="s">
        <v>74</v>
      </c>
      <c r="BN723" s="1" t="s">
        <v>74</v>
      </c>
      <c r="BO723" s="1" t="s">
        <v>74</v>
      </c>
      <c r="BP723" s="1" t="s">
        <v>74</v>
      </c>
      <c r="BQ723" s="1" t="s">
        <v>74</v>
      </c>
      <c r="BR723" s="1" t="s">
        <v>74</v>
      </c>
      <c r="BS723" s="1" t="s">
        <v>7132</v>
      </c>
      <c r="BT723" s="1" t="str">
        <f>HYPERLINK("https%3A%2F%2Fwww.webofscience.com%2Fwos%2Fwoscc%2Ffull-record%2FWOS:000795561900002","View Full Record in Web of Science")</f>
        <v>View Full Record in Web of Science</v>
      </c>
    </row>
    <row r="724" ht="12.75" customHeight="1">
      <c r="A724" s="1" t="s">
        <v>72</v>
      </c>
      <c r="B724" s="1" t="s">
        <v>7133</v>
      </c>
      <c r="C724" s="1" t="s">
        <v>74</v>
      </c>
      <c r="D724" s="1" t="s">
        <v>74</v>
      </c>
      <c r="E724" s="1" t="s">
        <v>74</v>
      </c>
      <c r="F724" s="1" t="s">
        <v>7134</v>
      </c>
      <c r="G724" s="1" t="s">
        <v>74</v>
      </c>
      <c r="H724" s="1" t="s">
        <v>74</v>
      </c>
      <c r="I724" s="1" t="s">
        <v>7135</v>
      </c>
      <c r="J724" s="1" t="s">
        <v>1325</v>
      </c>
      <c r="K724" s="1" t="s">
        <v>74</v>
      </c>
      <c r="L724" s="1" t="s">
        <v>74</v>
      </c>
      <c r="M724" s="1" t="s">
        <v>74</v>
      </c>
      <c r="N724" s="1" t="s">
        <v>74</v>
      </c>
      <c r="O724" s="1" t="s">
        <v>74</v>
      </c>
      <c r="P724" s="1" t="s">
        <v>74</v>
      </c>
      <c r="Q724" s="1" t="s">
        <v>74</v>
      </c>
      <c r="R724" s="1" t="s">
        <v>74</v>
      </c>
      <c r="S724" s="1" t="s">
        <v>74</v>
      </c>
      <c r="T724" s="1" t="s">
        <v>74</v>
      </c>
      <c r="U724" s="1" t="s">
        <v>74</v>
      </c>
      <c r="V724" s="1" t="s">
        <v>7136</v>
      </c>
      <c r="W724" s="1" t="s">
        <v>74</v>
      </c>
      <c r="X724" s="1" t="s">
        <v>74</v>
      </c>
      <c r="Y724" s="1" t="s">
        <v>74</v>
      </c>
      <c r="Z724" s="1" t="s">
        <v>74</v>
      </c>
      <c r="AA724" s="1" t="s">
        <v>7137</v>
      </c>
      <c r="AB724" s="1" t="s">
        <v>7138</v>
      </c>
      <c r="AC724" s="1" t="s">
        <v>74</v>
      </c>
      <c r="AD724" s="1" t="s">
        <v>74</v>
      </c>
      <c r="AE724" s="1" t="s">
        <v>74</v>
      </c>
      <c r="AF724" s="1" t="s">
        <v>74</v>
      </c>
      <c r="AG724" s="1" t="s">
        <v>74</v>
      </c>
      <c r="AH724" s="1" t="s">
        <v>74</v>
      </c>
      <c r="AI724" s="1" t="s">
        <v>74</v>
      </c>
      <c r="AJ724" s="1" t="s">
        <v>74</v>
      </c>
      <c r="AK724" s="1" t="s">
        <v>74</v>
      </c>
      <c r="AL724" s="1" t="s">
        <v>74</v>
      </c>
      <c r="AM724" s="1" t="s">
        <v>74</v>
      </c>
      <c r="AN724" s="1" t="s">
        <v>74</v>
      </c>
      <c r="AO724" s="1" t="s">
        <v>74</v>
      </c>
      <c r="AP724" s="1" t="s">
        <v>1330</v>
      </c>
      <c r="AQ724" s="1" t="s">
        <v>74</v>
      </c>
      <c r="AR724" s="1" t="s">
        <v>74</v>
      </c>
      <c r="AS724" s="1" t="s">
        <v>74</v>
      </c>
      <c r="AT724" s="1" t="s">
        <v>294</v>
      </c>
      <c r="AU724" s="1">
        <v>2022.0</v>
      </c>
      <c r="AV724" s="1">
        <v>23.0</v>
      </c>
      <c r="AW724" s="1">
        <v>12.0</v>
      </c>
      <c r="AX724" s="1" t="s">
        <v>74</v>
      </c>
      <c r="AY724" s="1" t="s">
        <v>74</v>
      </c>
      <c r="AZ724" s="1" t="s">
        <v>74</v>
      </c>
      <c r="BA724" s="1" t="s">
        <v>74</v>
      </c>
      <c r="BB724" s="1" t="s">
        <v>74</v>
      </c>
      <c r="BC724" s="1" t="s">
        <v>74</v>
      </c>
      <c r="BD724" s="1">
        <v>6602.0</v>
      </c>
      <c r="BE724" s="1" t="s">
        <v>7139</v>
      </c>
      <c r="BF724" s="2" t="str">
        <f>HYPERLINK("http://dx.doi.org/10.3390/ijms23126602","http://dx.doi.org/10.3390/ijms23126602")</f>
        <v>http://dx.doi.org/10.3390/ijms23126602</v>
      </c>
      <c r="BG724" s="1" t="s">
        <v>74</v>
      </c>
      <c r="BH724" s="1" t="s">
        <v>74</v>
      </c>
      <c r="BI724" s="1" t="s">
        <v>74</v>
      </c>
      <c r="BJ724" s="1" t="s">
        <v>74</v>
      </c>
      <c r="BK724" s="1" t="s">
        <v>74</v>
      </c>
      <c r="BL724" s="1" t="s">
        <v>74</v>
      </c>
      <c r="BM724" s="1" t="s">
        <v>74</v>
      </c>
      <c r="BN724" s="1">
        <v>3.5743046E7</v>
      </c>
      <c r="BO724" s="1" t="s">
        <v>74</v>
      </c>
      <c r="BP724" s="1" t="s">
        <v>74</v>
      </c>
      <c r="BQ724" s="1" t="s">
        <v>74</v>
      </c>
      <c r="BR724" s="1" t="s">
        <v>74</v>
      </c>
      <c r="BS724" s="1" t="s">
        <v>7140</v>
      </c>
      <c r="BT724" s="1" t="str">
        <f>HYPERLINK("https%3A%2F%2Fwww.webofscience.com%2Fwos%2Fwoscc%2Ffull-record%2FWOS:000819626300001","View Full Record in Web of Science")</f>
        <v>View Full Record in Web of Science</v>
      </c>
    </row>
    <row r="725" ht="12.75" customHeight="1">
      <c r="A725" s="1" t="s">
        <v>72</v>
      </c>
      <c r="B725" s="1" t="s">
        <v>7141</v>
      </c>
      <c r="C725" s="1" t="s">
        <v>74</v>
      </c>
      <c r="D725" s="1" t="s">
        <v>74</v>
      </c>
      <c r="E725" s="1" t="s">
        <v>74</v>
      </c>
      <c r="F725" s="1" t="s">
        <v>7142</v>
      </c>
      <c r="G725" s="1" t="s">
        <v>74</v>
      </c>
      <c r="H725" s="1" t="s">
        <v>74</v>
      </c>
      <c r="I725" s="1" t="s">
        <v>7143</v>
      </c>
      <c r="J725" s="1" t="s">
        <v>7144</v>
      </c>
      <c r="K725" s="1" t="s">
        <v>74</v>
      </c>
      <c r="L725" s="1" t="s">
        <v>74</v>
      </c>
      <c r="M725" s="1" t="s">
        <v>74</v>
      </c>
      <c r="N725" s="1" t="s">
        <v>74</v>
      </c>
      <c r="O725" s="1" t="s">
        <v>74</v>
      </c>
      <c r="P725" s="1" t="s">
        <v>74</v>
      </c>
      <c r="Q725" s="1" t="s">
        <v>74</v>
      </c>
      <c r="R725" s="1" t="s">
        <v>74</v>
      </c>
      <c r="S725" s="1" t="s">
        <v>74</v>
      </c>
      <c r="T725" s="1" t="s">
        <v>74</v>
      </c>
      <c r="U725" s="1" t="s">
        <v>74</v>
      </c>
      <c r="V725" s="1" t="s">
        <v>7145</v>
      </c>
      <c r="W725" s="1" t="s">
        <v>74</v>
      </c>
      <c r="X725" s="1" t="s">
        <v>74</v>
      </c>
      <c r="Y725" s="1" t="s">
        <v>74</v>
      </c>
      <c r="Z725" s="1" t="s">
        <v>74</v>
      </c>
      <c r="AA725" s="1" t="s">
        <v>7146</v>
      </c>
      <c r="AB725" s="1" t="s">
        <v>7147</v>
      </c>
      <c r="AC725" s="1" t="s">
        <v>74</v>
      </c>
      <c r="AD725" s="1" t="s">
        <v>74</v>
      </c>
      <c r="AE725" s="1" t="s">
        <v>74</v>
      </c>
      <c r="AF725" s="1" t="s">
        <v>74</v>
      </c>
      <c r="AG725" s="1" t="s">
        <v>74</v>
      </c>
      <c r="AH725" s="1" t="s">
        <v>74</v>
      </c>
      <c r="AI725" s="1" t="s">
        <v>74</v>
      </c>
      <c r="AJ725" s="1" t="s">
        <v>74</v>
      </c>
      <c r="AK725" s="1" t="s">
        <v>74</v>
      </c>
      <c r="AL725" s="1" t="s">
        <v>74</v>
      </c>
      <c r="AM725" s="1" t="s">
        <v>74</v>
      </c>
      <c r="AN725" s="1" t="s">
        <v>74</v>
      </c>
      <c r="AO725" s="1" t="s">
        <v>7148</v>
      </c>
      <c r="AP725" s="1" t="s">
        <v>74</v>
      </c>
      <c r="AQ725" s="1" t="s">
        <v>74</v>
      </c>
      <c r="AR725" s="1" t="s">
        <v>74</v>
      </c>
      <c r="AS725" s="1" t="s">
        <v>74</v>
      </c>
      <c r="AT725" s="1" t="s">
        <v>3777</v>
      </c>
      <c r="AU725" s="1">
        <v>2022.0</v>
      </c>
      <c r="AV725" s="1">
        <v>9.0</v>
      </c>
      <c r="AW725" s="1">
        <v>10.0</v>
      </c>
      <c r="AX725" s="1" t="s">
        <v>74</v>
      </c>
      <c r="AY725" s="1" t="s">
        <v>74</v>
      </c>
      <c r="AZ725" s="1" t="s">
        <v>74</v>
      </c>
      <c r="BA725" s="1" t="s">
        <v>74</v>
      </c>
      <c r="BB725" s="1" t="s">
        <v>74</v>
      </c>
      <c r="BC725" s="1" t="s">
        <v>74</v>
      </c>
      <c r="BD725" s="1" t="s">
        <v>7149</v>
      </c>
      <c r="BE725" s="1" t="s">
        <v>7150</v>
      </c>
      <c r="BF725" s="2" t="str">
        <f>HYPERLINK("http://dx.doi.org/10.1002/celc.202200259","http://dx.doi.org/10.1002/celc.202200259")</f>
        <v>http://dx.doi.org/10.1002/celc.202200259</v>
      </c>
      <c r="BG725" s="1" t="s">
        <v>74</v>
      </c>
      <c r="BH725" s="1" t="s">
        <v>74</v>
      </c>
      <c r="BI725" s="1" t="s">
        <v>74</v>
      </c>
      <c r="BJ725" s="1" t="s">
        <v>74</v>
      </c>
      <c r="BK725" s="1" t="s">
        <v>74</v>
      </c>
      <c r="BL725" s="1" t="s">
        <v>74</v>
      </c>
      <c r="BM725" s="1" t="s">
        <v>74</v>
      </c>
      <c r="BN725" s="1" t="s">
        <v>74</v>
      </c>
      <c r="BO725" s="1" t="s">
        <v>74</v>
      </c>
      <c r="BP725" s="1" t="s">
        <v>74</v>
      </c>
      <c r="BQ725" s="1" t="s">
        <v>74</v>
      </c>
      <c r="BR725" s="1" t="s">
        <v>74</v>
      </c>
      <c r="BS725" s="1" t="s">
        <v>7151</v>
      </c>
      <c r="BT725" s="1" t="str">
        <f>HYPERLINK("https%3A%2F%2Fwww.webofscience.com%2Fwos%2Fwoscc%2Ffull-record%2FWOS:000800859400001","View Full Record in Web of Science")</f>
        <v>View Full Record in Web of Science</v>
      </c>
    </row>
    <row r="726" ht="12.75" customHeight="1">
      <c r="A726" s="1" t="s">
        <v>72</v>
      </c>
      <c r="B726" s="1" t="s">
        <v>7152</v>
      </c>
      <c r="C726" s="1" t="s">
        <v>74</v>
      </c>
      <c r="D726" s="1" t="s">
        <v>74</v>
      </c>
      <c r="E726" s="1" t="s">
        <v>74</v>
      </c>
      <c r="F726" s="1" t="s">
        <v>7153</v>
      </c>
      <c r="G726" s="1" t="s">
        <v>74</v>
      </c>
      <c r="H726" s="1" t="s">
        <v>74</v>
      </c>
      <c r="I726" s="1" t="s">
        <v>7154</v>
      </c>
      <c r="J726" s="1" t="s">
        <v>7155</v>
      </c>
      <c r="K726" s="1" t="s">
        <v>74</v>
      </c>
      <c r="L726" s="1" t="s">
        <v>74</v>
      </c>
      <c r="M726" s="1" t="s">
        <v>74</v>
      </c>
      <c r="N726" s="1" t="s">
        <v>74</v>
      </c>
      <c r="O726" s="1" t="s">
        <v>74</v>
      </c>
      <c r="P726" s="1" t="s">
        <v>74</v>
      </c>
      <c r="Q726" s="1" t="s">
        <v>74</v>
      </c>
      <c r="R726" s="1" t="s">
        <v>74</v>
      </c>
      <c r="S726" s="1" t="s">
        <v>74</v>
      </c>
      <c r="T726" s="1" t="s">
        <v>74</v>
      </c>
      <c r="U726" s="1" t="s">
        <v>74</v>
      </c>
      <c r="V726" s="1" t="s">
        <v>7156</v>
      </c>
      <c r="W726" s="1" t="s">
        <v>74</v>
      </c>
      <c r="X726" s="1" t="s">
        <v>74</v>
      </c>
      <c r="Y726" s="1" t="s">
        <v>74</v>
      </c>
      <c r="Z726" s="1" t="s">
        <v>74</v>
      </c>
      <c r="AA726" s="1" t="s">
        <v>7157</v>
      </c>
      <c r="AB726" s="1" t="s">
        <v>7158</v>
      </c>
      <c r="AC726" s="1" t="s">
        <v>74</v>
      </c>
      <c r="AD726" s="1" t="s">
        <v>74</v>
      </c>
      <c r="AE726" s="1" t="s">
        <v>74</v>
      </c>
      <c r="AF726" s="1" t="s">
        <v>74</v>
      </c>
      <c r="AG726" s="1" t="s">
        <v>74</v>
      </c>
      <c r="AH726" s="1" t="s">
        <v>74</v>
      </c>
      <c r="AI726" s="1" t="s">
        <v>74</v>
      </c>
      <c r="AJ726" s="1" t="s">
        <v>74</v>
      </c>
      <c r="AK726" s="1" t="s">
        <v>74</v>
      </c>
      <c r="AL726" s="1" t="s">
        <v>74</v>
      </c>
      <c r="AM726" s="1" t="s">
        <v>74</v>
      </c>
      <c r="AN726" s="1" t="s">
        <v>74</v>
      </c>
      <c r="AO726" s="1" t="s">
        <v>7159</v>
      </c>
      <c r="AP726" s="1" t="s">
        <v>7160</v>
      </c>
      <c r="AQ726" s="1" t="s">
        <v>74</v>
      </c>
      <c r="AR726" s="1" t="s">
        <v>74</v>
      </c>
      <c r="AS726" s="1" t="s">
        <v>74</v>
      </c>
      <c r="AT726" s="1" t="s">
        <v>306</v>
      </c>
      <c r="AU726" s="1">
        <v>2022.0</v>
      </c>
      <c r="AV726" s="1">
        <v>41.0</v>
      </c>
      <c r="AW726" s="1">
        <v>4.0</v>
      </c>
      <c r="AX726" s="1" t="s">
        <v>74</v>
      </c>
      <c r="AY726" s="1" t="s">
        <v>74</v>
      </c>
      <c r="AZ726" s="1" t="s">
        <v>74</v>
      </c>
      <c r="BA726" s="1" t="s">
        <v>74</v>
      </c>
      <c r="BB726" s="1">
        <v>979.0</v>
      </c>
      <c r="BC726" s="1">
        <v>993.0</v>
      </c>
      <c r="BD726" s="1" t="s">
        <v>74</v>
      </c>
      <c r="BE726" s="1" t="s">
        <v>7161</v>
      </c>
      <c r="BF726" s="2" t="str">
        <f>HYPERLINK("http://dx.doi.org/10.1007/s00299-022-02832-7","http://dx.doi.org/10.1007/s00299-022-02832-7")</f>
        <v>http://dx.doi.org/10.1007/s00299-022-02832-7</v>
      </c>
      <c r="BG726" s="1" t="s">
        <v>74</v>
      </c>
      <c r="BH726" s="1" t="s">
        <v>259</v>
      </c>
      <c r="BI726" s="1" t="s">
        <v>74</v>
      </c>
      <c r="BJ726" s="1" t="s">
        <v>74</v>
      </c>
      <c r="BK726" s="1" t="s">
        <v>74</v>
      </c>
      <c r="BL726" s="1" t="s">
        <v>74</v>
      </c>
      <c r="BM726" s="1" t="s">
        <v>74</v>
      </c>
      <c r="BN726" s="1">
        <v>3.5226115E7</v>
      </c>
      <c r="BO726" s="1" t="s">
        <v>74</v>
      </c>
      <c r="BP726" s="1" t="s">
        <v>74</v>
      </c>
      <c r="BQ726" s="1" t="s">
        <v>74</v>
      </c>
      <c r="BR726" s="1" t="s">
        <v>74</v>
      </c>
      <c r="BS726" s="1" t="s">
        <v>7162</v>
      </c>
      <c r="BT726" s="1" t="str">
        <f>HYPERLINK("https%3A%2F%2Fwww.webofscience.com%2Fwos%2Fwoscc%2Ffull-record%2FWOS:000780167400001","View Full Record in Web of Science")</f>
        <v>View Full Record in Web of Science</v>
      </c>
    </row>
    <row r="727" ht="12.75" customHeight="1">
      <c r="A727" s="1" t="s">
        <v>72</v>
      </c>
      <c r="B727" s="1" t="s">
        <v>7163</v>
      </c>
      <c r="C727" s="1" t="s">
        <v>74</v>
      </c>
      <c r="D727" s="1" t="s">
        <v>74</v>
      </c>
      <c r="E727" s="1" t="s">
        <v>74</v>
      </c>
      <c r="F727" s="1" t="s">
        <v>7164</v>
      </c>
      <c r="G727" s="1" t="s">
        <v>74</v>
      </c>
      <c r="H727" s="1" t="s">
        <v>74</v>
      </c>
      <c r="I727" s="1" t="s">
        <v>7165</v>
      </c>
      <c r="J727" s="1" t="s">
        <v>7166</v>
      </c>
      <c r="K727" s="1" t="s">
        <v>74</v>
      </c>
      <c r="L727" s="1" t="s">
        <v>74</v>
      </c>
      <c r="M727" s="1" t="s">
        <v>74</v>
      </c>
      <c r="N727" s="1" t="s">
        <v>74</v>
      </c>
      <c r="O727" s="1" t="s">
        <v>74</v>
      </c>
      <c r="P727" s="1" t="s">
        <v>74</v>
      </c>
      <c r="Q727" s="1" t="s">
        <v>74</v>
      </c>
      <c r="R727" s="1" t="s">
        <v>74</v>
      </c>
      <c r="S727" s="1" t="s">
        <v>74</v>
      </c>
      <c r="T727" s="1" t="s">
        <v>74</v>
      </c>
      <c r="U727" s="1" t="s">
        <v>74</v>
      </c>
      <c r="V727" s="1" t="s">
        <v>7167</v>
      </c>
      <c r="W727" s="1" t="s">
        <v>74</v>
      </c>
      <c r="X727" s="1" t="s">
        <v>74</v>
      </c>
      <c r="Y727" s="1" t="s">
        <v>74</v>
      </c>
      <c r="Z727" s="1" t="s">
        <v>74</v>
      </c>
      <c r="AA727" s="1" t="s">
        <v>7168</v>
      </c>
      <c r="AB727" s="1" t="s">
        <v>7169</v>
      </c>
      <c r="AC727" s="1" t="s">
        <v>74</v>
      </c>
      <c r="AD727" s="1" t="s">
        <v>74</v>
      </c>
      <c r="AE727" s="1" t="s">
        <v>74</v>
      </c>
      <c r="AF727" s="1" t="s">
        <v>74</v>
      </c>
      <c r="AG727" s="1" t="s">
        <v>74</v>
      </c>
      <c r="AH727" s="1" t="s">
        <v>74</v>
      </c>
      <c r="AI727" s="1" t="s">
        <v>74</v>
      </c>
      <c r="AJ727" s="1" t="s">
        <v>74</v>
      </c>
      <c r="AK727" s="1" t="s">
        <v>74</v>
      </c>
      <c r="AL727" s="1" t="s">
        <v>74</v>
      </c>
      <c r="AM727" s="1" t="s">
        <v>74</v>
      </c>
      <c r="AN727" s="1" t="s">
        <v>74</v>
      </c>
      <c r="AO727" s="1" t="s">
        <v>7170</v>
      </c>
      <c r="AP727" s="1" t="s">
        <v>74</v>
      </c>
      <c r="AQ727" s="1" t="s">
        <v>74</v>
      </c>
      <c r="AR727" s="1" t="s">
        <v>74</v>
      </c>
      <c r="AS727" s="1" t="s">
        <v>74</v>
      </c>
      <c r="AT727" s="1" t="s">
        <v>339</v>
      </c>
      <c r="AU727" s="1">
        <v>2021.0</v>
      </c>
      <c r="AV727" s="1">
        <v>10.0</v>
      </c>
      <c r="AW727" s="1">
        <v>9.0</v>
      </c>
      <c r="AX727" s="1" t="s">
        <v>74</v>
      </c>
      <c r="AY727" s="1" t="s">
        <v>74</v>
      </c>
      <c r="AZ727" s="1" t="s">
        <v>74</v>
      </c>
      <c r="BA727" s="1" t="s">
        <v>74</v>
      </c>
      <c r="BB727" s="1" t="s">
        <v>74</v>
      </c>
      <c r="BC727" s="1" t="s">
        <v>74</v>
      </c>
      <c r="BD727" s="1">
        <v>1882.0</v>
      </c>
      <c r="BE727" s="1" t="s">
        <v>7171</v>
      </c>
      <c r="BF727" s="2" t="str">
        <f>HYPERLINK("http://dx.doi.org/10.3390/plants10091882","http://dx.doi.org/10.3390/plants10091882")</f>
        <v>http://dx.doi.org/10.3390/plants10091882</v>
      </c>
      <c r="BG727" s="1" t="s">
        <v>74</v>
      </c>
      <c r="BH727" s="1" t="s">
        <v>74</v>
      </c>
      <c r="BI727" s="1" t="s">
        <v>74</v>
      </c>
      <c r="BJ727" s="1" t="s">
        <v>74</v>
      </c>
      <c r="BK727" s="1" t="s">
        <v>74</v>
      </c>
      <c r="BL727" s="1" t="s">
        <v>74</v>
      </c>
      <c r="BM727" s="1" t="s">
        <v>74</v>
      </c>
      <c r="BN727" s="1">
        <v>3.4579415E7</v>
      </c>
      <c r="BO727" s="1" t="s">
        <v>74</v>
      </c>
      <c r="BP727" s="1" t="s">
        <v>74</v>
      </c>
      <c r="BQ727" s="1" t="s">
        <v>74</v>
      </c>
      <c r="BR727" s="1" t="s">
        <v>74</v>
      </c>
      <c r="BS727" s="1" t="s">
        <v>7172</v>
      </c>
      <c r="BT727" s="1" t="str">
        <f>HYPERLINK("https%3A%2F%2Fwww.webofscience.com%2Fwos%2Fwoscc%2Ffull-record%2FWOS:000701106500001","View Full Record in Web of Science")</f>
        <v>View Full Record in Web of Science</v>
      </c>
    </row>
    <row r="728" ht="12.75" customHeight="1">
      <c r="A728" s="1" t="s">
        <v>72</v>
      </c>
      <c r="B728" s="1" t="s">
        <v>7173</v>
      </c>
      <c r="C728" s="1" t="s">
        <v>74</v>
      </c>
      <c r="D728" s="1" t="s">
        <v>74</v>
      </c>
      <c r="E728" s="1" t="s">
        <v>74</v>
      </c>
      <c r="F728" s="1" t="s">
        <v>7174</v>
      </c>
      <c r="G728" s="1" t="s">
        <v>74</v>
      </c>
      <c r="H728" s="1" t="s">
        <v>74</v>
      </c>
      <c r="I728" s="1" t="s">
        <v>7175</v>
      </c>
      <c r="J728" s="1" t="s">
        <v>7176</v>
      </c>
      <c r="K728" s="1" t="s">
        <v>74</v>
      </c>
      <c r="L728" s="1" t="s">
        <v>74</v>
      </c>
      <c r="M728" s="1" t="s">
        <v>74</v>
      </c>
      <c r="N728" s="1" t="s">
        <v>74</v>
      </c>
      <c r="O728" s="1" t="s">
        <v>74</v>
      </c>
      <c r="P728" s="1" t="s">
        <v>74</v>
      </c>
      <c r="Q728" s="1" t="s">
        <v>74</v>
      </c>
      <c r="R728" s="1" t="s">
        <v>74</v>
      </c>
      <c r="S728" s="1" t="s">
        <v>74</v>
      </c>
      <c r="T728" s="1" t="s">
        <v>74</v>
      </c>
      <c r="U728" s="1" t="s">
        <v>74</v>
      </c>
      <c r="V728" s="1" t="s">
        <v>74</v>
      </c>
      <c r="W728" s="1" t="s">
        <v>74</v>
      </c>
      <c r="X728" s="1" t="s">
        <v>74</v>
      </c>
      <c r="Y728" s="1" t="s">
        <v>74</v>
      </c>
      <c r="Z728" s="1" t="s">
        <v>74</v>
      </c>
      <c r="AA728" s="1" t="s">
        <v>7177</v>
      </c>
      <c r="AB728" s="1" t="s">
        <v>74</v>
      </c>
      <c r="AC728" s="1" t="s">
        <v>74</v>
      </c>
      <c r="AD728" s="1" t="s">
        <v>74</v>
      </c>
      <c r="AE728" s="1" t="s">
        <v>74</v>
      </c>
      <c r="AF728" s="1" t="s">
        <v>74</v>
      </c>
      <c r="AG728" s="1" t="s">
        <v>74</v>
      </c>
      <c r="AH728" s="1" t="s">
        <v>74</v>
      </c>
      <c r="AI728" s="1" t="s">
        <v>74</v>
      </c>
      <c r="AJ728" s="1" t="s">
        <v>74</v>
      </c>
      <c r="AK728" s="1" t="s">
        <v>74</v>
      </c>
      <c r="AL728" s="1" t="s">
        <v>74</v>
      </c>
      <c r="AM728" s="1" t="s">
        <v>74</v>
      </c>
      <c r="AN728" s="1" t="s">
        <v>74</v>
      </c>
      <c r="AO728" s="1" t="s">
        <v>7178</v>
      </c>
      <c r="AP728" s="1" t="s">
        <v>7179</v>
      </c>
      <c r="AQ728" s="1" t="s">
        <v>74</v>
      </c>
      <c r="AR728" s="1" t="s">
        <v>74</v>
      </c>
      <c r="AS728" s="1" t="s">
        <v>74</v>
      </c>
      <c r="AT728" s="1" t="s">
        <v>339</v>
      </c>
      <c r="AU728" s="1">
        <v>2021.0</v>
      </c>
      <c r="AV728" s="1">
        <v>26.0</v>
      </c>
      <c r="AW728" s="1">
        <v>3.0</v>
      </c>
      <c r="AX728" s="1" t="s">
        <v>74</v>
      </c>
      <c r="AY728" s="1" t="s">
        <v>74</v>
      </c>
      <c r="AZ728" s="1" t="s">
        <v>74</v>
      </c>
      <c r="BA728" s="1">
        <v>242.0</v>
      </c>
      <c r="BB728" s="1">
        <v>415.0</v>
      </c>
      <c r="BC728" s="1">
        <v>415.0</v>
      </c>
      <c r="BD728" s="1" t="s">
        <v>74</v>
      </c>
      <c r="BE728" s="1" t="s">
        <v>74</v>
      </c>
      <c r="BF728" s="1" t="s">
        <v>74</v>
      </c>
      <c r="BG728" s="1" t="s">
        <v>74</v>
      </c>
      <c r="BH728" s="1" t="s">
        <v>74</v>
      </c>
      <c r="BI728" s="1" t="s">
        <v>74</v>
      </c>
      <c r="BJ728" s="1" t="s">
        <v>74</v>
      </c>
      <c r="BK728" s="1" t="s">
        <v>74</v>
      </c>
      <c r="BL728" s="1" t="s">
        <v>74</v>
      </c>
      <c r="BM728" s="1" t="s">
        <v>74</v>
      </c>
      <c r="BN728" s="1" t="s">
        <v>74</v>
      </c>
      <c r="BO728" s="1" t="s">
        <v>74</v>
      </c>
      <c r="BP728" s="1" t="s">
        <v>74</v>
      </c>
      <c r="BQ728" s="1" t="s">
        <v>74</v>
      </c>
      <c r="BR728" s="1" t="s">
        <v>74</v>
      </c>
      <c r="BS728" s="1" t="s">
        <v>7180</v>
      </c>
      <c r="BT728" s="1" t="str">
        <f>HYPERLINK("https%3A%2F%2Fwww.webofscience.com%2Fwos%2Fwoscc%2Ffull-record%2FWOS:000696233800240","View Full Record in Web of Science")</f>
        <v>View Full Record in Web of Science</v>
      </c>
    </row>
    <row r="729" ht="12.75" customHeight="1">
      <c r="A729" s="1" t="s">
        <v>72</v>
      </c>
      <c r="B729" s="1" t="s">
        <v>7181</v>
      </c>
      <c r="C729" s="1" t="s">
        <v>74</v>
      </c>
      <c r="D729" s="1" t="s">
        <v>74</v>
      </c>
      <c r="E729" s="1" t="s">
        <v>74</v>
      </c>
      <c r="F729" s="1" t="s">
        <v>7182</v>
      </c>
      <c r="G729" s="1" t="s">
        <v>74</v>
      </c>
      <c r="H729" s="1" t="s">
        <v>74</v>
      </c>
      <c r="I729" s="1" t="s">
        <v>7183</v>
      </c>
      <c r="J729" s="1" t="s">
        <v>7184</v>
      </c>
      <c r="K729" s="1" t="s">
        <v>74</v>
      </c>
      <c r="L729" s="1" t="s">
        <v>74</v>
      </c>
      <c r="M729" s="1" t="s">
        <v>74</v>
      </c>
      <c r="N729" s="1" t="s">
        <v>74</v>
      </c>
      <c r="O729" s="1" t="s">
        <v>74</v>
      </c>
      <c r="P729" s="1" t="s">
        <v>74</v>
      </c>
      <c r="Q729" s="1" t="s">
        <v>74</v>
      </c>
      <c r="R729" s="1" t="s">
        <v>74</v>
      </c>
      <c r="S729" s="1" t="s">
        <v>74</v>
      </c>
      <c r="T729" s="1" t="s">
        <v>74</v>
      </c>
      <c r="U729" s="1" t="s">
        <v>74</v>
      </c>
      <c r="V729" s="1" t="s">
        <v>7185</v>
      </c>
      <c r="W729" s="1" t="s">
        <v>74</v>
      </c>
      <c r="X729" s="1" t="s">
        <v>74</v>
      </c>
      <c r="Y729" s="1" t="s">
        <v>74</v>
      </c>
      <c r="Z729" s="1" t="s">
        <v>74</v>
      </c>
      <c r="AA729" s="1" t="s">
        <v>7186</v>
      </c>
      <c r="AB729" s="1" t="s">
        <v>7187</v>
      </c>
      <c r="AC729" s="1" t="s">
        <v>74</v>
      </c>
      <c r="AD729" s="1" t="s">
        <v>74</v>
      </c>
      <c r="AE729" s="1" t="s">
        <v>74</v>
      </c>
      <c r="AF729" s="1" t="s">
        <v>74</v>
      </c>
      <c r="AG729" s="1" t="s">
        <v>74</v>
      </c>
      <c r="AH729" s="1" t="s">
        <v>74</v>
      </c>
      <c r="AI729" s="1" t="s">
        <v>74</v>
      </c>
      <c r="AJ729" s="1" t="s">
        <v>74</v>
      </c>
      <c r="AK729" s="1" t="s">
        <v>74</v>
      </c>
      <c r="AL729" s="1" t="s">
        <v>74</v>
      </c>
      <c r="AM729" s="1" t="s">
        <v>74</v>
      </c>
      <c r="AN729" s="1" t="s">
        <v>74</v>
      </c>
      <c r="AO729" s="1" t="s">
        <v>7188</v>
      </c>
      <c r="AP729" s="1" t="s">
        <v>7189</v>
      </c>
      <c r="AQ729" s="1" t="s">
        <v>74</v>
      </c>
      <c r="AR729" s="1" t="s">
        <v>74</v>
      </c>
      <c r="AS729" s="1" t="s">
        <v>74</v>
      </c>
      <c r="AT729" s="1" t="s">
        <v>652</v>
      </c>
      <c r="AU729" s="1">
        <v>2021.0</v>
      </c>
      <c r="AV729" s="1">
        <v>98.0</v>
      </c>
      <c r="AW729" s="1" t="s">
        <v>74</v>
      </c>
      <c r="AX729" s="1" t="s">
        <v>74</v>
      </c>
      <c r="AY729" s="1" t="s">
        <v>74</v>
      </c>
      <c r="AZ729" s="1" t="s">
        <v>74</v>
      </c>
      <c r="BA729" s="1" t="s">
        <v>74</v>
      </c>
      <c r="BB729" s="1" t="s">
        <v>74</v>
      </c>
      <c r="BC729" s="1" t="s">
        <v>74</v>
      </c>
      <c r="BD729" s="1">
        <v>103403.0</v>
      </c>
      <c r="BE729" s="1" t="s">
        <v>7190</v>
      </c>
      <c r="BF729" s="2" t="str">
        <f>HYPERLINK("http://dx.doi.org/10.1016/j.ejc.2021.103403","http://dx.doi.org/10.1016/j.ejc.2021.103403")</f>
        <v>http://dx.doi.org/10.1016/j.ejc.2021.103403</v>
      </c>
      <c r="BG729" s="1" t="s">
        <v>74</v>
      </c>
      <c r="BH729" s="1" t="s">
        <v>3526</v>
      </c>
      <c r="BI729" s="1" t="s">
        <v>74</v>
      </c>
      <c r="BJ729" s="1" t="s">
        <v>74</v>
      </c>
      <c r="BK729" s="1" t="s">
        <v>74</v>
      </c>
      <c r="BL729" s="1" t="s">
        <v>74</v>
      </c>
      <c r="BM729" s="1" t="s">
        <v>74</v>
      </c>
      <c r="BN729" s="1" t="s">
        <v>74</v>
      </c>
      <c r="BO729" s="1" t="s">
        <v>74</v>
      </c>
      <c r="BP729" s="1" t="s">
        <v>74</v>
      </c>
      <c r="BQ729" s="1" t="s">
        <v>74</v>
      </c>
      <c r="BR729" s="1" t="s">
        <v>74</v>
      </c>
      <c r="BS729" s="1" t="s">
        <v>7191</v>
      </c>
      <c r="BT729" s="1" t="str">
        <f>HYPERLINK("https%3A%2F%2Fwww.webofscience.com%2Fwos%2Fwoscc%2Ffull-record%2FWOS:000690737400001","View Full Record in Web of Science")</f>
        <v>View Full Record in Web of Science</v>
      </c>
    </row>
    <row r="730" ht="12.75" customHeight="1">
      <c r="A730" s="1" t="s">
        <v>72</v>
      </c>
      <c r="B730" s="1" t="s">
        <v>7192</v>
      </c>
      <c r="C730" s="1" t="s">
        <v>74</v>
      </c>
      <c r="D730" s="1" t="s">
        <v>74</v>
      </c>
      <c r="E730" s="1" t="s">
        <v>74</v>
      </c>
      <c r="F730" s="1" t="s">
        <v>7193</v>
      </c>
      <c r="G730" s="1" t="s">
        <v>74</v>
      </c>
      <c r="H730" s="1" t="s">
        <v>74</v>
      </c>
      <c r="I730" s="1" t="s">
        <v>7194</v>
      </c>
      <c r="J730" s="1" t="s">
        <v>312</v>
      </c>
      <c r="K730" s="1" t="s">
        <v>74</v>
      </c>
      <c r="L730" s="1" t="s">
        <v>74</v>
      </c>
      <c r="M730" s="1" t="s">
        <v>74</v>
      </c>
      <c r="N730" s="1" t="s">
        <v>74</v>
      </c>
      <c r="O730" s="1" t="s">
        <v>74</v>
      </c>
      <c r="P730" s="1" t="s">
        <v>74</v>
      </c>
      <c r="Q730" s="1" t="s">
        <v>74</v>
      </c>
      <c r="R730" s="1" t="s">
        <v>74</v>
      </c>
      <c r="S730" s="1" t="s">
        <v>74</v>
      </c>
      <c r="T730" s="1" t="s">
        <v>74</v>
      </c>
      <c r="U730" s="1" t="s">
        <v>74</v>
      </c>
      <c r="V730" s="1" t="s">
        <v>7195</v>
      </c>
      <c r="W730" s="1" t="s">
        <v>74</v>
      </c>
      <c r="X730" s="1" t="s">
        <v>74</v>
      </c>
      <c r="Y730" s="1" t="s">
        <v>74</v>
      </c>
      <c r="Z730" s="1" t="s">
        <v>74</v>
      </c>
      <c r="AA730" s="1" t="s">
        <v>7196</v>
      </c>
      <c r="AB730" s="1" t="s">
        <v>7197</v>
      </c>
      <c r="AC730" s="1" t="s">
        <v>74</v>
      </c>
      <c r="AD730" s="1" t="s">
        <v>74</v>
      </c>
      <c r="AE730" s="1" t="s">
        <v>74</v>
      </c>
      <c r="AF730" s="1" t="s">
        <v>74</v>
      </c>
      <c r="AG730" s="1" t="s">
        <v>74</v>
      </c>
      <c r="AH730" s="1" t="s">
        <v>74</v>
      </c>
      <c r="AI730" s="1" t="s">
        <v>74</v>
      </c>
      <c r="AJ730" s="1" t="s">
        <v>74</v>
      </c>
      <c r="AK730" s="1" t="s">
        <v>74</v>
      </c>
      <c r="AL730" s="1" t="s">
        <v>74</v>
      </c>
      <c r="AM730" s="1" t="s">
        <v>74</v>
      </c>
      <c r="AN730" s="1" t="s">
        <v>74</v>
      </c>
      <c r="AO730" s="1" t="s">
        <v>315</v>
      </c>
      <c r="AP730" s="1" t="s">
        <v>316</v>
      </c>
      <c r="AQ730" s="1" t="s">
        <v>74</v>
      </c>
      <c r="AR730" s="1" t="s">
        <v>74</v>
      </c>
      <c r="AS730" s="1" t="s">
        <v>74</v>
      </c>
      <c r="AT730" s="1" t="s">
        <v>158</v>
      </c>
      <c r="AU730" s="1">
        <v>2021.0</v>
      </c>
      <c r="AV730" s="1">
        <v>149.0</v>
      </c>
      <c r="AW730" s="1">
        <v>7.0</v>
      </c>
      <c r="AX730" s="1" t="s">
        <v>74</v>
      </c>
      <c r="AY730" s="1" t="s">
        <v>74</v>
      </c>
      <c r="AZ730" s="1" t="s">
        <v>74</v>
      </c>
      <c r="BA730" s="1" t="s">
        <v>74</v>
      </c>
      <c r="BB730" s="1">
        <v>980.0</v>
      </c>
      <c r="BC730" s="1">
        <v>988.0</v>
      </c>
      <c r="BD730" s="1" t="s">
        <v>74</v>
      </c>
      <c r="BE730" s="1" t="s">
        <v>74</v>
      </c>
      <c r="BF730" s="1" t="s">
        <v>74</v>
      </c>
      <c r="BG730" s="1" t="s">
        <v>74</v>
      </c>
      <c r="BH730" s="1" t="s">
        <v>74</v>
      </c>
      <c r="BI730" s="1" t="s">
        <v>74</v>
      </c>
      <c r="BJ730" s="1" t="s">
        <v>74</v>
      </c>
      <c r="BK730" s="1" t="s">
        <v>74</v>
      </c>
      <c r="BL730" s="1" t="s">
        <v>74</v>
      </c>
      <c r="BM730" s="1" t="s">
        <v>74</v>
      </c>
      <c r="BN730" s="1">
        <v>3.4751299E7</v>
      </c>
      <c r="BO730" s="1" t="s">
        <v>74</v>
      </c>
      <c r="BP730" s="1" t="s">
        <v>74</v>
      </c>
      <c r="BQ730" s="1" t="s">
        <v>74</v>
      </c>
      <c r="BR730" s="1" t="s">
        <v>74</v>
      </c>
      <c r="BS730" s="1" t="s">
        <v>7198</v>
      </c>
      <c r="BT730" s="1" t="str">
        <f>HYPERLINK("https%3A%2F%2Fwww.webofscience.com%2Fwos%2Fwoscc%2Ffull-record%2FWOS:000733660600003","View Full Record in Web of Science")</f>
        <v>View Full Record in Web of Science</v>
      </c>
    </row>
    <row r="731" ht="12.75" customHeight="1">
      <c r="A731" s="1" t="s">
        <v>72</v>
      </c>
      <c r="B731" s="1" t="s">
        <v>7199</v>
      </c>
      <c r="C731" s="1" t="s">
        <v>74</v>
      </c>
      <c r="D731" s="1" t="s">
        <v>74</v>
      </c>
      <c r="E731" s="1" t="s">
        <v>74</v>
      </c>
      <c r="F731" s="1" t="s">
        <v>7200</v>
      </c>
      <c r="G731" s="1" t="s">
        <v>74</v>
      </c>
      <c r="H731" s="1" t="s">
        <v>74</v>
      </c>
      <c r="I731" s="1" t="s">
        <v>7201</v>
      </c>
      <c r="J731" s="1" t="s">
        <v>4422</v>
      </c>
      <c r="K731" s="1" t="s">
        <v>74</v>
      </c>
      <c r="L731" s="1" t="s">
        <v>74</v>
      </c>
      <c r="M731" s="1" t="s">
        <v>74</v>
      </c>
      <c r="N731" s="1" t="s">
        <v>74</v>
      </c>
      <c r="O731" s="1" t="s">
        <v>74</v>
      </c>
      <c r="P731" s="1" t="s">
        <v>74</v>
      </c>
      <c r="Q731" s="1" t="s">
        <v>74</v>
      </c>
      <c r="R731" s="1" t="s">
        <v>74</v>
      </c>
      <c r="S731" s="1" t="s">
        <v>74</v>
      </c>
      <c r="T731" s="1" t="s">
        <v>74</v>
      </c>
      <c r="U731" s="1" t="s">
        <v>74</v>
      </c>
      <c r="V731" s="1" t="s">
        <v>7202</v>
      </c>
      <c r="W731" s="1" t="s">
        <v>74</v>
      </c>
      <c r="X731" s="1" t="s">
        <v>74</v>
      </c>
      <c r="Y731" s="1" t="s">
        <v>74</v>
      </c>
      <c r="Z731" s="1" t="s">
        <v>74</v>
      </c>
      <c r="AA731" s="1" t="s">
        <v>7203</v>
      </c>
      <c r="AB731" s="1" t="s">
        <v>7204</v>
      </c>
      <c r="AC731" s="1" t="s">
        <v>74</v>
      </c>
      <c r="AD731" s="1" t="s">
        <v>74</v>
      </c>
      <c r="AE731" s="1" t="s">
        <v>74</v>
      </c>
      <c r="AF731" s="1" t="s">
        <v>74</v>
      </c>
      <c r="AG731" s="1" t="s">
        <v>74</v>
      </c>
      <c r="AH731" s="1" t="s">
        <v>74</v>
      </c>
      <c r="AI731" s="1" t="s">
        <v>74</v>
      </c>
      <c r="AJ731" s="1" t="s">
        <v>74</v>
      </c>
      <c r="AK731" s="1" t="s">
        <v>74</v>
      </c>
      <c r="AL731" s="1" t="s">
        <v>74</v>
      </c>
      <c r="AM731" s="1" t="s">
        <v>74</v>
      </c>
      <c r="AN731" s="1" t="s">
        <v>74</v>
      </c>
      <c r="AO731" s="1" t="s">
        <v>4426</v>
      </c>
      <c r="AP731" s="1" t="s">
        <v>74</v>
      </c>
      <c r="AQ731" s="1" t="s">
        <v>74</v>
      </c>
      <c r="AR731" s="1" t="s">
        <v>74</v>
      </c>
      <c r="AS731" s="1" t="s">
        <v>74</v>
      </c>
      <c r="AT731" s="1" t="s">
        <v>3496</v>
      </c>
      <c r="AU731" s="1">
        <v>2021.0</v>
      </c>
      <c r="AV731" s="1">
        <v>12.0</v>
      </c>
      <c r="AW731" s="1" t="s">
        <v>74</v>
      </c>
      <c r="AX731" s="1" t="s">
        <v>74</v>
      </c>
      <c r="AY731" s="1" t="s">
        <v>74</v>
      </c>
      <c r="AZ731" s="1" t="s">
        <v>74</v>
      </c>
      <c r="BA731" s="1" t="s">
        <v>74</v>
      </c>
      <c r="BB731" s="1" t="s">
        <v>74</v>
      </c>
      <c r="BC731" s="1" t="s">
        <v>74</v>
      </c>
      <c r="BD731" s="1">
        <v>599530.0</v>
      </c>
      <c r="BE731" s="1" t="s">
        <v>7205</v>
      </c>
      <c r="BF731" s="2" t="str">
        <f>HYPERLINK("http://dx.doi.org/10.3389/fimmu.2021.599530","http://dx.doi.org/10.3389/fimmu.2021.599530")</f>
        <v>http://dx.doi.org/10.3389/fimmu.2021.599530</v>
      </c>
      <c r="BG731" s="1" t="s">
        <v>74</v>
      </c>
      <c r="BH731" s="1" t="s">
        <v>74</v>
      </c>
      <c r="BI731" s="1" t="s">
        <v>74</v>
      </c>
      <c r="BJ731" s="1" t="s">
        <v>74</v>
      </c>
      <c r="BK731" s="1" t="s">
        <v>74</v>
      </c>
      <c r="BL731" s="1" t="s">
        <v>74</v>
      </c>
      <c r="BM731" s="1" t="s">
        <v>74</v>
      </c>
      <c r="BN731" s="1">
        <v>3.3717079E7</v>
      </c>
      <c r="BO731" s="1" t="s">
        <v>74</v>
      </c>
      <c r="BP731" s="1" t="s">
        <v>74</v>
      </c>
      <c r="BQ731" s="1" t="s">
        <v>74</v>
      </c>
      <c r="BR731" s="1" t="s">
        <v>74</v>
      </c>
      <c r="BS731" s="1" t="s">
        <v>7206</v>
      </c>
      <c r="BT731" s="1" t="str">
        <f>HYPERLINK("https%3A%2F%2Fwww.webofscience.com%2Fwos%2Fwoscc%2Ffull-record%2FWOS:000627131600001","View Full Record in Web of Science")</f>
        <v>View Full Record in Web of Science</v>
      </c>
    </row>
    <row r="732" ht="12.75" customHeight="1">
      <c r="A732" s="1" t="s">
        <v>182</v>
      </c>
      <c r="B732" s="1" t="s">
        <v>7207</v>
      </c>
      <c r="C732" s="1" t="s">
        <v>74</v>
      </c>
      <c r="D732" s="1" t="s">
        <v>74</v>
      </c>
      <c r="E732" s="1" t="s">
        <v>184</v>
      </c>
      <c r="F732" s="1" t="s">
        <v>7208</v>
      </c>
      <c r="G732" s="1" t="s">
        <v>74</v>
      </c>
      <c r="H732" s="1" t="s">
        <v>74</v>
      </c>
      <c r="I732" s="1" t="s">
        <v>7209</v>
      </c>
      <c r="J732" s="1" t="s">
        <v>7210</v>
      </c>
      <c r="K732" s="1" t="s">
        <v>7211</v>
      </c>
      <c r="L732" s="1" t="s">
        <v>74</v>
      </c>
      <c r="M732" s="1" t="s">
        <v>74</v>
      </c>
      <c r="N732" s="1" t="s">
        <v>74</v>
      </c>
      <c r="O732" s="1" t="s">
        <v>7212</v>
      </c>
      <c r="P732" s="1" t="s">
        <v>7213</v>
      </c>
      <c r="Q732" s="1" t="s">
        <v>5004</v>
      </c>
      <c r="R732" s="1" t="s">
        <v>7214</v>
      </c>
      <c r="S732" s="1" t="s">
        <v>74</v>
      </c>
      <c r="T732" s="1" t="s">
        <v>74</v>
      </c>
      <c r="U732" s="1" t="s">
        <v>74</v>
      </c>
      <c r="V732" s="1" t="s">
        <v>7215</v>
      </c>
      <c r="W732" s="1" t="s">
        <v>74</v>
      </c>
      <c r="X732" s="1" t="s">
        <v>74</v>
      </c>
      <c r="Y732" s="1" t="s">
        <v>74</v>
      </c>
      <c r="Z732" s="1" t="s">
        <v>74</v>
      </c>
      <c r="AA732" s="1" t="s">
        <v>7216</v>
      </c>
      <c r="AB732" s="1" t="s">
        <v>7217</v>
      </c>
      <c r="AC732" s="1" t="s">
        <v>74</v>
      </c>
      <c r="AD732" s="1" t="s">
        <v>74</v>
      </c>
      <c r="AE732" s="1" t="s">
        <v>74</v>
      </c>
      <c r="AF732" s="1" t="s">
        <v>74</v>
      </c>
      <c r="AG732" s="1" t="s">
        <v>74</v>
      </c>
      <c r="AH732" s="1" t="s">
        <v>74</v>
      </c>
      <c r="AI732" s="1" t="s">
        <v>74</v>
      </c>
      <c r="AJ732" s="1" t="s">
        <v>74</v>
      </c>
      <c r="AK732" s="1" t="s">
        <v>74</v>
      </c>
      <c r="AL732" s="1" t="s">
        <v>74</v>
      </c>
      <c r="AM732" s="1" t="s">
        <v>74</v>
      </c>
      <c r="AN732" s="1" t="s">
        <v>74</v>
      </c>
      <c r="AO732" s="1" t="s">
        <v>7218</v>
      </c>
      <c r="AP732" s="1" t="s">
        <v>74</v>
      </c>
      <c r="AQ732" s="1" t="s">
        <v>7219</v>
      </c>
      <c r="AR732" s="1" t="s">
        <v>74</v>
      </c>
      <c r="AS732" s="1" t="s">
        <v>74</v>
      </c>
      <c r="AT732" s="1" t="s">
        <v>74</v>
      </c>
      <c r="AU732" s="1">
        <v>2021.0</v>
      </c>
      <c r="AV732" s="1" t="s">
        <v>74</v>
      </c>
      <c r="AW732" s="1" t="s">
        <v>74</v>
      </c>
      <c r="AX732" s="1" t="s">
        <v>74</v>
      </c>
      <c r="AY732" s="1" t="s">
        <v>74</v>
      </c>
      <c r="AZ732" s="1" t="s">
        <v>74</v>
      </c>
      <c r="BA732" s="1" t="s">
        <v>74</v>
      </c>
      <c r="BB732" s="1" t="s">
        <v>74</v>
      </c>
      <c r="BC732" s="1" t="s">
        <v>74</v>
      </c>
      <c r="BD732" s="1" t="s">
        <v>74</v>
      </c>
      <c r="BE732" s="1" t="s">
        <v>7220</v>
      </c>
      <c r="BF732" s="2" t="str">
        <f>HYPERLINK("http://dx.doi.org/10.1109/IECON48115.2021.9589893","http://dx.doi.org/10.1109/IECON48115.2021.9589893")</f>
        <v>http://dx.doi.org/10.1109/IECON48115.2021.9589893</v>
      </c>
      <c r="BG732" s="1" t="s">
        <v>74</v>
      </c>
      <c r="BH732" s="1" t="s">
        <v>74</v>
      </c>
      <c r="BI732" s="1" t="s">
        <v>74</v>
      </c>
      <c r="BJ732" s="1" t="s">
        <v>74</v>
      </c>
      <c r="BK732" s="1" t="s">
        <v>74</v>
      </c>
      <c r="BL732" s="1" t="s">
        <v>74</v>
      </c>
      <c r="BM732" s="1" t="s">
        <v>74</v>
      </c>
      <c r="BN732" s="1" t="s">
        <v>74</v>
      </c>
      <c r="BO732" s="1" t="s">
        <v>74</v>
      </c>
      <c r="BP732" s="1" t="s">
        <v>74</v>
      </c>
      <c r="BQ732" s="1" t="s">
        <v>74</v>
      </c>
      <c r="BR732" s="1" t="s">
        <v>74</v>
      </c>
      <c r="BS732" s="1" t="s">
        <v>7221</v>
      </c>
      <c r="BT732" s="1" t="str">
        <f>HYPERLINK("https%3A%2F%2Fwww.webofscience.com%2Fwos%2Fwoscc%2Ffull-record%2FWOS:000767230604133","View Full Record in Web of Science")</f>
        <v>View Full Record in Web of Science</v>
      </c>
    </row>
    <row r="733" ht="12.75" customHeight="1">
      <c r="A733" s="1" t="s">
        <v>72</v>
      </c>
      <c r="B733" s="1" t="s">
        <v>7222</v>
      </c>
      <c r="C733" s="1" t="s">
        <v>74</v>
      </c>
      <c r="D733" s="1" t="s">
        <v>74</v>
      </c>
      <c r="E733" s="1" t="s">
        <v>74</v>
      </c>
      <c r="F733" s="1" t="s">
        <v>7223</v>
      </c>
      <c r="G733" s="1" t="s">
        <v>74</v>
      </c>
      <c r="H733" s="1" t="s">
        <v>74</v>
      </c>
      <c r="I733" s="1" t="s">
        <v>7224</v>
      </c>
      <c r="J733" s="1" t="s">
        <v>7225</v>
      </c>
      <c r="K733" s="1" t="s">
        <v>74</v>
      </c>
      <c r="L733" s="1" t="s">
        <v>74</v>
      </c>
      <c r="M733" s="1" t="s">
        <v>74</v>
      </c>
      <c r="N733" s="1" t="s">
        <v>74</v>
      </c>
      <c r="O733" s="1" t="s">
        <v>74</v>
      </c>
      <c r="P733" s="1" t="s">
        <v>74</v>
      </c>
      <c r="Q733" s="1" t="s">
        <v>74</v>
      </c>
      <c r="R733" s="1" t="s">
        <v>74</v>
      </c>
      <c r="S733" s="1" t="s">
        <v>74</v>
      </c>
      <c r="T733" s="1" t="s">
        <v>74</v>
      </c>
      <c r="U733" s="1" t="s">
        <v>74</v>
      </c>
      <c r="V733" s="1" t="s">
        <v>7226</v>
      </c>
      <c r="W733" s="1" t="s">
        <v>74</v>
      </c>
      <c r="X733" s="1" t="s">
        <v>74</v>
      </c>
      <c r="Y733" s="1" t="s">
        <v>74</v>
      </c>
      <c r="Z733" s="1" t="s">
        <v>74</v>
      </c>
      <c r="AA733" s="1" t="s">
        <v>7227</v>
      </c>
      <c r="AB733" s="1" t="s">
        <v>7228</v>
      </c>
      <c r="AC733" s="1" t="s">
        <v>74</v>
      </c>
      <c r="AD733" s="1" t="s">
        <v>74</v>
      </c>
      <c r="AE733" s="1" t="s">
        <v>74</v>
      </c>
      <c r="AF733" s="1" t="s">
        <v>74</v>
      </c>
      <c r="AG733" s="1" t="s">
        <v>74</v>
      </c>
      <c r="AH733" s="1" t="s">
        <v>74</v>
      </c>
      <c r="AI733" s="1" t="s">
        <v>74</v>
      </c>
      <c r="AJ733" s="1" t="s">
        <v>74</v>
      </c>
      <c r="AK733" s="1" t="s">
        <v>74</v>
      </c>
      <c r="AL733" s="1" t="s">
        <v>74</v>
      </c>
      <c r="AM733" s="1" t="s">
        <v>74</v>
      </c>
      <c r="AN733" s="1" t="s">
        <v>74</v>
      </c>
      <c r="AO733" s="1" t="s">
        <v>74</v>
      </c>
      <c r="AP733" s="1" t="s">
        <v>7229</v>
      </c>
      <c r="AQ733" s="1" t="s">
        <v>74</v>
      </c>
      <c r="AR733" s="1" t="s">
        <v>74</v>
      </c>
      <c r="AS733" s="1" t="s">
        <v>74</v>
      </c>
      <c r="AT733" s="1" t="s">
        <v>7230</v>
      </c>
      <c r="AU733" s="1">
        <v>2020.0</v>
      </c>
      <c r="AV733" s="1">
        <v>72.0</v>
      </c>
      <c r="AW733" s="1">
        <v>1.0</v>
      </c>
      <c r="AX733" s="1" t="s">
        <v>74</v>
      </c>
      <c r="AY733" s="1" t="s">
        <v>74</v>
      </c>
      <c r="AZ733" s="1" t="s">
        <v>74</v>
      </c>
      <c r="BA733" s="1" t="s">
        <v>74</v>
      </c>
      <c r="BB733" s="1" t="s">
        <v>74</v>
      </c>
      <c r="BC733" s="1" t="s">
        <v>74</v>
      </c>
      <c r="BD733" s="1">
        <v>172.0</v>
      </c>
      <c r="BE733" s="1" t="s">
        <v>7231</v>
      </c>
      <c r="BF733" s="2" t="str">
        <f>HYPERLINK("http://dx.doi.org/10.1186/s40623-020-01297-w","http://dx.doi.org/10.1186/s40623-020-01297-w")</f>
        <v>http://dx.doi.org/10.1186/s40623-020-01297-w</v>
      </c>
      <c r="BG733" s="1" t="s">
        <v>74</v>
      </c>
      <c r="BH733" s="1" t="s">
        <v>74</v>
      </c>
      <c r="BI733" s="1" t="s">
        <v>74</v>
      </c>
      <c r="BJ733" s="1" t="s">
        <v>74</v>
      </c>
      <c r="BK733" s="1" t="s">
        <v>74</v>
      </c>
      <c r="BL733" s="1" t="s">
        <v>74</v>
      </c>
      <c r="BM733" s="1" t="s">
        <v>74</v>
      </c>
      <c r="BN733" s="1" t="s">
        <v>74</v>
      </c>
      <c r="BO733" s="1" t="s">
        <v>74</v>
      </c>
      <c r="BP733" s="1" t="s">
        <v>74</v>
      </c>
      <c r="BQ733" s="1" t="s">
        <v>74</v>
      </c>
      <c r="BR733" s="1" t="s">
        <v>74</v>
      </c>
      <c r="BS733" s="1" t="s">
        <v>7232</v>
      </c>
      <c r="BT733" s="1" t="str">
        <f>HYPERLINK("https%3A%2F%2Fwww.webofscience.com%2Fwos%2Fwoscc%2Ffull-record%2FWOS:000590723400002","View Full Record in Web of Science")</f>
        <v>View Full Record in Web of Science</v>
      </c>
    </row>
    <row r="734" ht="12.75" customHeight="1">
      <c r="A734" s="1" t="s">
        <v>72</v>
      </c>
      <c r="B734" s="1" t="s">
        <v>7233</v>
      </c>
      <c r="C734" s="1" t="s">
        <v>74</v>
      </c>
      <c r="D734" s="1" t="s">
        <v>74</v>
      </c>
      <c r="E734" s="1" t="s">
        <v>74</v>
      </c>
      <c r="F734" s="1" t="s">
        <v>7234</v>
      </c>
      <c r="G734" s="1" t="s">
        <v>74</v>
      </c>
      <c r="H734" s="1" t="s">
        <v>74</v>
      </c>
      <c r="I734" s="1" t="s">
        <v>7235</v>
      </c>
      <c r="J734" s="1" t="s">
        <v>7236</v>
      </c>
      <c r="K734" s="1" t="s">
        <v>74</v>
      </c>
      <c r="L734" s="1" t="s">
        <v>74</v>
      </c>
      <c r="M734" s="1" t="s">
        <v>74</v>
      </c>
      <c r="N734" s="1" t="s">
        <v>74</v>
      </c>
      <c r="O734" s="1" t="s">
        <v>74</v>
      </c>
      <c r="P734" s="1" t="s">
        <v>74</v>
      </c>
      <c r="Q734" s="1" t="s">
        <v>74</v>
      </c>
      <c r="R734" s="1" t="s">
        <v>74</v>
      </c>
      <c r="S734" s="1" t="s">
        <v>74</v>
      </c>
      <c r="T734" s="1" t="s">
        <v>74</v>
      </c>
      <c r="U734" s="1" t="s">
        <v>74</v>
      </c>
      <c r="V734" s="1" t="s">
        <v>7237</v>
      </c>
      <c r="W734" s="1" t="s">
        <v>74</v>
      </c>
      <c r="X734" s="1" t="s">
        <v>74</v>
      </c>
      <c r="Y734" s="1" t="s">
        <v>74</v>
      </c>
      <c r="Z734" s="1" t="s">
        <v>74</v>
      </c>
      <c r="AA734" s="1" t="s">
        <v>7238</v>
      </c>
      <c r="AB734" s="1" t="s">
        <v>7239</v>
      </c>
      <c r="AC734" s="1" t="s">
        <v>74</v>
      </c>
      <c r="AD734" s="1" t="s">
        <v>74</v>
      </c>
      <c r="AE734" s="1" t="s">
        <v>74</v>
      </c>
      <c r="AF734" s="1" t="s">
        <v>74</v>
      </c>
      <c r="AG734" s="1" t="s">
        <v>74</v>
      </c>
      <c r="AH734" s="1" t="s">
        <v>74</v>
      </c>
      <c r="AI734" s="1" t="s">
        <v>74</v>
      </c>
      <c r="AJ734" s="1" t="s">
        <v>74</v>
      </c>
      <c r="AK734" s="1" t="s">
        <v>74</v>
      </c>
      <c r="AL734" s="1" t="s">
        <v>74</v>
      </c>
      <c r="AM734" s="1" t="s">
        <v>74</v>
      </c>
      <c r="AN734" s="1" t="s">
        <v>74</v>
      </c>
      <c r="AO734" s="1" t="s">
        <v>7240</v>
      </c>
      <c r="AP734" s="1" t="s">
        <v>7241</v>
      </c>
      <c r="AQ734" s="1" t="s">
        <v>74</v>
      </c>
      <c r="AR734" s="1" t="s">
        <v>74</v>
      </c>
      <c r="AS734" s="1" t="s">
        <v>74</v>
      </c>
      <c r="AT734" s="1" t="s">
        <v>7242</v>
      </c>
      <c r="AU734" s="1">
        <v>2021.0</v>
      </c>
      <c r="AV734" s="1">
        <v>35.0</v>
      </c>
      <c r="AW734" s="1">
        <v>2.0</v>
      </c>
      <c r="AX734" s="1" t="s">
        <v>74</v>
      </c>
      <c r="AY734" s="1" t="s">
        <v>74</v>
      </c>
      <c r="AZ734" s="1" t="s">
        <v>74</v>
      </c>
      <c r="BA734" s="1" t="s">
        <v>74</v>
      </c>
      <c r="BB734" s="1">
        <v>341.0</v>
      </c>
      <c r="BC734" s="1">
        <v>355.0</v>
      </c>
      <c r="BD734" s="1" t="s">
        <v>74</v>
      </c>
      <c r="BE734" s="1" t="s">
        <v>7243</v>
      </c>
      <c r="BF734" s="2" t="str">
        <f>HYPERLINK("http://dx.doi.org/10.1080/02699931.2020.1840965","http://dx.doi.org/10.1080/02699931.2020.1840965")</f>
        <v>http://dx.doi.org/10.1080/02699931.2020.1840965</v>
      </c>
      <c r="BG734" s="1" t="s">
        <v>74</v>
      </c>
      <c r="BH734" s="1" t="s">
        <v>7244</v>
      </c>
      <c r="BI734" s="1" t="s">
        <v>74</v>
      </c>
      <c r="BJ734" s="1" t="s">
        <v>74</v>
      </c>
      <c r="BK734" s="1" t="s">
        <v>74</v>
      </c>
      <c r="BL734" s="1" t="s">
        <v>74</v>
      </c>
      <c r="BM734" s="1" t="s">
        <v>74</v>
      </c>
      <c r="BN734" s="1">
        <v>3.3153396E7</v>
      </c>
      <c r="BO734" s="1" t="s">
        <v>74</v>
      </c>
      <c r="BP734" s="1" t="s">
        <v>74</v>
      </c>
      <c r="BQ734" s="1" t="s">
        <v>74</v>
      </c>
      <c r="BR734" s="1" t="s">
        <v>74</v>
      </c>
      <c r="BS734" s="1" t="s">
        <v>7245</v>
      </c>
      <c r="BT734" s="1" t="str">
        <f>HYPERLINK("https%3A%2F%2Fwww.webofscience.com%2Fwos%2Fwoscc%2Ffull-record%2FWOS:000586069000001","View Full Record in Web of Science")</f>
        <v>View Full Record in Web of Science</v>
      </c>
    </row>
    <row r="735" ht="12.75" customHeight="1">
      <c r="A735" s="1" t="s">
        <v>72</v>
      </c>
      <c r="B735" s="1" t="s">
        <v>7246</v>
      </c>
      <c r="C735" s="1" t="s">
        <v>74</v>
      </c>
      <c r="D735" s="1" t="s">
        <v>74</v>
      </c>
      <c r="E735" s="1" t="s">
        <v>74</v>
      </c>
      <c r="F735" s="1" t="s">
        <v>7247</v>
      </c>
      <c r="G735" s="1" t="s">
        <v>74</v>
      </c>
      <c r="H735" s="1" t="s">
        <v>74</v>
      </c>
      <c r="I735" s="1" t="s">
        <v>7248</v>
      </c>
      <c r="J735" s="1" t="s">
        <v>7249</v>
      </c>
      <c r="K735" s="1" t="s">
        <v>74</v>
      </c>
      <c r="L735" s="1" t="s">
        <v>74</v>
      </c>
      <c r="M735" s="1" t="s">
        <v>74</v>
      </c>
      <c r="N735" s="1" t="s">
        <v>74</v>
      </c>
      <c r="O735" s="1" t="s">
        <v>74</v>
      </c>
      <c r="P735" s="1" t="s">
        <v>74</v>
      </c>
      <c r="Q735" s="1" t="s">
        <v>74</v>
      </c>
      <c r="R735" s="1" t="s">
        <v>74</v>
      </c>
      <c r="S735" s="1" t="s">
        <v>74</v>
      </c>
      <c r="T735" s="1" t="s">
        <v>74</v>
      </c>
      <c r="U735" s="1" t="s">
        <v>74</v>
      </c>
      <c r="V735" s="1" t="s">
        <v>7250</v>
      </c>
      <c r="W735" s="1" t="s">
        <v>74</v>
      </c>
      <c r="X735" s="1" t="s">
        <v>74</v>
      </c>
      <c r="Y735" s="1" t="s">
        <v>74</v>
      </c>
      <c r="Z735" s="1" t="s">
        <v>74</v>
      </c>
      <c r="AA735" s="1" t="s">
        <v>7251</v>
      </c>
      <c r="AB735" s="1" t="s">
        <v>7252</v>
      </c>
      <c r="AC735" s="1" t="s">
        <v>74</v>
      </c>
      <c r="AD735" s="1" t="s">
        <v>74</v>
      </c>
      <c r="AE735" s="1" t="s">
        <v>74</v>
      </c>
      <c r="AF735" s="1" t="s">
        <v>74</v>
      </c>
      <c r="AG735" s="1" t="s">
        <v>74</v>
      </c>
      <c r="AH735" s="1" t="s">
        <v>74</v>
      </c>
      <c r="AI735" s="1" t="s">
        <v>74</v>
      </c>
      <c r="AJ735" s="1" t="s">
        <v>74</v>
      </c>
      <c r="AK735" s="1" t="s">
        <v>74</v>
      </c>
      <c r="AL735" s="1" t="s">
        <v>74</v>
      </c>
      <c r="AM735" s="1" t="s">
        <v>74</v>
      </c>
      <c r="AN735" s="1" t="s">
        <v>74</v>
      </c>
      <c r="AO735" s="1" t="s">
        <v>7253</v>
      </c>
      <c r="AP735" s="1" t="s">
        <v>74</v>
      </c>
      <c r="AQ735" s="1" t="s">
        <v>74</v>
      </c>
      <c r="AR735" s="1" t="s">
        <v>74</v>
      </c>
      <c r="AS735" s="1" t="s">
        <v>74</v>
      </c>
      <c r="AT735" s="1" t="s">
        <v>7254</v>
      </c>
      <c r="AU735" s="1">
        <v>2020.0</v>
      </c>
      <c r="AV735" s="1">
        <v>11.0</v>
      </c>
      <c r="AW735" s="1" t="s">
        <v>74</v>
      </c>
      <c r="AX735" s="1" t="s">
        <v>74</v>
      </c>
      <c r="AY735" s="1" t="s">
        <v>74</v>
      </c>
      <c r="AZ735" s="1" t="s">
        <v>74</v>
      </c>
      <c r="BA735" s="1" t="s">
        <v>74</v>
      </c>
      <c r="BB735" s="1" t="s">
        <v>74</v>
      </c>
      <c r="BC735" s="1" t="s">
        <v>74</v>
      </c>
      <c r="BD735" s="1">
        <v>1867.0</v>
      </c>
      <c r="BE735" s="1" t="s">
        <v>7255</v>
      </c>
      <c r="BF735" s="2" t="str">
        <f>HYPERLINK("http://dx.doi.org/10.3389/fpsyg.2020.01867","http://dx.doi.org/10.3389/fpsyg.2020.01867")</f>
        <v>http://dx.doi.org/10.3389/fpsyg.2020.01867</v>
      </c>
      <c r="BG735" s="1" t="s">
        <v>74</v>
      </c>
      <c r="BH735" s="1" t="s">
        <v>74</v>
      </c>
      <c r="BI735" s="1" t="s">
        <v>74</v>
      </c>
      <c r="BJ735" s="1" t="s">
        <v>74</v>
      </c>
      <c r="BK735" s="1" t="s">
        <v>74</v>
      </c>
      <c r="BL735" s="1" t="s">
        <v>74</v>
      </c>
      <c r="BM735" s="1" t="s">
        <v>74</v>
      </c>
      <c r="BN735" s="1">
        <v>3.2849095E7</v>
      </c>
      <c r="BO735" s="1" t="s">
        <v>74</v>
      </c>
      <c r="BP735" s="1" t="s">
        <v>74</v>
      </c>
      <c r="BQ735" s="1" t="s">
        <v>74</v>
      </c>
      <c r="BR735" s="1" t="s">
        <v>74</v>
      </c>
      <c r="BS735" s="1" t="s">
        <v>7256</v>
      </c>
      <c r="BT735" s="1" t="str">
        <f>HYPERLINK("https%3A%2F%2Fwww.webofscience.com%2Fwos%2Fwoscc%2Ffull-record%2FWOS:000561198700001","View Full Record in Web of Science")</f>
        <v>View Full Record in Web of Science</v>
      </c>
    </row>
    <row r="736" ht="12.75" customHeight="1">
      <c r="A736" s="1" t="s">
        <v>72</v>
      </c>
      <c r="B736" s="1" t="s">
        <v>7257</v>
      </c>
      <c r="C736" s="1" t="s">
        <v>74</v>
      </c>
      <c r="D736" s="1" t="s">
        <v>74</v>
      </c>
      <c r="E736" s="1" t="s">
        <v>74</v>
      </c>
      <c r="F736" s="1" t="s">
        <v>7258</v>
      </c>
      <c r="G736" s="1" t="s">
        <v>74</v>
      </c>
      <c r="H736" s="1" t="s">
        <v>74</v>
      </c>
      <c r="I736" s="1" t="s">
        <v>7259</v>
      </c>
      <c r="J736" s="1" t="s">
        <v>1260</v>
      </c>
      <c r="K736" s="1" t="s">
        <v>74</v>
      </c>
      <c r="L736" s="1" t="s">
        <v>74</v>
      </c>
      <c r="M736" s="1" t="s">
        <v>74</v>
      </c>
      <c r="N736" s="1" t="s">
        <v>74</v>
      </c>
      <c r="O736" s="1" t="s">
        <v>74</v>
      </c>
      <c r="P736" s="1" t="s">
        <v>74</v>
      </c>
      <c r="Q736" s="1" t="s">
        <v>74</v>
      </c>
      <c r="R736" s="1" t="s">
        <v>74</v>
      </c>
      <c r="S736" s="1" t="s">
        <v>74</v>
      </c>
      <c r="T736" s="1" t="s">
        <v>74</v>
      </c>
      <c r="U736" s="1" t="s">
        <v>74</v>
      </c>
      <c r="V736" s="1" t="s">
        <v>7260</v>
      </c>
      <c r="W736" s="1" t="s">
        <v>74</v>
      </c>
      <c r="X736" s="1" t="s">
        <v>74</v>
      </c>
      <c r="Y736" s="1" t="s">
        <v>74</v>
      </c>
      <c r="Z736" s="1" t="s">
        <v>74</v>
      </c>
      <c r="AA736" s="1" t="s">
        <v>7261</v>
      </c>
      <c r="AB736" s="1" t="s">
        <v>7262</v>
      </c>
      <c r="AC736" s="1" t="s">
        <v>74</v>
      </c>
      <c r="AD736" s="1" t="s">
        <v>74</v>
      </c>
      <c r="AE736" s="1" t="s">
        <v>74</v>
      </c>
      <c r="AF736" s="1" t="s">
        <v>74</v>
      </c>
      <c r="AG736" s="1" t="s">
        <v>74</v>
      </c>
      <c r="AH736" s="1" t="s">
        <v>74</v>
      </c>
      <c r="AI736" s="1" t="s">
        <v>74</v>
      </c>
      <c r="AJ736" s="1" t="s">
        <v>74</v>
      </c>
      <c r="AK736" s="1" t="s">
        <v>74</v>
      </c>
      <c r="AL736" s="1" t="s">
        <v>74</v>
      </c>
      <c r="AM736" s="1" t="s">
        <v>74</v>
      </c>
      <c r="AN736" s="1" t="s">
        <v>74</v>
      </c>
      <c r="AO736" s="1" t="s">
        <v>74</v>
      </c>
      <c r="AP736" s="1" t="s">
        <v>1264</v>
      </c>
      <c r="AQ736" s="1" t="s">
        <v>74</v>
      </c>
      <c r="AR736" s="1" t="s">
        <v>74</v>
      </c>
      <c r="AS736" s="1" t="s">
        <v>74</v>
      </c>
      <c r="AT736" s="1" t="s">
        <v>257</v>
      </c>
      <c r="AU736" s="1">
        <v>2020.0</v>
      </c>
      <c r="AV736" s="1">
        <v>10.0</v>
      </c>
      <c r="AW736" s="1">
        <v>3.0</v>
      </c>
      <c r="AX736" s="1" t="s">
        <v>74</v>
      </c>
      <c r="AY736" s="1" t="s">
        <v>74</v>
      </c>
      <c r="AZ736" s="1" t="s">
        <v>74</v>
      </c>
      <c r="BA736" s="1" t="s">
        <v>74</v>
      </c>
      <c r="BB736" s="1" t="s">
        <v>74</v>
      </c>
      <c r="BC736" s="1" t="s">
        <v>74</v>
      </c>
      <c r="BD736" s="1">
        <v>503.0</v>
      </c>
      <c r="BE736" s="1" t="s">
        <v>7263</v>
      </c>
      <c r="BF736" s="2" t="str">
        <f>HYPERLINK("http://dx.doi.org/10.3390/nano10030503","http://dx.doi.org/10.3390/nano10030503")</f>
        <v>http://dx.doi.org/10.3390/nano10030503</v>
      </c>
      <c r="BG736" s="1" t="s">
        <v>74</v>
      </c>
      <c r="BH736" s="1" t="s">
        <v>74</v>
      </c>
      <c r="BI736" s="1" t="s">
        <v>74</v>
      </c>
      <c r="BJ736" s="1" t="s">
        <v>74</v>
      </c>
      <c r="BK736" s="1" t="s">
        <v>74</v>
      </c>
      <c r="BL736" s="1" t="s">
        <v>74</v>
      </c>
      <c r="BM736" s="1" t="s">
        <v>74</v>
      </c>
      <c r="BN736" s="1">
        <v>3.2168893E7</v>
      </c>
      <c r="BO736" s="1" t="s">
        <v>74</v>
      </c>
      <c r="BP736" s="1" t="s">
        <v>74</v>
      </c>
      <c r="BQ736" s="1" t="s">
        <v>74</v>
      </c>
      <c r="BR736" s="1" t="s">
        <v>74</v>
      </c>
      <c r="BS736" s="1" t="s">
        <v>7264</v>
      </c>
      <c r="BT736" s="1" t="str">
        <f>HYPERLINK("https%3A%2F%2Fwww.webofscience.com%2Fwos%2Fwoscc%2Ffull-record%2FWOS:000526090400103","View Full Record in Web of Science")</f>
        <v>View Full Record in Web of Science</v>
      </c>
    </row>
    <row r="737" ht="12.75" customHeight="1">
      <c r="A737" s="1" t="s">
        <v>72</v>
      </c>
      <c r="B737" s="1" t="s">
        <v>7265</v>
      </c>
      <c r="C737" s="1" t="s">
        <v>74</v>
      </c>
      <c r="D737" s="1" t="s">
        <v>74</v>
      </c>
      <c r="E737" s="1" t="s">
        <v>74</v>
      </c>
      <c r="F737" s="1" t="s">
        <v>7266</v>
      </c>
      <c r="G737" s="1" t="s">
        <v>74</v>
      </c>
      <c r="H737" s="1" t="s">
        <v>74</v>
      </c>
      <c r="I737" s="1" t="s">
        <v>7267</v>
      </c>
      <c r="J737" s="1" t="s">
        <v>7268</v>
      </c>
      <c r="K737" s="1" t="s">
        <v>74</v>
      </c>
      <c r="L737" s="1" t="s">
        <v>74</v>
      </c>
      <c r="M737" s="1" t="s">
        <v>74</v>
      </c>
      <c r="N737" s="1" t="s">
        <v>74</v>
      </c>
      <c r="O737" s="1" t="s">
        <v>74</v>
      </c>
      <c r="P737" s="1" t="s">
        <v>74</v>
      </c>
      <c r="Q737" s="1" t="s">
        <v>74</v>
      </c>
      <c r="R737" s="1" t="s">
        <v>74</v>
      </c>
      <c r="S737" s="1" t="s">
        <v>74</v>
      </c>
      <c r="T737" s="1" t="s">
        <v>74</v>
      </c>
      <c r="U737" s="1" t="s">
        <v>74</v>
      </c>
      <c r="V737" s="1" t="s">
        <v>7269</v>
      </c>
      <c r="W737" s="1" t="s">
        <v>74</v>
      </c>
      <c r="X737" s="1" t="s">
        <v>74</v>
      </c>
      <c r="Y737" s="1" t="s">
        <v>74</v>
      </c>
      <c r="Z737" s="1" t="s">
        <v>74</v>
      </c>
      <c r="AA737" s="1" t="s">
        <v>7270</v>
      </c>
      <c r="AB737" s="1" t="s">
        <v>7271</v>
      </c>
      <c r="AC737" s="1" t="s">
        <v>74</v>
      </c>
      <c r="AD737" s="1" t="s">
        <v>74</v>
      </c>
      <c r="AE737" s="1" t="s">
        <v>74</v>
      </c>
      <c r="AF737" s="1" t="s">
        <v>74</v>
      </c>
      <c r="AG737" s="1" t="s">
        <v>74</v>
      </c>
      <c r="AH737" s="1" t="s">
        <v>74</v>
      </c>
      <c r="AI737" s="1" t="s">
        <v>74</v>
      </c>
      <c r="AJ737" s="1" t="s">
        <v>74</v>
      </c>
      <c r="AK737" s="1" t="s">
        <v>74</v>
      </c>
      <c r="AL737" s="1" t="s">
        <v>74</v>
      </c>
      <c r="AM737" s="1" t="s">
        <v>74</v>
      </c>
      <c r="AN737" s="1" t="s">
        <v>74</v>
      </c>
      <c r="AO737" s="1" t="s">
        <v>74</v>
      </c>
      <c r="AP737" s="1" t="s">
        <v>7272</v>
      </c>
      <c r="AQ737" s="1" t="s">
        <v>74</v>
      </c>
      <c r="AR737" s="1" t="s">
        <v>74</v>
      </c>
      <c r="AS737" s="1" t="s">
        <v>74</v>
      </c>
      <c r="AT737" s="1" t="s">
        <v>7273</v>
      </c>
      <c r="AU737" s="1">
        <v>2019.0</v>
      </c>
      <c r="AV737" s="1">
        <v>19.0</v>
      </c>
      <c r="AW737" s="1">
        <v>1.0</v>
      </c>
      <c r="AX737" s="1" t="s">
        <v>74</v>
      </c>
      <c r="AY737" s="1" t="s">
        <v>74</v>
      </c>
      <c r="AZ737" s="1" t="s">
        <v>74</v>
      </c>
      <c r="BA737" s="1" t="s">
        <v>74</v>
      </c>
      <c r="BB737" s="1" t="s">
        <v>74</v>
      </c>
      <c r="BC737" s="1" t="s">
        <v>74</v>
      </c>
      <c r="BD737" s="1">
        <v>374.0</v>
      </c>
      <c r="BE737" s="1" t="s">
        <v>7274</v>
      </c>
      <c r="BF737" s="2" t="str">
        <f>HYPERLINK("http://dx.doi.org/10.1186/s12877-019-1387-5","http://dx.doi.org/10.1186/s12877-019-1387-5")</f>
        <v>http://dx.doi.org/10.1186/s12877-019-1387-5</v>
      </c>
      <c r="BG737" s="1" t="s">
        <v>74</v>
      </c>
      <c r="BH737" s="1" t="s">
        <v>74</v>
      </c>
      <c r="BI737" s="1" t="s">
        <v>74</v>
      </c>
      <c r="BJ737" s="1" t="s">
        <v>74</v>
      </c>
      <c r="BK737" s="1" t="s">
        <v>74</v>
      </c>
      <c r="BL737" s="1" t="s">
        <v>74</v>
      </c>
      <c r="BM737" s="1" t="s">
        <v>74</v>
      </c>
      <c r="BN737" s="1">
        <v>3.1878877E7</v>
      </c>
      <c r="BO737" s="1" t="s">
        <v>74</v>
      </c>
      <c r="BP737" s="1" t="s">
        <v>74</v>
      </c>
      <c r="BQ737" s="1" t="s">
        <v>74</v>
      </c>
      <c r="BR737" s="1" t="s">
        <v>74</v>
      </c>
      <c r="BS737" s="1" t="s">
        <v>7275</v>
      </c>
      <c r="BT737" s="1" t="str">
        <f>HYPERLINK("https%3A%2F%2Fwww.webofscience.com%2Fwos%2Fwoscc%2Ffull-record%2FWOS:000511872500002","View Full Record in Web of Science")</f>
        <v>View Full Record in Web of Science</v>
      </c>
    </row>
    <row r="738" ht="12.75" customHeight="1">
      <c r="A738" s="1" t="s">
        <v>72</v>
      </c>
      <c r="B738" s="1" t="s">
        <v>7276</v>
      </c>
      <c r="C738" s="1" t="s">
        <v>74</v>
      </c>
      <c r="D738" s="1" t="s">
        <v>74</v>
      </c>
      <c r="E738" s="1" t="s">
        <v>74</v>
      </c>
      <c r="F738" s="1" t="s">
        <v>7277</v>
      </c>
      <c r="G738" s="1" t="s">
        <v>74</v>
      </c>
      <c r="H738" s="1" t="s">
        <v>74</v>
      </c>
      <c r="I738" s="1" t="s">
        <v>7278</v>
      </c>
      <c r="J738" s="1" t="s">
        <v>861</v>
      </c>
      <c r="K738" s="1" t="s">
        <v>74</v>
      </c>
      <c r="L738" s="1" t="s">
        <v>74</v>
      </c>
      <c r="M738" s="1" t="s">
        <v>74</v>
      </c>
      <c r="N738" s="1" t="s">
        <v>74</v>
      </c>
      <c r="O738" s="1" t="s">
        <v>74</v>
      </c>
      <c r="P738" s="1" t="s">
        <v>74</v>
      </c>
      <c r="Q738" s="1" t="s">
        <v>74</v>
      </c>
      <c r="R738" s="1" t="s">
        <v>74</v>
      </c>
      <c r="S738" s="1" t="s">
        <v>74</v>
      </c>
      <c r="T738" s="1" t="s">
        <v>74</v>
      </c>
      <c r="U738" s="1" t="s">
        <v>74</v>
      </c>
      <c r="V738" s="1" t="s">
        <v>7279</v>
      </c>
      <c r="W738" s="1" t="s">
        <v>74</v>
      </c>
      <c r="X738" s="1" t="s">
        <v>74</v>
      </c>
      <c r="Y738" s="1" t="s">
        <v>74</v>
      </c>
      <c r="Z738" s="1" t="s">
        <v>74</v>
      </c>
      <c r="AA738" s="1" t="s">
        <v>7280</v>
      </c>
      <c r="AB738" s="1" t="s">
        <v>7281</v>
      </c>
      <c r="AC738" s="1" t="s">
        <v>74</v>
      </c>
      <c r="AD738" s="1" t="s">
        <v>74</v>
      </c>
      <c r="AE738" s="1" t="s">
        <v>74</v>
      </c>
      <c r="AF738" s="1" t="s">
        <v>74</v>
      </c>
      <c r="AG738" s="1" t="s">
        <v>74</v>
      </c>
      <c r="AH738" s="1" t="s">
        <v>74</v>
      </c>
      <c r="AI738" s="1" t="s">
        <v>74</v>
      </c>
      <c r="AJ738" s="1" t="s">
        <v>74</v>
      </c>
      <c r="AK738" s="1" t="s">
        <v>74</v>
      </c>
      <c r="AL738" s="1" t="s">
        <v>74</v>
      </c>
      <c r="AM738" s="1" t="s">
        <v>74</v>
      </c>
      <c r="AN738" s="1" t="s">
        <v>74</v>
      </c>
      <c r="AO738" s="1" t="s">
        <v>865</v>
      </c>
      <c r="AP738" s="1" t="s">
        <v>866</v>
      </c>
      <c r="AQ738" s="1" t="s">
        <v>74</v>
      </c>
      <c r="AR738" s="1" t="s">
        <v>74</v>
      </c>
      <c r="AS738" s="1" t="s">
        <v>74</v>
      </c>
      <c r="AT738" s="1" t="s">
        <v>294</v>
      </c>
      <c r="AU738" s="1">
        <v>2019.0</v>
      </c>
      <c r="AV738" s="1">
        <v>39.0</v>
      </c>
      <c r="AW738" s="1">
        <v>6.0</v>
      </c>
      <c r="AX738" s="1" t="s">
        <v>74</v>
      </c>
      <c r="AY738" s="1" t="s">
        <v>74</v>
      </c>
      <c r="AZ738" s="1" t="s">
        <v>74</v>
      </c>
      <c r="BA738" s="1" t="s">
        <v>74</v>
      </c>
      <c r="BB738" s="1">
        <v>3345.0</v>
      </c>
      <c r="BC738" s="1">
        <v>3364.0</v>
      </c>
      <c r="BD738" s="1" t="s">
        <v>74</v>
      </c>
      <c r="BE738" s="1" t="s">
        <v>7282</v>
      </c>
      <c r="BF738" s="2" t="str">
        <f>HYPERLINK("http://dx.doi.org/10.3934/dcds.2019138","http://dx.doi.org/10.3934/dcds.2019138")</f>
        <v>http://dx.doi.org/10.3934/dcds.2019138</v>
      </c>
      <c r="BG738" s="1" t="s">
        <v>74</v>
      </c>
      <c r="BH738" s="1" t="s">
        <v>74</v>
      </c>
      <c r="BI738" s="1" t="s">
        <v>74</v>
      </c>
      <c r="BJ738" s="1" t="s">
        <v>74</v>
      </c>
      <c r="BK738" s="1" t="s">
        <v>74</v>
      </c>
      <c r="BL738" s="1" t="s">
        <v>74</v>
      </c>
      <c r="BM738" s="1" t="s">
        <v>74</v>
      </c>
      <c r="BN738" s="1" t="s">
        <v>74</v>
      </c>
      <c r="BO738" s="1" t="s">
        <v>74</v>
      </c>
      <c r="BP738" s="1" t="s">
        <v>74</v>
      </c>
      <c r="BQ738" s="1" t="s">
        <v>74</v>
      </c>
      <c r="BR738" s="1" t="s">
        <v>74</v>
      </c>
      <c r="BS738" s="1" t="s">
        <v>7283</v>
      </c>
      <c r="BT738" s="1" t="str">
        <f>HYPERLINK("https%3A%2F%2Fwww.webofscience.com%2Fwos%2Fwoscc%2Ffull-record%2FWOS:000459954800015","View Full Record in Web of Science")</f>
        <v>View Full Record in Web of Science</v>
      </c>
    </row>
    <row r="739" ht="12.75" customHeight="1">
      <c r="A739" s="1" t="s">
        <v>72</v>
      </c>
      <c r="B739" s="1" t="s">
        <v>7284</v>
      </c>
      <c r="C739" s="1" t="s">
        <v>74</v>
      </c>
      <c r="D739" s="1" t="s">
        <v>74</v>
      </c>
      <c r="E739" s="1" t="s">
        <v>74</v>
      </c>
      <c r="F739" s="1" t="s">
        <v>7285</v>
      </c>
      <c r="G739" s="1" t="s">
        <v>74</v>
      </c>
      <c r="H739" s="1" t="s">
        <v>74</v>
      </c>
      <c r="I739" s="1" t="s">
        <v>7286</v>
      </c>
      <c r="J739" s="1" t="s">
        <v>7287</v>
      </c>
      <c r="K739" s="1" t="s">
        <v>74</v>
      </c>
      <c r="L739" s="1" t="s">
        <v>74</v>
      </c>
      <c r="M739" s="1" t="s">
        <v>74</v>
      </c>
      <c r="N739" s="1" t="s">
        <v>74</v>
      </c>
      <c r="O739" s="1" t="s">
        <v>74</v>
      </c>
      <c r="P739" s="1" t="s">
        <v>74</v>
      </c>
      <c r="Q739" s="1" t="s">
        <v>74</v>
      </c>
      <c r="R739" s="1" t="s">
        <v>74</v>
      </c>
      <c r="S739" s="1" t="s">
        <v>74</v>
      </c>
      <c r="T739" s="1" t="s">
        <v>74</v>
      </c>
      <c r="U739" s="1" t="s">
        <v>74</v>
      </c>
      <c r="V739" s="1" t="s">
        <v>7288</v>
      </c>
      <c r="W739" s="1" t="s">
        <v>74</v>
      </c>
      <c r="X739" s="1" t="s">
        <v>74</v>
      </c>
      <c r="Y739" s="1" t="s">
        <v>74</v>
      </c>
      <c r="Z739" s="1" t="s">
        <v>74</v>
      </c>
      <c r="AA739" s="1" t="s">
        <v>7289</v>
      </c>
      <c r="AB739" s="1" t="s">
        <v>7290</v>
      </c>
      <c r="AC739" s="1" t="s">
        <v>74</v>
      </c>
      <c r="AD739" s="1" t="s">
        <v>74</v>
      </c>
      <c r="AE739" s="1" t="s">
        <v>74</v>
      </c>
      <c r="AF739" s="1" t="s">
        <v>74</v>
      </c>
      <c r="AG739" s="1" t="s">
        <v>74</v>
      </c>
      <c r="AH739" s="1" t="s">
        <v>74</v>
      </c>
      <c r="AI739" s="1" t="s">
        <v>74</v>
      </c>
      <c r="AJ739" s="1" t="s">
        <v>74</v>
      </c>
      <c r="AK739" s="1" t="s">
        <v>74</v>
      </c>
      <c r="AL739" s="1" t="s">
        <v>74</v>
      </c>
      <c r="AM739" s="1" t="s">
        <v>74</v>
      </c>
      <c r="AN739" s="1" t="s">
        <v>74</v>
      </c>
      <c r="AO739" s="1" t="s">
        <v>7291</v>
      </c>
      <c r="AP739" s="1" t="s">
        <v>7292</v>
      </c>
      <c r="AQ739" s="1" t="s">
        <v>74</v>
      </c>
      <c r="AR739" s="1" t="s">
        <v>74</v>
      </c>
      <c r="AS739" s="1" t="s">
        <v>74</v>
      </c>
      <c r="AT739" s="1" t="s">
        <v>223</v>
      </c>
      <c r="AU739" s="1">
        <v>2019.0</v>
      </c>
      <c r="AV739" s="1">
        <v>26.0</v>
      </c>
      <c r="AW739" s="1">
        <v>3.0</v>
      </c>
      <c r="AX739" s="1" t="s">
        <v>74</v>
      </c>
      <c r="AY739" s="1" t="s">
        <v>74</v>
      </c>
      <c r="AZ739" s="1" t="s">
        <v>74</v>
      </c>
      <c r="BA739" s="1" t="s">
        <v>74</v>
      </c>
      <c r="BB739" s="1">
        <v>266.0</v>
      </c>
      <c r="BC739" s="1">
        <v>279.0</v>
      </c>
      <c r="BD739" s="1" t="s">
        <v>74</v>
      </c>
      <c r="BE739" s="1" t="s">
        <v>7293</v>
      </c>
      <c r="BF739" s="2" t="str">
        <f>HYPERLINK("http://dx.doi.org/10.1089/cmb.2018.0217","http://dx.doi.org/10.1089/cmb.2018.0217")</f>
        <v>http://dx.doi.org/10.1089/cmb.2018.0217</v>
      </c>
      <c r="BG739" s="1" t="s">
        <v>74</v>
      </c>
      <c r="BH739" s="1" t="s">
        <v>74</v>
      </c>
      <c r="BI739" s="1" t="s">
        <v>74</v>
      </c>
      <c r="BJ739" s="1" t="s">
        <v>74</v>
      </c>
      <c r="BK739" s="1" t="s">
        <v>74</v>
      </c>
      <c r="BL739" s="1" t="s">
        <v>74</v>
      </c>
      <c r="BM739" s="1" t="s">
        <v>74</v>
      </c>
      <c r="BN739" s="1">
        <v>3.0624962E7</v>
      </c>
      <c r="BO739" s="1" t="s">
        <v>74</v>
      </c>
      <c r="BP739" s="1" t="s">
        <v>74</v>
      </c>
      <c r="BQ739" s="1" t="s">
        <v>74</v>
      </c>
      <c r="BR739" s="1" t="s">
        <v>74</v>
      </c>
      <c r="BS739" s="1" t="s">
        <v>7294</v>
      </c>
      <c r="BT739" s="1" t="str">
        <f>HYPERLINK("https%3A%2F%2Fwww.webofscience.com%2Fwos%2Fwoscc%2Ffull-record%2FWOS:000465289300008","View Full Record in Web of Science")</f>
        <v>View Full Record in Web of Science</v>
      </c>
    </row>
    <row r="740" ht="12.75" customHeight="1">
      <c r="A740" s="1" t="s">
        <v>182</v>
      </c>
      <c r="B740" s="1" t="s">
        <v>7295</v>
      </c>
      <c r="C740" s="1" t="s">
        <v>74</v>
      </c>
      <c r="D740" s="1" t="s">
        <v>74</v>
      </c>
      <c r="E740" s="1" t="s">
        <v>184</v>
      </c>
      <c r="F740" s="1" t="s">
        <v>7296</v>
      </c>
      <c r="G740" s="1" t="s">
        <v>74</v>
      </c>
      <c r="H740" s="1" t="s">
        <v>74</v>
      </c>
      <c r="I740" s="1" t="s">
        <v>7297</v>
      </c>
      <c r="J740" s="1" t="s">
        <v>7298</v>
      </c>
      <c r="K740" s="1" t="s">
        <v>7299</v>
      </c>
      <c r="L740" s="1" t="s">
        <v>74</v>
      </c>
      <c r="M740" s="1" t="s">
        <v>74</v>
      </c>
      <c r="N740" s="1" t="s">
        <v>74</v>
      </c>
      <c r="O740" s="1" t="s">
        <v>7300</v>
      </c>
      <c r="P740" s="1" t="s">
        <v>7301</v>
      </c>
      <c r="Q740" s="1" t="s">
        <v>7302</v>
      </c>
      <c r="R740" s="1" t="s">
        <v>74</v>
      </c>
      <c r="S740" s="1" t="s">
        <v>74</v>
      </c>
      <c r="T740" s="1" t="s">
        <v>74</v>
      </c>
      <c r="U740" s="1" t="s">
        <v>74</v>
      </c>
      <c r="V740" s="1" t="s">
        <v>7303</v>
      </c>
      <c r="W740" s="1" t="s">
        <v>74</v>
      </c>
      <c r="X740" s="1" t="s">
        <v>74</v>
      </c>
      <c r="Y740" s="1" t="s">
        <v>74</v>
      </c>
      <c r="Z740" s="1" t="s">
        <v>74</v>
      </c>
      <c r="AA740" s="1" t="s">
        <v>7304</v>
      </c>
      <c r="AB740" s="1" t="s">
        <v>7305</v>
      </c>
      <c r="AC740" s="1" t="s">
        <v>74</v>
      </c>
      <c r="AD740" s="1" t="s">
        <v>74</v>
      </c>
      <c r="AE740" s="1" t="s">
        <v>74</v>
      </c>
      <c r="AF740" s="1" t="s">
        <v>74</v>
      </c>
      <c r="AG740" s="1" t="s">
        <v>74</v>
      </c>
      <c r="AH740" s="1" t="s">
        <v>74</v>
      </c>
      <c r="AI740" s="1" t="s">
        <v>74</v>
      </c>
      <c r="AJ740" s="1" t="s">
        <v>74</v>
      </c>
      <c r="AK740" s="1" t="s">
        <v>74</v>
      </c>
      <c r="AL740" s="1" t="s">
        <v>74</v>
      </c>
      <c r="AM740" s="1" t="s">
        <v>74</v>
      </c>
      <c r="AN740" s="1" t="s">
        <v>74</v>
      </c>
      <c r="AO740" s="1" t="s">
        <v>7306</v>
      </c>
      <c r="AP740" s="1" t="s">
        <v>74</v>
      </c>
      <c r="AQ740" s="1" t="s">
        <v>7307</v>
      </c>
      <c r="AR740" s="1" t="s">
        <v>74</v>
      </c>
      <c r="AS740" s="1" t="s">
        <v>74</v>
      </c>
      <c r="AT740" s="1" t="s">
        <v>74</v>
      </c>
      <c r="AU740" s="1">
        <v>2019.0</v>
      </c>
      <c r="AV740" s="1" t="s">
        <v>74</v>
      </c>
      <c r="AW740" s="1" t="s">
        <v>74</v>
      </c>
      <c r="AX740" s="1" t="s">
        <v>74</v>
      </c>
      <c r="AY740" s="1" t="s">
        <v>74</v>
      </c>
      <c r="AZ740" s="1" t="s">
        <v>74</v>
      </c>
      <c r="BA740" s="1" t="s">
        <v>74</v>
      </c>
      <c r="BB740" s="1">
        <v>2689.0</v>
      </c>
      <c r="BC740" s="1">
        <v>2700.0</v>
      </c>
      <c r="BD740" s="1" t="s">
        <v>74</v>
      </c>
      <c r="BE740" s="1" t="s">
        <v>74</v>
      </c>
      <c r="BF740" s="1" t="s">
        <v>74</v>
      </c>
      <c r="BG740" s="1" t="s">
        <v>74</v>
      </c>
      <c r="BH740" s="1" t="s">
        <v>74</v>
      </c>
      <c r="BI740" s="1" t="s">
        <v>74</v>
      </c>
      <c r="BJ740" s="1" t="s">
        <v>74</v>
      </c>
      <c r="BK740" s="1" t="s">
        <v>74</v>
      </c>
      <c r="BL740" s="1" t="s">
        <v>74</v>
      </c>
      <c r="BM740" s="1" t="s">
        <v>74</v>
      </c>
      <c r="BN740" s="1" t="s">
        <v>74</v>
      </c>
      <c r="BO740" s="1" t="s">
        <v>74</v>
      </c>
      <c r="BP740" s="1" t="s">
        <v>74</v>
      </c>
      <c r="BQ740" s="1" t="s">
        <v>74</v>
      </c>
      <c r="BR740" s="1" t="s">
        <v>74</v>
      </c>
      <c r="BS740" s="1" t="s">
        <v>7308</v>
      </c>
      <c r="BT740" s="1" t="str">
        <f>HYPERLINK("https%3A%2F%2Fwww.webofscience.com%2Fwos%2Fwoscc%2Ffull-record%2FWOS:000529791402056","View Full Record in Web of Science")</f>
        <v>View Full Record in Web of Science</v>
      </c>
    </row>
    <row r="741" ht="12.75" customHeight="1">
      <c r="A741" s="1" t="s">
        <v>182</v>
      </c>
      <c r="B741" s="1" t="s">
        <v>5031</v>
      </c>
      <c r="C741" s="1" t="s">
        <v>74</v>
      </c>
      <c r="D741" s="1" t="s">
        <v>376</v>
      </c>
      <c r="E741" s="1" t="s">
        <v>74</v>
      </c>
      <c r="F741" s="1" t="s">
        <v>7309</v>
      </c>
      <c r="G741" s="1" t="s">
        <v>74</v>
      </c>
      <c r="H741" s="1" t="s">
        <v>74</v>
      </c>
      <c r="I741" s="1" t="s">
        <v>7310</v>
      </c>
      <c r="J741" s="1" t="s">
        <v>379</v>
      </c>
      <c r="K741" s="1" t="s">
        <v>380</v>
      </c>
      <c r="L741" s="1" t="s">
        <v>74</v>
      </c>
      <c r="M741" s="1" t="s">
        <v>74</v>
      </c>
      <c r="N741" s="1" t="s">
        <v>74</v>
      </c>
      <c r="O741" s="1" t="s">
        <v>381</v>
      </c>
      <c r="P741" s="1" t="s">
        <v>382</v>
      </c>
      <c r="Q741" s="1" t="s">
        <v>383</v>
      </c>
      <c r="R741" s="1" t="s">
        <v>384</v>
      </c>
      <c r="S741" s="1" t="s">
        <v>74</v>
      </c>
      <c r="T741" s="1" t="s">
        <v>74</v>
      </c>
      <c r="U741" s="1" t="s">
        <v>74</v>
      </c>
      <c r="V741" s="1" t="s">
        <v>7311</v>
      </c>
      <c r="W741" s="1" t="s">
        <v>74</v>
      </c>
      <c r="X741" s="1" t="s">
        <v>74</v>
      </c>
      <c r="Y741" s="1" t="s">
        <v>74</v>
      </c>
      <c r="Z741" s="1" t="s">
        <v>74</v>
      </c>
      <c r="AA741" s="1" t="s">
        <v>7312</v>
      </c>
      <c r="AB741" s="1" t="s">
        <v>387</v>
      </c>
      <c r="AC741" s="1" t="s">
        <v>74</v>
      </c>
      <c r="AD741" s="1" t="s">
        <v>74</v>
      </c>
      <c r="AE741" s="1" t="s">
        <v>74</v>
      </c>
      <c r="AF741" s="1" t="s">
        <v>74</v>
      </c>
      <c r="AG741" s="1" t="s">
        <v>74</v>
      </c>
      <c r="AH741" s="1" t="s">
        <v>74</v>
      </c>
      <c r="AI741" s="1" t="s">
        <v>74</v>
      </c>
      <c r="AJ741" s="1" t="s">
        <v>74</v>
      </c>
      <c r="AK741" s="1" t="s">
        <v>74</v>
      </c>
      <c r="AL741" s="1" t="s">
        <v>74</v>
      </c>
      <c r="AM741" s="1" t="s">
        <v>74</v>
      </c>
      <c r="AN741" s="1" t="s">
        <v>74</v>
      </c>
      <c r="AO741" s="1" t="s">
        <v>388</v>
      </c>
      <c r="AP741" s="1" t="s">
        <v>74</v>
      </c>
      <c r="AQ741" s="1" t="s">
        <v>74</v>
      </c>
      <c r="AR741" s="1" t="s">
        <v>74</v>
      </c>
      <c r="AS741" s="1" t="s">
        <v>74</v>
      </c>
      <c r="AT741" s="1" t="s">
        <v>74</v>
      </c>
      <c r="AU741" s="1">
        <v>2019.0</v>
      </c>
      <c r="AV741" s="1">
        <v>162.0</v>
      </c>
      <c r="AW741" s="1" t="s">
        <v>74</v>
      </c>
      <c r="AX741" s="1" t="s">
        <v>74</v>
      </c>
      <c r="AY741" s="1" t="s">
        <v>74</v>
      </c>
      <c r="AZ741" s="1" t="s">
        <v>74</v>
      </c>
      <c r="BA741" s="1" t="s">
        <v>74</v>
      </c>
      <c r="BB741" s="1">
        <v>754.0</v>
      </c>
      <c r="BC741" s="1">
        <v>761.0</v>
      </c>
      <c r="BD741" s="1" t="s">
        <v>74</v>
      </c>
      <c r="BE741" s="1" t="s">
        <v>7313</v>
      </c>
      <c r="BF741" s="2" t="str">
        <f>HYPERLINK("http://dx.doi.org/10.1016/j.procs.2019.12.047","http://dx.doi.org/10.1016/j.procs.2019.12.047")</f>
        <v>http://dx.doi.org/10.1016/j.procs.2019.12.047</v>
      </c>
      <c r="BG741" s="1" t="s">
        <v>74</v>
      </c>
      <c r="BH741" s="1" t="s">
        <v>74</v>
      </c>
      <c r="BI741" s="1" t="s">
        <v>74</v>
      </c>
      <c r="BJ741" s="1" t="s">
        <v>74</v>
      </c>
      <c r="BK741" s="1" t="s">
        <v>74</v>
      </c>
      <c r="BL741" s="1" t="s">
        <v>74</v>
      </c>
      <c r="BM741" s="1" t="s">
        <v>74</v>
      </c>
      <c r="BN741" s="1" t="s">
        <v>74</v>
      </c>
      <c r="BO741" s="1" t="s">
        <v>74</v>
      </c>
      <c r="BP741" s="1" t="s">
        <v>74</v>
      </c>
      <c r="BQ741" s="1" t="s">
        <v>74</v>
      </c>
      <c r="BR741" s="1" t="s">
        <v>74</v>
      </c>
      <c r="BS741" s="1" t="s">
        <v>7314</v>
      </c>
      <c r="BT741" s="1" t="str">
        <f>HYPERLINK("https%3A%2F%2Fwww.webofscience.com%2Fwos%2Fwoscc%2Ffull-record%2FWOS:000514081500094","View Full Record in Web of Science")</f>
        <v>View Full Record in Web of Science</v>
      </c>
    </row>
    <row r="742" ht="12.75" customHeight="1">
      <c r="A742" s="1" t="s">
        <v>72</v>
      </c>
      <c r="B742" s="1" t="s">
        <v>7315</v>
      </c>
      <c r="C742" s="1" t="s">
        <v>74</v>
      </c>
      <c r="D742" s="1" t="s">
        <v>74</v>
      </c>
      <c r="E742" s="1" t="s">
        <v>74</v>
      </c>
      <c r="F742" s="1" t="s">
        <v>7316</v>
      </c>
      <c r="G742" s="1" t="s">
        <v>74</v>
      </c>
      <c r="H742" s="1" t="s">
        <v>74</v>
      </c>
      <c r="I742" s="1" t="s">
        <v>7317</v>
      </c>
      <c r="J742" s="1" t="s">
        <v>7318</v>
      </c>
      <c r="K742" s="1" t="s">
        <v>74</v>
      </c>
      <c r="L742" s="1" t="s">
        <v>74</v>
      </c>
      <c r="M742" s="1" t="s">
        <v>74</v>
      </c>
      <c r="N742" s="1" t="s">
        <v>74</v>
      </c>
      <c r="O742" s="1" t="s">
        <v>74</v>
      </c>
      <c r="P742" s="1" t="s">
        <v>74</v>
      </c>
      <c r="Q742" s="1" t="s">
        <v>74</v>
      </c>
      <c r="R742" s="1" t="s">
        <v>74</v>
      </c>
      <c r="S742" s="1" t="s">
        <v>74</v>
      </c>
      <c r="T742" s="1" t="s">
        <v>74</v>
      </c>
      <c r="U742" s="1" t="s">
        <v>74</v>
      </c>
      <c r="V742" s="1" t="s">
        <v>7319</v>
      </c>
      <c r="W742" s="1" t="s">
        <v>74</v>
      </c>
      <c r="X742" s="1" t="s">
        <v>74</v>
      </c>
      <c r="Y742" s="1" t="s">
        <v>74</v>
      </c>
      <c r="Z742" s="1" t="s">
        <v>74</v>
      </c>
      <c r="AA742" s="1" t="s">
        <v>7320</v>
      </c>
      <c r="AB742" s="1" t="s">
        <v>7321</v>
      </c>
      <c r="AC742" s="1" t="s">
        <v>74</v>
      </c>
      <c r="AD742" s="1" t="s">
        <v>74</v>
      </c>
      <c r="AE742" s="1" t="s">
        <v>74</v>
      </c>
      <c r="AF742" s="1" t="s">
        <v>74</v>
      </c>
      <c r="AG742" s="1" t="s">
        <v>74</v>
      </c>
      <c r="AH742" s="1" t="s">
        <v>74</v>
      </c>
      <c r="AI742" s="1" t="s">
        <v>74</v>
      </c>
      <c r="AJ742" s="1" t="s">
        <v>74</v>
      </c>
      <c r="AK742" s="1" t="s">
        <v>74</v>
      </c>
      <c r="AL742" s="1" t="s">
        <v>74</v>
      </c>
      <c r="AM742" s="1" t="s">
        <v>74</v>
      </c>
      <c r="AN742" s="1" t="s">
        <v>74</v>
      </c>
      <c r="AO742" s="1" t="s">
        <v>7322</v>
      </c>
      <c r="AP742" s="1" t="s">
        <v>74</v>
      </c>
      <c r="AQ742" s="1" t="s">
        <v>74</v>
      </c>
      <c r="AR742" s="1" t="s">
        <v>74</v>
      </c>
      <c r="AS742" s="1" t="s">
        <v>74</v>
      </c>
      <c r="AT742" s="1" t="s">
        <v>606</v>
      </c>
      <c r="AU742" s="1">
        <v>2018.0</v>
      </c>
      <c r="AV742" s="1">
        <v>9.0</v>
      </c>
      <c r="AW742" s="1">
        <v>10.0</v>
      </c>
      <c r="AX742" s="1" t="s">
        <v>74</v>
      </c>
      <c r="AY742" s="1" t="s">
        <v>74</v>
      </c>
      <c r="AZ742" s="1" t="s">
        <v>445</v>
      </c>
      <c r="BA742" s="1" t="s">
        <v>74</v>
      </c>
      <c r="BB742" s="1">
        <v>2448.0</v>
      </c>
      <c r="BC742" s="1">
        <v>2458.0</v>
      </c>
      <c r="BD742" s="1" t="s">
        <v>74</v>
      </c>
      <c r="BE742" s="1" t="s">
        <v>7323</v>
      </c>
      <c r="BF742" s="2" t="str">
        <f>HYPERLINK("http://dx.doi.org/10.1021/acschemneuro.8b00215","http://dx.doi.org/10.1021/acschemneuro.8b00215")</f>
        <v>http://dx.doi.org/10.1021/acschemneuro.8b00215</v>
      </c>
      <c r="BG742" s="1" t="s">
        <v>74</v>
      </c>
      <c r="BH742" s="1" t="s">
        <v>74</v>
      </c>
      <c r="BI742" s="1" t="s">
        <v>74</v>
      </c>
      <c r="BJ742" s="1" t="s">
        <v>74</v>
      </c>
      <c r="BK742" s="1" t="s">
        <v>74</v>
      </c>
      <c r="BL742" s="1" t="s">
        <v>74</v>
      </c>
      <c r="BM742" s="1" t="s">
        <v>74</v>
      </c>
      <c r="BN742" s="1">
        <v>2.9847089E7</v>
      </c>
      <c r="BO742" s="1" t="s">
        <v>74</v>
      </c>
      <c r="BP742" s="1" t="s">
        <v>74</v>
      </c>
      <c r="BQ742" s="1" t="s">
        <v>74</v>
      </c>
      <c r="BR742" s="1" t="s">
        <v>74</v>
      </c>
      <c r="BS742" s="1" t="s">
        <v>7324</v>
      </c>
      <c r="BT742" s="1" t="str">
        <f>HYPERLINK("https%3A%2F%2Fwww.webofscience.com%2Fwos%2Fwoscc%2Ffull-record%2FWOS:000447954300015","View Full Record in Web of Science")</f>
        <v>View Full Record in Web of Science</v>
      </c>
    </row>
    <row r="743" ht="12.75" customHeight="1">
      <c r="A743" s="1" t="s">
        <v>72</v>
      </c>
      <c r="B743" s="1" t="s">
        <v>7325</v>
      </c>
      <c r="C743" s="1" t="s">
        <v>74</v>
      </c>
      <c r="D743" s="1" t="s">
        <v>74</v>
      </c>
      <c r="E743" s="1" t="s">
        <v>74</v>
      </c>
      <c r="F743" s="1" t="s">
        <v>7326</v>
      </c>
      <c r="G743" s="1" t="s">
        <v>74</v>
      </c>
      <c r="H743" s="1" t="s">
        <v>74</v>
      </c>
      <c r="I743" s="1" t="s">
        <v>7327</v>
      </c>
      <c r="J743" s="1" t="s">
        <v>7328</v>
      </c>
      <c r="K743" s="1" t="s">
        <v>74</v>
      </c>
      <c r="L743" s="1" t="s">
        <v>74</v>
      </c>
      <c r="M743" s="1" t="s">
        <v>74</v>
      </c>
      <c r="N743" s="1" t="s">
        <v>74</v>
      </c>
      <c r="O743" s="1" t="s">
        <v>74</v>
      </c>
      <c r="P743" s="1" t="s">
        <v>74</v>
      </c>
      <c r="Q743" s="1" t="s">
        <v>74</v>
      </c>
      <c r="R743" s="1" t="s">
        <v>74</v>
      </c>
      <c r="S743" s="1" t="s">
        <v>74</v>
      </c>
      <c r="T743" s="1" t="s">
        <v>74</v>
      </c>
      <c r="U743" s="1" t="s">
        <v>74</v>
      </c>
      <c r="V743" s="1" t="s">
        <v>74</v>
      </c>
      <c r="W743" s="1" t="s">
        <v>74</v>
      </c>
      <c r="X743" s="1" t="s">
        <v>74</v>
      </c>
      <c r="Y743" s="1" t="s">
        <v>74</v>
      </c>
      <c r="Z743" s="1" t="s">
        <v>74</v>
      </c>
      <c r="AA743" s="1" t="s">
        <v>7329</v>
      </c>
      <c r="AB743" s="1" t="s">
        <v>7330</v>
      </c>
      <c r="AC743" s="1" t="s">
        <v>74</v>
      </c>
      <c r="AD743" s="1" t="s">
        <v>74</v>
      </c>
      <c r="AE743" s="1" t="s">
        <v>74</v>
      </c>
      <c r="AF743" s="1" t="s">
        <v>74</v>
      </c>
      <c r="AG743" s="1" t="s">
        <v>74</v>
      </c>
      <c r="AH743" s="1" t="s">
        <v>74</v>
      </c>
      <c r="AI743" s="1" t="s">
        <v>74</v>
      </c>
      <c r="AJ743" s="1" t="s">
        <v>74</v>
      </c>
      <c r="AK743" s="1" t="s">
        <v>74</v>
      </c>
      <c r="AL743" s="1" t="s">
        <v>74</v>
      </c>
      <c r="AM743" s="1" t="s">
        <v>74</v>
      </c>
      <c r="AN743" s="1" t="s">
        <v>74</v>
      </c>
      <c r="AO743" s="1" t="s">
        <v>7331</v>
      </c>
      <c r="AP743" s="1" t="s">
        <v>7332</v>
      </c>
      <c r="AQ743" s="1" t="s">
        <v>74</v>
      </c>
      <c r="AR743" s="1" t="s">
        <v>74</v>
      </c>
      <c r="AS743" s="1" t="s">
        <v>74</v>
      </c>
      <c r="AT743" s="1" t="s">
        <v>339</v>
      </c>
      <c r="AU743" s="1">
        <v>2018.0</v>
      </c>
      <c r="AV743" s="1">
        <v>339.0</v>
      </c>
      <c r="AW743" s="1" t="s">
        <v>74</v>
      </c>
      <c r="AX743" s="1" t="s">
        <v>74</v>
      </c>
      <c r="AY743" s="1" t="s">
        <v>74</v>
      </c>
      <c r="AZ743" s="1" t="s">
        <v>445</v>
      </c>
      <c r="BA743" s="1" t="s">
        <v>74</v>
      </c>
      <c r="BB743" s="1">
        <v>1.0</v>
      </c>
      <c r="BC743" s="1">
        <v>2.0</v>
      </c>
      <c r="BD743" s="1" t="s">
        <v>74</v>
      </c>
      <c r="BE743" s="1" t="s">
        <v>7333</v>
      </c>
      <c r="BF743" s="2" t="str">
        <f>HYPERLINK("http://dx.doi.org/10.1016/j.cam.2018.03.008","http://dx.doi.org/10.1016/j.cam.2018.03.008")</f>
        <v>http://dx.doi.org/10.1016/j.cam.2018.03.008</v>
      </c>
      <c r="BG743" s="1" t="s">
        <v>74</v>
      </c>
      <c r="BH743" s="1" t="s">
        <v>74</v>
      </c>
      <c r="BI743" s="1" t="s">
        <v>74</v>
      </c>
      <c r="BJ743" s="1" t="s">
        <v>74</v>
      </c>
      <c r="BK743" s="1" t="s">
        <v>74</v>
      </c>
      <c r="BL743" s="1" t="s">
        <v>74</v>
      </c>
      <c r="BM743" s="1" t="s">
        <v>74</v>
      </c>
      <c r="BN743" s="1" t="s">
        <v>74</v>
      </c>
      <c r="BO743" s="1" t="s">
        <v>74</v>
      </c>
      <c r="BP743" s="1" t="s">
        <v>74</v>
      </c>
      <c r="BQ743" s="1" t="s">
        <v>74</v>
      </c>
      <c r="BR743" s="1" t="s">
        <v>74</v>
      </c>
      <c r="BS743" s="1" t="s">
        <v>7334</v>
      </c>
      <c r="BT743" s="1" t="str">
        <f>HYPERLINK("https%3A%2F%2Fwww.webofscience.com%2Fwos%2Fwoscc%2Ffull-record%2FWOS:000432766400001","View Full Record in Web of Science")</f>
        <v>View Full Record in Web of Science</v>
      </c>
    </row>
    <row r="744" ht="12.75" customHeight="1">
      <c r="A744" s="1" t="s">
        <v>72</v>
      </c>
      <c r="B744" s="1" t="s">
        <v>7335</v>
      </c>
      <c r="C744" s="1" t="s">
        <v>74</v>
      </c>
      <c r="D744" s="1" t="s">
        <v>74</v>
      </c>
      <c r="E744" s="1" t="s">
        <v>74</v>
      </c>
      <c r="F744" s="1" t="s">
        <v>7336</v>
      </c>
      <c r="G744" s="1" t="s">
        <v>74</v>
      </c>
      <c r="H744" s="1" t="s">
        <v>74</v>
      </c>
      <c r="I744" s="1" t="s">
        <v>7337</v>
      </c>
      <c r="J744" s="1" t="s">
        <v>7338</v>
      </c>
      <c r="K744" s="1" t="s">
        <v>74</v>
      </c>
      <c r="L744" s="1" t="s">
        <v>74</v>
      </c>
      <c r="M744" s="1" t="s">
        <v>74</v>
      </c>
      <c r="N744" s="1" t="s">
        <v>74</v>
      </c>
      <c r="O744" s="1" t="s">
        <v>74</v>
      </c>
      <c r="P744" s="1" t="s">
        <v>74</v>
      </c>
      <c r="Q744" s="1" t="s">
        <v>74</v>
      </c>
      <c r="R744" s="1" t="s">
        <v>74</v>
      </c>
      <c r="S744" s="1" t="s">
        <v>74</v>
      </c>
      <c r="T744" s="1" t="s">
        <v>74</v>
      </c>
      <c r="U744" s="1" t="s">
        <v>74</v>
      </c>
      <c r="V744" s="1" t="s">
        <v>7339</v>
      </c>
      <c r="W744" s="1" t="s">
        <v>74</v>
      </c>
      <c r="X744" s="1" t="s">
        <v>74</v>
      </c>
      <c r="Y744" s="1" t="s">
        <v>74</v>
      </c>
      <c r="Z744" s="1" t="s">
        <v>74</v>
      </c>
      <c r="AA744" s="1" t="s">
        <v>7340</v>
      </c>
      <c r="AB744" s="1" t="s">
        <v>7341</v>
      </c>
      <c r="AC744" s="1" t="s">
        <v>74</v>
      </c>
      <c r="AD744" s="1" t="s">
        <v>74</v>
      </c>
      <c r="AE744" s="1" t="s">
        <v>74</v>
      </c>
      <c r="AF744" s="1" t="s">
        <v>74</v>
      </c>
      <c r="AG744" s="1" t="s">
        <v>74</v>
      </c>
      <c r="AH744" s="1" t="s">
        <v>74</v>
      </c>
      <c r="AI744" s="1" t="s">
        <v>74</v>
      </c>
      <c r="AJ744" s="1" t="s">
        <v>74</v>
      </c>
      <c r="AK744" s="1" t="s">
        <v>74</v>
      </c>
      <c r="AL744" s="1" t="s">
        <v>74</v>
      </c>
      <c r="AM744" s="1" t="s">
        <v>74</v>
      </c>
      <c r="AN744" s="1" t="s">
        <v>74</v>
      </c>
      <c r="AO744" s="1" t="s">
        <v>7342</v>
      </c>
      <c r="AP744" s="1" t="s">
        <v>74</v>
      </c>
      <c r="AQ744" s="1" t="s">
        <v>74</v>
      </c>
      <c r="AR744" s="1" t="s">
        <v>74</v>
      </c>
      <c r="AS744" s="1" t="s">
        <v>74</v>
      </c>
      <c r="AT744" s="1" t="s">
        <v>7343</v>
      </c>
      <c r="AU744" s="1">
        <v>2018.0</v>
      </c>
      <c r="AV744" s="1">
        <v>11.0</v>
      </c>
      <c r="AW744" s="1" t="s">
        <v>74</v>
      </c>
      <c r="AX744" s="1" t="s">
        <v>74</v>
      </c>
      <c r="AY744" s="1" t="s">
        <v>74</v>
      </c>
      <c r="AZ744" s="1" t="s">
        <v>74</v>
      </c>
      <c r="BA744" s="1" t="s">
        <v>74</v>
      </c>
      <c r="BB744" s="1" t="s">
        <v>74</v>
      </c>
      <c r="BC744" s="1" t="s">
        <v>74</v>
      </c>
      <c r="BD744" s="1">
        <v>16.0</v>
      </c>
      <c r="BE744" s="1" t="s">
        <v>7344</v>
      </c>
      <c r="BF744" s="2" t="str">
        <f>HYPERLINK("http://dx.doi.org/10.1186/s13040-018-0178-4","http://dx.doi.org/10.1186/s13040-018-0178-4")</f>
        <v>http://dx.doi.org/10.1186/s13040-018-0178-4</v>
      </c>
      <c r="BG744" s="1" t="s">
        <v>74</v>
      </c>
      <c r="BH744" s="1" t="s">
        <v>74</v>
      </c>
      <c r="BI744" s="1" t="s">
        <v>74</v>
      </c>
      <c r="BJ744" s="1" t="s">
        <v>74</v>
      </c>
      <c r="BK744" s="1" t="s">
        <v>74</v>
      </c>
      <c r="BL744" s="1" t="s">
        <v>74</v>
      </c>
      <c r="BM744" s="1" t="s">
        <v>74</v>
      </c>
      <c r="BN744" s="1">
        <v>3.0100924E7</v>
      </c>
      <c r="BO744" s="1" t="s">
        <v>74</v>
      </c>
      <c r="BP744" s="1" t="s">
        <v>74</v>
      </c>
      <c r="BQ744" s="1" t="s">
        <v>74</v>
      </c>
      <c r="BR744" s="1" t="s">
        <v>74</v>
      </c>
      <c r="BS744" s="1" t="s">
        <v>7345</v>
      </c>
      <c r="BT744" s="1" t="str">
        <f>HYPERLINK("https%3A%2F%2Fwww.webofscience.com%2Fwos%2Fwoscc%2Ffull-record%2FWOS:000441144500001","View Full Record in Web of Science")</f>
        <v>View Full Record in Web of Science</v>
      </c>
    </row>
    <row r="745" ht="12.75" customHeight="1">
      <c r="A745" s="1" t="s">
        <v>72</v>
      </c>
      <c r="B745" s="1" t="s">
        <v>7346</v>
      </c>
      <c r="C745" s="1" t="s">
        <v>74</v>
      </c>
      <c r="D745" s="1" t="s">
        <v>74</v>
      </c>
      <c r="E745" s="1" t="s">
        <v>74</v>
      </c>
      <c r="F745" s="1" t="s">
        <v>7347</v>
      </c>
      <c r="G745" s="1" t="s">
        <v>74</v>
      </c>
      <c r="H745" s="1" t="s">
        <v>74</v>
      </c>
      <c r="I745" s="1" t="s">
        <v>7348</v>
      </c>
      <c r="J745" s="1" t="s">
        <v>7349</v>
      </c>
      <c r="K745" s="1" t="s">
        <v>74</v>
      </c>
      <c r="L745" s="1" t="s">
        <v>74</v>
      </c>
      <c r="M745" s="1" t="s">
        <v>74</v>
      </c>
      <c r="N745" s="1" t="s">
        <v>74</v>
      </c>
      <c r="O745" s="1" t="s">
        <v>74</v>
      </c>
      <c r="P745" s="1" t="s">
        <v>74</v>
      </c>
      <c r="Q745" s="1" t="s">
        <v>74</v>
      </c>
      <c r="R745" s="1" t="s">
        <v>74</v>
      </c>
      <c r="S745" s="1" t="s">
        <v>74</v>
      </c>
      <c r="T745" s="1" t="s">
        <v>74</v>
      </c>
      <c r="U745" s="1" t="s">
        <v>74</v>
      </c>
      <c r="V745" s="1" t="s">
        <v>7350</v>
      </c>
      <c r="W745" s="1" t="s">
        <v>74</v>
      </c>
      <c r="X745" s="1" t="s">
        <v>74</v>
      </c>
      <c r="Y745" s="1" t="s">
        <v>74</v>
      </c>
      <c r="Z745" s="1" t="s">
        <v>74</v>
      </c>
      <c r="AA745" s="1" t="s">
        <v>74</v>
      </c>
      <c r="AB745" s="1" t="s">
        <v>6464</v>
      </c>
      <c r="AC745" s="1" t="s">
        <v>74</v>
      </c>
      <c r="AD745" s="1" t="s">
        <v>74</v>
      </c>
      <c r="AE745" s="1" t="s">
        <v>74</v>
      </c>
      <c r="AF745" s="1" t="s">
        <v>74</v>
      </c>
      <c r="AG745" s="1" t="s">
        <v>74</v>
      </c>
      <c r="AH745" s="1" t="s">
        <v>74</v>
      </c>
      <c r="AI745" s="1" t="s">
        <v>74</v>
      </c>
      <c r="AJ745" s="1" t="s">
        <v>74</v>
      </c>
      <c r="AK745" s="1" t="s">
        <v>74</v>
      </c>
      <c r="AL745" s="1" t="s">
        <v>74</v>
      </c>
      <c r="AM745" s="1" t="s">
        <v>74</v>
      </c>
      <c r="AN745" s="1" t="s">
        <v>74</v>
      </c>
      <c r="AO745" s="1" t="s">
        <v>7351</v>
      </c>
      <c r="AP745" s="1" t="s">
        <v>74</v>
      </c>
      <c r="AQ745" s="1" t="s">
        <v>74</v>
      </c>
      <c r="AR745" s="1" t="s">
        <v>74</v>
      </c>
      <c r="AS745" s="1" t="s">
        <v>74</v>
      </c>
      <c r="AT745" s="1" t="s">
        <v>350</v>
      </c>
      <c r="AU745" s="1">
        <v>2018.0</v>
      </c>
      <c r="AV745" s="1" t="s">
        <v>74</v>
      </c>
      <c r="AW745" s="1">
        <v>75.0</v>
      </c>
      <c r="AX745" s="1" t="s">
        <v>74</v>
      </c>
      <c r="AY745" s="1" t="s">
        <v>74</v>
      </c>
      <c r="AZ745" s="1" t="s">
        <v>74</v>
      </c>
      <c r="BA745" s="1" t="s">
        <v>74</v>
      </c>
      <c r="BB745" s="1">
        <v>141.0</v>
      </c>
      <c r="BC745" s="1">
        <v>165.0</v>
      </c>
      <c r="BD745" s="1" t="s">
        <v>74</v>
      </c>
      <c r="BE745" s="1" t="s">
        <v>7352</v>
      </c>
      <c r="BF745" s="2" t="str">
        <f>HYPERLINK("http://dx.doi.org/10.26882/histagrar.075e06a","http://dx.doi.org/10.26882/histagrar.075e06a")</f>
        <v>http://dx.doi.org/10.26882/histagrar.075e06a</v>
      </c>
      <c r="BG745" s="1" t="s">
        <v>74</v>
      </c>
      <c r="BH745" s="1" t="s">
        <v>74</v>
      </c>
      <c r="BI745" s="1" t="s">
        <v>74</v>
      </c>
      <c r="BJ745" s="1" t="s">
        <v>74</v>
      </c>
      <c r="BK745" s="1" t="s">
        <v>74</v>
      </c>
      <c r="BL745" s="1" t="s">
        <v>74</v>
      </c>
      <c r="BM745" s="1" t="s">
        <v>74</v>
      </c>
      <c r="BN745" s="1" t="s">
        <v>74</v>
      </c>
      <c r="BO745" s="1" t="s">
        <v>74</v>
      </c>
      <c r="BP745" s="1" t="s">
        <v>74</v>
      </c>
      <c r="BQ745" s="1" t="s">
        <v>74</v>
      </c>
      <c r="BR745" s="1" t="s">
        <v>74</v>
      </c>
      <c r="BS745" s="1" t="s">
        <v>7353</v>
      </c>
      <c r="BT745" s="1" t="str">
        <f>HYPERLINK("https%3A%2F%2Fwww.webofscience.com%2Fwos%2Fwoscc%2Ffull-record%2FWOS:000436529300006","View Full Record in Web of Science")</f>
        <v>View Full Record in Web of Science</v>
      </c>
    </row>
    <row r="746" ht="12.75" customHeight="1">
      <c r="A746" s="1" t="s">
        <v>72</v>
      </c>
      <c r="B746" s="1" t="s">
        <v>7354</v>
      </c>
      <c r="C746" s="1" t="s">
        <v>74</v>
      </c>
      <c r="D746" s="1" t="s">
        <v>74</v>
      </c>
      <c r="E746" s="1" t="s">
        <v>74</v>
      </c>
      <c r="F746" s="1" t="s">
        <v>7355</v>
      </c>
      <c r="G746" s="1" t="s">
        <v>74</v>
      </c>
      <c r="H746" s="1" t="s">
        <v>74</v>
      </c>
      <c r="I746" s="1" t="s">
        <v>7356</v>
      </c>
      <c r="J746" s="1" t="s">
        <v>312</v>
      </c>
      <c r="K746" s="1" t="s">
        <v>74</v>
      </c>
      <c r="L746" s="1" t="s">
        <v>74</v>
      </c>
      <c r="M746" s="1" t="s">
        <v>74</v>
      </c>
      <c r="N746" s="1" t="s">
        <v>74</v>
      </c>
      <c r="O746" s="1" t="s">
        <v>74</v>
      </c>
      <c r="P746" s="1" t="s">
        <v>74</v>
      </c>
      <c r="Q746" s="1" t="s">
        <v>74</v>
      </c>
      <c r="R746" s="1" t="s">
        <v>74</v>
      </c>
      <c r="S746" s="1" t="s">
        <v>74</v>
      </c>
      <c r="T746" s="1" t="s">
        <v>74</v>
      </c>
      <c r="U746" s="1" t="s">
        <v>74</v>
      </c>
      <c r="V746" s="1" t="s">
        <v>7357</v>
      </c>
      <c r="W746" s="1" t="s">
        <v>74</v>
      </c>
      <c r="X746" s="1" t="s">
        <v>74</v>
      </c>
      <c r="Y746" s="1" t="s">
        <v>74</v>
      </c>
      <c r="Z746" s="1" t="s">
        <v>74</v>
      </c>
      <c r="AA746" s="1" t="s">
        <v>7358</v>
      </c>
      <c r="AB746" s="1" t="s">
        <v>74</v>
      </c>
      <c r="AC746" s="1" t="s">
        <v>74</v>
      </c>
      <c r="AD746" s="1" t="s">
        <v>74</v>
      </c>
      <c r="AE746" s="1" t="s">
        <v>74</v>
      </c>
      <c r="AF746" s="1" t="s">
        <v>74</v>
      </c>
      <c r="AG746" s="1" t="s">
        <v>74</v>
      </c>
      <c r="AH746" s="1" t="s">
        <v>74</v>
      </c>
      <c r="AI746" s="1" t="s">
        <v>74</v>
      </c>
      <c r="AJ746" s="1" t="s">
        <v>74</v>
      </c>
      <c r="AK746" s="1" t="s">
        <v>74</v>
      </c>
      <c r="AL746" s="1" t="s">
        <v>74</v>
      </c>
      <c r="AM746" s="1" t="s">
        <v>74</v>
      </c>
      <c r="AN746" s="1" t="s">
        <v>74</v>
      </c>
      <c r="AO746" s="1" t="s">
        <v>315</v>
      </c>
      <c r="AP746" s="1" t="s">
        <v>316</v>
      </c>
      <c r="AQ746" s="1" t="s">
        <v>74</v>
      </c>
      <c r="AR746" s="1" t="s">
        <v>74</v>
      </c>
      <c r="AS746" s="1" t="s">
        <v>74</v>
      </c>
      <c r="AT746" s="1" t="s">
        <v>180</v>
      </c>
      <c r="AU746" s="1">
        <v>2018.0</v>
      </c>
      <c r="AV746" s="1">
        <v>146.0</v>
      </c>
      <c r="AW746" s="1">
        <v>5.0</v>
      </c>
      <c r="AX746" s="1" t="s">
        <v>74</v>
      </c>
      <c r="AY746" s="1" t="s">
        <v>74</v>
      </c>
      <c r="AZ746" s="1" t="s">
        <v>74</v>
      </c>
      <c r="BA746" s="1" t="s">
        <v>74</v>
      </c>
      <c r="BB746" s="1">
        <v>562.0</v>
      </c>
      <c r="BC746" s="1">
        <v>569.0</v>
      </c>
      <c r="BD746" s="1" t="s">
        <v>74</v>
      </c>
      <c r="BE746" s="1" t="s">
        <v>7359</v>
      </c>
      <c r="BF746" s="2" t="str">
        <f>HYPERLINK("http://dx.doi.org/10.4067/s0034-98872018000500562","http://dx.doi.org/10.4067/s0034-98872018000500562")</f>
        <v>http://dx.doi.org/10.4067/s0034-98872018000500562</v>
      </c>
      <c r="BG746" s="1" t="s">
        <v>74</v>
      </c>
      <c r="BH746" s="1" t="s">
        <v>74</v>
      </c>
      <c r="BI746" s="1" t="s">
        <v>74</v>
      </c>
      <c r="BJ746" s="1" t="s">
        <v>74</v>
      </c>
      <c r="BK746" s="1" t="s">
        <v>74</v>
      </c>
      <c r="BL746" s="1" t="s">
        <v>74</v>
      </c>
      <c r="BM746" s="1" t="s">
        <v>74</v>
      </c>
      <c r="BN746" s="1">
        <v>3.0148919E7</v>
      </c>
      <c r="BO746" s="1" t="s">
        <v>74</v>
      </c>
      <c r="BP746" s="1" t="s">
        <v>74</v>
      </c>
      <c r="BQ746" s="1" t="s">
        <v>74</v>
      </c>
      <c r="BR746" s="1" t="s">
        <v>74</v>
      </c>
      <c r="BS746" s="1" t="s">
        <v>7360</v>
      </c>
      <c r="BT746" s="1" t="str">
        <f>HYPERLINK("https%3A%2F%2Fwww.webofscience.com%2Fwos%2Fwoscc%2Ffull-record%2FWOS:000440028600003","View Full Record in Web of Science")</f>
        <v>View Full Record in Web of Science</v>
      </c>
    </row>
    <row r="747" ht="12.75" customHeight="1">
      <c r="A747" s="1" t="s">
        <v>182</v>
      </c>
      <c r="B747" s="1" t="s">
        <v>7361</v>
      </c>
      <c r="C747" s="1" t="s">
        <v>74</v>
      </c>
      <c r="D747" s="1" t="s">
        <v>5914</v>
      </c>
      <c r="E747" s="1" t="s">
        <v>74</v>
      </c>
      <c r="F747" s="1" t="s">
        <v>7362</v>
      </c>
      <c r="G747" s="1" t="s">
        <v>74</v>
      </c>
      <c r="H747" s="1" t="s">
        <v>74</v>
      </c>
      <c r="I747" s="1" t="s">
        <v>7363</v>
      </c>
      <c r="J747" s="1" t="s">
        <v>5916</v>
      </c>
      <c r="K747" s="1" t="s">
        <v>380</v>
      </c>
      <c r="L747" s="1" t="s">
        <v>74</v>
      </c>
      <c r="M747" s="1" t="s">
        <v>74</v>
      </c>
      <c r="N747" s="1" t="s">
        <v>74</v>
      </c>
      <c r="O747" s="1" t="s">
        <v>5917</v>
      </c>
      <c r="P747" s="1" t="s">
        <v>5918</v>
      </c>
      <c r="Q747" s="1" t="s">
        <v>5919</v>
      </c>
      <c r="R747" s="1" t="s">
        <v>5920</v>
      </c>
      <c r="S747" s="1" t="s">
        <v>74</v>
      </c>
      <c r="T747" s="1" t="s">
        <v>74</v>
      </c>
      <c r="U747" s="1" t="s">
        <v>74</v>
      </c>
      <c r="V747" s="1" t="s">
        <v>7364</v>
      </c>
      <c r="W747" s="1" t="s">
        <v>74</v>
      </c>
      <c r="X747" s="1" t="s">
        <v>74</v>
      </c>
      <c r="Y747" s="1" t="s">
        <v>74</v>
      </c>
      <c r="Z747" s="1" t="s">
        <v>74</v>
      </c>
      <c r="AA747" s="1" t="s">
        <v>7365</v>
      </c>
      <c r="AB747" s="1" t="s">
        <v>7366</v>
      </c>
      <c r="AC747" s="1" t="s">
        <v>74</v>
      </c>
      <c r="AD747" s="1" t="s">
        <v>74</v>
      </c>
      <c r="AE747" s="1" t="s">
        <v>74</v>
      </c>
      <c r="AF747" s="1" t="s">
        <v>74</v>
      </c>
      <c r="AG747" s="1" t="s">
        <v>74</v>
      </c>
      <c r="AH747" s="1" t="s">
        <v>74</v>
      </c>
      <c r="AI747" s="1" t="s">
        <v>74</v>
      </c>
      <c r="AJ747" s="1" t="s">
        <v>74</v>
      </c>
      <c r="AK747" s="1" t="s">
        <v>74</v>
      </c>
      <c r="AL747" s="1" t="s">
        <v>74</v>
      </c>
      <c r="AM747" s="1" t="s">
        <v>74</v>
      </c>
      <c r="AN747" s="1" t="s">
        <v>74</v>
      </c>
      <c r="AO747" s="1" t="s">
        <v>388</v>
      </c>
      <c r="AP747" s="1" t="s">
        <v>74</v>
      </c>
      <c r="AQ747" s="1" t="s">
        <v>74</v>
      </c>
      <c r="AR747" s="1" t="s">
        <v>74</v>
      </c>
      <c r="AS747" s="1" t="s">
        <v>74</v>
      </c>
      <c r="AT747" s="1" t="s">
        <v>74</v>
      </c>
      <c r="AU747" s="1">
        <v>2018.0</v>
      </c>
      <c r="AV747" s="1">
        <v>139.0</v>
      </c>
      <c r="AW747" s="1" t="s">
        <v>74</v>
      </c>
      <c r="AX747" s="1" t="s">
        <v>74</v>
      </c>
      <c r="AY747" s="1" t="s">
        <v>74</v>
      </c>
      <c r="AZ747" s="1" t="s">
        <v>74</v>
      </c>
      <c r="BA747" s="1" t="s">
        <v>74</v>
      </c>
      <c r="BB747" s="1">
        <v>473.0</v>
      </c>
      <c r="BC747" s="1">
        <v>480.0</v>
      </c>
      <c r="BD747" s="1" t="s">
        <v>74</v>
      </c>
      <c r="BE747" s="1" t="s">
        <v>7367</v>
      </c>
      <c r="BF747" s="2" t="str">
        <f>HYPERLINK("http://dx.doi.org/10.1016/j.procs.2018.10.248","http://dx.doi.org/10.1016/j.procs.2018.10.248")</f>
        <v>http://dx.doi.org/10.1016/j.procs.2018.10.248</v>
      </c>
      <c r="BG747" s="1" t="s">
        <v>74</v>
      </c>
      <c r="BH747" s="1" t="s">
        <v>74</v>
      </c>
      <c r="BI747" s="1" t="s">
        <v>74</v>
      </c>
      <c r="BJ747" s="1" t="s">
        <v>74</v>
      </c>
      <c r="BK747" s="1" t="s">
        <v>74</v>
      </c>
      <c r="BL747" s="1" t="s">
        <v>74</v>
      </c>
      <c r="BM747" s="1" t="s">
        <v>74</v>
      </c>
      <c r="BN747" s="1" t="s">
        <v>74</v>
      </c>
      <c r="BO747" s="1" t="s">
        <v>74</v>
      </c>
      <c r="BP747" s="1" t="s">
        <v>74</v>
      </c>
      <c r="BQ747" s="1" t="s">
        <v>74</v>
      </c>
      <c r="BR747" s="1" t="s">
        <v>74</v>
      </c>
      <c r="BS747" s="1" t="s">
        <v>7368</v>
      </c>
      <c r="BT747" s="1" t="str">
        <f>HYPERLINK("https%3A%2F%2Fwww.webofscience.com%2Fwos%2Fwoscc%2Ffull-record%2FWOS:000471259200063","View Full Record in Web of Science")</f>
        <v>View Full Record in Web of Science</v>
      </c>
    </row>
    <row r="748" ht="12.75" customHeight="1">
      <c r="A748" s="1" t="s">
        <v>72</v>
      </c>
      <c r="B748" s="1" t="s">
        <v>7369</v>
      </c>
      <c r="C748" s="1" t="s">
        <v>74</v>
      </c>
      <c r="D748" s="1" t="s">
        <v>74</v>
      </c>
      <c r="E748" s="1" t="s">
        <v>74</v>
      </c>
      <c r="F748" s="1" t="s">
        <v>7370</v>
      </c>
      <c r="G748" s="1" t="s">
        <v>74</v>
      </c>
      <c r="H748" s="1" t="s">
        <v>74</v>
      </c>
      <c r="I748" s="1" t="s">
        <v>7371</v>
      </c>
      <c r="J748" s="1" t="s">
        <v>489</v>
      </c>
      <c r="K748" s="1" t="s">
        <v>74</v>
      </c>
      <c r="L748" s="1" t="s">
        <v>74</v>
      </c>
      <c r="M748" s="1" t="s">
        <v>74</v>
      </c>
      <c r="N748" s="1" t="s">
        <v>74</v>
      </c>
      <c r="O748" s="1" t="s">
        <v>74</v>
      </c>
      <c r="P748" s="1" t="s">
        <v>74</v>
      </c>
      <c r="Q748" s="1" t="s">
        <v>74</v>
      </c>
      <c r="R748" s="1" t="s">
        <v>74</v>
      </c>
      <c r="S748" s="1" t="s">
        <v>74</v>
      </c>
      <c r="T748" s="1" t="s">
        <v>74</v>
      </c>
      <c r="U748" s="1" t="s">
        <v>74</v>
      </c>
      <c r="V748" s="1" t="s">
        <v>7372</v>
      </c>
      <c r="W748" s="1" t="s">
        <v>74</v>
      </c>
      <c r="X748" s="1" t="s">
        <v>74</v>
      </c>
      <c r="Y748" s="1" t="s">
        <v>74</v>
      </c>
      <c r="Z748" s="1" t="s">
        <v>74</v>
      </c>
      <c r="AA748" s="1" t="s">
        <v>7373</v>
      </c>
      <c r="AB748" s="1" t="s">
        <v>7374</v>
      </c>
      <c r="AC748" s="1" t="s">
        <v>74</v>
      </c>
      <c r="AD748" s="1" t="s">
        <v>74</v>
      </c>
      <c r="AE748" s="1" t="s">
        <v>74</v>
      </c>
      <c r="AF748" s="1" t="s">
        <v>74</v>
      </c>
      <c r="AG748" s="1" t="s">
        <v>74</v>
      </c>
      <c r="AH748" s="1" t="s">
        <v>74</v>
      </c>
      <c r="AI748" s="1" t="s">
        <v>74</v>
      </c>
      <c r="AJ748" s="1" t="s">
        <v>74</v>
      </c>
      <c r="AK748" s="1" t="s">
        <v>74</v>
      </c>
      <c r="AL748" s="1" t="s">
        <v>74</v>
      </c>
      <c r="AM748" s="1" t="s">
        <v>74</v>
      </c>
      <c r="AN748" s="1" t="s">
        <v>74</v>
      </c>
      <c r="AO748" s="1" t="s">
        <v>492</v>
      </c>
      <c r="AP748" s="1" t="s">
        <v>74</v>
      </c>
      <c r="AQ748" s="1" t="s">
        <v>74</v>
      </c>
      <c r="AR748" s="1" t="s">
        <v>74</v>
      </c>
      <c r="AS748" s="1" t="s">
        <v>74</v>
      </c>
      <c r="AT748" s="1" t="s">
        <v>74</v>
      </c>
      <c r="AU748" s="1">
        <v>2017.0</v>
      </c>
      <c r="AV748" s="1">
        <v>62.0</v>
      </c>
      <c r="AW748" s="1">
        <v>3.0</v>
      </c>
      <c r="AX748" s="1" t="s">
        <v>74</v>
      </c>
      <c r="AY748" s="1" t="s">
        <v>74</v>
      </c>
      <c r="AZ748" s="1" t="s">
        <v>74</v>
      </c>
      <c r="BA748" s="1" t="s">
        <v>74</v>
      </c>
      <c r="BB748" s="1">
        <v>3627.0</v>
      </c>
      <c r="BC748" s="1">
        <v>3632.0</v>
      </c>
      <c r="BD748" s="1" t="s">
        <v>74</v>
      </c>
      <c r="BE748" s="1" t="s">
        <v>7375</v>
      </c>
      <c r="BF748" s="2" t="str">
        <f>HYPERLINK("http://dx.doi.org/10.4067/s0717-97072017000303627","http://dx.doi.org/10.4067/s0717-97072017000303627")</f>
        <v>http://dx.doi.org/10.4067/s0717-97072017000303627</v>
      </c>
      <c r="BG748" s="1" t="s">
        <v>74</v>
      </c>
      <c r="BH748" s="1" t="s">
        <v>74</v>
      </c>
      <c r="BI748" s="1" t="s">
        <v>74</v>
      </c>
      <c r="BJ748" s="1" t="s">
        <v>74</v>
      </c>
      <c r="BK748" s="1" t="s">
        <v>74</v>
      </c>
      <c r="BL748" s="1" t="s">
        <v>74</v>
      </c>
      <c r="BM748" s="1" t="s">
        <v>74</v>
      </c>
      <c r="BN748" s="1" t="s">
        <v>74</v>
      </c>
      <c r="BO748" s="1" t="s">
        <v>74</v>
      </c>
      <c r="BP748" s="1" t="s">
        <v>74</v>
      </c>
      <c r="BQ748" s="1" t="s">
        <v>74</v>
      </c>
      <c r="BR748" s="1" t="s">
        <v>74</v>
      </c>
      <c r="BS748" s="1" t="s">
        <v>7376</v>
      </c>
      <c r="BT748" s="1" t="str">
        <f>HYPERLINK("https%3A%2F%2Fwww.webofscience.com%2Fwos%2Fwoscc%2Ffull-record%2FWOS:000417443500015","View Full Record in Web of Science")</f>
        <v>View Full Record in Web of Science</v>
      </c>
    </row>
    <row r="749" ht="12.75" customHeight="1">
      <c r="A749" s="1" t="s">
        <v>72</v>
      </c>
      <c r="B749" s="1" t="s">
        <v>7377</v>
      </c>
      <c r="C749" s="1" t="s">
        <v>74</v>
      </c>
      <c r="D749" s="1" t="s">
        <v>74</v>
      </c>
      <c r="E749" s="1" t="s">
        <v>74</v>
      </c>
      <c r="F749" s="1" t="s">
        <v>7378</v>
      </c>
      <c r="G749" s="1" t="s">
        <v>74</v>
      </c>
      <c r="H749" s="1" t="s">
        <v>74</v>
      </c>
      <c r="I749" s="1" t="s">
        <v>7379</v>
      </c>
      <c r="J749" s="1" t="s">
        <v>7380</v>
      </c>
      <c r="K749" s="1" t="s">
        <v>74</v>
      </c>
      <c r="L749" s="1" t="s">
        <v>74</v>
      </c>
      <c r="M749" s="1" t="s">
        <v>74</v>
      </c>
      <c r="N749" s="1" t="s">
        <v>74</v>
      </c>
      <c r="O749" s="1" t="s">
        <v>74</v>
      </c>
      <c r="P749" s="1" t="s">
        <v>74</v>
      </c>
      <c r="Q749" s="1" t="s">
        <v>74</v>
      </c>
      <c r="R749" s="1" t="s">
        <v>74</v>
      </c>
      <c r="S749" s="1" t="s">
        <v>74</v>
      </c>
      <c r="T749" s="1" t="s">
        <v>74</v>
      </c>
      <c r="U749" s="1" t="s">
        <v>74</v>
      </c>
      <c r="V749" s="1" t="s">
        <v>7381</v>
      </c>
      <c r="W749" s="1" t="s">
        <v>74</v>
      </c>
      <c r="X749" s="1" t="s">
        <v>74</v>
      </c>
      <c r="Y749" s="1" t="s">
        <v>74</v>
      </c>
      <c r="Z749" s="1" t="s">
        <v>74</v>
      </c>
      <c r="AA749" s="1" t="s">
        <v>7382</v>
      </c>
      <c r="AB749" s="1" t="s">
        <v>7383</v>
      </c>
      <c r="AC749" s="1" t="s">
        <v>74</v>
      </c>
      <c r="AD749" s="1" t="s">
        <v>74</v>
      </c>
      <c r="AE749" s="1" t="s">
        <v>74</v>
      </c>
      <c r="AF749" s="1" t="s">
        <v>74</v>
      </c>
      <c r="AG749" s="1" t="s">
        <v>74</v>
      </c>
      <c r="AH749" s="1" t="s">
        <v>74</v>
      </c>
      <c r="AI749" s="1" t="s">
        <v>74</v>
      </c>
      <c r="AJ749" s="1" t="s">
        <v>74</v>
      </c>
      <c r="AK749" s="1" t="s">
        <v>74</v>
      </c>
      <c r="AL749" s="1" t="s">
        <v>74</v>
      </c>
      <c r="AM749" s="1" t="s">
        <v>74</v>
      </c>
      <c r="AN749" s="1" t="s">
        <v>74</v>
      </c>
      <c r="AO749" s="1" t="s">
        <v>7384</v>
      </c>
      <c r="AP749" s="1" t="s">
        <v>7385</v>
      </c>
      <c r="AQ749" s="1" t="s">
        <v>74</v>
      </c>
      <c r="AR749" s="1" t="s">
        <v>74</v>
      </c>
      <c r="AS749" s="1" t="s">
        <v>74</v>
      </c>
      <c r="AT749" s="1" t="s">
        <v>74</v>
      </c>
      <c r="AU749" s="1">
        <v>2017.0</v>
      </c>
      <c r="AV749" s="1">
        <v>53.0</v>
      </c>
      <c r="AW749" s="1">
        <v>10.0</v>
      </c>
      <c r="AX749" s="1" t="s">
        <v>74</v>
      </c>
      <c r="AY749" s="1" t="s">
        <v>74</v>
      </c>
      <c r="AZ749" s="1" t="s">
        <v>74</v>
      </c>
      <c r="BA749" s="1" t="s">
        <v>74</v>
      </c>
      <c r="BB749" s="1">
        <v>2279.0</v>
      </c>
      <c r="BC749" s="1">
        <v>2302.0</v>
      </c>
      <c r="BD749" s="1" t="s">
        <v>74</v>
      </c>
      <c r="BE749" s="1" t="s">
        <v>7386</v>
      </c>
      <c r="BF749" s="2" t="str">
        <f>HYPERLINK("http://dx.doi.org/10.1080/1540496X.2017.1307101","http://dx.doi.org/10.1080/1540496X.2017.1307101")</f>
        <v>http://dx.doi.org/10.1080/1540496X.2017.1307101</v>
      </c>
      <c r="BG749" s="1" t="s">
        <v>74</v>
      </c>
      <c r="BH749" s="1" t="s">
        <v>74</v>
      </c>
      <c r="BI749" s="1" t="s">
        <v>74</v>
      </c>
      <c r="BJ749" s="1" t="s">
        <v>74</v>
      </c>
      <c r="BK749" s="1" t="s">
        <v>74</v>
      </c>
      <c r="BL749" s="1" t="s">
        <v>74</v>
      </c>
      <c r="BM749" s="1" t="s">
        <v>74</v>
      </c>
      <c r="BN749" s="1" t="s">
        <v>74</v>
      </c>
      <c r="BO749" s="1" t="s">
        <v>74</v>
      </c>
      <c r="BP749" s="1" t="s">
        <v>74</v>
      </c>
      <c r="BQ749" s="1" t="s">
        <v>74</v>
      </c>
      <c r="BR749" s="1" t="s">
        <v>74</v>
      </c>
      <c r="BS749" s="1" t="s">
        <v>7387</v>
      </c>
      <c r="BT749" s="1" t="str">
        <f>HYPERLINK("https%3A%2F%2Fwww.webofscience.com%2Fwos%2Fwoscc%2Ffull-record%2FWOS:000410853400009","View Full Record in Web of Science")</f>
        <v>View Full Record in Web of Science</v>
      </c>
    </row>
    <row r="750" ht="12.75" customHeight="1">
      <c r="A750" s="1" t="s">
        <v>182</v>
      </c>
      <c r="B750" s="1" t="s">
        <v>7388</v>
      </c>
      <c r="C750" s="1" t="s">
        <v>74</v>
      </c>
      <c r="D750" s="1" t="s">
        <v>74</v>
      </c>
      <c r="E750" s="1" t="s">
        <v>184</v>
      </c>
      <c r="F750" s="1" t="s">
        <v>7389</v>
      </c>
      <c r="G750" s="1" t="s">
        <v>74</v>
      </c>
      <c r="H750" s="1" t="s">
        <v>74</v>
      </c>
      <c r="I750" s="1" t="s">
        <v>7390</v>
      </c>
      <c r="J750" s="1" t="s">
        <v>7391</v>
      </c>
      <c r="K750" s="1" t="s">
        <v>74</v>
      </c>
      <c r="L750" s="1" t="s">
        <v>74</v>
      </c>
      <c r="M750" s="1" t="s">
        <v>74</v>
      </c>
      <c r="N750" s="1" t="s">
        <v>74</v>
      </c>
      <c r="O750" s="1" t="s">
        <v>3728</v>
      </c>
      <c r="P750" s="1" t="s">
        <v>7392</v>
      </c>
      <c r="Q750" s="1" t="s">
        <v>7393</v>
      </c>
      <c r="R750" s="1" t="s">
        <v>7394</v>
      </c>
      <c r="S750" s="1" t="s">
        <v>74</v>
      </c>
      <c r="T750" s="1" t="s">
        <v>74</v>
      </c>
      <c r="U750" s="1" t="s">
        <v>74</v>
      </c>
      <c r="V750" s="1" t="s">
        <v>7395</v>
      </c>
      <c r="W750" s="1" t="s">
        <v>74</v>
      </c>
      <c r="X750" s="1" t="s">
        <v>74</v>
      </c>
      <c r="Y750" s="1" t="s">
        <v>74</v>
      </c>
      <c r="Z750" s="1" t="s">
        <v>74</v>
      </c>
      <c r="AA750" s="1" t="s">
        <v>7396</v>
      </c>
      <c r="AB750" s="1" t="s">
        <v>7397</v>
      </c>
      <c r="AC750" s="1" t="s">
        <v>74</v>
      </c>
      <c r="AD750" s="1" t="s">
        <v>74</v>
      </c>
      <c r="AE750" s="1" t="s">
        <v>74</v>
      </c>
      <c r="AF750" s="1" t="s">
        <v>74</v>
      </c>
      <c r="AG750" s="1" t="s">
        <v>74</v>
      </c>
      <c r="AH750" s="1" t="s">
        <v>74</v>
      </c>
      <c r="AI750" s="1" t="s">
        <v>74</v>
      </c>
      <c r="AJ750" s="1" t="s">
        <v>74</v>
      </c>
      <c r="AK750" s="1" t="s">
        <v>74</v>
      </c>
      <c r="AL750" s="1" t="s">
        <v>74</v>
      </c>
      <c r="AM750" s="1" t="s">
        <v>74</v>
      </c>
      <c r="AN750" s="1" t="s">
        <v>74</v>
      </c>
      <c r="AO750" s="1" t="s">
        <v>74</v>
      </c>
      <c r="AP750" s="1" t="s">
        <v>74</v>
      </c>
      <c r="AQ750" s="1" t="s">
        <v>7398</v>
      </c>
      <c r="AR750" s="1" t="s">
        <v>74</v>
      </c>
      <c r="AS750" s="1" t="s">
        <v>74</v>
      </c>
      <c r="AT750" s="1" t="s">
        <v>74</v>
      </c>
      <c r="AU750" s="1">
        <v>2017.0</v>
      </c>
      <c r="AV750" s="1" t="s">
        <v>74</v>
      </c>
      <c r="AW750" s="1" t="s">
        <v>74</v>
      </c>
      <c r="AX750" s="1" t="s">
        <v>74</v>
      </c>
      <c r="AY750" s="1" t="s">
        <v>74</v>
      </c>
      <c r="AZ750" s="1" t="s">
        <v>74</v>
      </c>
      <c r="BA750" s="1" t="s">
        <v>74</v>
      </c>
      <c r="BB750" s="1" t="s">
        <v>74</v>
      </c>
      <c r="BC750" s="1" t="s">
        <v>74</v>
      </c>
      <c r="BD750" s="1" t="s">
        <v>74</v>
      </c>
      <c r="BE750" s="1" t="s">
        <v>74</v>
      </c>
      <c r="BF750" s="1" t="s">
        <v>74</v>
      </c>
      <c r="BG750" s="1" t="s">
        <v>74</v>
      </c>
      <c r="BH750" s="1" t="s">
        <v>74</v>
      </c>
      <c r="BI750" s="1" t="s">
        <v>74</v>
      </c>
      <c r="BJ750" s="1" t="s">
        <v>74</v>
      </c>
      <c r="BK750" s="1" t="s">
        <v>74</v>
      </c>
      <c r="BL750" s="1" t="s">
        <v>74</v>
      </c>
      <c r="BM750" s="1" t="s">
        <v>74</v>
      </c>
      <c r="BN750" s="1" t="s">
        <v>74</v>
      </c>
      <c r="BO750" s="1" t="s">
        <v>74</v>
      </c>
      <c r="BP750" s="1" t="s">
        <v>74</v>
      </c>
      <c r="BQ750" s="1" t="s">
        <v>74</v>
      </c>
      <c r="BR750" s="1" t="s">
        <v>74</v>
      </c>
      <c r="BS750" s="1" t="s">
        <v>7399</v>
      </c>
      <c r="BT750" s="1" t="str">
        <f>HYPERLINK("https%3A%2F%2Fwww.webofscience.com%2Fwos%2Fwoscc%2Ffull-record%2FWOS:000425925000091","View Full Record in Web of Science")</f>
        <v>View Full Record in Web of Science</v>
      </c>
    </row>
    <row r="751" ht="12.75" customHeight="1">
      <c r="A751" s="1" t="s">
        <v>182</v>
      </c>
      <c r="B751" s="1" t="s">
        <v>7400</v>
      </c>
      <c r="C751" s="1" t="s">
        <v>74</v>
      </c>
      <c r="D751" s="1" t="s">
        <v>7401</v>
      </c>
      <c r="E751" s="1" t="s">
        <v>74</v>
      </c>
      <c r="F751" s="1" t="s">
        <v>7402</v>
      </c>
      <c r="G751" s="1" t="s">
        <v>74</v>
      </c>
      <c r="H751" s="1" t="s">
        <v>74</v>
      </c>
      <c r="I751" s="1" t="s">
        <v>7403</v>
      </c>
      <c r="J751" s="1" t="s">
        <v>7404</v>
      </c>
      <c r="K751" s="1" t="s">
        <v>380</v>
      </c>
      <c r="L751" s="1" t="s">
        <v>74</v>
      </c>
      <c r="M751" s="1" t="s">
        <v>74</v>
      </c>
      <c r="N751" s="1" t="s">
        <v>74</v>
      </c>
      <c r="O751" s="1" t="s">
        <v>7405</v>
      </c>
      <c r="P751" s="1" t="s">
        <v>7406</v>
      </c>
      <c r="Q751" s="1" t="s">
        <v>7407</v>
      </c>
      <c r="R751" s="1" t="s">
        <v>7408</v>
      </c>
      <c r="S751" s="1" t="s">
        <v>74</v>
      </c>
      <c r="T751" s="1" t="s">
        <v>74</v>
      </c>
      <c r="U751" s="1" t="s">
        <v>74</v>
      </c>
      <c r="V751" s="1" t="s">
        <v>7409</v>
      </c>
      <c r="W751" s="1" t="s">
        <v>74</v>
      </c>
      <c r="X751" s="1" t="s">
        <v>74</v>
      </c>
      <c r="Y751" s="1" t="s">
        <v>74</v>
      </c>
      <c r="Z751" s="1" t="s">
        <v>74</v>
      </c>
      <c r="AA751" s="1" t="s">
        <v>7410</v>
      </c>
      <c r="AB751" s="1" t="s">
        <v>7411</v>
      </c>
      <c r="AC751" s="1" t="s">
        <v>74</v>
      </c>
      <c r="AD751" s="1" t="s">
        <v>74</v>
      </c>
      <c r="AE751" s="1" t="s">
        <v>74</v>
      </c>
      <c r="AF751" s="1" t="s">
        <v>74</v>
      </c>
      <c r="AG751" s="1" t="s">
        <v>74</v>
      </c>
      <c r="AH751" s="1" t="s">
        <v>74</v>
      </c>
      <c r="AI751" s="1" t="s">
        <v>74</v>
      </c>
      <c r="AJ751" s="1" t="s">
        <v>74</v>
      </c>
      <c r="AK751" s="1" t="s">
        <v>74</v>
      </c>
      <c r="AL751" s="1" t="s">
        <v>74</v>
      </c>
      <c r="AM751" s="1" t="s">
        <v>74</v>
      </c>
      <c r="AN751" s="1" t="s">
        <v>74</v>
      </c>
      <c r="AO751" s="1" t="s">
        <v>388</v>
      </c>
      <c r="AP751" s="1" t="s">
        <v>74</v>
      </c>
      <c r="AQ751" s="1" t="s">
        <v>74</v>
      </c>
      <c r="AR751" s="1" t="s">
        <v>74</v>
      </c>
      <c r="AS751" s="1" t="s">
        <v>74</v>
      </c>
      <c r="AT751" s="1" t="s">
        <v>74</v>
      </c>
      <c r="AU751" s="1">
        <v>2017.0</v>
      </c>
      <c r="AV751" s="1">
        <v>122.0</v>
      </c>
      <c r="AW751" s="1" t="s">
        <v>74</v>
      </c>
      <c r="AX751" s="1" t="s">
        <v>74</v>
      </c>
      <c r="AY751" s="1" t="s">
        <v>74</v>
      </c>
      <c r="AZ751" s="1" t="s">
        <v>74</v>
      </c>
      <c r="BA751" s="1" t="s">
        <v>74</v>
      </c>
      <c r="BB751" s="1">
        <v>985.0</v>
      </c>
      <c r="BC751" s="1">
        <v>992.0</v>
      </c>
      <c r="BD751" s="1" t="s">
        <v>74</v>
      </c>
      <c r="BE751" s="1" t="s">
        <v>7412</v>
      </c>
      <c r="BF751" s="2" t="str">
        <f>HYPERLINK("http://dx.doi.org/10.1016/j.procs.2017.11.464","http://dx.doi.org/10.1016/j.procs.2017.11.464")</f>
        <v>http://dx.doi.org/10.1016/j.procs.2017.11.464</v>
      </c>
      <c r="BG751" s="1" t="s">
        <v>74</v>
      </c>
      <c r="BH751" s="1" t="s">
        <v>74</v>
      </c>
      <c r="BI751" s="1" t="s">
        <v>74</v>
      </c>
      <c r="BJ751" s="1" t="s">
        <v>74</v>
      </c>
      <c r="BK751" s="1" t="s">
        <v>74</v>
      </c>
      <c r="BL751" s="1" t="s">
        <v>74</v>
      </c>
      <c r="BM751" s="1" t="s">
        <v>74</v>
      </c>
      <c r="BN751" s="1" t="s">
        <v>74</v>
      </c>
      <c r="BO751" s="1" t="s">
        <v>74</v>
      </c>
      <c r="BP751" s="1" t="s">
        <v>74</v>
      </c>
      <c r="BQ751" s="1" t="s">
        <v>74</v>
      </c>
      <c r="BR751" s="1" t="s">
        <v>74</v>
      </c>
      <c r="BS751" s="1" t="s">
        <v>7413</v>
      </c>
      <c r="BT751" s="1" t="str">
        <f>HYPERLINK("https%3A%2F%2Fwww.webofscience.com%2Fwos%2Fwoscc%2Ffull-record%2FWOS:000426698300131","View Full Record in Web of Science")</f>
        <v>View Full Record in Web of Science</v>
      </c>
    </row>
    <row r="752" ht="12.75" customHeight="1">
      <c r="A752" s="1" t="s">
        <v>72</v>
      </c>
      <c r="B752" s="1" t="s">
        <v>7414</v>
      </c>
      <c r="C752" s="1" t="s">
        <v>74</v>
      </c>
      <c r="D752" s="1" t="s">
        <v>74</v>
      </c>
      <c r="E752" s="1" t="s">
        <v>74</v>
      </c>
      <c r="F752" s="1" t="s">
        <v>927</v>
      </c>
      <c r="G752" s="1" t="s">
        <v>74</v>
      </c>
      <c r="H752" s="1" t="s">
        <v>74</v>
      </c>
      <c r="I752" s="1" t="s">
        <v>7415</v>
      </c>
      <c r="J752" s="1" t="s">
        <v>929</v>
      </c>
      <c r="K752" s="1" t="s">
        <v>74</v>
      </c>
      <c r="L752" s="1" t="s">
        <v>74</v>
      </c>
      <c r="M752" s="1" t="s">
        <v>74</v>
      </c>
      <c r="N752" s="1" t="s">
        <v>74</v>
      </c>
      <c r="O752" s="1" t="s">
        <v>74</v>
      </c>
      <c r="P752" s="1" t="s">
        <v>74</v>
      </c>
      <c r="Q752" s="1" t="s">
        <v>74</v>
      </c>
      <c r="R752" s="1" t="s">
        <v>74</v>
      </c>
      <c r="S752" s="1" t="s">
        <v>74</v>
      </c>
      <c r="T752" s="1" t="s">
        <v>74</v>
      </c>
      <c r="U752" s="1" t="s">
        <v>74</v>
      </c>
      <c r="V752" s="1" t="s">
        <v>7416</v>
      </c>
      <c r="W752" s="1" t="s">
        <v>74</v>
      </c>
      <c r="X752" s="1" t="s">
        <v>74</v>
      </c>
      <c r="Y752" s="1" t="s">
        <v>74</v>
      </c>
      <c r="Z752" s="1" t="s">
        <v>74</v>
      </c>
      <c r="AA752" s="1" t="s">
        <v>74</v>
      </c>
      <c r="AB752" s="1" t="s">
        <v>74</v>
      </c>
      <c r="AC752" s="1" t="s">
        <v>74</v>
      </c>
      <c r="AD752" s="1" t="s">
        <v>74</v>
      </c>
      <c r="AE752" s="1" t="s">
        <v>74</v>
      </c>
      <c r="AF752" s="1" t="s">
        <v>74</v>
      </c>
      <c r="AG752" s="1" t="s">
        <v>74</v>
      </c>
      <c r="AH752" s="1" t="s">
        <v>74</v>
      </c>
      <c r="AI752" s="1" t="s">
        <v>74</v>
      </c>
      <c r="AJ752" s="1" t="s">
        <v>74</v>
      </c>
      <c r="AK752" s="1" t="s">
        <v>74</v>
      </c>
      <c r="AL752" s="1" t="s">
        <v>74</v>
      </c>
      <c r="AM752" s="1" t="s">
        <v>74</v>
      </c>
      <c r="AN752" s="1" t="s">
        <v>74</v>
      </c>
      <c r="AO752" s="1" t="s">
        <v>931</v>
      </c>
      <c r="AP752" s="1" t="s">
        <v>932</v>
      </c>
      <c r="AQ752" s="1" t="s">
        <v>74</v>
      </c>
      <c r="AR752" s="1" t="s">
        <v>74</v>
      </c>
      <c r="AS752" s="1" t="s">
        <v>74</v>
      </c>
      <c r="AT752" s="1" t="s">
        <v>678</v>
      </c>
      <c r="AU752" s="1">
        <v>2016.0</v>
      </c>
      <c r="AV752" s="1">
        <v>151.0</v>
      </c>
      <c r="AW752" s="1" t="s">
        <v>74</v>
      </c>
      <c r="AX752" s="1" t="s">
        <v>74</v>
      </c>
      <c r="AY752" s="1" t="s">
        <v>74</v>
      </c>
      <c r="AZ752" s="1" t="s">
        <v>74</v>
      </c>
      <c r="BA752" s="1" t="s">
        <v>74</v>
      </c>
      <c r="BB752" s="1">
        <v>65.0</v>
      </c>
      <c r="BC752" s="1">
        <v>71.0</v>
      </c>
      <c r="BD752" s="1" t="s">
        <v>74</v>
      </c>
      <c r="BE752" s="1" t="s">
        <v>7417</v>
      </c>
      <c r="BF752" s="2" t="str">
        <f>HYPERLINK("http://dx.doi.org/10.1016/j.biosystemseng.2016.08.002","http://dx.doi.org/10.1016/j.biosystemseng.2016.08.002")</f>
        <v>http://dx.doi.org/10.1016/j.biosystemseng.2016.08.002</v>
      </c>
      <c r="BG752" s="1" t="s">
        <v>74</v>
      </c>
      <c r="BH752" s="1" t="s">
        <v>74</v>
      </c>
      <c r="BI752" s="1" t="s">
        <v>74</v>
      </c>
      <c r="BJ752" s="1" t="s">
        <v>74</v>
      </c>
      <c r="BK752" s="1" t="s">
        <v>74</v>
      </c>
      <c r="BL752" s="1" t="s">
        <v>74</v>
      </c>
      <c r="BM752" s="1" t="s">
        <v>74</v>
      </c>
      <c r="BN752" s="1" t="s">
        <v>74</v>
      </c>
      <c r="BO752" s="1" t="s">
        <v>74</v>
      </c>
      <c r="BP752" s="1" t="s">
        <v>74</v>
      </c>
      <c r="BQ752" s="1" t="s">
        <v>74</v>
      </c>
      <c r="BR752" s="1" t="s">
        <v>74</v>
      </c>
      <c r="BS752" s="1" t="s">
        <v>7418</v>
      </c>
      <c r="BT752" s="1" t="str">
        <f>HYPERLINK("https%3A%2F%2Fwww.webofscience.com%2Fwos%2Fwoscc%2Ffull-record%2FWOS:000389729200006","View Full Record in Web of Science")</f>
        <v>View Full Record in Web of Science</v>
      </c>
    </row>
    <row r="753" ht="12.75" customHeight="1">
      <c r="A753" s="1" t="s">
        <v>72</v>
      </c>
      <c r="B753" s="1" t="s">
        <v>7419</v>
      </c>
      <c r="C753" s="1" t="s">
        <v>74</v>
      </c>
      <c r="D753" s="1" t="s">
        <v>74</v>
      </c>
      <c r="E753" s="1" t="s">
        <v>74</v>
      </c>
      <c r="F753" s="1" t="s">
        <v>7420</v>
      </c>
      <c r="G753" s="1" t="s">
        <v>74</v>
      </c>
      <c r="H753" s="1" t="s">
        <v>74</v>
      </c>
      <c r="I753" s="1" t="s">
        <v>7421</v>
      </c>
      <c r="J753" s="1" t="s">
        <v>1653</v>
      </c>
      <c r="K753" s="1" t="s">
        <v>74</v>
      </c>
      <c r="L753" s="1" t="s">
        <v>74</v>
      </c>
      <c r="M753" s="1" t="s">
        <v>74</v>
      </c>
      <c r="N753" s="1" t="s">
        <v>74</v>
      </c>
      <c r="O753" s="1" t="s">
        <v>74</v>
      </c>
      <c r="P753" s="1" t="s">
        <v>74</v>
      </c>
      <c r="Q753" s="1" t="s">
        <v>74</v>
      </c>
      <c r="R753" s="1" t="s">
        <v>74</v>
      </c>
      <c r="S753" s="1" t="s">
        <v>74</v>
      </c>
      <c r="T753" s="1" t="s">
        <v>74</v>
      </c>
      <c r="U753" s="1" t="s">
        <v>74</v>
      </c>
      <c r="V753" s="1" t="s">
        <v>7422</v>
      </c>
      <c r="W753" s="1" t="s">
        <v>74</v>
      </c>
      <c r="X753" s="1" t="s">
        <v>74</v>
      </c>
      <c r="Y753" s="1" t="s">
        <v>74</v>
      </c>
      <c r="Z753" s="1" t="s">
        <v>74</v>
      </c>
      <c r="AA753" s="1" t="s">
        <v>7423</v>
      </c>
      <c r="AB753" s="1" t="s">
        <v>7424</v>
      </c>
      <c r="AC753" s="1" t="s">
        <v>74</v>
      </c>
      <c r="AD753" s="1" t="s">
        <v>74</v>
      </c>
      <c r="AE753" s="1" t="s">
        <v>74</v>
      </c>
      <c r="AF753" s="1" t="s">
        <v>74</v>
      </c>
      <c r="AG753" s="1" t="s">
        <v>74</v>
      </c>
      <c r="AH753" s="1" t="s">
        <v>74</v>
      </c>
      <c r="AI753" s="1" t="s">
        <v>74</v>
      </c>
      <c r="AJ753" s="1" t="s">
        <v>74</v>
      </c>
      <c r="AK753" s="1" t="s">
        <v>74</v>
      </c>
      <c r="AL753" s="1" t="s">
        <v>74</v>
      </c>
      <c r="AM753" s="1" t="s">
        <v>74</v>
      </c>
      <c r="AN753" s="1" t="s">
        <v>74</v>
      </c>
      <c r="AO753" s="1" t="s">
        <v>1657</v>
      </c>
      <c r="AP753" s="1" t="s">
        <v>1658</v>
      </c>
      <c r="AQ753" s="1" t="s">
        <v>74</v>
      </c>
      <c r="AR753" s="1" t="s">
        <v>74</v>
      </c>
      <c r="AS753" s="1" t="s">
        <v>74</v>
      </c>
      <c r="AT753" s="1" t="s">
        <v>1413</v>
      </c>
      <c r="AU753" s="1">
        <v>2016.0</v>
      </c>
      <c r="AV753" s="1">
        <v>135.0</v>
      </c>
      <c r="AW753" s="1">
        <v>5.0</v>
      </c>
      <c r="AX753" s="1" t="s">
        <v>74</v>
      </c>
      <c r="AY753" s="1" t="s">
        <v>74</v>
      </c>
      <c r="AZ753" s="1" t="s">
        <v>74</v>
      </c>
      <c r="BA753" s="1" t="s">
        <v>74</v>
      </c>
      <c r="BB753" s="1" t="s">
        <v>74</v>
      </c>
      <c r="BC753" s="1" t="s">
        <v>74</v>
      </c>
      <c r="BD753" s="1">
        <v>122.0</v>
      </c>
      <c r="BE753" s="1" t="s">
        <v>7425</v>
      </c>
      <c r="BF753" s="2" t="str">
        <f>HYPERLINK("http://dx.doi.org/10.1007/s00214-016-1878-9","http://dx.doi.org/10.1007/s00214-016-1878-9")</f>
        <v>http://dx.doi.org/10.1007/s00214-016-1878-9</v>
      </c>
      <c r="BG753" s="1" t="s">
        <v>74</v>
      </c>
      <c r="BH753" s="1" t="s">
        <v>74</v>
      </c>
      <c r="BI753" s="1" t="s">
        <v>74</v>
      </c>
      <c r="BJ753" s="1" t="s">
        <v>74</v>
      </c>
      <c r="BK753" s="1" t="s">
        <v>74</v>
      </c>
      <c r="BL753" s="1" t="s">
        <v>74</v>
      </c>
      <c r="BM753" s="1" t="s">
        <v>74</v>
      </c>
      <c r="BN753" s="1" t="s">
        <v>74</v>
      </c>
      <c r="BO753" s="1" t="s">
        <v>74</v>
      </c>
      <c r="BP753" s="1" t="s">
        <v>74</v>
      </c>
      <c r="BQ753" s="1" t="s">
        <v>74</v>
      </c>
      <c r="BR753" s="1" t="s">
        <v>74</v>
      </c>
      <c r="BS753" s="1" t="s">
        <v>7426</v>
      </c>
      <c r="BT753" s="1" t="str">
        <f>HYPERLINK("https%3A%2F%2Fwww.webofscience.com%2Fwos%2Fwoscc%2Ffull-record%2FWOS:000376492300001","View Full Record in Web of Science")</f>
        <v>View Full Record in Web of Science</v>
      </c>
    </row>
    <row r="754" ht="12.75" customHeight="1">
      <c r="A754" s="1" t="s">
        <v>72</v>
      </c>
      <c r="B754" s="1" t="s">
        <v>7427</v>
      </c>
      <c r="C754" s="1" t="s">
        <v>74</v>
      </c>
      <c r="D754" s="1" t="s">
        <v>74</v>
      </c>
      <c r="E754" s="1" t="s">
        <v>74</v>
      </c>
      <c r="F754" s="1" t="s">
        <v>7428</v>
      </c>
      <c r="G754" s="1" t="s">
        <v>74</v>
      </c>
      <c r="H754" s="1" t="s">
        <v>74</v>
      </c>
      <c r="I754" s="1" t="s">
        <v>7429</v>
      </c>
      <c r="J754" s="1" t="s">
        <v>7430</v>
      </c>
      <c r="K754" s="1" t="s">
        <v>74</v>
      </c>
      <c r="L754" s="1" t="s">
        <v>74</v>
      </c>
      <c r="M754" s="1" t="s">
        <v>74</v>
      </c>
      <c r="N754" s="1" t="s">
        <v>74</v>
      </c>
      <c r="O754" s="1" t="s">
        <v>74</v>
      </c>
      <c r="P754" s="1" t="s">
        <v>74</v>
      </c>
      <c r="Q754" s="1" t="s">
        <v>74</v>
      </c>
      <c r="R754" s="1" t="s">
        <v>74</v>
      </c>
      <c r="S754" s="1" t="s">
        <v>74</v>
      </c>
      <c r="T754" s="1" t="s">
        <v>74</v>
      </c>
      <c r="U754" s="1" t="s">
        <v>74</v>
      </c>
      <c r="V754" s="1" t="s">
        <v>7431</v>
      </c>
      <c r="W754" s="1" t="s">
        <v>74</v>
      </c>
      <c r="X754" s="1" t="s">
        <v>74</v>
      </c>
      <c r="Y754" s="1" t="s">
        <v>74</v>
      </c>
      <c r="Z754" s="1" t="s">
        <v>74</v>
      </c>
      <c r="AA754" s="1" t="s">
        <v>7432</v>
      </c>
      <c r="AB754" s="1" t="s">
        <v>7433</v>
      </c>
      <c r="AC754" s="1" t="s">
        <v>74</v>
      </c>
      <c r="AD754" s="1" t="s">
        <v>74</v>
      </c>
      <c r="AE754" s="1" t="s">
        <v>74</v>
      </c>
      <c r="AF754" s="1" t="s">
        <v>74</v>
      </c>
      <c r="AG754" s="1" t="s">
        <v>74</v>
      </c>
      <c r="AH754" s="1" t="s">
        <v>74</v>
      </c>
      <c r="AI754" s="1" t="s">
        <v>74</v>
      </c>
      <c r="AJ754" s="1" t="s">
        <v>74</v>
      </c>
      <c r="AK754" s="1" t="s">
        <v>74</v>
      </c>
      <c r="AL754" s="1" t="s">
        <v>74</v>
      </c>
      <c r="AM754" s="1" t="s">
        <v>74</v>
      </c>
      <c r="AN754" s="1" t="s">
        <v>74</v>
      </c>
      <c r="AO754" s="1" t="s">
        <v>7434</v>
      </c>
      <c r="AP754" s="1" t="s">
        <v>7435</v>
      </c>
      <c r="AQ754" s="1" t="s">
        <v>74</v>
      </c>
      <c r="AR754" s="1" t="s">
        <v>74</v>
      </c>
      <c r="AS754" s="1" t="s">
        <v>74</v>
      </c>
      <c r="AT754" s="1" t="s">
        <v>306</v>
      </c>
      <c r="AU754" s="1">
        <v>2014.0</v>
      </c>
      <c r="AV754" s="1">
        <v>41.0</v>
      </c>
      <c r="AW754" s="1" t="s">
        <v>74</v>
      </c>
      <c r="AX754" s="1" t="s">
        <v>74</v>
      </c>
      <c r="AY754" s="1" t="s">
        <v>74</v>
      </c>
      <c r="AZ754" s="1" t="s">
        <v>74</v>
      </c>
      <c r="BA754" s="1" t="s">
        <v>74</v>
      </c>
      <c r="BB754" s="1">
        <v>8.0</v>
      </c>
      <c r="BC754" s="1">
        <v>11.0</v>
      </c>
      <c r="BD754" s="1" t="s">
        <v>74</v>
      </c>
      <c r="BE754" s="1" t="s">
        <v>7436</v>
      </c>
      <c r="BF754" s="2" t="str">
        <f>HYPERLINK("http://dx.doi.org/10.1016/j.elecom.2014.01.012","http://dx.doi.org/10.1016/j.elecom.2014.01.012")</f>
        <v>http://dx.doi.org/10.1016/j.elecom.2014.01.012</v>
      </c>
      <c r="BG754" s="1" t="s">
        <v>74</v>
      </c>
      <c r="BH754" s="1" t="s">
        <v>74</v>
      </c>
      <c r="BI754" s="1" t="s">
        <v>74</v>
      </c>
      <c r="BJ754" s="1" t="s">
        <v>74</v>
      </c>
      <c r="BK754" s="1" t="s">
        <v>74</v>
      </c>
      <c r="BL754" s="1" t="s">
        <v>74</v>
      </c>
      <c r="BM754" s="1" t="s">
        <v>74</v>
      </c>
      <c r="BN754" s="1" t="s">
        <v>74</v>
      </c>
      <c r="BO754" s="1" t="s">
        <v>74</v>
      </c>
      <c r="BP754" s="1" t="s">
        <v>74</v>
      </c>
      <c r="BQ754" s="1" t="s">
        <v>74</v>
      </c>
      <c r="BR754" s="1" t="s">
        <v>74</v>
      </c>
      <c r="BS754" s="1" t="s">
        <v>7437</v>
      </c>
      <c r="BT754" s="1" t="str">
        <f>HYPERLINK("https%3A%2F%2Fwww.webofscience.com%2Fwos%2Fwoscc%2Ffull-record%2FWOS:000333858100003","View Full Record in Web of Science")</f>
        <v>View Full Record in Web of Science</v>
      </c>
    </row>
    <row r="755" ht="12.75" customHeight="1">
      <c r="A755" s="1" t="s">
        <v>72</v>
      </c>
      <c r="B755" s="1" t="s">
        <v>5107</v>
      </c>
      <c r="C755" s="1" t="s">
        <v>74</v>
      </c>
      <c r="D755" s="1" t="s">
        <v>74</v>
      </c>
      <c r="E755" s="1" t="s">
        <v>74</v>
      </c>
      <c r="F755" s="1" t="s">
        <v>5108</v>
      </c>
      <c r="G755" s="1" t="s">
        <v>74</v>
      </c>
      <c r="H755" s="1" t="s">
        <v>74</v>
      </c>
      <c r="I755" s="1" t="s">
        <v>7438</v>
      </c>
      <c r="J755" s="1" t="s">
        <v>3267</v>
      </c>
      <c r="K755" s="1" t="s">
        <v>74</v>
      </c>
      <c r="L755" s="1" t="s">
        <v>74</v>
      </c>
      <c r="M755" s="1" t="s">
        <v>74</v>
      </c>
      <c r="N755" s="1" t="s">
        <v>74</v>
      </c>
      <c r="O755" s="1" t="s">
        <v>74</v>
      </c>
      <c r="P755" s="1" t="s">
        <v>74</v>
      </c>
      <c r="Q755" s="1" t="s">
        <v>74</v>
      </c>
      <c r="R755" s="1" t="s">
        <v>74</v>
      </c>
      <c r="S755" s="1" t="s">
        <v>74</v>
      </c>
      <c r="T755" s="1" t="s">
        <v>74</v>
      </c>
      <c r="U755" s="1" t="s">
        <v>74</v>
      </c>
      <c r="V755" s="1" t="s">
        <v>7439</v>
      </c>
      <c r="W755" s="1" t="s">
        <v>74</v>
      </c>
      <c r="X755" s="1" t="s">
        <v>74</v>
      </c>
      <c r="Y755" s="1" t="s">
        <v>74</v>
      </c>
      <c r="Z755" s="1" t="s">
        <v>74</v>
      </c>
      <c r="AA755" s="1" t="s">
        <v>5110</v>
      </c>
      <c r="AB755" s="1" t="s">
        <v>7440</v>
      </c>
      <c r="AC755" s="1" t="s">
        <v>74</v>
      </c>
      <c r="AD755" s="1" t="s">
        <v>74</v>
      </c>
      <c r="AE755" s="1" t="s">
        <v>74</v>
      </c>
      <c r="AF755" s="1" t="s">
        <v>74</v>
      </c>
      <c r="AG755" s="1" t="s">
        <v>74</v>
      </c>
      <c r="AH755" s="1" t="s">
        <v>74</v>
      </c>
      <c r="AI755" s="1" t="s">
        <v>74</v>
      </c>
      <c r="AJ755" s="1" t="s">
        <v>74</v>
      </c>
      <c r="AK755" s="1" t="s">
        <v>74</v>
      </c>
      <c r="AL755" s="1" t="s">
        <v>74</v>
      </c>
      <c r="AM755" s="1" t="s">
        <v>74</v>
      </c>
      <c r="AN755" s="1" t="s">
        <v>74</v>
      </c>
      <c r="AO755" s="1" t="s">
        <v>3271</v>
      </c>
      <c r="AP755" s="1" t="s">
        <v>5112</v>
      </c>
      <c r="AQ755" s="1" t="s">
        <v>74</v>
      </c>
      <c r="AR755" s="1" t="s">
        <v>74</v>
      </c>
      <c r="AS755" s="1" t="s">
        <v>74</v>
      </c>
      <c r="AT755" s="1" t="s">
        <v>7441</v>
      </c>
      <c r="AU755" s="1">
        <v>2013.0</v>
      </c>
      <c r="AV755" s="1">
        <v>117.0</v>
      </c>
      <c r="AW755" s="1">
        <v>7.0</v>
      </c>
      <c r="AX755" s="1" t="s">
        <v>74</v>
      </c>
      <c r="AY755" s="1" t="s">
        <v>74</v>
      </c>
      <c r="AZ755" s="1" t="s">
        <v>74</v>
      </c>
      <c r="BA755" s="1" t="s">
        <v>74</v>
      </c>
      <c r="BB755" s="1">
        <v>2160.0</v>
      </c>
      <c r="BC755" s="1">
        <v>2168.0</v>
      </c>
      <c r="BD755" s="1" t="s">
        <v>74</v>
      </c>
      <c r="BE755" s="1" t="s">
        <v>7442</v>
      </c>
      <c r="BF755" s="2" t="str">
        <f>HYPERLINK("http://dx.doi.org/10.1021/jp310854s","http://dx.doi.org/10.1021/jp310854s")</f>
        <v>http://dx.doi.org/10.1021/jp310854s</v>
      </c>
      <c r="BG755" s="1" t="s">
        <v>74</v>
      </c>
      <c r="BH755" s="1" t="s">
        <v>74</v>
      </c>
      <c r="BI755" s="1" t="s">
        <v>74</v>
      </c>
      <c r="BJ755" s="1" t="s">
        <v>74</v>
      </c>
      <c r="BK755" s="1" t="s">
        <v>74</v>
      </c>
      <c r="BL755" s="1" t="s">
        <v>74</v>
      </c>
      <c r="BM755" s="1" t="s">
        <v>74</v>
      </c>
      <c r="BN755" s="1">
        <v>2.3347065E7</v>
      </c>
      <c r="BO755" s="1" t="s">
        <v>74</v>
      </c>
      <c r="BP755" s="1" t="s">
        <v>74</v>
      </c>
      <c r="BQ755" s="1" t="s">
        <v>74</v>
      </c>
      <c r="BR755" s="1" t="s">
        <v>74</v>
      </c>
      <c r="BS755" s="1" t="s">
        <v>7443</v>
      </c>
      <c r="BT755" s="1" t="str">
        <f>HYPERLINK("https%3A%2F%2Fwww.webofscience.com%2Fwos%2Fwoscc%2Ffull-record%2FWOS:000315432200020","View Full Record in Web of Science")</f>
        <v>View Full Record in Web of Science</v>
      </c>
    </row>
    <row r="756" ht="12.75" customHeight="1">
      <c r="A756" s="1" t="s">
        <v>72</v>
      </c>
      <c r="B756" s="1" t="s">
        <v>7444</v>
      </c>
      <c r="C756" s="1" t="s">
        <v>74</v>
      </c>
      <c r="D756" s="1" t="s">
        <v>74</v>
      </c>
      <c r="E756" s="1" t="s">
        <v>74</v>
      </c>
      <c r="F756" s="1" t="s">
        <v>7445</v>
      </c>
      <c r="G756" s="1" t="s">
        <v>74</v>
      </c>
      <c r="H756" s="1" t="s">
        <v>74</v>
      </c>
      <c r="I756" s="1" t="s">
        <v>7446</v>
      </c>
      <c r="J756" s="1" t="s">
        <v>7447</v>
      </c>
      <c r="K756" s="1" t="s">
        <v>74</v>
      </c>
      <c r="L756" s="1" t="s">
        <v>74</v>
      </c>
      <c r="M756" s="1" t="s">
        <v>74</v>
      </c>
      <c r="N756" s="1" t="s">
        <v>74</v>
      </c>
      <c r="O756" s="1" t="s">
        <v>74</v>
      </c>
      <c r="P756" s="1" t="s">
        <v>74</v>
      </c>
      <c r="Q756" s="1" t="s">
        <v>74</v>
      </c>
      <c r="R756" s="1" t="s">
        <v>74</v>
      </c>
      <c r="S756" s="1" t="s">
        <v>74</v>
      </c>
      <c r="T756" s="1" t="s">
        <v>74</v>
      </c>
      <c r="U756" s="1" t="s">
        <v>74</v>
      </c>
      <c r="V756" s="1" t="s">
        <v>7448</v>
      </c>
      <c r="W756" s="1" t="s">
        <v>74</v>
      </c>
      <c r="X756" s="1" t="s">
        <v>74</v>
      </c>
      <c r="Y756" s="1" t="s">
        <v>74</v>
      </c>
      <c r="Z756" s="1" t="s">
        <v>74</v>
      </c>
      <c r="AA756" s="1" t="s">
        <v>7449</v>
      </c>
      <c r="AB756" s="1" t="s">
        <v>7450</v>
      </c>
      <c r="AC756" s="1" t="s">
        <v>74</v>
      </c>
      <c r="AD756" s="1" t="s">
        <v>74</v>
      </c>
      <c r="AE756" s="1" t="s">
        <v>74</v>
      </c>
      <c r="AF756" s="1" t="s">
        <v>74</v>
      </c>
      <c r="AG756" s="1" t="s">
        <v>74</v>
      </c>
      <c r="AH756" s="1" t="s">
        <v>74</v>
      </c>
      <c r="AI756" s="1" t="s">
        <v>74</v>
      </c>
      <c r="AJ756" s="1" t="s">
        <v>74</v>
      </c>
      <c r="AK756" s="1" t="s">
        <v>74</v>
      </c>
      <c r="AL756" s="1" t="s">
        <v>74</v>
      </c>
      <c r="AM756" s="1" t="s">
        <v>74</v>
      </c>
      <c r="AN756" s="1" t="s">
        <v>74</v>
      </c>
      <c r="AO756" s="1" t="s">
        <v>7451</v>
      </c>
      <c r="AP756" s="1" t="s">
        <v>7452</v>
      </c>
      <c r="AQ756" s="1" t="s">
        <v>74</v>
      </c>
      <c r="AR756" s="1" t="s">
        <v>74</v>
      </c>
      <c r="AS756" s="1" t="s">
        <v>74</v>
      </c>
      <c r="AT756" s="1" t="s">
        <v>235</v>
      </c>
      <c r="AU756" s="1">
        <v>2013.0</v>
      </c>
      <c r="AV756" s="1">
        <v>19.0</v>
      </c>
      <c r="AW756" s="1">
        <v>2.0</v>
      </c>
      <c r="AX756" s="1" t="s">
        <v>74</v>
      </c>
      <c r="AY756" s="1" t="s">
        <v>74</v>
      </c>
      <c r="AZ756" s="1" t="s">
        <v>74</v>
      </c>
      <c r="BA756" s="1" t="s">
        <v>74</v>
      </c>
      <c r="BB756" s="1">
        <v>689.0</v>
      </c>
      <c r="BC756" s="1">
        <v>696.0</v>
      </c>
      <c r="BD756" s="1" t="s">
        <v>74</v>
      </c>
      <c r="BE756" s="1" t="s">
        <v>7453</v>
      </c>
      <c r="BF756" s="2" t="str">
        <f>HYPERLINK("http://dx.doi.org/10.1007/s00894-012-1593-y","http://dx.doi.org/10.1007/s00894-012-1593-y")</f>
        <v>http://dx.doi.org/10.1007/s00894-012-1593-y</v>
      </c>
      <c r="BG756" s="1" t="s">
        <v>74</v>
      </c>
      <c r="BH756" s="1" t="s">
        <v>74</v>
      </c>
      <c r="BI756" s="1" t="s">
        <v>74</v>
      </c>
      <c r="BJ756" s="1" t="s">
        <v>74</v>
      </c>
      <c r="BK756" s="1" t="s">
        <v>74</v>
      </c>
      <c r="BL756" s="1" t="s">
        <v>74</v>
      </c>
      <c r="BM756" s="1" t="s">
        <v>74</v>
      </c>
      <c r="BN756" s="1">
        <v>2.3011609E7</v>
      </c>
      <c r="BO756" s="1" t="s">
        <v>74</v>
      </c>
      <c r="BP756" s="1" t="s">
        <v>74</v>
      </c>
      <c r="BQ756" s="1" t="s">
        <v>74</v>
      </c>
      <c r="BR756" s="1" t="s">
        <v>74</v>
      </c>
      <c r="BS756" s="1" t="s">
        <v>7454</v>
      </c>
      <c r="BT756" s="1" t="str">
        <f>HYPERLINK("https%3A%2F%2Fwww.webofscience.com%2Fwos%2Fwoscc%2Ffull-record%2FWOS:000314051200019","View Full Record in Web of Science")</f>
        <v>View Full Record in Web of Science</v>
      </c>
    </row>
    <row r="757" ht="12.75" customHeight="1">
      <c r="A757" s="1" t="s">
        <v>72</v>
      </c>
      <c r="B757" s="1" t="s">
        <v>7455</v>
      </c>
      <c r="C757" s="1" t="s">
        <v>74</v>
      </c>
      <c r="D757" s="1" t="s">
        <v>74</v>
      </c>
      <c r="E757" s="1" t="s">
        <v>74</v>
      </c>
      <c r="F757" s="1" t="s">
        <v>7456</v>
      </c>
      <c r="G757" s="1" t="s">
        <v>74</v>
      </c>
      <c r="H757" s="1" t="s">
        <v>74</v>
      </c>
      <c r="I757" s="1" t="s">
        <v>7457</v>
      </c>
      <c r="J757" s="1" t="s">
        <v>948</v>
      </c>
      <c r="K757" s="1" t="s">
        <v>74</v>
      </c>
      <c r="L757" s="1" t="s">
        <v>74</v>
      </c>
      <c r="M757" s="1" t="s">
        <v>74</v>
      </c>
      <c r="N757" s="1" t="s">
        <v>74</v>
      </c>
      <c r="O757" s="1" t="s">
        <v>74</v>
      </c>
      <c r="P757" s="1" t="s">
        <v>74</v>
      </c>
      <c r="Q757" s="1" t="s">
        <v>74</v>
      </c>
      <c r="R757" s="1" t="s">
        <v>74</v>
      </c>
      <c r="S757" s="1" t="s">
        <v>74</v>
      </c>
      <c r="T757" s="1" t="s">
        <v>74</v>
      </c>
      <c r="U757" s="1" t="s">
        <v>74</v>
      </c>
      <c r="V757" s="1" t="s">
        <v>7458</v>
      </c>
      <c r="W757" s="1" t="s">
        <v>74</v>
      </c>
      <c r="X757" s="1" t="s">
        <v>74</v>
      </c>
      <c r="Y757" s="1" t="s">
        <v>74</v>
      </c>
      <c r="Z757" s="1" t="s">
        <v>74</v>
      </c>
      <c r="AA757" s="1" t="s">
        <v>4765</v>
      </c>
      <c r="AB757" s="1" t="s">
        <v>7459</v>
      </c>
      <c r="AC757" s="1" t="s">
        <v>74</v>
      </c>
      <c r="AD757" s="1" t="s">
        <v>74</v>
      </c>
      <c r="AE757" s="1" t="s">
        <v>74</v>
      </c>
      <c r="AF757" s="1" t="s">
        <v>74</v>
      </c>
      <c r="AG757" s="1" t="s">
        <v>74</v>
      </c>
      <c r="AH757" s="1" t="s">
        <v>74</v>
      </c>
      <c r="AI757" s="1" t="s">
        <v>74</v>
      </c>
      <c r="AJ757" s="1" t="s">
        <v>74</v>
      </c>
      <c r="AK757" s="1" t="s">
        <v>74</v>
      </c>
      <c r="AL757" s="1" t="s">
        <v>74</v>
      </c>
      <c r="AM757" s="1" t="s">
        <v>74</v>
      </c>
      <c r="AN757" s="1" t="s">
        <v>74</v>
      </c>
      <c r="AO757" s="1" t="s">
        <v>951</v>
      </c>
      <c r="AP757" s="1" t="s">
        <v>952</v>
      </c>
      <c r="AQ757" s="1" t="s">
        <v>74</v>
      </c>
      <c r="AR757" s="1" t="s">
        <v>74</v>
      </c>
      <c r="AS757" s="1" t="s">
        <v>74</v>
      </c>
      <c r="AT757" s="1" t="s">
        <v>7460</v>
      </c>
      <c r="AU757" s="1">
        <v>2012.0</v>
      </c>
      <c r="AV757" s="1">
        <v>116.0</v>
      </c>
      <c r="AW757" s="1">
        <v>1.0</v>
      </c>
      <c r="AX757" s="1" t="s">
        <v>74</v>
      </c>
      <c r="AY757" s="1" t="s">
        <v>74</v>
      </c>
      <c r="AZ757" s="1" t="s">
        <v>74</v>
      </c>
      <c r="BA757" s="1" t="s">
        <v>74</v>
      </c>
      <c r="BB757" s="1">
        <v>199.0</v>
      </c>
      <c r="BC757" s="1">
        <v>206.0</v>
      </c>
      <c r="BD757" s="1" t="s">
        <v>74</v>
      </c>
      <c r="BE757" s="1" t="s">
        <v>7461</v>
      </c>
      <c r="BF757" s="2" t="str">
        <f>HYPERLINK("http://dx.doi.org/10.1021/jp207100q","http://dx.doi.org/10.1021/jp207100q")</f>
        <v>http://dx.doi.org/10.1021/jp207100q</v>
      </c>
      <c r="BG757" s="1" t="s">
        <v>74</v>
      </c>
      <c r="BH757" s="1" t="s">
        <v>74</v>
      </c>
      <c r="BI757" s="1" t="s">
        <v>74</v>
      </c>
      <c r="BJ757" s="1" t="s">
        <v>74</v>
      </c>
      <c r="BK757" s="1" t="s">
        <v>74</v>
      </c>
      <c r="BL757" s="1" t="s">
        <v>74</v>
      </c>
      <c r="BM757" s="1" t="s">
        <v>74</v>
      </c>
      <c r="BN757" s="1">
        <v>2.2142362E7</v>
      </c>
      <c r="BO757" s="1" t="s">
        <v>74</v>
      </c>
      <c r="BP757" s="1" t="s">
        <v>74</v>
      </c>
      <c r="BQ757" s="1" t="s">
        <v>74</v>
      </c>
      <c r="BR757" s="1" t="s">
        <v>74</v>
      </c>
      <c r="BS757" s="1" t="s">
        <v>7462</v>
      </c>
      <c r="BT757" s="1" t="str">
        <f>HYPERLINK("https%3A%2F%2Fwww.webofscience.com%2Fwos%2Fwoscc%2Ffull-record%2FWOS:000298978000023","View Full Record in Web of Science")</f>
        <v>View Full Record in Web of Science</v>
      </c>
    </row>
    <row r="758" ht="12.75" customHeight="1">
      <c r="A758" s="1" t="s">
        <v>72</v>
      </c>
      <c r="B758" s="1" t="s">
        <v>7463</v>
      </c>
      <c r="C758" s="1" t="s">
        <v>74</v>
      </c>
      <c r="D758" s="1" t="s">
        <v>74</v>
      </c>
      <c r="E758" s="1" t="s">
        <v>74</v>
      </c>
      <c r="F758" s="1" t="s">
        <v>7464</v>
      </c>
      <c r="G758" s="1" t="s">
        <v>74</v>
      </c>
      <c r="H758" s="1" t="s">
        <v>74</v>
      </c>
      <c r="I758" s="1" t="s">
        <v>7465</v>
      </c>
      <c r="J758" s="1" t="s">
        <v>7466</v>
      </c>
      <c r="K758" s="1" t="s">
        <v>74</v>
      </c>
      <c r="L758" s="1" t="s">
        <v>74</v>
      </c>
      <c r="M758" s="1" t="s">
        <v>74</v>
      </c>
      <c r="N758" s="1" t="s">
        <v>74</v>
      </c>
      <c r="O758" s="1" t="s">
        <v>74</v>
      </c>
      <c r="P758" s="1" t="s">
        <v>74</v>
      </c>
      <c r="Q758" s="1" t="s">
        <v>74</v>
      </c>
      <c r="R758" s="1" t="s">
        <v>74</v>
      </c>
      <c r="S758" s="1" t="s">
        <v>74</v>
      </c>
      <c r="T758" s="1" t="s">
        <v>74</v>
      </c>
      <c r="U758" s="1" t="s">
        <v>74</v>
      </c>
      <c r="V758" s="1" t="s">
        <v>7467</v>
      </c>
      <c r="W758" s="1" t="s">
        <v>74</v>
      </c>
      <c r="X758" s="1" t="s">
        <v>74</v>
      </c>
      <c r="Y758" s="1" t="s">
        <v>74</v>
      </c>
      <c r="Z758" s="1" t="s">
        <v>74</v>
      </c>
      <c r="AA758" s="1" t="s">
        <v>7468</v>
      </c>
      <c r="AB758" s="1" t="s">
        <v>5814</v>
      </c>
      <c r="AC758" s="1" t="s">
        <v>74</v>
      </c>
      <c r="AD758" s="1" t="s">
        <v>74</v>
      </c>
      <c r="AE758" s="1" t="s">
        <v>74</v>
      </c>
      <c r="AF758" s="1" t="s">
        <v>74</v>
      </c>
      <c r="AG758" s="1" t="s">
        <v>74</v>
      </c>
      <c r="AH758" s="1" t="s">
        <v>74</v>
      </c>
      <c r="AI758" s="1" t="s">
        <v>74</v>
      </c>
      <c r="AJ758" s="1" t="s">
        <v>74</v>
      </c>
      <c r="AK758" s="1" t="s">
        <v>74</v>
      </c>
      <c r="AL758" s="1" t="s">
        <v>74</v>
      </c>
      <c r="AM758" s="1" t="s">
        <v>74</v>
      </c>
      <c r="AN758" s="1" t="s">
        <v>74</v>
      </c>
      <c r="AO758" s="1" t="s">
        <v>7469</v>
      </c>
      <c r="AP758" s="1" t="s">
        <v>74</v>
      </c>
      <c r="AQ758" s="1" t="s">
        <v>74</v>
      </c>
      <c r="AR758" s="1" t="s">
        <v>74</v>
      </c>
      <c r="AS758" s="1" t="s">
        <v>74</v>
      </c>
      <c r="AT758" s="1" t="s">
        <v>294</v>
      </c>
      <c r="AU758" s="1">
        <v>2011.0</v>
      </c>
      <c r="AV758" s="1">
        <v>10.0</v>
      </c>
      <c r="AW758" s="1">
        <v>2.0</v>
      </c>
      <c r="AX758" s="1" t="s">
        <v>74</v>
      </c>
      <c r="AY758" s="1" t="s">
        <v>74</v>
      </c>
      <c r="AZ758" s="1" t="s">
        <v>74</v>
      </c>
      <c r="BA758" s="1" t="s">
        <v>74</v>
      </c>
      <c r="BB758" s="1">
        <v>277.0</v>
      </c>
      <c r="BC758" s="1">
        <v>295.0</v>
      </c>
      <c r="BD758" s="1" t="s">
        <v>74</v>
      </c>
      <c r="BE758" s="1" t="s">
        <v>74</v>
      </c>
      <c r="BF758" s="1" t="s">
        <v>74</v>
      </c>
      <c r="BG758" s="1" t="s">
        <v>74</v>
      </c>
      <c r="BH758" s="1" t="s">
        <v>74</v>
      </c>
      <c r="BI758" s="1" t="s">
        <v>74</v>
      </c>
      <c r="BJ758" s="1" t="s">
        <v>74</v>
      </c>
      <c r="BK758" s="1" t="s">
        <v>74</v>
      </c>
      <c r="BL758" s="1" t="s">
        <v>74</v>
      </c>
      <c r="BM758" s="1" t="s">
        <v>74</v>
      </c>
      <c r="BN758" s="1" t="s">
        <v>74</v>
      </c>
      <c r="BO758" s="1" t="s">
        <v>74</v>
      </c>
      <c r="BP758" s="1" t="s">
        <v>74</v>
      </c>
      <c r="BQ758" s="1" t="s">
        <v>74</v>
      </c>
      <c r="BR758" s="1" t="s">
        <v>74</v>
      </c>
      <c r="BS758" s="1" t="s">
        <v>7470</v>
      </c>
      <c r="BT758" s="1" t="str">
        <f>HYPERLINK("https%3A%2F%2Fwww.webofscience.com%2Fwos%2Fwoscc%2Ffull-record%2FWOS:000292853800007","View Full Record in Web of Science")</f>
        <v>View Full Record in Web of Science</v>
      </c>
    </row>
    <row r="759" ht="12.75" customHeight="1">
      <c r="A759" s="1" t="s">
        <v>72</v>
      </c>
      <c r="B759" s="1" t="s">
        <v>7471</v>
      </c>
      <c r="C759" s="1" t="s">
        <v>74</v>
      </c>
      <c r="D759" s="1" t="s">
        <v>74</v>
      </c>
      <c r="E759" s="1" t="s">
        <v>74</v>
      </c>
      <c r="F759" s="1" t="s">
        <v>7472</v>
      </c>
      <c r="G759" s="1" t="s">
        <v>74</v>
      </c>
      <c r="H759" s="1" t="s">
        <v>74</v>
      </c>
      <c r="I759" s="1" t="s">
        <v>7473</v>
      </c>
      <c r="J759" s="1" t="s">
        <v>6172</v>
      </c>
      <c r="K759" s="1" t="s">
        <v>74</v>
      </c>
      <c r="L759" s="1" t="s">
        <v>74</v>
      </c>
      <c r="M759" s="1" t="s">
        <v>74</v>
      </c>
      <c r="N759" s="1" t="s">
        <v>74</v>
      </c>
      <c r="O759" s="1" t="s">
        <v>74</v>
      </c>
      <c r="P759" s="1" t="s">
        <v>74</v>
      </c>
      <c r="Q759" s="1" t="s">
        <v>74</v>
      </c>
      <c r="R759" s="1" t="s">
        <v>74</v>
      </c>
      <c r="S759" s="1" t="s">
        <v>74</v>
      </c>
      <c r="T759" s="1" t="s">
        <v>74</v>
      </c>
      <c r="U759" s="1" t="s">
        <v>74</v>
      </c>
      <c r="V759" s="1" t="s">
        <v>7474</v>
      </c>
      <c r="W759" s="1" t="s">
        <v>74</v>
      </c>
      <c r="X759" s="1" t="s">
        <v>74</v>
      </c>
      <c r="Y759" s="1" t="s">
        <v>74</v>
      </c>
      <c r="Z759" s="1" t="s">
        <v>74</v>
      </c>
      <c r="AA759" s="1" t="s">
        <v>4201</v>
      </c>
      <c r="AB759" s="1" t="s">
        <v>4202</v>
      </c>
      <c r="AC759" s="1" t="s">
        <v>74</v>
      </c>
      <c r="AD759" s="1" t="s">
        <v>74</v>
      </c>
      <c r="AE759" s="1" t="s">
        <v>74</v>
      </c>
      <c r="AF759" s="1" t="s">
        <v>74</v>
      </c>
      <c r="AG759" s="1" t="s">
        <v>74</v>
      </c>
      <c r="AH759" s="1" t="s">
        <v>74</v>
      </c>
      <c r="AI759" s="1" t="s">
        <v>74</v>
      </c>
      <c r="AJ759" s="1" t="s">
        <v>74</v>
      </c>
      <c r="AK759" s="1" t="s">
        <v>74</v>
      </c>
      <c r="AL759" s="1" t="s">
        <v>74</v>
      </c>
      <c r="AM759" s="1" t="s">
        <v>74</v>
      </c>
      <c r="AN759" s="1" t="s">
        <v>74</v>
      </c>
      <c r="AO759" s="1" t="s">
        <v>6176</v>
      </c>
      <c r="AP759" s="1" t="s">
        <v>6177</v>
      </c>
      <c r="AQ759" s="1" t="s">
        <v>74</v>
      </c>
      <c r="AR759" s="1" t="s">
        <v>74</v>
      </c>
      <c r="AS759" s="1" t="s">
        <v>74</v>
      </c>
      <c r="AT759" s="1" t="s">
        <v>257</v>
      </c>
      <c r="AU759" s="1">
        <v>2010.0</v>
      </c>
      <c r="AV759" s="1">
        <v>112.0</v>
      </c>
      <c r="AW759" s="1">
        <v>5.0</v>
      </c>
      <c r="AX759" s="1" t="s">
        <v>74</v>
      </c>
      <c r="AY759" s="1" t="s">
        <v>74</v>
      </c>
      <c r="AZ759" s="1" t="s">
        <v>74</v>
      </c>
      <c r="BA759" s="1" t="s">
        <v>74</v>
      </c>
      <c r="BB759" s="1">
        <v>1099.0</v>
      </c>
      <c r="BC759" s="1">
        <v>1114.0</v>
      </c>
      <c r="BD759" s="1" t="s">
        <v>74</v>
      </c>
      <c r="BE759" s="1" t="s">
        <v>7475</v>
      </c>
      <c r="BF759" s="2" t="str">
        <f>HYPERLINK("http://dx.doi.org/10.1111/j.1471-4159.2009.06537.x","http://dx.doi.org/10.1111/j.1471-4159.2009.06537.x")</f>
        <v>http://dx.doi.org/10.1111/j.1471-4159.2009.06537.x</v>
      </c>
      <c r="BG759" s="1" t="s">
        <v>74</v>
      </c>
      <c r="BH759" s="1" t="s">
        <v>74</v>
      </c>
      <c r="BI759" s="1" t="s">
        <v>74</v>
      </c>
      <c r="BJ759" s="1" t="s">
        <v>74</v>
      </c>
      <c r="BK759" s="1" t="s">
        <v>74</v>
      </c>
      <c r="BL759" s="1" t="s">
        <v>74</v>
      </c>
      <c r="BM759" s="1" t="s">
        <v>74</v>
      </c>
      <c r="BN759" s="1">
        <v>2.0002526E7</v>
      </c>
      <c r="BO759" s="1" t="s">
        <v>74</v>
      </c>
      <c r="BP759" s="1" t="s">
        <v>74</v>
      </c>
      <c r="BQ759" s="1" t="s">
        <v>74</v>
      </c>
      <c r="BR759" s="1" t="s">
        <v>74</v>
      </c>
      <c r="BS759" s="1" t="s">
        <v>7476</v>
      </c>
      <c r="BT759" s="1" t="str">
        <f>HYPERLINK("https%3A%2F%2Fwww.webofscience.com%2Fwos%2Fwoscc%2Ffull-record%2FWOS:000274241900001","View Full Record in Web of Science")</f>
        <v>View Full Record in Web of Science</v>
      </c>
    </row>
    <row r="760" ht="12.75" customHeight="1">
      <c r="A760" s="1" t="s">
        <v>182</v>
      </c>
      <c r="B760" s="1" t="s">
        <v>7477</v>
      </c>
      <c r="C760" s="1" t="s">
        <v>74</v>
      </c>
      <c r="D760" s="1" t="s">
        <v>74</v>
      </c>
      <c r="E760" s="1" t="s">
        <v>184</v>
      </c>
      <c r="F760" s="1" t="s">
        <v>7478</v>
      </c>
      <c r="G760" s="1" t="s">
        <v>74</v>
      </c>
      <c r="H760" s="1" t="s">
        <v>74</v>
      </c>
      <c r="I760" s="1" t="s">
        <v>7479</v>
      </c>
      <c r="J760" s="1" t="s">
        <v>7480</v>
      </c>
      <c r="K760" s="1" t="s">
        <v>7481</v>
      </c>
      <c r="L760" s="1" t="s">
        <v>74</v>
      </c>
      <c r="M760" s="1" t="s">
        <v>74</v>
      </c>
      <c r="N760" s="1" t="s">
        <v>74</v>
      </c>
      <c r="O760" s="1" t="s">
        <v>7482</v>
      </c>
      <c r="P760" s="1" t="s">
        <v>7483</v>
      </c>
      <c r="Q760" s="1" t="s">
        <v>7484</v>
      </c>
      <c r="R760" s="1" t="s">
        <v>7485</v>
      </c>
      <c r="S760" s="1" t="s">
        <v>74</v>
      </c>
      <c r="T760" s="1" t="s">
        <v>74</v>
      </c>
      <c r="U760" s="1" t="s">
        <v>74</v>
      </c>
      <c r="V760" s="1" t="s">
        <v>7486</v>
      </c>
      <c r="W760" s="1" t="s">
        <v>74</v>
      </c>
      <c r="X760" s="1" t="s">
        <v>74</v>
      </c>
      <c r="Y760" s="1" t="s">
        <v>74</v>
      </c>
      <c r="Z760" s="1" t="s">
        <v>74</v>
      </c>
      <c r="AA760" s="1" t="s">
        <v>7487</v>
      </c>
      <c r="AB760" s="1" t="s">
        <v>7488</v>
      </c>
      <c r="AC760" s="1" t="s">
        <v>74</v>
      </c>
      <c r="AD760" s="1" t="s">
        <v>74</v>
      </c>
      <c r="AE760" s="1" t="s">
        <v>74</v>
      </c>
      <c r="AF760" s="1" t="s">
        <v>74</v>
      </c>
      <c r="AG760" s="1" t="s">
        <v>74</v>
      </c>
      <c r="AH760" s="1" t="s">
        <v>74</v>
      </c>
      <c r="AI760" s="1" t="s">
        <v>74</v>
      </c>
      <c r="AJ760" s="1" t="s">
        <v>74</v>
      </c>
      <c r="AK760" s="1" t="s">
        <v>74</v>
      </c>
      <c r="AL760" s="1" t="s">
        <v>74</v>
      </c>
      <c r="AM760" s="1" t="s">
        <v>74</v>
      </c>
      <c r="AN760" s="1" t="s">
        <v>74</v>
      </c>
      <c r="AO760" s="1" t="s">
        <v>7489</v>
      </c>
      <c r="AP760" s="1" t="s">
        <v>74</v>
      </c>
      <c r="AQ760" s="1" t="s">
        <v>7490</v>
      </c>
      <c r="AR760" s="1" t="s">
        <v>74</v>
      </c>
      <c r="AS760" s="1" t="s">
        <v>74</v>
      </c>
      <c r="AT760" s="1" t="s">
        <v>74</v>
      </c>
      <c r="AU760" s="1">
        <v>2010.0</v>
      </c>
      <c r="AV760" s="1" t="s">
        <v>74</v>
      </c>
      <c r="AW760" s="1" t="s">
        <v>74</v>
      </c>
      <c r="AX760" s="1" t="s">
        <v>74</v>
      </c>
      <c r="AY760" s="1" t="s">
        <v>74</v>
      </c>
      <c r="AZ760" s="1" t="s">
        <v>74</v>
      </c>
      <c r="BA760" s="1" t="s">
        <v>74</v>
      </c>
      <c r="BB760" s="1">
        <v>1027.0</v>
      </c>
      <c r="BC760" s="1">
        <v>1032.0</v>
      </c>
      <c r="BD760" s="1" t="s">
        <v>74</v>
      </c>
      <c r="BE760" s="1" t="s">
        <v>74</v>
      </c>
      <c r="BF760" s="1" t="s">
        <v>74</v>
      </c>
      <c r="BG760" s="1" t="s">
        <v>74</v>
      </c>
      <c r="BH760" s="1" t="s">
        <v>74</v>
      </c>
      <c r="BI760" s="1" t="s">
        <v>74</v>
      </c>
      <c r="BJ760" s="1" t="s">
        <v>74</v>
      </c>
      <c r="BK760" s="1" t="s">
        <v>74</v>
      </c>
      <c r="BL760" s="1" t="s">
        <v>74</v>
      </c>
      <c r="BM760" s="1" t="s">
        <v>74</v>
      </c>
      <c r="BN760" s="1" t="s">
        <v>74</v>
      </c>
      <c r="BO760" s="1" t="s">
        <v>74</v>
      </c>
      <c r="BP760" s="1" t="s">
        <v>74</v>
      </c>
      <c r="BQ760" s="1" t="s">
        <v>74</v>
      </c>
      <c r="BR760" s="1" t="s">
        <v>74</v>
      </c>
      <c r="BS760" s="1" t="s">
        <v>7491</v>
      </c>
      <c r="BT760" s="1" t="str">
        <f>HYPERLINK("https%3A%2F%2Fwww.webofscience.com%2Fwos%2Fwoscc%2Ffull-record%2FWOS:000295007801047","View Full Record in Web of Science")</f>
        <v>View Full Record in Web of Science</v>
      </c>
    </row>
    <row r="761" ht="12.75" customHeight="1">
      <c r="A761" s="1" t="s">
        <v>72</v>
      </c>
      <c r="B761" s="1" t="s">
        <v>7492</v>
      </c>
      <c r="C761" s="1" t="s">
        <v>74</v>
      </c>
      <c r="D761" s="1" t="s">
        <v>74</v>
      </c>
      <c r="E761" s="1" t="s">
        <v>74</v>
      </c>
      <c r="F761" s="1" t="s">
        <v>7493</v>
      </c>
      <c r="G761" s="1" t="s">
        <v>74</v>
      </c>
      <c r="H761" s="1" t="s">
        <v>74</v>
      </c>
      <c r="I761" s="1" t="s">
        <v>7494</v>
      </c>
      <c r="J761" s="1" t="s">
        <v>7495</v>
      </c>
      <c r="K761" s="1" t="s">
        <v>74</v>
      </c>
      <c r="L761" s="1" t="s">
        <v>74</v>
      </c>
      <c r="M761" s="1" t="s">
        <v>74</v>
      </c>
      <c r="N761" s="1" t="s">
        <v>74</v>
      </c>
      <c r="O761" s="1" t="s">
        <v>74</v>
      </c>
      <c r="P761" s="1" t="s">
        <v>74</v>
      </c>
      <c r="Q761" s="1" t="s">
        <v>74</v>
      </c>
      <c r="R761" s="1" t="s">
        <v>74</v>
      </c>
      <c r="S761" s="1" t="s">
        <v>74</v>
      </c>
      <c r="T761" s="1" t="s">
        <v>74</v>
      </c>
      <c r="U761" s="1" t="s">
        <v>74</v>
      </c>
      <c r="V761" s="1" t="s">
        <v>7496</v>
      </c>
      <c r="W761" s="1" t="s">
        <v>74</v>
      </c>
      <c r="X761" s="1" t="s">
        <v>74</v>
      </c>
      <c r="Y761" s="1" t="s">
        <v>74</v>
      </c>
      <c r="Z761" s="1" t="s">
        <v>74</v>
      </c>
      <c r="AA761" s="1" t="s">
        <v>7497</v>
      </c>
      <c r="AB761" s="1" t="s">
        <v>7498</v>
      </c>
      <c r="AC761" s="1" t="s">
        <v>74</v>
      </c>
      <c r="AD761" s="1" t="s">
        <v>74</v>
      </c>
      <c r="AE761" s="1" t="s">
        <v>74</v>
      </c>
      <c r="AF761" s="1" t="s">
        <v>74</v>
      </c>
      <c r="AG761" s="1" t="s">
        <v>74</v>
      </c>
      <c r="AH761" s="1" t="s">
        <v>74</v>
      </c>
      <c r="AI761" s="1" t="s">
        <v>74</v>
      </c>
      <c r="AJ761" s="1" t="s">
        <v>74</v>
      </c>
      <c r="AK761" s="1" t="s">
        <v>74</v>
      </c>
      <c r="AL761" s="1" t="s">
        <v>74</v>
      </c>
      <c r="AM761" s="1" t="s">
        <v>74</v>
      </c>
      <c r="AN761" s="1" t="s">
        <v>74</v>
      </c>
      <c r="AO761" s="1" t="s">
        <v>7499</v>
      </c>
      <c r="AP761" s="1" t="s">
        <v>7500</v>
      </c>
      <c r="AQ761" s="1" t="s">
        <v>74</v>
      </c>
      <c r="AR761" s="1" t="s">
        <v>74</v>
      </c>
      <c r="AS761" s="1" t="s">
        <v>74</v>
      </c>
      <c r="AT761" s="1" t="s">
        <v>652</v>
      </c>
      <c r="AU761" s="1">
        <v>2009.0</v>
      </c>
      <c r="AV761" s="1">
        <v>14.0</v>
      </c>
      <c r="AW761" s="1">
        <v>4.0</v>
      </c>
      <c r="AX761" s="1" t="s">
        <v>74</v>
      </c>
      <c r="AY761" s="1" t="s">
        <v>74</v>
      </c>
      <c r="AZ761" s="1" t="s">
        <v>74</v>
      </c>
      <c r="BA761" s="1" t="s">
        <v>74</v>
      </c>
      <c r="BB761" s="1">
        <v>692.0</v>
      </c>
      <c r="BC761" s="1">
        <v>702.0</v>
      </c>
      <c r="BD761" s="1" t="s">
        <v>74</v>
      </c>
      <c r="BE761" s="1" t="s">
        <v>7501</v>
      </c>
      <c r="BF761" s="2" t="str">
        <f>HYPERLINK("http://dx.doi.org/10.2478/s11658-009-0028-y","http://dx.doi.org/10.2478/s11658-009-0028-y")</f>
        <v>http://dx.doi.org/10.2478/s11658-009-0028-y</v>
      </c>
      <c r="BG761" s="1" t="s">
        <v>74</v>
      </c>
      <c r="BH761" s="1" t="s">
        <v>74</v>
      </c>
      <c r="BI761" s="1" t="s">
        <v>74</v>
      </c>
      <c r="BJ761" s="1" t="s">
        <v>74</v>
      </c>
      <c r="BK761" s="1" t="s">
        <v>74</v>
      </c>
      <c r="BL761" s="1" t="s">
        <v>74</v>
      </c>
      <c r="BM761" s="1" t="s">
        <v>74</v>
      </c>
      <c r="BN761" s="1">
        <v>1.9562269E7</v>
      </c>
      <c r="BO761" s="1" t="s">
        <v>74</v>
      </c>
      <c r="BP761" s="1" t="s">
        <v>74</v>
      </c>
      <c r="BQ761" s="1" t="s">
        <v>74</v>
      </c>
      <c r="BR761" s="1" t="s">
        <v>74</v>
      </c>
      <c r="BS761" s="1" t="s">
        <v>7502</v>
      </c>
      <c r="BT761" s="1" t="str">
        <f>HYPERLINK("https%3A%2F%2Fwww.webofscience.com%2Fwos%2Fwoscc%2Ffull-record%2FWOS:000269947600011","View Full Record in Web of Science")</f>
        <v>View Full Record in Web of Science</v>
      </c>
    </row>
    <row r="762" ht="12.75" customHeight="1">
      <c r="A762" s="1" t="s">
        <v>72</v>
      </c>
      <c r="B762" s="1" t="s">
        <v>7503</v>
      </c>
      <c r="C762" s="1" t="s">
        <v>74</v>
      </c>
      <c r="D762" s="1" t="s">
        <v>74</v>
      </c>
      <c r="E762" s="1" t="s">
        <v>74</v>
      </c>
      <c r="F762" s="1" t="s">
        <v>7504</v>
      </c>
      <c r="G762" s="1" t="s">
        <v>74</v>
      </c>
      <c r="H762" s="1" t="s">
        <v>74</v>
      </c>
      <c r="I762" s="1" t="s">
        <v>7505</v>
      </c>
      <c r="J762" s="1" t="s">
        <v>7430</v>
      </c>
      <c r="K762" s="1" t="s">
        <v>74</v>
      </c>
      <c r="L762" s="1" t="s">
        <v>74</v>
      </c>
      <c r="M762" s="1" t="s">
        <v>74</v>
      </c>
      <c r="N762" s="1" t="s">
        <v>74</v>
      </c>
      <c r="O762" s="1" t="s">
        <v>74</v>
      </c>
      <c r="P762" s="1" t="s">
        <v>74</v>
      </c>
      <c r="Q762" s="1" t="s">
        <v>74</v>
      </c>
      <c r="R762" s="1" t="s">
        <v>74</v>
      </c>
      <c r="S762" s="1" t="s">
        <v>74</v>
      </c>
      <c r="T762" s="1" t="s">
        <v>74</v>
      </c>
      <c r="U762" s="1" t="s">
        <v>74</v>
      </c>
      <c r="V762" s="1" t="s">
        <v>7506</v>
      </c>
      <c r="W762" s="1" t="s">
        <v>74</v>
      </c>
      <c r="X762" s="1" t="s">
        <v>74</v>
      </c>
      <c r="Y762" s="1" t="s">
        <v>74</v>
      </c>
      <c r="Z762" s="1" t="s">
        <v>74</v>
      </c>
      <c r="AA762" s="1" t="s">
        <v>74</v>
      </c>
      <c r="AB762" s="1" t="s">
        <v>7507</v>
      </c>
      <c r="AC762" s="1" t="s">
        <v>74</v>
      </c>
      <c r="AD762" s="1" t="s">
        <v>74</v>
      </c>
      <c r="AE762" s="1" t="s">
        <v>74</v>
      </c>
      <c r="AF762" s="1" t="s">
        <v>74</v>
      </c>
      <c r="AG762" s="1" t="s">
        <v>74</v>
      </c>
      <c r="AH762" s="1" t="s">
        <v>74</v>
      </c>
      <c r="AI762" s="1" t="s">
        <v>74</v>
      </c>
      <c r="AJ762" s="1" t="s">
        <v>74</v>
      </c>
      <c r="AK762" s="1" t="s">
        <v>74</v>
      </c>
      <c r="AL762" s="1" t="s">
        <v>74</v>
      </c>
      <c r="AM762" s="1" t="s">
        <v>74</v>
      </c>
      <c r="AN762" s="1" t="s">
        <v>74</v>
      </c>
      <c r="AO762" s="1" t="s">
        <v>7434</v>
      </c>
      <c r="AP762" s="1" t="s">
        <v>7435</v>
      </c>
      <c r="AQ762" s="1" t="s">
        <v>74</v>
      </c>
      <c r="AR762" s="1" t="s">
        <v>74</v>
      </c>
      <c r="AS762" s="1" t="s">
        <v>74</v>
      </c>
      <c r="AT762" s="1" t="s">
        <v>235</v>
      </c>
      <c r="AU762" s="1">
        <v>2009.0</v>
      </c>
      <c r="AV762" s="1">
        <v>11.0</v>
      </c>
      <c r="AW762" s="1">
        <v>2.0</v>
      </c>
      <c r="AX762" s="1" t="s">
        <v>74</v>
      </c>
      <c r="AY762" s="1" t="s">
        <v>74</v>
      </c>
      <c r="AZ762" s="1" t="s">
        <v>74</v>
      </c>
      <c r="BA762" s="1" t="s">
        <v>74</v>
      </c>
      <c r="BB762" s="1">
        <v>379.0</v>
      </c>
      <c r="BC762" s="1">
        <v>382.0</v>
      </c>
      <c r="BD762" s="1" t="s">
        <v>74</v>
      </c>
      <c r="BE762" s="1" t="s">
        <v>7508</v>
      </c>
      <c r="BF762" s="2" t="str">
        <f>HYPERLINK("http://dx.doi.org/10.1016/j.elecom.2008.10.057","http://dx.doi.org/10.1016/j.elecom.2008.10.057")</f>
        <v>http://dx.doi.org/10.1016/j.elecom.2008.10.057</v>
      </c>
      <c r="BG762" s="1" t="s">
        <v>74</v>
      </c>
      <c r="BH762" s="1" t="s">
        <v>74</v>
      </c>
      <c r="BI762" s="1" t="s">
        <v>74</v>
      </c>
      <c r="BJ762" s="1" t="s">
        <v>74</v>
      </c>
      <c r="BK762" s="1" t="s">
        <v>74</v>
      </c>
      <c r="BL762" s="1" t="s">
        <v>74</v>
      </c>
      <c r="BM762" s="1" t="s">
        <v>74</v>
      </c>
      <c r="BN762" s="1" t="s">
        <v>74</v>
      </c>
      <c r="BO762" s="1" t="s">
        <v>74</v>
      </c>
      <c r="BP762" s="1" t="s">
        <v>74</v>
      </c>
      <c r="BQ762" s="1" t="s">
        <v>74</v>
      </c>
      <c r="BR762" s="1" t="s">
        <v>74</v>
      </c>
      <c r="BS762" s="1" t="s">
        <v>7509</v>
      </c>
      <c r="BT762" s="1" t="str">
        <f>HYPERLINK("https%3A%2F%2Fwww.webofscience.com%2Fwos%2Fwoscc%2Ffull-record%2FWOS:000263455600036","View Full Record in Web of Science")</f>
        <v>View Full Record in Web of Science</v>
      </c>
    </row>
    <row r="763" ht="12.75" customHeight="1">
      <c r="A763" s="1" t="s">
        <v>72</v>
      </c>
      <c r="B763" s="1" t="s">
        <v>7510</v>
      </c>
      <c r="C763" s="1" t="s">
        <v>74</v>
      </c>
      <c r="D763" s="1" t="s">
        <v>74</v>
      </c>
      <c r="E763" s="1" t="s">
        <v>74</v>
      </c>
      <c r="F763" s="1" t="s">
        <v>7511</v>
      </c>
      <c r="G763" s="1" t="s">
        <v>74</v>
      </c>
      <c r="H763" s="1" t="s">
        <v>74</v>
      </c>
      <c r="I763" s="1" t="s">
        <v>7512</v>
      </c>
      <c r="J763" s="1" t="s">
        <v>948</v>
      </c>
      <c r="K763" s="1" t="s">
        <v>74</v>
      </c>
      <c r="L763" s="1" t="s">
        <v>74</v>
      </c>
      <c r="M763" s="1" t="s">
        <v>74</v>
      </c>
      <c r="N763" s="1" t="s">
        <v>74</v>
      </c>
      <c r="O763" s="1" t="s">
        <v>74</v>
      </c>
      <c r="P763" s="1" t="s">
        <v>74</v>
      </c>
      <c r="Q763" s="1" t="s">
        <v>74</v>
      </c>
      <c r="R763" s="1" t="s">
        <v>74</v>
      </c>
      <c r="S763" s="1" t="s">
        <v>74</v>
      </c>
      <c r="T763" s="1" t="s">
        <v>74</v>
      </c>
      <c r="U763" s="1" t="s">
        <v>74</v>
      </c>
      <c r="V763" s="1" t="s">
        <v>7513</v>
      </c>
      <c r="W763" s="1" t="s">
        <v>74</v>
      </c>
      <c r="X763" s="1" t="s">
        <v>74</v>
      </c>
      <c r="Y763" s="1" t="s">
        <v>74</v>
      </c>
      <c r="Z763" s="1" t="s">
        <v>74</v>
      </c>
      <c r="AA763" s="1" t="s">
        <v>7514</v>
      </c>
      <c r="AB763" s="1" t="s">
        <v>1099</v>
      </c>
      <c r="AC763" s="1" t="s">
        <v>74</v>
      </c>
      <c r="AD763" s="1" t="s">
        <v>74</v>
      </c>
      <c r="AE763" s="1" t="s">
        <v>74</v>
      </c>
      <c r="AF763" s="1" t="s">
        <v>74</v>
      </c>
      <c r="AG763" s="1" t="s">
        <v>74</v>
      </c>
      <c r="AH763" s="1" t="s">
        <v>74</v>
      </c>
      <c r="AI763" s="1" t="s">
        <v>74</v>
      </c>
      <c r="AJ763" s="1" t="s">
        <v>74</v>
      </c>
      <c r="AK763" s="1" t="s">
        <v>74</v>
      </c>
      <c r="AL763" s="1" t="s">
        <v>74</v>
      </c>
      <c r="AM763" s="1" t="s">
        <v>74</v>
      </c>
      <c r="AN763" s="1" t="s">
        <v>74</v>
      </c>
      <c r="AO763" s="1" t="s">
        <v>951</v>
      </c>
      <c r="AP763" s="1" t="s">
        <v>74</v>
      </c>
      <c r="AQ763" s="1" t="s">
        <v>74</v>
      </c>
      <c r="AR763" s="1" t="s">
        <v>74</v>
      </c>
      <c r="AS763" s="1" t="s">
        <v>74</v>
      </c>
      <c r="AT763" s="1" t="s">
        <v>7515</v>
      </c>
      <c r="AU763" s="1">
        <v>2008.0</v>
      </c>
      <c r="AV763" s="1">
        <v>112.0</v>
      </c>
      <c r="AW763" s="1">
        <v>51.0</v>
      </c>
      <c r="AX763" s="1" t="s">
        <v>74</v>
      </c>
      <c r="AY763" s="1" t="s">
        <v>74</v>
      </c>
      <c r="AZ763" s="1" t="s">
        <v>74</v>
      </c>
      <c r="BA763" s="1" t="s">
        <v>74</v>
      </c>
      <c r="BB763" s="1">
        <v>13574.0</v>
      </c>
      <c r="BC763" s="1">
        <v>13583.0</v>
      </c>
      <c r="BD763" s="1" t="s">
        <v>74</v>
      </c>
      <c r="BE763" s="1" t="s">
        <v>7516</v>
      </c>
      <c r="BF763" s="2" t="str">
        <f>HYPERLINK("http://dx.doi.org/10.1021/jp804350n","http://dx.doi.org/10.1021/jp804350n")</f>
        <v>http://dx.doi.org/10.1021/jp804350n</v>
      </c>
      <c r="BG763" s="1" t="s">
        <v>74</v>
      </c>
      <c r="BH763" s="1" t="s">
        <v>74</v>
      </c>
      <c r="BI763" s="1" t="s">
        <v>74</v>
      </c>
      <c r="BJ763" s="1" t="s">
        <v>74</v>
      </c>
      <c r="BK763" s="1" t="s">
        <v>74</v>
      </c>
      <c r="BL763" s="1" t="s">
        <v>74</v>
      </c>
      <c r="BM763" s="1" t="s">
        <v>74</v>
      </c>
      <c r="BN763" s="1">
        <v>1.9053551E7</v>
      </c>
      <c r="BO763" s="1" t="s">
        <v>74</v>
      </c>
      <c r="BP763" s="1" t="s">
        <v>74</v>
      </c>
      <c r="BQ763" s="1" t="s">
        <v>74</v>
      </c>
      <c r="BR763" s="1" t="s">
        <v>74</v>
      </c>
      <c r="BS763" s="1" t="s">
        <v>7517</v>
      </c>
      <c r="BT763" s="1" t="str">
        <f>HYPERLINK("https%3A%2F%2Fwww.webofscience.com%2Fwos%2Fwoscc%2Ffull-record%2FWOS:000262018900040","View Full Record in Web of Science")</f>
        <v>View Full Record in Web of Science</v>
      </c>
    </row>
    <row r="764" ht="12.75" customHeight="1">
      <c r="A764" s="1" t="s">
        <v>72</v>
      </c>
      <c r="B764" s="1" t="s">
        <v>7518</v>
      </c>
      <c r="C764" s="1" t="s">
        <v>74</v>
      </c>
      <c r="D764" s="1" t="s">
        <v>74</v>
      </c>
      <c r="E764" s="1" t="s">
        <v>74</v>
      </c>
      <c r="F764" s="1" t="s">
        <v>7519</v>
      </c>
      <c r="G764" s="1" t="s">
        <v>74</v>
      </c>
      <c r="H764" s="1" t="s">
        <v>74</v>
      </c>
      <c r="I764" s="1" t="s">
        <v>7520</v>
      </c>
      <c r="J764" s="1" t="s">
        <v>1189</v>
      </c>
      <c r="K764" s="1" t="s">
        <v>74</v>
      </c>
      <c r="L764" s="1" t="s">
        <v>74</v>
      </c>
      <c r="M764" s="1" t="s">
        <v>74</v>
      </c>
      <c r="N764" s="1" t="s">
        <v>74</v>
      </c>
      <c r="O764" s="1" t="s">
        <v>74</v>
      </c>
      <c r="P764" s="1" t="s">
        <v>74</v>
      </c>
      <c r="Q764" s="1" t="s">
        <v>74</v>
      </c>
      <c r="R764" s="1" t="s">
        <v>74</v>
      </c>
      <c r="S764" s="1" t="s">
        <v>74</v>
      </c>
      <c r="T764" s="1" t="s">
        <v>74</v>
      </c>
      <c r="U764" s="1" t="s">
        <v>74</v>
      </c>
      <c r="V764" s="1" t="s">
        <v>7521</v>
      </c>
      <c r="W764" s="1" t="s">
        <v>74</v>
      </c>
      <c r="X764" s="1" t="s">
        <v>74</v>
      </c>
      <c r="Y764" s="1" t="s">
        <v>74</v>
      </c>
      <c r="Z764" s="1" t="s">
        <v>74</v>
      </c>
      <c r="AA764" s="1" t="s">
        <v>7522</v>
      </c>
      <c r="AB764" s="1" t="s">
        <v>7523</v>
      </c>
      <c r="AC764" s="1" t="s">
        <v>74</v>
      </c>
      <c r="AD764" s="1" t="s">
        <v>74</v>
      </c>
      <c r="AE764" s="1" t="s">
        <v>74</v>
      </c>
      <c r="AF764" s="1" t="s">
        <v>74</v>
      </c>
      <c r="AG764" s="1" t="s">
        <v>74</v>
      </c>
      <c r="AH764" s="1" t="s">
        <v>74</v>
      </c>
      <c r="AI764" s="1" t="s">
        <v>74</v>
      </c>
      <c r="AJ764" s="1" t="s">
        <v>74</v>
      </c>
      <c r="AK764" s="1" t="s">
        <v>74</v>
      </c>
      <c r="AL764" s="1" t="s">
        <v>74</v>
      </c>
      <c r="AM764" s="1" t="s">
        <v>74</v>
      </c>
      <c r="AN764" s="1" t="s">
        <v>74</v>
      </c>
      <c r="AO764" s="1" t="s">
        <v>1192</v>
      </c>
      <c r="AP764" s="1" t="s">
        <v>1193</v>
      </c>
      <c r="AQ764" s="1" t="s">
        <v>74</v>
      </c>
      <c r="AR764" s="1" t="s">
        <v>74</v>
      </c>
      <c r="AS764" s="1" t="s">
        <v>74</v>
      </c>
      <c r="AT764" s="1" t="s">
        <v>74</v>
      </c>
      <c r="AU764" s="1">
        <v>2007.0</v>
      </c>
      <c r="AV764" s="1">
        <v>40.0</v>
      </c>
      <c r="AW764" s="1">
        <v>3.0</v>
      </c>
      <c r="AX764" s="1" t="s">
        <v>74</v>
      </c>
      <c r="AY764" s="1" t="s">
        <v>74</v>
      </c>
      <c r="AZ764" s="1" t="s">
        <v>74</v>
      </c>
      <c r="BA764" s="1" t="s">
        <v>74</v>
      </c>
      <c r="BB764" s="1">
        <v>319.0</v>
      </c>
      <c r="BC764" s="1">
        <v>327.0</v>
      </c>
      <c r="BD764" s="1" t="s">
        <v>74</v>
      </c>
      <c r="BE764" s="1" t="s">
        <v>74</v>
      </c>
      <c r="BF764" s="1" t="s">
        <v>74</v>
      </c>
      <c r="BG764" s="1" t="s">
        <v>74</v>
      </c>
      <c r="BH764" s="1" t="s">
        <v>74</v>
      </c>
      <c r="BI764" s="1" t="s">
        <v>74</v>
      </c>
      <c r="BJ764" s="1" t="s">
        <v>74</v>
      </c>
      <c r="BK764" s="1" t="s">
        <v>74</v>
      </c>
      <c r="BL764" s="1" t="s">
        <v>74</v>
      </c>
      <c r="BM764" s="1" t="s">
        <v>74</v>
      </c>
      <c r="BN764" s="1">
        <v>1.8449459E7</v>
      </c>
      <c r="BO764" s="1" t="s">
        <v>74</v>
      </c>
      <c r="BP764" s="1" t="s">
        <v>74</v>
      </c>
      <c r="BQ764" s="1" t="s">
        <v>74</v>
      </c>
      <c r="BR764" s="1" t="s">
        <v>74</v>
      </c>
      <c r="BS764" s="1" t="s">
        <v>7524</v>
      </c>
      <c r="BT764" s="1" t="str">
        <f>HYPERLINK("https%3A%2F%2Fwww.webofscience.com%2Fwos%2Fwoscc%2Ffull-record%2FWOS:000254493600006","View Full Record in Web of Science")</f>
        <v>View Full Record in Web of Science</v>
      </c>
    </row>
    <row r="765" ht="12.75" customHeight="1">
      <c r="A765" s="1" t="s">
        <v>72</v>
      </c>
      <c r="B765" s="1" t="s">
        <v>7525</v>
      </c>
      <c r="C765" s="1" t="s">
        <v>74</v>
      </c>
      <c r="D765" s="1" t="s">
        <v>74</v>
      </c>
      <c r="E765" s="1" t="s">
        <v>74</v>
      </c>
      <c r="F765" s="1" t="s">
        <v>7525</v>
      </c>
      <c r="G765" s="1" t="s">
        <v>74</v>
      </c>
      <c r="H765" s="1" t="s">
        <v>74</v>
      </c>
      <c r="I765" s="1" t="s">
        <v>7526</v>
      </c>
      <c r="J765" s="1" t="s">
        <v>2078</v>
      </c>
      <c r="K765" s="1" t="s">
        <v>74</v>
      </c>
      <c r="L765" s="1" t="s">
        <v>74</v>
      </c>
      <c r="M765" s="1" t="s">
        <v>74</v>
      </c>
      <c r="N765" s="1" t="s">
        <v>74</v>
      </c>
      <c r="O765" s="1" t="s">
        <v>74</v>
      </c>
      <c r="P765" s="1" t="s">
        <v>74</v>
      </c>
      <c r="Q765" s="1" t="s">
        <v>74</v>
      </c>
      <c r="R765" s="1" t="s">
        <v>74</v>
      </c>
      <c r="S765" s="1" t="s">
        <v>74</v>
      </c>
      <c r="T765" s="1" t="s">
        <v>74</v>
      </c>
      <c r="U765" s="1" t="s">
        <v>74</v>
      </c>
      <c r="V765" s="1" t="s">
        <v>7527</v>
      </c>
      <c r="W765" s="1" t="s">
        <v>74</v>
      </c>
      <c r="X765" s="1" t="s">
        <v>74</v>
      </c>
      <c r="Y765" s="1" t="s">
        <v>74</v>
      </c>
      <c r="Z765" s="1" t="s">
        <v>74</v>
      </c>
      <c r="AA765" s="1" t="s">
        <v>7528</v>
      </c>
      <c r="AB765" s="1" t="s">
        <v>7529</v>
      </c>
      <c r="AC765" s="1" t="s">
        <v>74</v>
      </c>
      <c r="AD765" s="1" t="s">
        <v>74</v>
      </c>
      <c r="AE765" s="1" t="s">
        <v>74</v>
      </c>
      <c r="AF765" s="1" t="s">
        <v>74</v>
      </c>
      <c r="AG765" s="1" t="s">
        <v>74</v>
      </c>
      <c r="AH765" s="1" t="s">
        <v>74</v>
      </c>
      <c r="AI765" s="1" t="s">
        <v>74</v>
      </c>
      <c r="AJ765" s="1" t="s">
        <v>74</v>
      </c>
      <c r="AK765" s="1" t="s">
        <v>74</v>
      </c>
      <c r="AL765" s="1" t="s">
        <v>74</v>
      </c>
      <c r="AM765" s="1" t="s">
        <v>74</v>
      </c>
      <c r="AN765" s="1" t="s">
        <v>74</v>
      </c>
      <c r="AO765" s="1" t="s">
        <v>2082</v>
      </c>
      <c r="AP765" s="1" t="s">
        <v>74</v>
      </c>
      <c r="AQ765" s="1" t="s">
        <v>74</v>
      </c>
      <c r="AR765" s="1" t="s">
        <v>74</v>
      </c>
      <c r="AS765" s="1" t="s">
        <v>74</v>
      </c>
      <c r="AT765" s="1" t="s">
        <v>7530</v>
      </c>
      <c r="AU765" s="1">
        <v>2003.0</v>
      </c>
      <c r="AV765" s="1">
        <v>82.0</v>
      </c>
      <c r="AW765" s="1">
        <v>20.0</v>
      </c>
      <c r="AX765" s="1" t="s">
        <v>74</v>
      </c>
      <c r="AY765" s="1" t="s">
        <v>74</v>
      </c>
      <c r="AZ765" s="1" t="s">
        <v>74</v>
      </c>
      <c r="BA765" s="1" t="s">
        <v>74</v>
      </c>
      <c r="BB765" s="1">
        <v>3478.0</v>
      </c>
      <c r="BC765" s="1">
        <v>3480.0</v>
      </c>
      <c r="BD765" s="1" t="s">
        <v>74</v>
      </c>
      <c r="BE765" s="1" t="s">
        <v>7531</v>
      </c>
      <c r="BF765" s="2" t="str">
        <f>HYPERLINK("http://dx.doi.org/10.1063/1.1573333","http://dx.doi.org/10.1063/1.1573333")</f>
        <v>http://dx.doi.org/10.1063/1.1573333</v>
      </c>
      <c r="BG765" s="1" t="s">
        <v>74</v>
      </c>
      <c r="BH765" s="1" t="s">
        <v>74</v>
      </c>
      <c r="BI765" s="1" t="s">
        <v>74</v>
      </c>
      <c r="BJ765" s="1" t="s">
        <v>74</v>
      </c>
      <c r="BK765" s="1" t="s">
        <v>74</v>
      </c>
      <c r="BL765" s="1" t="s">
        <v>74</v>
      </c>
      <c r="BM765" s="1" t="s">
        <v>74</v>
      </c>
      <c r="BN765" s="1" t="s">
        <v>74</v>
      </c>
      <c r="BO765" s="1" t="s">
        <v>74</v>
      </c>
      <c r="BP765" s="1" t="s">
        <v>74</v>
      </c>
      <c r="BQ765" s="1" t="s">
        <v>74</v>
      </c>
      <c r="BR765" s="1" t="s">
        <v>74</v>
      </c>
      <c r="BS765" s="1" t="s">
        <v>7532</v>
      </c>
      <c r="BT765" s="1" t="str">
        <f>HYPERLINK("https%3A%2F%2Fwww.webofscience.com%2Fwos%2Fwoscc%2Ffull-record%2FWOS:000182823300034","View Full Record in Web of Science")</f>
        <v>View Full Record in Web of Science</v>
      </c>
    </row>
    <row r="766" ht="12.75" customHeight="1">
      <c r="A766" s="1" t="s">
        <v>72</v>
      </c>
      <c r="B766" s="1" t="s">
        <v>7533</v>
      </c>
      <c r="C766" s="1" t="s">
        <v>74</v>
      </c>
      <c r="D766" s="1" t="s">
        <v>74</v>
      </c>
      <c r="E766" s="1" t="s">
        <v>74</v>
      </c>
      <c r="F766" s="1" t="s">
        <v>7533</v>
      </c>
      <c r="G766" s="1" t="s">
        <v>74</v>
      </c>
      <c r="H766" s="1" t="s">
        <v>74</v>
      </c>
      <c r="I766" s="1" t="s">
        <v>7534</v>
      </c>
      <c r="J766" s="1" t="s">
        <v>7535</v>
      </c>
      <c r="K766" s="1" t="s">
        <v>74</v>
      </c>
      <c r="L766" s="1" t="s">
        <v>74</v>
      </c>
      <c r="M766" s="1" t="s">
        <v>74</v>
      </c>
      <c r="N766" s="1" t="s">
        <v>74</v>
      </c>
      <c r="O766" s="1" t="s">
        <v>74</v>
      </c>
      <c r="P766" s="1" t="s">
        <v>74</v>
      </c>
      <c r="Q766" s="1" t="s">
        <v>74</v>
      </c>
      <c r="R766" s="1" t="s">
        <v>74</v>
      </c>
      <c r="S766" s="1" t="s">
        <v>74</v>
      </c>
      <c r="T766" s="1" t="s">
        <v>74</v>
      </c>
      <c r="U766" s="1" t="s">
        <v>74</v>
      </c>
      <c r="V766" s="1" t="s">
        <v>7536</v>
      </c>
      <c r="W766" s="1" t="s">
        <v>74</v>
      </c>
      <c r="X766" s="1" t="s">
        <v>74</v>
      </c>
      <c r="Y766" s="1" t="s">
        <v>74</v>
      </c>
      <c r="Z766" s="1" t="s">
        <v>74</v>
      </c>
      <c r="AA766" s="1" t="s">
        <v>7537</v>
      </c>
      <c r="AB766" s="1" t="s">
        <v>7538</v>
      </c>
      <c r="AC766" s="1" t="s">
        <v>74</v>
      </c>
      <c r="AD766" s="1" t="s">
        <v>74</v>
      </c>
      <c r="AE766" s="1" t="s">
        <v>74</v>
      </c>
      <c r="AF766" s="1" t="s">
        <v>74</v>
      </c>
      <c r="AG766" s="1" t="s">
        <v>74</v>
      </c>
      <c r="AH766" s="1" t="s">
        <v>74</v>
      </c>
      <c r="AI766" s="1" t="s">
        <v>74</v>
      </c>
      <c r="AJ766" s="1" t="s">
        <v>74</v>
      </c>
      <c r="AK766" s="1" t="s">
        <v>74</v>
      </c>
      <c r="AL766" s="1" t="s">
        <v>74</v>
      </c>
      <c r="AM766" s="1" t="s">
        <v>74</v>
      </c>
      <c r="AN766" s="1" t="s">
        <v>74</v>
      </c>
      <c r="AO766" s="1" t="s">
        <v>7539</v>
      </c>
      <c r="AP766" s="1" t="s">
        <v>74</v>
      </c>
      <c r="AQ766" s="1" t="s">
        <v>74</v>
      </c>
      <c r="AR766" s="1" t="s">
        <v>74</v>
      </c>
      <c r="AS766" s="1" t="s">
        <v>74</v>
      </c>
      <c r="AT766" s="1" t="s">
        <v>652</v>
      </c>
      <c r="AU766" s="1">
        <v>2001.0</v>
      </c>
      <c r="AV766" s="1">
        <v>46.0</v>
      </c>
      <c r="AW766" s="1">
        <v>4.0</v>
      </c>
      <c r="AX766" s="1" t="s">
        <v>74</v>
      </c>
      <c r="AY766" s="1" t="s">
        <v>74</v>
      </c>
      <c r="AZ766" s="1" t="s">
        <v>74</v>
      </c>
      <c r="BA766" s="1" t="s">
        <v>74</v>
      </c>
      <c r="BB766" s="1">
        <v>415.0</v>
      </c>
      <c r="BC766" s="1">
        <v>418.0</v>
      </c>
      <c r="BD766" s="1" t="s">
        <v>74</v>
      </c>
      <c r="BE766" s="1" t="s">
        <v>74</v>
      </c>
      <c r="BF766" s="1" t="s">
        <v>74</v>
      </c>
      <c r="BG766" s="1" t="s">
        <v>74</v>
      </c>
      <c r="BH766" s="1" t="s">
        <v>74</v>
      </c>
      <c r="BI766" s="1" t="s">
        <v>74</v>
      </c>
      <c r="BJ766" s="1" t="s">
        <v>74</v>
      </c>
      <c r="BK766" s="1" t="s">
        <v>74</v>
      </c>
      <c r="BL766" s="1" t="s">
        <v>74</v>
      </c>
      <c r="BM766" s="1" t="s">
        <v>74</v>
      </c>
      <c r="BN766" s="1" t="s">
        <v>74</v>
      </c>
      <c r="BO766" s="1" t="s">
        <v>74</v>
      </c>
      <c r="BP766" s="1" t="s">
        <v>74</v>
      </c>
      <c r="BQ766" s="1" t="s">
        <v>74</v>
      </c>
      <c r="BR766" s="1" t="s">
        <v>74</v>
      </c>
      <c r="BS766" s="1" t="s">
        <v>7540</v>
      </c>
      <c r="BT766" s="1" t="str">
        <f>HYPERLINK("https%3A%2F%2Fwww.webofscience.com%2Fwos%2Fwoscc%2Ffull-record%2FWOS:000173712000004","View Full Record in Web of Science")</f>
        <v>View Full Record in Web of Science</v>
      </c>
    </row>
    <row r="767" ht="12.75" customHeight="1">
      <c r="A767" s="1" t="s">
        <v>72</v>
      </c>
      <c r="B767" s="1" t="s">
        <v>7541</v>
      </c>
      <c r="C767" s="1" t="s">
        <v>74</v>
      </c>
      <c r="D767" s="1" t="s">
        <v>74</v>
      </c>
      <c r="E767" s="1" t="s">
        <v>74</v>
      </c>
      <c r="F767" s="1" t="s">
        <v>7541</v>
      </c>
      <c r="G767" s="1" t="s">
        <v>74</v>
      </c>
      <c r="H767" s="1" t="s">
        <v>74</v>
      </c>
      <c r="I767" s="1" t="s">
        <v>7542</v>
      </c>
      <c r="J767" s="1" t="s">
        <v>6941</v>
      </c>
      <c r="K767" s="1" t="s">
        <v>74</v>
      </c>
      <c r="L767" s="1" t="s">
        <v>74</v>
      </c>
      <c r="M767" s="1" t="s">
        <v>74</v>
      </c>
      <c r="N767" s="1" t="s">
        <v>74</v>
      </c>
      <c r="O767" s="1" t="s">
        <v>74</v>
      </c>
      <c r="P767" s="1" t="s">
        <v>74</v>
      </c>
      <c r="Q767" s="1" t="s">
        <v>74</v>
      </c>
      <c r="R767" s="1" t="s">
        <v>74</v>
      </c>
      <c r="S767" s="1" t="s">
        <v>74</v>
      </c>
      <c r="T767" s="1" t="s">
        <v>74</v>
      </c>
      <c r="U767" s="1" t="s">
        <v>74</v>
      </c>
      <c r="V767" s="1" t="s">
        <v>7543</v>
      </c>
      <c r="W767" s="1" t="s">
        <v>74</v>
      </c>
      <c r="X767" s="1" t="s">
        <v>74</v>
      </c>
      <c r="Y767" s="1" t="s">
        <v>74</v>
      </c>
      <c r="Z767" s="1" t="s">
        <v>74</v>
      </c>
      <c r="AA767" s="1" t="s">
        <v>74</v>
      </c>
      <c r="AB767" s="1" t="s">
        <v>74</v>
      </c>
      <c r="AC767" s="1" t="s">
        <v>74</v>
      </c>
      <c r="AD767" s="1" t="s">
        <v>74</v>
      </c>
      <c r="AE767" s="1" t="s">
        <v>74</v>
      </c>
      <c r="AF767" s="1" t="s">
        <v>74</v>
      </c>
      <c r="AG767" s="1" t="s">
        <v>74</v>
      </c>
      <c r="AH767" s="1" t="s">
        <v>74</v>
      </c>
      <c r="AI767" s="1" t="s">
        <v>74</v>
      </c>
      <c r="AJ767" s="1" t="s">
        <v>74</v>
      </c>
      <c r="AK767" s="1" t="s">
        <v>74</v>
      </c>
      <c r="AL767" s="1" t="s">
        <v>74</v>
      </c>
      <c r="AM767" s="1" t="s">
        <v>74</v>
      </c>
      <c r="AN767" s="1" t="s">
        <v>74</v>
      </c>
      <c r="AO767" s="1" t="s">
        <v>6943</v>
      </c>
      <c r="AP767" s="1" t="s">
        <v>6944</v>
      </c>
      <c r="AQ767" s="1" t="s">
        <v>74</v>
      </c>
      <c r="AR767" s="1" t="s">
        <v>74</v>
      </c>
      <c r="AS767" s="1" t="s">
        <v>74</v>
      </c>
      <c r="AT767" s="1" t="s">
        <v>74</v>
      </c>
      <c r="AU767" s="1">
        <v>2001.0</v>
      </c>
      <c r="AV767" s="1">
        <v>54.0</v>
      </c>
      <c r="AW767" s="1" t="s">
        <v>594</v>
      </c>
      <c r="AX767" s="1" t="s">
        <v>74</v>
      </c>
      <c r="AY767" s="1" t="s">
        <v>74</v>
      </c>
      <c r="AZ767" s="1" t="s">
        <v>74</v>
      </c>
      <c r="BA767" s="1" t="s">
        <v>74</v>
      </c>
      <c r="BB767" s="1">
        <v>401.0</v>
      </c>
      <c r="BC767" s="1">
        <v>413.0</v>
      </c>
      <c r="BD767" s="1" t="s">
        <v>74</v>
      </c>
      <c r="BE767" s="1" t="s">
        <v>7544</v>
      </c>
      <c r="BF767" s="2" t="str">
        <f>HYPERLINK("http://dx.doi.org/10.1080/00958970108022652","http://dx.doi.org/10.1080/00958970108022652")</f>
        <v>http://dx.doi.org/10.1080/00958970108022652</v>
      </c>
      <c r="BG767" s="1" t="s">
        <v>74</v>
      </c>
      <c r="BH767" s="1" t="s">
        <v>74</v>
      </c>
      <c r="BI767" s="1" t="s">
        <v>74</v>
      </c>
      <c r="BJ767" s="1" t="s">
        <v>74</v>
      </c>
      <c r="BK767" s="1" t="s">
        <v>74</v>
      </c>
      <c r="BL767" s="1" t="s">
        <v>74</v>
      </c>
      <c r="BM767" s="1" t="s">
        <v>74</v>
      </c>
      <c r="BN767" s="1" t="s">
        <v>74</v>
      </c>
      <c r="BO767" s="1" t="s">
        <v>74</v>
      </c>
      <c r="BP767" s="1" t="s">
        <v>74</v>
      </c>
      <c r="BQ767" s="1" t="s">
        <v>74</v>
      </c>
      <c r="BR767" s="1" t="s">
        <v>74</v>
      </c>
      <c r="BS767" s="1" t="s">
        <v>7545</v>
      </c>
      <c r="BT767" s="1" t="str">
        <f>HYPERLINK("https%3A%2F%2Fwww.webofscience.com%2Fwos%2Fwoscc%2Ffull-record%2FWOS:000172387600019","View Full Record in Web of Science")</f>
        <v>View Full Record in Web of Science</v>
      </c>
    </row>
    <row r="768" ht="12.75" customHeight="1">
      <c r="A768" s="1" t="s">
        <v>72</v>
      </c>
      <c r="B768" s="1" t="s">
        <v>7546</v>
      </c>
      <c r="C768" s="1" t="s">
        <v>74</v>
      </c>
      <c r="D768" s="1" t="s">
        <v>74</v>
      </c>
      <c r="E768" s="1" t="s">
        <v>74</v>
      </c>
      <c r="F768" s="1" t="s">
        <v>7546</v>
      </c>
      <c r="G768" s="1" t="s">
        <v>74</v>
      </c>
      <c r="H768" s="1" t="s">
        <v>74</v>
      </c>
      <c r="I768" s="1" t="s">
        <v>7547</v>
      </c>
      <c r="J768" s="1" t="s">
        <v>7548</v>
      </c>
      <c r="K768" s="1" t="s">
        <v>74</v>
      </c>
      <c r="L768" s="1" t="s">
        <v>74</v>
      </c>
      <c r="M768" s="1" t="s">
        <v>74</v>
      </c>
      <c r="N768" s="1" t="s">
        <v>74</v>
      </c>
      <c r="O768" s="1" t="s">
        <v>74</v>
      </c>
      <c r="P768" s="1" t="s">
        <v>74</v>
      </c>
      <c r="Q768" s="1" t="s">
        <v>74</v>
      </c>
      <c r="R768" s="1" t="s">
        <v>74</v>
      </c>
      <c r="S768" s="1" t="s">
        <v>74</v>
      </c>
      <c r="T768" s="1" t="s">
        <v>74</v>
      </c>
      <c r="U768" s="1" t="s">
        <v>74</v>
      </c>
      <c r="V768" s="1" t="s">
        <v>7549</v>
      </c>
      <c r="W768" s="1" t="s">
        <v>74</v>
      </c>
      <c r="X768" s="1" t="s">
        <v>74</v>
      </c>
      <c r="Y768" s="1" t="s">
        <v>74</v>
      </c>
      <c r="Z768" s="1" t="s">
        <v>74</v>
      </c>
      <c r="AA768" s="1" t="s">
        <v>74</v>
      </c>
      <c r="AB768" s="1" t="s">
        <v>74</v>
      </c>
      <c r="AC768" s="1" t="s">
        <v>74</v>
      </c>
      <c r="AD768" s="1" t="s">
        <v>74</v>
      </c>
      <c r="AE768" s="1" t="s">
        <v>74</v>
      </c>
      <c r="AF768" s="1" t="s">
        <v>74</v>
      </c>
      <c r="AG768" s="1" t="s">
        <v>74</v>
      </c>
      <c r="AH768" s="1" t="s">
        <v>74</v>
      </c>
      <c r="AI768" s="1" t="s">
        <v>74</v>
      </c>
      <c r="AJ768" s="1" t="s">
        <v>74</v>
      </c>
      <c r="AK768" s="1" t="s">
        <v>74</v>
      </c>
      <c r="AL768" s="1" t="s">
        <v>74</v>
      </c>
      <c r="AM768" s="1" t="s">
        <v>74</v>
      </c>
      <c r="AN768" s="1" t="s">
        <v>74</v>
      </c>
      <c r="AO768" s="1" t="s">
        <v>7550</v>
      </c>
      <c r="AP768" s="1" t="s">
        <v>74</v>
      </c>
      <c r="AQ768" s="1" t="s">
        <v>74</v>
      </c>
      <c r="AR768" s="1" t="s">
        <v>74</v>
      </c>
      <c r="AS768" s="1" t="s">
        <v>74</v>
      </c>
      <c r="AT768" s="1" t="s">
        <v>306</v>
      </c>
      <c r="AU768" s="1">
        <v>1999.0</v>
      </c>
      <c r="AV768" s="1">
        <v>30.0</v>
      </c>
      <c r="AW768" s="1" t="s">
        <v>2031</v>
      </c>
      <c r="AX768" s="1" t="s">
        <v>74</v>
      </c>
      <c r="AY768" s="1" t="s">
        <v>74</v>
      </c>
      <c r="AZ768" s="1" t="s">
        <v>74</v>
      </c>
      <c r="BA768" s="1" t="s">
        <v>74</v>
      </c>
      <c r="BB768" s="1">
        <v>937.0</v>
      </c>
      <c r="BC768" s="1">
        <v>946.0</v>
      </c>
      <c r="BD768" s="1" t="s">
        <v>74</v>
      </c>
      <c r="BE768" s="1" t="s">
        <v>7551</v>
      </c>
      <c r="BF768" s="2" t="str">
        <f>HYPERLINK("http://dx.doi.org/10.1080/00103629909370258","http://dx.doi.org/10.1080/00103629909370258")</f>
        <v>http://dx.doi.org/10.1080/00103629909370258</v>
      </c>
      <c r="BG768" s="1" t="s">
        <v>74</v>
      </c>
      <c r="BH768" s="1" t="s">
        <v>74</v>
      </c>
      <c r="BI768" s="1" t="s">
        <v>74</v>
      </c>
      <c r="BJ768" s="1" t="s">
        <v>74</v>
      </c>
      <c r="BK768" s="1" t="s">
        <v>74</v>
      </c>
      <c r="BL768" s="1" t="s">
        <v>74</v>
      </c>
      <c r="BM768" s="1" t="s">
        <v>74</v>
      </c>
      <c r="BN768" s="1" t="s">
        <v>74</v>
      </c>
      <c r="BO768" s="1" t="s">
        <v>74</v>
      </c>
      <c r="BP768" s="1" t="s">
        <v>74</v>
      </c>
      <c r="BQ768" s="1" t="s">
        <v>74</v>
      </c>
      <c r="BR768" s="1" t="s">
        <v>74</v>
      </c>
      <c r="BS768" s="1" t="s">
        <v>7552</v>
      </c>
      <c r="BT768" s="1" t="str">
        <f>HYPERLINK("https%3A%2F%2Fwww.webofscience.com%2Fwos%2Fwoscc%2Ffull-record%2FWOS:000080181600004","View Full Record in Web of Science")</f>
        <v>View Full Record in Web of Science</v>
      </c>
    </row>
    <row r="769" ht="12.75" customHeight="1">
      <c r="A769" s="1" t="s">
        <v>72</v>
      </c>
      <c r="B769" s="1" t="s">
        <v>7553</v>
      </c>
      <c r="C769" s="1" t="s">
        <v>74</v>
      </c>
      <c r="D769" s="1" t="s">
        <v>74</v>
      </c>
      <c r="E769" s="1" t="s">
        <v>74</v>
      </c>
      <c r="F769" s="1" t="s">
        <v>7553</v>
      </c>
      <c r="G769" s="1" t="s">
        <v>74</v>
      </c>
      <c r="H769" s="1" t="s">
        <v>74</v>
      </c>
      <c r="I769" s="1" t="s">
        <v>7554</v>
      </c>
      <c r="J769" s="1" t="s">
        <v>312</v>
      </c>
      <c r="K769" s="1" t="s">
        <v>74</v>
      </c>
      <c r="L769" s="1" t="s">
        <v>74</v>
      </c>
      <c r="M769" s="1" t="s">
        <v>74</v>
      </c>
      <c r="N769" s="1" t="s">
        <v>74</v>
      </c>
      <c r="O769" s="1" t="s">
        <v>74</v>
      </c>
      <c r="P769" s="1" t="s">
        <v>74</v>
      </c>
      <c r="Q769" s="1" t="s">
        <v>74</v>
      </c>
      <c r="R769" s="1" t="s">
        <v>74</v>
      </c>
      <c r="S769" s="1" t="s">
        <v>74</v>
      </c>
      <c r="T769" s="1" t="s">
        <v>74</v>
      </c>
      <c r="U769" s="1" t="s">
        <v>74</v>
      </c>
      <c r="V769" s="1" t="s">
        <v>7555</v>
      </c>
      <c r="W769" s="1" t="s">
        <v>74</v>
      </c>
      <c r="X769" s="1" t="s">
        <v>74</v>
      </c>
      <c r="Y769" s="1" t="s">
        <v>74</v>
      </c>
      <c r="Z769" s="1" t="s">
        <v>74</v>
      </c>
      <c r="AA769" s="1" t="s">
        <v>74</v>
      </c>
      <c r="AB769" s="1" t="s">
        <v>74</v>
      </c>
      <c r="AC769" s="1" t="s">
        <v>74</v>
      </c>
      <c r="AD769" s="1" t="s">
        <v>74</v>
      </c>
      <c r="AE769" s="1" t="s">
        <v>74</v>
      </c>
      <c r="AF769" s="1" t="s">
        <v>74</v>
      </c>
      <c r="AG769" s="1" t="s">
        <v>74</v>
      </c>
      <c r="AH769" s="1" t="s">
        <v>74</v>
      </c>
      <c r="AI769" s="1" t="s">
        <v>74</v>
      </c>
      <c r="AJ769" s="1" t="s">
        <v>74</v>
      </c>
      <c r="AK769" s="1" t="s">
        <v>74</v>
      </c>
      <c r="AL769" s="1" t="s">
        <v>74</v>
      </c>
      <c r="AM769" s="1" t="s">
        <v>74</v>
      </c>
      <c r="AN769" s="1" t="s">
        <v>74</v>
      </c>
      <c r="AO769" s="1" t="s">
        <v>315</v>
      </c>
      <c r="AP769" s="1" t="s">
        <v>74</v>
      </c>
      <c r="AQ769" s="1" t="s">
        <v>74</v>
      </c>
      <c r="AR769" s="1" t="s">
        <v>74</v>
      </c>
      <c r="AS769" s="1" t="s">
        <v>74</v>
      </c>
      <c r="AT769" s="1" t="s">
        <v>294</v>
      </c>
      <c r="AU769" s="1">
        <v>1997.0</v>
      </c>
      <c r="AV769" s="1">
        <v>125.0</v>
      </c>
      <c r="AW769" s="1">
        <v>6.0</v>
      </c>
      <c r="AX769" s="1" t="s">
        <v>74</v>
      </c>
      <c r="AY769" s="1" t="s">
        <v>74</v>
      </c>
      <c r="AZ769" s="1" t="s">
        <v>74</v>
      </c>
      <c r="BA769" s="1" t="s">
        <v>74</v>
      </c>
      <c r="BB769" s="1">
        <v>665.0</v>
      </c>
      <c r="BC769" s="1">
        <v>670.0</v>
      </c>
      <c r="BD769" s="1" t="s">
        <v>74</v>
      </c>
      <c r="BE769" s="1" t="s">
        <v>74</v>
      </c>
      <c r="BF769" s="1" t="s">
        <v>74</v>
      </c>
      <c r="BG769" s="1" t="s">
        <v>74</v>
      </c>
      <c r="BH769" s="1" t="s">
        <v>74</v>
      </c>
      <c r="BI769" s="1" t="s">
        <v>74</v>
      </c>
      <c r="BJ769" s="1" t="s">
        <v>74</v>
      </c>
      <c r="BK769" s="1" t="s">
        <v>74</v>
      </c>
      <c r="BL769" s="1" t="s">
        <v>74</v>
      </c>
      <c r="BM769" s="1" t="s">
        <v>74</v>
      </c>
      <c r="BN769" s="1">
        <v>9515285.0</v>
      </c>
      <c r="BO769" s="1" t="s">
        <v>74</v>
      </c>
      <c r="BP769" s="1" t="s">
        <v>74</v>
      </c>
      <c r="BQ769" s="1" t="s">
        <v>74</v>
      </c>
      <c r="BR769" s="1" t="s">
        <v>74</v>
      </c>
      <c r="BS769" s="1" t="s">
        <v>7556</v>
      </c>
      <c r="BT769" s="1" t="str">
        <f>HYPERLINK("https%3A%2F%2Fwww.webofscience.com%2Fwos%2Fwoscc%2Ffull-record%2FWOS:A1997XP60600004","View Full Record in Web of Science")</f>
        <v>View Full Record in Web of Science</v>
      </c>
    </row>
    <row r="770" ht="12.75" customHeight="1">
      <c r="A770" s="1" t="s">
        <v>72</v>
      </c>
      <c r="B770" s="1" t="s">
        <v>7557</v>
      </c>
      <c r="C770" s="1" t="s">
        <v>74</v>
      </c>
      <c r="D770" s="1" t="s">
        <v>74</v>
      </c>
      <c r="E770" s="1" t="s">
        <v>74</v>
      </c>
      <c r="F770" s="1" t="s">
        <v>7558</v>
      </c>
      <c r="G770" s="1" t="s">
        <v>74</v>
      </c>
      <c r="H770" s="1" t="s">
        <v>74</v>
      </c>
      <c r="I770" s="1" t="s">
        <v>7559</v>
      </c>
      <c r="J770" s="1" t="s">
        <v>7560</v>
      </c>
      <c r="K770" s="1" t="s">
        <v>74</v>
      </c>
      <c r="L770" s="1" t="s">
        <v>74</v>
      </c>
      <c r="M770" s="1" t="s">
        <v>74</v>
      </c>
      <c r="N770" s="1" t="s">
        <v>74</v>
      </c>
      <c r="O770" s="1" t="s">
        <v>74</v>
      </c>
      <c r="P770" s="1" t="s">
        <v>74</v>
      </c>
      <c r="Q770" s="1" t="s">
        <v>74</v>
      </c>
      <c r="R770" s="1" t="s">
        <v>74</v>
      </c>
      <c r="S770" s="1" t="s">
        <v>74</v>
      </c>
      <c r="T770" s="1" t="s">
        <v>74</v>
      </c>
      <c r="U770" s="1" t="s">
        <v>74</v>
      </c>
      <c r="V770" s="1" t="s">
        <v>7561</v>
      </c>
      <c r="W770" s="1" t="s">
        <v>74</v>
      </c>
      <c r="X770" s="1" t="s">
        <v>74</v>
      </c>
      <c r="Y770" s="1" t="s">
        <v>74</v>
      </c>
      <c r="Z770" s="1" t="s">
        <v>74</v>
      </c>
      <c r="AA770" s="1" t="s">
        <v>7562</v>
      </c>
      <c r="AB770" s="1" t="s">
        <v>7563</v>
      </c>
      <c r="AC770" s="1" t="s">
        <v>74</v>
      </c>
      <c r="AD770" s="1" t="s">
        <v>74</v>
      </c>
      <c r="AE770" s="1" t="s">
        <v>74</v>
      </c>
      <c r="AF770" s="1" t="s">
        <v>74</v>
      </c>
      <c r="AG770" s="1" t="s">
        <v>74</v>
      </c>
      <c r="AH770" s="1" t="s">
        <v>74</v>
      </c>
      <c r="AI770" s="1" t="s">
        <v>74</v>
      </c>
      <c r="AJ770" s="1" t="s">
        <v>74</v>
      </c>
      <c r="AK770" s="1" t="s">
        <v>74</v>
      </c>
      <c r="AL770" s="1" t="s">
        <v>74</v>
      </c>
      <c r="AM770" s="1" t="s">
        <v>74</v>
      </c>
      <c r="AN770" s="1" t="s">
        <v>74</v>
      </c>
      <c r="AO770" s="1" t="s">
        <v>74</v>
      </c>
      <c r="AP770" s="1" t="s">
        <v>7564</v>
      </c>
      <c r="AQ770" s="1" t="s">
        <v>74</v>
      </c>
      <c r="AR770" s="1" t="s">
        <v>74</v>
      </c>
      <c r="AS770" s="1" t="s">
        <v>74</v>
      </c>
      <c r="AT770" s="1" t="s">
        <v>6990</v>
      </c>
      <c r="AU770" s="1">
        <v>2025.0</v>
      </c>
      <c r="AV770" s="1">
        <v>15.0</v>
      </c>
      <c r="AW770" s="1">
        <v>3.0</v>
      </c>
      <c r="AX770" s="1" t="s">
        <v>74</v>
      </c>
      <c r="AY770" s="1" t="s">
        <v>74</v>
      </c>
      <c r="AZ770" s="1" t="s">
        <v>74</v>
      </c>
      <c r="BA770" s="1" t="s">
        <v>74</v>
      </c>
      <c r="BB770" s="1" t="s">
        <v>74</v>
      </c>
      <c r="BC770" s="1" t="s">
        <v>74</v>
      </c>
      <c r="BD770" s="1">
        <v>509.0</v>
      </c>
      <c r="BE770" s="1" t="s">
        <v>7565</v>
      </c>
      <c r="BF770" s="2" t="str">
        <f>HYPERLINK("http://dx.doi.org/10.3390/agronomy15030509","http://dx.doi.org/10.3390/agronomy15030509")</f>
        <v>http://dx.doi.org/10.3390/agronomy15030509</v>
      </c>
      <c r="BG770" s="1" t="s">
        <v>74</v>
      </c>
      <c r="BH770" s="1" t="s">
        <v>74</v>
      </c>
      <c r="BI770" s="1" t="s">
        <v>74</v>
      </c>
      <c r="BJ770" s="1" t="s">
        <v>74</v>
      </c>
      <c r="BK770" s="1" t="s">
        <v>74</v>
      </c>
      <c r="BL770" s="1" t="s">
        <v>74</v>
      </c>
      <c r="BM770" s="1" t="s">
        <v>74</v>
      </c>
      <c r="BN770" s="1" t="s">
        <v>74</v>
      </c>
      <c r="BO770" s="1" t="s">
        <v>74</v>
      </c>
      <c r="BP770" s="1" t="s">
        <v>74</v>
      </c>
      <c r="BQ770" s="1" t="s">
        <v>74</v>
      </c>
      <c r="BR770" s="1" t="s">
        <v>74</v>
      </c>
      <c r="BS770" s="1" t="s">
        <v>7566</v>
      </c>
      <c r="BT770" s="1" t="str">
        <f>HYPERLINK("https%3A%2F%2Fwww.webofscience.com%2Fwos%2Fwoscc%2Ffull-record%2FWOS:001453561000001","View Full Record in Web of Science")</f>
        <v>View Full Record in Web of Science</v>
      </c>
    </row>
    <row r="771" ht="12.75" customHeight="1">
      <c r="A771" s="1" t="s">
        <v>72</v>
      </c>
      <c r="B771" s="1" t="s">
        <v>7567</v>
      </c>
      <c r="C771" s="1" t="s">
        <v>74</v>
      </c>
      <c r="D771" s="1" t="s">
        <v>74</v>
      </c>
      <c r="E771" s="1" t="s">
        <v>74</v>
      </c>
      <c r="F771" s="1" t="s">
        <v>7568</v>
      </c>
      <c r="G771" s="1" t="s">
        <v>74</v>
      </c>
      <c r="H771" s="1" t="s">
        <v>74</v>
      </c>
      <c r="I771" s="1" t="s">
        <v>7569</v>
      </c>
      <c r="J771" s="1" t="s">
        <v>4284</v>
      </c>
      <c r="K771" s="1" t="s">
        <v>74</v>
      </c>
      <c r="L771" s="1" t="s">
        <v>74</v>
      </c>
      <c r="M771" s="1" t="s">
        <v>74</v>
      </c>
      <c r="N771" s="1" t="s">
        <v>74</v>
      </c>
      <c r="O771" s="1" t="s">
        <v>74</v>
      </c>
      <c r="P771" s="1" t="s">
        <v>74</v>
      </c>
      <c r="Q771" s="1" t="s">
        <v>74</v>
      </c>
      <c r="R771" s="1" t="s">
        <v>74</v>
      </c>
      <c r="S771" s="1" t="s">
        <v>74</v>
      </c>
      <c r="T771" s="1" t="s">
        <v>74</v>
      </c>
      <c r="U771" s="1" t="s">
        <v>74</v>
      </c>
      <c r="V771" s="1" t="s">
        <v>7570</v>
      </c>
      <c r="W771" s="1" t="s">
        <v>74</v>
      </c>
      <c r="X771" s="1" t="s">
        <v>74</v>
      </c>
      <c r="Y771" s="1" t="s">
        <v>74</v>
      </c>
      <c r="Z771" s="1" t="s">
        <v>74</v>
      </c>
      <c r="AA771" s="1" t="s">
        <v>7571</v>
      </c>
      <c r="AB771" s="1" t="s">
        <v>74</v>
      </c>
      <c r="AC771" s="1" t="s">
        <v>74</v>
      </c>
      <c r="AD771" s="1" t="s">
        <v>74</v>
      </c>
      <c r="AE771" s="1" t="s">
        <v>74</v>
      </c>
      <c r="AF771" s="1" t="s">
        <v>74</v>
      </c>
      <c r="AG771" s="1" t="s">
        <v>74</v>
      </c>
      <c r="AH771" s="1" t="s">
        <v>74</v>
      </c>
      <c r="AI771" s="1" t="s">
        <v>74</v>
      </c>
      <c r="AJ771" s="1" t="s">
        <v>74</v>
      </c>
      <c r="AK771" s="1" t="s">
        <v>74</v>
      </c>
      <c r="AL771" s="1" t="s">
        <v>74</v>
      </c>
      <c r="AM771" s="1" t="s">
        <v>74</v>
      </c>
      <c r="AN771" s="1" t="s">
        <v>74</v>
      </c>
      <c r="AO771" s="1" t="s">
        <v>74</v>
      </c>
      <c r="AP771" s="1" t="s">
        <v>4287</v>
      </c>
      <c r="AQ771" s="1" t="s">
        <v>74</v>
      </c>
      <c r="AR771" s="1" t="s">
        <v>74</v>
      </c>
      <c r="AS771" s="1" t="s">
        <v>74</v>
      </c>
      <c r="AT771" s="1" t="s">
        <v>123</v>
      </c>
      <c r="AU771" s="1">
        <v>2025.0</v>
      </c>
      <c r="AV771" s="1">
        <v>16.0</v>
      </c>
      <c r="AW771" s="1" t="s">
        <v>74</v>
      </c>
      <c r="AX771" s="1" t="s">
        <v>74</v>
      </c>
      <c r="AY771" s="1" t="s">
        <v>74</v>
      </c>
      <c r="AZ771" s="1" t="s">
        <v>74</v>
      </c>
      <c r="BA771" s="1" t="s">
        <v>74</v>
      </c>
      <c r="BB771" s="1" t="s">
        <v>74</v>
      </c>
      <c r="BC771" s="1" t="s">
        <v>74</v>
      </c>
      <c r="BD771" s="1">
        <v>1533025.0</v>
      </c>
      <c r="BE771" s="1" t="s">
        <v>7572</v>
      </c>
      <c r="BF771" s="2" t="str">
        <f>HYPERLINK("http://dx.doi.org/10.3389/fphar.2025.1533025","http://dx.doi.org/10.3389/fphar.2025.1533025")</f>
        <v>http://dx.doi.org/10.3389/fphar.2025.1533025</v>
      </c>
      <c r="BG771" s="1" t="s">
        <v>74</v>
      </c>
      <c r="BH771" s="1" t="s">
        <v>74</v>
      </c>
      <c r="BI771" s="1" t="s">
        <v>74</v>
      </c>
      <c r="BJ771" s="1" t="s">
        <v>74</v>
      </c>
      <c r="BK771" s="1" t="s">
        <v>74</v>
      </c>
      <c r="BL771" s="1" t="s">
        <v>74</v>
      </c>
      <c r="BM771" s="1" t="s">
        <v>74</v>
      </c>
      <c r="BN771" s="1">
        <v>4.0028155E7</v>
      </c>
      <c r="BO771" s="1" t="s">
        <v>74</v>
      </c>
      <c r="BP771" s="1" t="s">
        <v>74</v>
      </c>
      <c r="BQ771" s="1" t="s">
        <v>74</v>
      </c>
      <c r="BR771" s="1" t="s">
        <v>74</v>
      </c>
      <c r="BS771" s="1" t="s">
        <v>7573</v>
      </c>
      <c r="BT771" s="1" t="str">
        <f>HYPERLINK("https%3A%2F%2Fwww.webofscience.com%2Fwos%2Fwoscc%2Ffull-record%2FWOS:001433628900001","View Full Record in Web of Science")</f>
        <v>View Full Record in Web of Science</v>
      </c>
    </row>
    <row r="772" ht="12.75" customHeight="1">
      <c r="A772" s="1" t="s">
        <v>72</v>
      </c>
      <c r="B772" s="1" t="s">
        <v>7574</v>
      </c>
      <c r="C772" s="1" t="s">
        <v>74</v>
      </c>
      <c r="D772" s="1" t="s">
        <v>74</v>
      </c>
      <c r="E772" s="1" t="s">
        <v>74</v>
      </c>
      <c r="F772" s="1" t="s">
        <v>7575</v>
      </c>
      <c r="G772" s="1" t="s">
        <v>74</v>
      </c>
      <c r="H772" s="1" t="s">
        <v>74</v>
      </c>
      <c r="I772" s="1" t="s">
        <v>7576</v>
      </c>
      <c r="J772" s="1" t="s">
        <v>7577</v>
      </c>
      <c r="K772" s="1" t="s">
        <v>74</v>
      </c>
      <c r="L772" s="1" t="s">
        <v>74</v>
      </c>
      <c r="M772" s="1" t="s">
        <v>74</v>
      </c>
      <c r="N772" s="1" t="s">
        <v>74</v>
      </c>
      <c r="O772" s="1" t="s">
        <v>74</v>
      </c>
      <c r="P772" s="1" t="s">
        <v>74</v>
      </c>
      <c r="Q772" s="1" t="s">
        <v>74</v>
      </c>
      <c r="R772" s="1" t="s">
        <v>74</v>
      </c>
      <c r="S772" s="1" t="s">
        <v>74</v>
      </c>
      <c r="T772" s="1" t="s">
        <v>74</v>
      </c>
      <c r="U772" s="1" t="s">
        <v>74</v>
      </c>
      <c r="V772" s="1" t="s">
        <v>7578</v>
      </c>
      <c r="W772" s="1" t="s">
        <v>74</v>
      </c>
      <c r="X772" s="1" t="s">
        <v>74</v>
      </c>
      <c r="Y772" s="1" t="s">
        <v>74</v>
      </c>
      <c r="Z772" s="1" t="s">
        <v>74</v>
      </c>
      <c r="AA772" s="1" t="s">
        <v>74</v>
      </c>
      <c r="AB772" s="1" t="s">
        <v>74</v>
      </c>
      <c r="AC772" s="1" t="s">
        <v>74</v>
      </c>
      <c r="AD772" s="1" t="s">
        <v>74</v>
      </c>
      <c r="AE772" s="1" t="s">
        <v>74</v>
      </c>
      <c r="AF772" s="1" t="s">
        <v>74</v>
      </c>
      <c r="AG772" s="1" t="s">
        <v>74</v>
      </c>
      <c r="AH772" s="1" t="s">
        <v>74</v>
      </c>
      <c r="AI772" s="1" t="s">
        <v>74</v>
      </c>
      <c r="AJ772" s="1" t="s">
        <v>74</v>
      </c>
      <c r="AK772" s="1" t="s">
        <v>74</v>
      </c>
      <c r="AL772" s="1" t="s">
        <v>74</v>
      </c>
      <c r="AM772" s="1" t="s">
        <v>74</v>
      </c>
      <c r="AN772" s="1" t="s">
        <v>74</v>
      </c>
      <c r="AO772" s="1" t="s">
        <v>7579</v>
      </c>
      <c r="AP772" s="1" t="s">
        <v>74</v>
      </c>
      <c r="AQ772" s="1" t="s">
        <v>74</v>
      </c>
      <c r="AR772" s="1" t="s">
        <v>74</v>
      </c>
      <c r="AS772" s="1" t="s">
        <v>74</v>
      </c>
      <c r="AT772" s="1" t="s">
        <v>257</v>
      </c>
      <c r="AU772" s="1">
        <v>2025.0</v>
      </c>
      <c r="AV772" s="1">
        <v>71.0</v>
      </c>
      <c r="AW772" s="1" t="s">
        <v>74</v>
      </c>
      <c r="AX772" s="1" t="s">
        <v>74</v>
      </c>
      <c r="AY772" s="1" t="s">
        <v>74</v>
      </c>
      <c r="AZ772" s="1" t="s">
        <v>74</v>
      </c>
      <c r="BA772" s="1" t="s">
        <v>74</v>
      </c>
      <c r="BB772" s="1" t="s">
        <v>74</v>
      </c>
      <c r="BC772" s="1" t="s">
        <v>74</v>
      </c>
      <c r="BD772" s="1">
        <v>107148.0</v>
      </c>
      <c r="BE772" s="1" t="s">
        <v>7580</v>
      </c>
      <c r="BF772" s="2" t="str">
        <f>HYPERLINK("http://dx.doi.org/10.1016/j.jwpe.2025.107148","http://dx.doi.org/10.1016/j.jwpe.2025.107148")</f>
        <v>http://dx.doi.org/10.1016/j.jwpe.2025.107148</v>
      </c>
      <c r="BG772" s="1" t="s">
        <v>74</v>
      </c>
      <c r="BH772" s="1" t="s">
        <v>3939</v>
      </c>
      <c r="BI772" s="1" t="s">
        <v>74</v>
      </c>
      <c r="BJ772" s="1" t="s">
        <v>74</v>
      </c>
      <c r="BK772" s="1" t="s">
        <v>74</v>
      </c>
      <c r="BL772" s="1" t="s">
        <v>74</v>
      </c>
      <c r="BM772" s="1" t="s">
        <v>74</v>
      </c>
      <c r="BN772" s="1" t="s">
        <v>74</v>
      </c>
      <c r="BO772" s="1" t="s">
        <v>74</v>
      </c>
      <c r="BP772" s="1" t="s">
        <v>74</v>
      </c>
      <c r="BQ772" s="1" t="s">
        <v>74</v>
      </c>
      <c r="BR772" s="1" t="s">
        <v>74</v>
      </c>
      <c r="BS772" s="1" t="s">
        <v>7581</v>
      </c>
      <c r="BT772" s="1" t="str">
        <f>HYPERLINK("https%3A%2F%2Fwww.webofscience.com%2Fwos%2Fwoscc%2Ffull-record%2FWOS:001426361200001","View Full Record in Web of Science")</f>
        <v>View Full Record in Web of Science</v>
      </c>
    </row>
    <row r="773" ht="12.75" customHeight="1">
      <c r="A773" s="1" t="s">
        <v>72</v>
      </c>
      <c r="B773" s="1" t="s">
        <v>7582</v>
      </c>
      <c r="C773" s="1" t="s">
        <v>74</v>
      </c>
      <c r="D773" s="1" t="s">
        <v>74</v>
      </c>
      <c r="E773" s="1" t="s">
        <v>74</v>
      </c>
      <c r="F773" s="1" t="s">
        <v>7583</v>
      </c>
      <c r="G773" s="1" t="s">
        <v>74</v>
      </c>
      <c r="H773" s="1" t="s">
        <v>74</v>
      </c>
      <c r="I773" s="1" t="s">
        <v>7584</v>
      </c>
      <c r="J773" s="1" t="s">
        <v>7585</v>
      </c>
      <c r="K773" s="1" t="s">
        <v>74</v>
      </c>
      <c r="L773" s="1" t="s">
        <v>74</v>
      </c>
      <c r="M773" s="1" t="s">
        <v>74</v>
      </c>
      <c r="N773" s="1" t="s">
        <v>74</v>
      </c>
      <c r="O773" s="1" t="s">
        <v>74</v>
      </c>
      <c r="P773" s="1" t="s">
        <v>74</v>
      </c>
      <c r="Q773" s="1" t="s">
        <v>74</v>
      </c>
      <c r="R773" s="1" t="s">
        <v>74</v>
      </c>
      <c r="S773" s="1" t="s">
        <v>74</v>
      </c>
      <c r="T773" s="1" t="s">
        <v>74</v>
      </c>
      <c r="U773" s="1" t="s">
        <v>74</v>
      </c>
      <c r="V773" s="1" t="s">
        <v>7586</v>
      </c>
      <c r="W773" s="1" t="s">
        <v>74</v>
      </c>
      <c r="X773" s="1" t="s">
        <v>74</v>
      </c>
      <c r="Y773" s="1" t="s">
        <v>74</v>
      </c>
      <c r="Z773" s="1" t="s">
        <v>74</v>
      </c>
      <c r="AA773" s="1" t="s">
        <v>7587</v>
      </c>
      <c r="AB773" s="1" t="s">
        <v>74</v>
      </c>
      <c r="AC773" s="1" t="s">
        <v>74</v>
      </c>
      <c r="AD773" s="1" t="s">
        <v>74</v>
      </c>
      <c r="AE773" s="1" t="s">
        <v>74</v>
      </c>
      <c r="AF773" s="1" t="s">
        <v>74</v>
      </c>
      <c r="AG773" s="1" t="s">
        <v>74</v>
      </c>
      <c r="AH773" s="1" t="s">
        <v>74</v>
      </c>
      <c r="AI773" s="1" t="s">
        <v>74</v>
      </c>
      <c r="AJ773" s="1" t="s">
        <v>74</v>
      </c>
      <c r="AK773" s="1" t="s">
        <v>74</v>
      </c>
      <c r="AL773" s="1" t="s">
        <v>74</v>
      </c>
      <c r="AM773" s="1" t="s">
        <v>74</v>
      </c>
      <c r="AN773" s="1" t="s">
        <v>74</v>
      </c>
      <c r="AO773" s="1" t="s">
        <v>7588</v>
      </c>
      <c r="AP773" s="1" t="s">
        <v>7589</v>
      </c>
      <c r="AQ773" s="1" t="s">
        <v>74</v>
      </c>
      <c r="AR773" s="1" t="s">
        <v>74</v>
      </c>
      <c r="AS773" s="1" t="s">
        <v>74</v>
      </c>
      <c r="AT773" s="1" t="s">
        <v>652</v>
      </c>
      <c r="AU773" s="1">
        <v>2024.0</v>
      </c>
      <c r="AV773" s="1">
        <v>39.0</v>
      </c>
      <c r="AW773" s="1">
        <v>2.0</v>
      </c>
      <c r="AX773" s="1" t="s">
        <v>74</v>
      </c>
      <c r="AY773" s="1" t="s">
        <v>74</v>
      </c>
      <c r="AZ773" s="1" t="s">
        <v>74</v>
      </c>
      <c r="BA773" s="1" t="s">
        <v>74</v>
      </c>
      <c r="BB773" s="1">
        <v>639.0</v>
      </c>
      <c r="BC773" s="1">
        <v>660.0</v>
      </c>
      <c r="BD773" s="1" t="s">
        <v>74</v>
      </c>
      <c r="BE773" s="1" t="s">
        <v>7590</v>
      </c>
      <c r="BF773" s="2" t="str">
        <f>HYPERLINK("http://dx.doi.org/10.4067/S0718-23762024000200639","http://dx.doi.org/10.4067/S0718-23762024000200639")</f>
        <v>http://dx.doi.org/10.4067/S0718-23762024000200639</v>
      </c>
      <c r="BG773" s="1" t="s">
        <v>74</v>
      </c>
      <c r="BH773" s="1" t="s">
        <v>74</v>
      </c>
      <c r="BI773" s="1" t="s">
        <v>74</v>
      </c>
      <c r="BJ773" s="1" t="s">
        <v>74</v>
      </c>
      <c r="BK773" s="1" t="s">
        <v>74</v>
      </c>
      <c r="BL773" s="1" t="s">
        <v>74</v>
      </c>
      <c r="BM773" s="1" t="s">
        <v>74</v>
      </c>
      <c r="BN773" s="1" t="s">
        <v>74</v>
      </c>
      <c r="BO773" s="1" t="s">
        <v>74</v>
      </c>
      <c r="BP773" s="1" t="s">
        <v>74</v>
      </c>
      <c r="BQ773" s="1" t="s">
        <v>74</v>
      </c>
      <c r="BR773" s="1" t="s">
        <v>74</v>
      </c>
      <c r="BS773" s="1" t="s">
        <v>7591</v>
      </c>
      <c r="BT773" s="1" t="str">
        <f>HYPERLINK("https%3A%2F%2Fwww.webofscience.com%2Fwos%2Fwoscc%2Ffull-record%2FWOS:001422212000016","View Full Record in Web of Science")</f>
        <v>View Full Record in Web of Science</v>
      </c>
    </row>
    <row r="774" ht="12.75" customHeight="1">
      <c r="A774" s="1" t="s">
        <v>72</v>
      </c>
      <c r="B774" s="1" t="s">
        <v>7592</v>
      </c>
      <c r="C774" s="1" t="s">
        <v>74</v>
      </c>
      <c r="D774" s="1" t="s">
        <v>74</v>
      </c>
      <c r="E774" s="1" t="s">
        <v>74</v>
      </c>
      <c r="F774" s="1" t="s">
        <v>7593</v>
      </c>
      <c r="G774" s="1" t="s">
        <v>74</v>
      </c>
      <c r="H774" s="1" t="s">
        <v>74</v>
      </c>
      <c r="I774" s="1" t="s">
        <v>7594</v>
      </c>
      <c r="J774" s="1" t="s">
        <v>7595</v>
      </c>
      <c r="K774" s="1" t="s">
        <v>74</v>
      </c>
      <c r="L774" s="1" t="s">
        <v>74</v>
      </c>
      <c r="M774" s="1" t="s">
        <v>74</v>
      </c>
      <c r="N774" s="1" t="s">
        <v>74</v>
      </c>
      <c r="O774" s="1" t="s">
        <v>74</v>
      </c>
      <c r="P774" s="1" t="s">
        <v>74</v>
      </c>
      <c r="Q774" s="1" t="s">
        <v>74</v>
      </c>
      <c r="R774" s="1" t="s">
        <v>74</v>
      </c>
      <c r="S774" s="1" t="s">
        <v>74</v>
      </c>
      <c r="T774" s="1" t="s">
        <v>74</v>
      </c>
      <c r="U774" s="1" t="s">
        <v>74</v>
      </c>
      <c r="V774" s="1" t="s">
        <v>7596</v>
      </c>
      <c r="W774" s="1" t="s">
        <v>74</v>
      </c>
      <c r="X774" s="1" t="s">
        <v>74</v>
      </c>
      <c r="Y774" s="1" t="s">
        <v>74</v>
      </c>
      <c r="Z774" s="1" t="s">
        <v>74</v>
      </c>
      <c r="AA774" s="1" t="s">
        <v>7597</v>
      </c>
      <c r="AB774" s="1" t="s">
        <v>7598</v>
      </c>
      <c r="AC774" s="1" t="s">
        <v>74</v>
      </c>
      <c r="AD774" s="1" t="s">
        <v>74</v>
      </c>
      <c r="AE774" s="1" t="s">
        <v>74</v>
      </c>
      <c r="AF774" s="1" t="s">
        <v>74</v>
      </c>
      <c r="AG774" s="1" t="s">
        <v>74</v>
      </c>
      <c r="AH774" s="1" t="s">
        <v>74</v>
      </c>
      <c r="AI774" s="1" t="s">
        <v>74</v>
      </c>
      <c r="AJ774" s="1" t="s">
        <v>74</v>
      </c>
      <c r="AK774" s="1" t="s">
        <v>74</v>
      </c>
      <c r="AL774" s="1" t="s">
        <v>74</v>
      </c>
      <c r="AM774" s="1" t="s">
        <v>74</v>
      </c>
      <c r="AN774" s="1" t="s">
        <v>74</v>
      </c>
      <c r="AO774" s="1" t="s">
        <v>7599</v>
      </c>
      <c r="AP774" s="1" t="s">
        <v>7600</v>
      </c>
      <c r="AQ774" s="1" t="s">
        <v>74</v>
      </c>
      <c r="AR774" s="1" t="s">
        <v>74</v>
      </c>
      <c r="AS774" s="1" t="s">
        <v>74</v>
      </c>
      <c r="AT774" s="1" t="s">
        <v>7601</v>
      </c>
      <c r="AU774" s="1">
        <v>2024.0</v>
      </c>
      <c r="AV774" s="1">
        <v>690.0</v>
      </c>
      <c r="AW774" s="1" t="s">
        <v>74</v>
      </c>
      <c r="AX774" s="1" t="s">
        <v>74</v>
      </c>
      <c r="AY774" s="1" t="s">
        <v>74</v>
      </c>
      <c r="AZ774" s="1" t="s">
        <v>74</v>
      </c>
      <c r="BA774" s="1" t="s">
        <v>74</v>
      </c>
      <c r="BB774" s="1" t="s">
        <v>74</v>
      </c>
      <c r="BC774" s="1" t="s">
        <v>74</v>
      </c>
      <c r="BD774" s="1" t="s">
        <v>7602</v>
      </c>
      <c r="BE774" s="1" t="s">
        <v>7603</v>
      </c>
      <c r="BF774" s="2" t="str">
        <f>HYPERLINK("http://dx.doi.org/10.1051/0004-6361/202451678","http://dx.doi.org/10.1051/0004-6361/202451678")</f>
        <v>http://dx.doi.org/10.1051/0004-6361/202451678</v>
      </c>
      <c r="BG774" s="1" t="s">
        <v>74</v>
      </c>
      <c r="BH774" s="1" t="s">
        <v>74</v>
      </c>
      <c r="BI774" s="1" t="s">
        <v>74</v>
      </c>
      <c r="BJ774" s="1" t="s">
        <v>74</v>
      </c>
      <c r="BK774" s="1" t="s">
        <v>74</v>
      </c>
      <c r="BL774" s="1" t="s">
        <v>74</v>
      </c>
      <c r="BM774" s="1" t="s">
        <v>74</v>
      </c>
      <c r="BN774" s="1" t="s">
        <v>74</v>
      </c>
      <c r="BO774" s="1" t="s">
        <v>74</v>
      </c>
      <c r="BP774" s="1" t="s">
        <v>74</v>
      </c>
      <c r="BQ774" s="1" t="s">
        <v>74</v>
      </c>
      <c r="BR774" s="1" t="s">
        <v>74</v>
      </c>
      <c r="BS774" s="1" t="s">
        <v>7604</v>
      </c>
      <c r="BT774" s="1" t="str">
        <f>HYPERLINK("https%3A%2F%2Fwww.webofscience.com%2Fwos%2Fwoscc%2Ffull-record%2FWOS:001339205700023","View Full Record in Web of Science")</f>
        <v>View Full Record in Web of Science</v>
      </c>
    </row>
    <row r="775" ht="12.75" customHeight="1">
      <c r="A775" s="1" t="s">
        <v>72</v>
      </c>
      <c r="B775" s="1" t="s">
        <v>7605</v>
      </c>
      <c r="C775" s="1" t="s">
        <v>74</v>
      </c>
      <c r="D775" s="1" t="s">
        <v>74</v>
      </c>
      <c r="E775" s="1" t="s">
        <v>74</v>
      </c>
      <c r="F775" s="1" t="s">
        <v>7606</v>
      </c>
      <c r="G775" s="1" t="s">
        <v>74</v>
      </c>
      <c r="H775" s="1" t="s">
        <v>74</v>
      </c>
      <c r="I775" s="1" t="s">
        <v>7607</v>
      </c>
      <c r="J775" s="1" t="s">
        <v>7608</v>
      </c>
      <c r="K775" s="1" t="s">
        <v>74</v>
      </c>
      <c r="L775" s="1" t="s">
        <v>74</v>
      </c>
      <c r="M775" s="1" t="s">
        <v>74</v>
      </c>
      <c r="N775" s="1" t="s">
        <v>74</v>
      </c>
      <c r="O775" s="1" t="s">
        <v>74</v>
      </c>
      <c r="P775" s="1" t="s">
        <v>74</v>
      </c>
      <c r="Q775" s="1" t="s">
        <v>74</v>
      </c>
      <c r="R775" s="1" t="s">
        <v>74</v>
      </c>
      <c r="S775" s="1" t="s">
        <v>74</v>
      </c>
      <c r="T775" s="1" t="s">
        <v>74</v>
      </c>
      <c r="U775" s="1" t="s">
        <v>74</v>
      </c>
      <c r="V775" s="1" t="s">
        <v>7609</v>
      </c>
      <c r="W775" s="1" t="s">
        <v>74</v>
      </c>
      <c r="X775" s="1" t="s">
        <v>74</v>
      </c>
      <c r="Y775" s="1" t="s">
        <v>74</v>
      </c>
      <c r="Z775" s="1" t="s">
        <v>74</v>
      </c>
      <c r="AA775" s="1" t="s">
        <v>3441</v>
      </c>
      <c r="AB775" s="1" t="s">
        <v>3442</v>
      </c>
      <c r="AC775" s="1" t="s">
        <v>74</v>
      </c>
      <c r="AD775" s="1" t="s">
        <v>74</v>
      </c>
      <c r="AE775" s="1" t="s">
        <v>74</v>
      </c>
      <c r="AF775" s="1" t="s">
        <v>74</v>
      </c>
      <c r="AG775" s="1" t="s">
        <v>74</v>
      </c>
      <c r="AH775" s="1" t="s">
        <v>74</v>
      </c>
      <c r="AI775" s="1" t="s">
        <v>74</v>
      </c>
      <c r="AJ775" s="1" t="s">
        <v>74</v>
      </c>
      <c r="AK775" s="1" t="s">
        <v>74</v>
      </c>
      <c r="AL775" s="1" t="s">
        <v>74</v>
      </c>
      <c r="AM775" s="1" t="s">
        <v>74</v>
      </c>
      <c r="AN775" s="1" t="s">
        <v>74</v>
      </c>
      <c r="AO775" s="1" t="s">
        <v>7610</v>
      </c>
      <c r="AP775" s="1" t="s">
        <v>74</v>
      </c>
      <c r="AQ775" s="1" t="s">
        <v>74</v>
      </c>
      <c r="AR775" s="1" t="s">
        <v>74</v>
      </c>
      <c r="AS775" s="1" t="s">
        <v>74</v>
      </c>
      <c r="AT775" s="1" t="s">
        <v>905</v>
      </c>
      <c r="AU775" s="1">
        <v>2024.0</v>
      </c>
      <c r="AV775" s="1">
        <v>139.0</v>
      </c>
      <c r="AW775" s="1">
        <v>8.0</v>
      </c>
      <c r="AX775" s="1" t="s">
        <v>74</v>
      </c>
      <c r="AY775" s="1" t="s">
        <v>74</v>
      </c>
      <c r="AZ775" s="1" t="s">
        <v>74</v>
      </c>
      <c r="BA775" s="1" t="s">
        <v>74</v>
      </c>
      <c r="BB775" s="1" t="s">
        <v>74</v>
      </c>
      <c r="BC775" s="1" t="s">
        <v>74</v>
      </c>
      <c r="BD775" s="1">
        <v>752.0</v>
      </c>
      <c r="BE775" s="1" t="s">
        <v>7611</v>
      </c>
      <c r="BF775" s="2" t="str">
        <f>HYPERLINK("http://dx.doi.org/10.1140/epjp/s13360-024-05541-0","http://dx.doi.org/10.1140/epjp/s13360-024-05541-0")</f>
        <v>http://dx.doi.org/10.1140/epjp/s13360-024-05541-0</v>
      </c>
      <c r="BG775" s="1" t="s">
        <v>74</v>
      </c>
      <c r="BH775" s="1" t="s">
        <v>74</v>
      </c>
      <c r="BI775" s="1" t="s">
        <v>74</v>
      </c>
      <c r="BJ775" s="1" t="s">
        <v>74</v>
      </c>
      <c r="BK775" s="1" t="s">
        <v>74</v>
      </c>
      <c r="BL775" s="1" t="s">
        <v>74</v>
      </c>
      <c r="BM775" s="1" t="s">
        <v>74</v>
      </c>
      <c r="BN775" s="1" t="s">
        <v>74</v>
      </c>
      <c r="BO775" s="1" t="s">
        <v>74</v>
      </c>
      <c r="BP775" s="1" t="s">
        <v>74</v>
      </c>
      <c r="BQ775" s="1" t="s">
        <v>74</v>
      </c>
      <c r="BR775" s="1" t="s">
        <v>74</v>
      </c>
      <c r="BS775" s="1" t="s">
        <v>7612</v>
      </c>
      <c r="BT775" s="1" t="str">
        <f>HYPERLINK("https%3A%2F%2Fwww.webofscience.com%2Fwos%2Fwoscc%2Ffull-record%2FWOS:001295905600002","View Full Record in Web of Science")</f>
        <v>View Full Record in Web of Science</v>
      </c>
    </row>
    <row r="776" ht="12.75" customHeight="1">
      <c r="A776" s="1" t="s">
        <v>72</v>
      </c>
      <c r="B776" s="1" t="s">
        <v>7613</v>
      </c>
      <c r="C776" s="1" t="s">
        <v>74</v>
      </c>
      <c r="D776" s="1" t="s">
        <v>74</v>
      </c>
      <c r="E776" s="1" t="s">
        <v>74</v>
      </c>
      <c r="F776" s="1" t="s">
        <v>7614</v>
      </c>
      <c r="G776" s="1" t="s">
        <v>74</v>
      </c>
      <c r="H776" s="1" t="s">
        <v>74</v>
      </c>
      <c r="I776" s="1" t="s">
        <v>7615</v>
      </c>
      <c r="J776" s="1" t="s">
        <v>623</v>
      </c>
      <c r="K776" s="1" t="s">
        <v>74</v>
      </c>
      <c r="L776" s="1" t="s">
        <v>74</v>
      </c>
      <c r="M776" s="1" t="s">
        <v>74</v>
      </c>
      <c r="N776" s="1" t="s">
        <v>74</v>
      </c>
      <c r="O776" s="1" t="s">
        <v>74</v>
      </c>
      <c r="P776" s="1" t="s">
        <v>74</v>
      </c>
      <c r="Q776" s="1" t="s">
        <v>74</v>
      </c>
      <c r="R776" s="1" t="s">
        <v>74</v>
      </c>
      <c r="S776" s="1" t="s">
        <v>74</v>
      </c>
      <c r="T776" s="1" t="s">
        <v>74</v>
      </c>
      <c r="U776" s="1" t="s">
        <v>74</v>
      </c>
      <c r="V776" s="1" t="s">
        <v>7616</v>
      </c>
      <c r="W776" s="1" t="s">
        <v>74</v>
      </c>
      <c r="X776" s="1" t="s">
        <v>74</v>
      </c>
      <c r="Y776" s="1" t="s">
        <v>74</v>
      </c>
      <c r="Z776" s="1" t="s">
        <v>74</v>
      </c>
      <c r="AA776" s="1" t="s">
        <v>7617</v>
      </c>
      <c r="AB776" s="1" t="s">
        <v>7618</v>
      </c>
      <c r="AC776" s="1" t="s">
        <v>74</v>
      </c>
      <c r="AD776" s="1" t="s">
        <v>74</v>
      </c>
      <c r="AE776" s="1" t="s">
        <v>74</v>
      </c>
      <c r="AF776" s="1" t="s">
        <v>74</v>
      </c>
      <c r="AG776" s="1" t="s">
        <v>74</v>
      </c>
      <c r="AH776" s="1" t="s">
        <v>74</v>
      </c>
      <c r="AI776" s="1" t="s">
        <v>74</v>
      </c>
      <c r="AJ776" s="1" t="s">
        <v>74</v>
      </c>
      <c r="AK776" s="1" t="s">
        <v>74</v>
      </c>
      <c r="AL776" s="1" t="s">
        <v>74</v>
      </c>
      <c r="AM776" s="1" t="s">
        <v>74</v>
      </c>
      <c r="AN776" s="1" t="s">
        <v>74</v>
      </c>
      <c r="AO776" s="1" t="s">
        <v>627</v>
      </c>
      <c r="AP776" s="1" t="s">
        <v>628</v>
      </c>
      <c r="AQ776" s="1" t="s">
        <v>74</v>
      </c>
      <c r="AR776" s="1" t="s">
        <v>74</v>
      </c>
      <c r="AS776" s="1" t="s">
        <v>74</v>
      </c>
      <c r="AT776" s="1" t="s">
        <v>339</v>
      </c>
      <c r="AU776" s="1">
        <v>2024.0</v>
      </c>
      <c r="AV776" s="1">
        <v>856.0</v>
      </c>
      <c r="AW776" s="1" t="s">
        <v>74</v>
      </c>
      <c r="AX776" s="1" t="s">
        <v>74</v>
      </c>
      <c r="AY776" s="1" t="s">
        <v>74</v>
      </c>
      <c r="AZ776" s="1" t="s">
        <v>74</v>
      </c>
      <c r="BA776" s="1" t="s">
        <v>74</v>
      </c>
      <c r="BB776" s="1" t="s">
        <v>74</v>
      </c>
      <c r="BC776" s="1" t="s">
        <v>74</v>
      </c>
      <c r="BD776" s="1">
        <v>138883.0</v>
      </c>
      <c r="BE776" s="1" t="s">
        <v>7619</v>
      </c>
      <c r="BF776" s="2" t="str">
        <f>HYPERLINK("http://dx.doi.org/10.1016/j.physletb.2024.138883","http://dx.doi.org/10.1016/j.physletb.2024.138883")</f>
        <v>http://dx.doi.org/10.1016/j.physletb.2024.138883</v>
      </c>
      <c r="BG776" s="1" t="s">
        <v>74</v>
      </c>
      <c r="BH776" s="1" t="s">
        <v>4298</v>
      </c>
      <c r="BI776" s="1" t="s">
        <v>74</v>
      </c>
      <c r="BJ776" s="1" t="s">
        <v>74</v>
      </c>
      <c r="BK776" s="1" t="s">
        <v>74</v>
      </c>
      <c r="BL776" s="1" t="s">
        <v>74</v>
      </c>
      <c r="BM776" s="1" t="s">
        <v>74</v>
      </c>
      <c r="BN776" s="1" t="s">
        <v>74</v>
      </c>
      <c r="BO776" s="1" t="s">
        <v>74</v>
      </c>
      <c r="BP776" s="1" t="s">
        <v>74</v>
      </c>
      <c r="BQ776" s="1" t="s">
        <v>74</v>
      </c>
      <c r="BR776" s="1" t="s">
        <v>74</v>
      </c>
      <c r="BS776" s="1" t="s">
        <v>7620</v>
      </c>
      <c r="BT776" s="1" t="str">
        <f>HYPERLINK("https%3A%2F%2Fwww.webofscience.com%2Fwos%2Fwoscc%2Ffull-record%2FWOS:001279487700001","View Full Record in Web of Science")</f>
        <v>View Full Record in Web of Science</v>
      </c>
    </row>
    <row r="777" ht="12.75" customHeight="1">
      <c r="A777" s="1" t="s">
        <v>72</v>
      </c>
      <c r="B777" s="1" t="s">
        <v>4365</v>
      </c>
      <c r="C777" s="1" t="s">
        <v>74</v>
      </c>
      <c r="D777" s="1" t="s">
        <v>74</v>
      </c>
      <c r="E777" s="1" t="s">
        <v>74</v>
      </c>
      <c r="F777" s="1" t="s">
        <v>4366</v>
      </c>
      <c r="G777" s="1" t="s">
        <v>74</v>
      </c>
      <c r="H777" s="1" t="s">
        <v>74</v>
      </c>
      <c r="I777" s="1" t="s">
        <v>7621</v>
      </c>
      <c r="J777" s="1" t="s">
        <v>4368</v>
      </c>
      <c r="K777" s="1" t="s">
        <v>74</v>
      </c>
      <c r="L777" s="1" t="s">
        <v>74</v>
      </c>
      <c r="M777" s="1" t="s">
        <v>74</v>
      </c>
      <c r="N777" s="1" t="s">
        <v>74</v>
      </c>
      <c r="O777" s="1" t="s">
        <v>74</v>
      </c>
      <c r="P777" s="1" t="s">
        <v>74</v>
      </c>
      <c r="Q777" s="1" t="s">
        <v>74</v>
      </c>
      <c r="R777" s="1" t="s">
        <v>74</v>
      </c>
      <c r="S777" s="1" t="s">
        <v>74</v>
      </c>
      <c r="T777" s="1" t="s">
        <v>74</v>
      </c>
      <c r="U777" s="1" t="s">
        <v>74</v>
      </c>
      <c r="V777" s="1" t="s">
        <v>74</v>
      </c>
      <c r="W777" s="1" t="s">
        <v>74</v>
      </c>
      <c r="X777" s="1" t="s">
        <v>74</v>
      </c>
      <c r="Y777" s="1" t="s">
        <v>74</v>
      </c>
      <c r="Z777" s="1" t="s">
        <v>74</v>
      </c>
      <c r="AA777" s="1" t="s">
        <v>74</v>
      </c>
      <c r="AB777" s="1" t="s">
        <v>74</v>
      </c>
      <c r="AC777" s="1" t="s">
        <v>74</v>
      </c>
      <c r="AD777" s="1" t="s">
        <v>74</v>
      </c>
      <c r="AE777" s="1" t="s">
        <v>74</v>
      </c>
      <c r="AF777" s="1" t="s">
        <v>74</v>
      </c>
      <c r="AG777" s="1" t="s">
        <v>74</v>
      </c>
      <c r="AH777" s="1" t="s">
        <v>74</v>
      </c>
      <c r="AI777" s="1" t="s">
        <v>74</v>
      </c>
      <c r="AJ777" s="1" t="s">
        <v>74</v>
      </c>
      <c r="AK777" s="1" t="s">
        <v>74</v>
      </c>
      <c r="AL777" s="1" t="s">
        <v>74</v>
      </c>
      <c r="AM777" s="1" t="s">
        <v>74</v>
      </c>
      <c r="AN777" s="1" t="s">
        <v>74</v>
      </c>
      <c r="AO777" s="1" t="s">
        <v>4369</v>
      </c>
      <c r="AP777" s="1" t="s">
        <v>4370</v>
      </c>
      <c r="AQ777" s="1" t="s">
        <v>74</v>
      </c>
      <c r="AR777" s="1" t="s">
        <v>74</v>
      </c>
      <c r="AS777" s="1" t="s">
        <v>74</v>
      </c>
      <c r="AT777" s="1" t="s">
        <v>294</v>
      </c>
      <c r="AU777" s="1">
        <v>2024.0</v>
      </c>
      <c r="AV777" s="1">
        <v>43.0</v>
      </c>
      <c r="AW777" s="1">
        <v>3.0</v>
      </c>
      <c r="AX777" s="1" t="s">
        <v>74</v>
      </c>
      <c r="AY777" s="1" t="s">
        <v>74</v>
      </c>
      <c r="AZ777" s="1" t="s">
        <v>74</v>
      </c>
      <c r="BA777" s="1" t="s">
        <v>74</v>
      </c>
      <c r="BB777" s="1">
        <v>278.0</v>
      </c>
      <c r="BC777" s="1">
        <v>279.0</v>
      </c>
      <c r="BD777" s="1" t="s">
        <v>74</v>
      </c>
      <c r="BE777" s="1" t="s">
        <v>7622</v>
      </c>
      <c r="BF777" s="2" t="str">
        <f>HYPERLINK("http://dx.doi.org/10.1111/blar.13582","http://dx.doi.org/10.1111/blar.13582")</f>
        <v>http://dx.doi.org/10.1111/blar.13582</v>
      </c>
      <c r="BG777" s="1" t="s">
        <v>74</v>
      </c>
      <c r="BH777" s="1" t="s">
        <v>74</v>
      </c>
      <c r="BI777" s="1" t="s">
        <v>74</v>
      </c>
      <c r="BJ777" s="1" t="s">
        <v>74</v>
      </c>
      <c r="BK777" s="1" t="s">
        <v>74</v>
      </c>
      <c r="BL777" s="1" t="s">
        <v>74</v>
      </c>
      <c r="BM777" s="1" t="s">
        <v>74</v>
      </c>
      <c r="BN777" s="1" t="s">
        <v>74</v>
      </c>
      <c r="BO777" s="1" t="s">
        <v>74</v>
      </c>
      <c r="BP777" s="1" t="s">
        <v>74</v>
      </c>
      <c r="BQ777" s="1" t="s">
        <v>74</v>
      </c>
      <c r="BR777" s="1" t="s">
        <v>74</v>
      </c>
      <c r="BS777" s="1" t="s">
        <v>7623</v>
      </c>
      <c r="BT777" s="1" t="str">
        <f>HYPERLINK("https%3A%2F%2Fwww.webofscience.com%2Fwos%2Fwoscc%2Ffull-record%2FWOS:001283273500002","View Full Record in Web of Science")</f>
        <v>View Full Record in Web of Science</v>
      </c>
    </row>
    <row r="778" ht="12.75" customHeight="1">
      <c r="A778" s="1" t="s">
        <v>72</v>
      </c>
      <c r="B778" s="1" t="s">
        <v>7624</v>
      </c>
      <c r="C778" s="1" t="s">
        <v>74</v>
      </c>
      <c r="D778" s="1" t="s">
        <v>74</v>
      </c>
      <c r="E778" s="1" t="s">
        <v>74</v>
      </c>
      <c r="F778" s="1" t="s">
        <v>7625</v>
      </c>
      <c r="G778" s="1" t="s">
        <v>74</v>
      </c>
      <c r="H778" s="1" t="s">
        <v>74</v>
      </c>
      <c r="I778" s="1" t="s">
        <v>7626</v>
      </c>
      <c r="J778" s="1" t="s">
        <v>1779</v>
      </c>
      <c r="K778" s="1" t="s">
        <v>74</v>
      </c>
      <c r="L778" s="1" t="s">
        <v>74</v>
      </c>
      <c r="M778" s="1" t="s">
        <v>74</v>
      </c>
      <c r="N778" s="1" t="s">
        <v>74</v>
      </c>
      <c r="O778" s="1" t="s">
        <v>74</v>
      </c>
      <c r="P778" s="1" t="s">
        <v>74</v>
      </c>
      <c r="Q778" s="1" t="s">
        <v>74</v>
      </c>
      <c r="R778" s="1" t="s">
        <v>74</v>
      </c>
      <c r="S778" s="1" t="s">
        <v>74</v>
      </c>
      <c r="T778" s="1" t="s">
        <v>74</v>
      </c>
      <c r="U778" s="1" t="s">
        <v>74</v>
      </c>
      <c r="V778" s="1" t="s">
        <v>7627</v>
      </c>
      <c r="W778" s="1" t="s">
        <v>74</v>
      </c>
      <c r="X778" s="1" t="s">
        <v>74</v>
      </c>
      <c r="Y778" s="1" t="s">
        <v>74</v>
      </c>
      <c r="Z778" s="1" t="s">
        <v>74</v>
      </c>
      <c r="AA778" s="1" t="s">
        <v>7628</v>
      </c>
      <c r="AB778" s="1" t="s">
        <v>7629</v>
      </c>
      <c r="AC778" s="1" t="s">
        <v>74</v>
      </c>
      <c r="AD778" s="1" t="s">
        <v>74</v>
      </c>
      <c r="AE778" s="1" t="s">
        <v>74</v>
      </c>
      <c r="AF778" s="1" t="s">
        <v>74</v>
      </c>
      <c r="AG778" s="1" t="s">
        <v>74</v>
      </c>
      <c r="AH778" s="1" t="s">
        <v>74</v>
      </c>
      <c r="AI778" s="1" t="s">
        <v>74</v>
      </c>
      <c r="AJ778" s="1" t="s">
        <v>74</v>
      </c>
      <c r="AK778" s="1" t="s">
        <v>74</v>
      </c>
      <c r="AL778" s="1" t="s">
        <v>74</v>
      </c>
      <c r="AM778" s="1" t="s">
        <v>74</v>
      </c>
      <c r="AN778" s="1" t="s">
        <v>74</v>
      </c>
      <c r="AO778" s="1" t="s">
        <v>74</v>
      </c>
      <c r="AP778" s="1" t="s">
        <v>1783</v>
      </c>
      <c r="AQ778" s="1" t="s">
        <v>74</v>
      </c>
      <c r="AR778" s="1" t="s">
        <v>74</v>
      </c>
      <c r="AS778" s="1" t="s">
        <v>74</v>
      </c>
      <c r="AT778" s="1" t="s">
        <v>306</v>
      </c>
      <c r="AU778" s="1">
        <v>2024.0</v>
      </c>
      <c r="AV778" s="1">
        <v>16.0</v>
      </c>
      <c r="AW778" s="1">
        <v>7.0</v>
      </c>
      <c r="AX778" s="1" t="s">
        <v>74</v>
      </c>
      <c r="AY778" s="1" t="s">
        <v>74</v>
      </c>
      <c r="AZ778" s="1" t="s">
        <v>74</v>
      </c>
      <c r="BA778" s="1" t="s">
        <v>74</v>
      </c>
      <c r="BB778" s="1" t="s">
        <v>74</v>
      </c>
      <c r="BC778" s="1" t="s">
        <v>74</v>
      </c>
      <c r="BD778" s="1">
        <v>948.0</v>
      </c>
      <c r="BE778" s="1" t="s">
        <v>7630</v>
      </c>
      <c r="BF778" s="2" t="str">
        <f>HYPERLINK("http://dx.doi.org/10.3390/polym16070948","http://dx.doi.org/10.3390/polym16070948")</f>
        <v>http://dx.doi.org/10.3390/polym16070948</v>
      </c>
      <c r="BG778" s="1" t="s">
        <v>74</v>
      </c>
      <c r="BH778" s="1" t="s">
        <v>74</v>
      </c>
      <c r="BI778" s="1" t="s">
        <v>74</v>
      </c>
      <c r="BJ778" s="1" t="s">
        <v>74</v>
      </c>
      <c r="BK778" s="1" t="s">
        <v>74</v>
      </c>
      <c r="BL778" s="1" t="s">
        <v>74</v>
      </c>
      <c r="BM778" s="1" t="s">
        <v>74</v>
      </c>
      <c r="BN778" s="1">
        <v>3.8611209E7</v>
      </c>
      <c r="BO778" s="1" t="s">
        <v>74</v>
      </c>
      <c r="BP778" s="1" t="s">
        <v>74</v>
      </c>
      <c r="BQ778" s="1" t="s">
        <v>74</v>
      </c>
      <c r="BR778" s="1" t="s">
        <v>74</v>
      </c>
      <c r="BS778" s="1" t="s">
        <v>7631</v>
      </c>
      <c r="BT778" s="1" t="str">
        <f>HYPERLINK("https%3A%2F%2Fwww.webofscience.com%2Fwos%2Fwoscc%2Ffull-record%2FWOS:001200862100001","View Full Record in Web of Science")</f>
        <v>View Full Record in Web of Science</v>
      </c>
    </row>
    <row r="779" ht="12.75" customHeight="1">
      <c r="A779" s="1" t="s">
        <v>72</v>
      </c>
      <c r="B779" s="1" t="s">
        <v>7632</v>
      </c>
      <c r="C779" s="1" t="s">
        <v>74</v>
      </c>
      <c r="D779" s="1" t="s">
        <v>74</v>
      </c>
      <c r="E779" s="1" t="s">
        <v>74</v>
      </c>
      <c r="F779" s="1" t="s">
        <v>7633</v>
      </c>
      <c r="G779" s="1" t="s">
        <v>74</v>
      </c>
      <c r="H779" s="1" t="s">
        <v>74</v>
      </c>
      <c r="I779" s="1" t="s">
        <v>7634</v>
      </c>
      <c r="J779" s="1" t="s">
        <v>2851</v>
      </c>
      <c r="K779" s="1" t="s">
        <v>74</v>
      </c>
      <c r="L779" s="1" t="s">
        <v>74</v>
      </c>
      <c r="M779" s="1" t="s">
        <v>74</v>
      </c>
      <c r="N779" s="1" t="s">
        <v>74</v>
      </c>
      <c r="O779" s="1" t="s">
        <v>74</v>
      </c>
      <c r="P779" s="1" t="s">
        <v>74</v>
      </c>
      <c r="Q779" s="1" t="s">
        <v>74</v>
      </c>
      <c r="R779" s="1" t="s">
        <v>74</v>
      </c>
      <c r="S779" s="1" t="s">
        <v>74</v>
      </c>
      <c r="T779" s="1" t="s">
        <v>74</v>
      </c>
      <c r="U779" s="1" t="s">
        <v>74</v>
      </c>
      <c r="V779" s="1" t="s">
        <v>7635</v>
      </c>
      <c r="W779" s="1" t="s">
        <v>74</v>
      </c>
      <c r="X779" s="1" t="s">
        <v>74</v>
      </c>
      <c r="Y779" s="1" t="s">
        <v>74</v>
      </c>
      <c r="Z779" s="1" t="s">
        <v>74</v>
      </c>
      <c r="AA779" s="1" t="s">
        <v>7636</v>
      </c>
      <c r="AB779" s="1" t="s">
        <v>74</v>
      </c>
      <c r="AC779" s="1" t="s">
        <v>74</v>
      </c>
      <c r="AD779" s="1" t="s">
        <v>74</v>
      </c>
      <c r="AE779" s="1" t="s">
        <v>74</v>
      </c>
      <c r="AF779" s="1" t="s">
        <v>74</v>
      </c>
      <c r="AG779" s="1" t="s">
        <v>74</v>
      </c>
      <c r="AH779" s="1" t="s">
        <v>74</v>
      </c>
      <c r="AI779" s="1" t="s">
        <v>74</v>
      </c>
      <c r="AJ779" s="1" t="s">
        <v>74</v>
      </c>
      <c r="AK779" s="1" t="s">
        <v>74</v>
      </c>
      <c r="AL779" s="1" t="s">
        <v>74</v>
      </c>
      <c r="AM779" s="1" t="s">
        <v>74</v>
      </c>
      <c r="AN779" s="1" t="s">
        <v>74</v>
      </c>
      <c r="AO779" s="1" t="s">
        <v>2854</v>
      </c>
      <c r="AP779" s="1" t="s">
        <v>74</v>
      </c>
      <c r="AQ779" s="1" t="s">
        <v>74</v>
      </c>
      <c r="AR779" s="1" t="s">
        <v>74</v>
      </c>
      <c r="AS779" s="1" t="s">
        <v>74</v>
      </c>
      <c r="AT779" s="1" t="s">
        <v>74</v>
      </c>
      <c r="AU779" s="1">
        <v>2024.0</v>
      </c>
      <c r="AV779" s="1">
        <v>13.0</v>
      </c>
      <c r="AW779" s="1" t="s">
        <v>74</v>
      </c>
      <c r="AX779" s="1" t="s">
        <v>74</v>
      </c>
      <c r="AY779" s="1">
        <v>3.0</v>
      </c>
      <c r="AZ779" s="1" t="s">
        <v>74</v>
      </c>
      <c r="BA779" s="1" t="s">
        <v>74</v>
      </c>
      <c r="BB779" s="1" t="s">
        <v>74</v>
      </c>
      <c r="BC779" s="1" t="s">
        <v>74</v>
      </c>
      <c r="BD779" s="1">
        <v>7.0</v>
      </c>
      <c r="BE779" s="1" t="s">
        <v>74</v>
      </c>
      <c r="BF779" s="1" t="s">
        <v>74</v>
      </c>
      <c r="BG779" s="1" t="s">
        <v>74</v>
      </c>
      <c r="BH779" s="1" t="s">
        <v>74</v>
      </c>
      <c r="BI779" s="1" t="s">
        <v>74</v>
      </c>
      <c r="BJ779" s="1" t="s">
        <v>74</v>
      </c>
      <c r="BK779" s="1" t="s">
        <v>74</v>
      </c>
      <c r="BL779" s="1" t="s">
        <v>74</v>
      </c>
      <c r="BM779" s="1" t="s">
        <v>74</v>
      </c>
      <c r="BN779" s="1" t="s">
        <v>74</v>
      </c>
      <c r="BO779" s="1" t="s">
        <v>74</v>
      </c>
      <c r="BP779" s="1" t="s">
        <v>74</v>
      </c>
      <c r="BQ779" s="1" t="s">
        <v>74</v>
      </c>
      <c r="BR779" s="1" t="s">
        <v>74</v>
      </c>
      <c r="BS779" s="1" t="s">
        <v>7637</v>
      </c>
      <c r="BT779" s="1" t="str">
        <f>HYPERLINK("https%3A%2F%2Fwww.webofscience.com%2Fwos%2Fwoscc%2Ffull-record%2FWOS:001360797000009","View Full Record in Web of Science")</f>
        <v>View Full Record in Web of Science</v>
      </c>
    </row>
    <row r="780" ht="12.75" customHeight="1">
      <c r="A780" s="1" t="s">
        <v>72</v>
      </c>
      <c r="B780" s="1" t="s">
        <v>7638</v>
      </c>
      <c r="C780" s="1" t="s">
        <v>74</v>
      </c>
      <c r="D780" s="1" t="s">
        <v>74</v>
      </c>
      <c r="E780" s="1" t="s">
        <v>74</v>
      </c>
      <c r="F780" s="1" t="s">
        <v>7639</v>
      </c>
      <c r="G780" s="1" t="s">
        <v>74</v>
      </c>
      <c r="H780" s="1" t="s">
        <v>74</v>
      </c>
      <c r="I780" s="1" t="s">
        <v>7640</v>
      </c>
      <c r="J780" s="1" t="s">
        <v>7641</v>
      </c>
      <c r="K780" s="1" t="s">
        <v>74</v>
      </c>
      <c r="L780" s="1" t="s">
        <v>74</v>
      </c>
      <c r="M780" s="1" t="s">
        <v>74</v>
      </c>
      <c r="N780" s="1" t="s">
        <v>74</v>
      </c>
      <c r="O780" s="1" t="s">
        <v>74</v>
      </c>
      <c r="P780" s="1" t="s">
        <v>74</v>
      </c>
      <c r="Q780" s="1" t="s">
        <v>74</v>
      </c>
      <c r="R780" s="1" t="s">
        <v>74</v>
      </c>
      <c r="S780" s="1" t="s">
        <v>74</v>
      </c>
      <c r="T780" s="1" t="s">
        <v>74</v>
      </c>
      <c r="U780" s="1" t="s">
        <v>74</v>
      </c>
      <c r="V780" s="1" t="s">
        <v>7642</v>
      </c>
      <c r="W780" s="1" t="s">
        <v>74</v>
      </c>
      <c r="X780" s="1" t="s">
        <v>74</v>
      </c>
      <c r="Y780" s="1" t="s">
        <v>74</v>
      </c>
      <c r="Z780" s="1" t="s">
        <v>74</v>
      </c>
      <c r="AA780" s="1" t="s">
        <v>7643</v>
      </c>
      <c r="AB780" s="1" t="s">
        <v>7644</v>
      </c>
      <c r="AC780" s="1" t="s">
        <v>74</v>
      </c>
      <c r="AD780" s="1" t="s">
        <v>74</v>
      </c>
      <c r="AE780" s="1" t="s">
        <v>74</v>
      </c>
      <c r="AF780" s="1" t="s">
        <v>74</v>
      </c>
      <c r="AG780" s="1" t="s">
        <v>74</v>
      </c>
      <c r="AH780" s="1" t="s">
        <v>74</v>
      </c>
      <c r="AI780" s="1" t="s">
        <v>74</v>
      </c>
      <c r="AJ780" s="1" t="s">
        <v>74</v>
      </c>
      <c r="AK780" s="1" t="s">
        <v>74</v>
      </c>
      <c r="AL780" s="1" t="s">
        <v>74</v>
      </c>
      <c r="AM780" s="1" t="s">
        <v>74</v>
      </c>
      <c r="AN780" s="1" t="s">
        <v>74</v>
      </c>
      <c r="AO780" s="1" t="s">
        <v>7645</v>
      </c>
      <c r="AP780" s="1" t="s">
        <v>7646</v>
      </c>
      <c r="AQ780" s="1" t="s">
        <v>74</v>
      </c>
      <c r="AR780" s="1" t="s">
        <v>74</v>
      </c>
      <c r="AS780" s="1" t="s">
        <v>74</v>
      </c>
      <c r="AT780" s="1" t="s">
        <v>696</v>
      </c>
      <c r="AU780" s="1">
        <v>2024.0</v>
      </c>
      <c r="AV780" s="1">
        <v>36.0</v>
      </c>
      <c r="AW780" s="1">
        <v>1.0</v>
      </c>
      <c r="AX780" s="1" t="s">
        <v>74</v>
      </c>
      <c r="AY780" s="1" t="s">
        <v>74</v>
      </c>
      <c r="AZ780" s="1" t="s">
        <v>74</v>
      </c>
      <c r="BA780" s="1" t="s">
        <v>74</v>
      </c>
      <c r="BB780" s="1" t="s">
        <v>74</v>
      </c>
      <c r="BC780" s="1" t="s">
        <v>74</v>
      </c>
      <c r="BD780" s="1">
        <v>13339.0</v>
      </c>
      <c r="BE780" s="1" t="s">
        <v>7647</v>
      </c>
      <c r="BF780" s="2" t="str">
        <f>HYPERLINK("http://dx.doi.org/10.1063/5.0188244","http://dx.doi.org/10.1063/5.0188244")</f>
        <v>http://dx.doi.org/10.1063/5.0188244</v>
      </c>
      <c r="BG780" s="1" t="s">
        <v>74</v>
      </c>
      <c r="BH780" s="1" t="s">
        <v>74</v>
      </c>
      <c r="BI780" s="1" t="s">
        <v>74</v>
      </c>
      <c r="BJ780" s="1" t="s">
        <v>74</v>
      </c>
      <c r="BK780" s="1" t="s">
        <v>74</v>
      </c>
      <c r="BL780" s="1" t="s">
        <v>74</v>
      </c>
      <c r="BM780" s="1" t="s">
        <v>74</v>
      </c>
      <c r="BN780" s="1" t="s">
        <v>74</v>
      </c>
      <c r="BO780" s="1" t="s">
        <v>74</v>
      </c>
      <c r="BP780" s="1" t="s">
        <v>74</v>
      </c>
      <c r="BQ780" s="1" t="s">
        <v>74</v>
      </c>
      <c r="BR780" s="1" t="s">
        <v>74</v>
      </c>
      <c r="BS780" s="1" t="s">
        <v>7648</v>
      </c>
      <c r="BT780" s="1" t="str">
        <f>HYPERLINK("https%3A%2F%2Fwww.webofscience.com%2Fwos%2Fwoscc%2Ffull-record%2FWOS:001153963000006","View Full Record in Web of Science")</f>
        <v>View Full Record in Web of Science</v>
      </c>
    </row>
    <row r="781" ht="12.75" customHeight="1">
      <c r="A781" s="1" t="s">
        <v>72</v>
      </c>
      <c r="B781" s="1" t="s">
        <v>7649</v>
      </c>
      <c r="C781" s="1" t="s">
        <v>74</v>
      </c>
      <c r="D781" s="1" t="s">
        <v>74</v>
      </c>
      <c r="E781" s="1" t="s">
        <v>74</v>
      </c>
      <c r="F781" s="1" t="s">
        <v>7650</v>
      </c>
      <c r="G781" s="1" t="s">
        <v>74</v>
      </c>
      <c r="H781" s="1" t="s">
        <v>74</v>
      </c>
      <c r="I781" s="1" t="s">
        <v>7651</v>
      </c>
      <c r="J781" s="1" t="s">
        <v>1779</v>
      </c>
      <c r="K781" s="1" t="s">
        <v>74</v>
      </c>
      <c r="L781" s="1" t="s">
        <v>74</v>
      </c>
      <c r="M781" s="1" t="s">
        <v>74</v>
      </c>
      <c r="N781" s="1" t="s">
        <v>74</v>
      </c>
      <c r="O781" s="1" t="s">
        <v>74</v>
      </c>
      <c r="P781" s="1" t="s">
        <v>74</v>
      </c>
      <c r="Q781" s="1" t="s">
        <v>74</v>
      </c>
      <c r="R781" s="1" t="s">
        <v>74</v>
      </c>
      <c r="S781" s="1" t="s">
        <v>74</v>
      </c>
      <c r="T781" s="1" t="s">
        <v>74</v>
      </c>
      <c r="U781" s="1" t="s">
        <v>74</v>
      </c>
      <c r="V781" s="1" t="s">
        <v>7652</v>
      </c>
      <c r="W781" s="1" t="s">
        <v>74</v>
      </c>
      <c r="X781" s="1" t="s">
        <v>74</v>
      </c>
      <c r="Y781" s="1" t="s">
        <v>74</v>
      </c>
      <c r="Z781" s="1" t="s">
        <v>74</v>
      </c>
      <c r="AA781" s="1" t="s">
        <v>7653</v>
      </c>
      <c r="AB781" s="1" t="s">
        <v>7654</v>
      </c>
      <c r="AC781" s="1" t="s">
        <v>74</v>
      </c>
      <c r="AD781" s="1" t="s">
        <v>74</v>
      </c>
      <c r="AE781" s="1" t="s">
        <v>74</v>
      </c>
      <c r="AF781" s="1" t="s">
        <v>74</v>
      </c>
      <c r="AG781" s="1" t="s">
        <v>74</v>
      </c>
      <c r="AH781" s="1" t="s">
        <v>74</v>
      </c>
      <c r="AI781" s="1" t="s">
        <v>74</v>
      </c>
      <c r="AJ781" s="1" t="s">
        <v>74</v>
      </c>
      <c r="AK781" s="1" t="s">
        <v>74</v>
      </c>
      <c r="AL781" s="1" t="s">
        <v>74</v>
      </c>
      <c r="AM781" s="1" t="s">
        <v>74</v>
      </c>
      <c r="AN781" s="1" t="s">
        <v>74</v>
      </c>
      <c r="AO781" s="1" t="s">
        <v>74</v>
      </c>
      <c r="AP781" s="1" t="s">
        <v>1783</v>
      </c>
      <c r="AQ781" s="1" t="s">
        <v>74</v>
      </c>
      <c r="AR781" s="1" t="s">
        <v>74</v>
      </c>
      <c r="AS781" s="1" t="s">
        <v>74</v>
      </c>
      <c r="AT781" s="1" t="s">
        <v>350</v>
      </c>
      <c r="AU781" s="1">
        <v>2023.0</v>
      </c>
      <c r="AV781" s="1">
        <v>15.0</v>
      </c>
      <c r="AW781" s="1">
        <v>16.0</v>
      </c>
      <c r="AX781" s="1" t="s">
        <v>74</v>
      </c>
      <c r="AY781" s="1" t="s">
        <v>74</v>
      </c>
      <c r="AZ781" s="1" t="s">
        <v>74</v>
      </c>
      <c r="BA781" s="1" t="s">
        <v>74</v>
      </c>
      <c r="BB781" s="1" t="s">
        <v>74</v>
      </c>
      <c r="BC781" s="1" t="s">
        <v>74</v>
      </c>
      <c r="BD781" s="1">
        <v>3369.0</v>
      </c>
      <c r="BE781" s="1" t="s">
        <v>7655</v>
      </c>
      <c r="BF781" s="2" t="str">
        <f>HYPERLINK("http://dx.doi.org/10.3390/polym15163369","http://dx.doi.org/10.3390/polym15163369")</f>
        <v>http://dx.doi.org/10.3390/polym15163369</v>
      </c>
      <c r="BG781" s="1" t="s">
        <v>74</v>
      </c>
      <c r="BH781" s="1" t="s">
        <v>74</v>
      </c>
      <c r="BI781" s="1" t="s">
        <v>74</v>
      </c>
      <c r="BJ781" s="1" t="s">
        <v>74</v>
      </c>
      <c r="BK781" s="1" t="s">
        <v>74</v>
      </c>
      <c r="BL781" s="1" t="s">
        <v>74</v>
      </c>
      <c r="BM781" s="1" t="s">
        <v>74</v>
      </c>
      <c r="BN781" s="1">
        <v>3.7631429E7</v>
      </c>
      <c r="BO781" s="1" t="s">
        <v>74</v>
      </c>
      <c r="BP781" s="1" t="s">
        <v>74</v>
      </c>
      <c r="BQ781" s="1" t="s">
        <v>74</v>
      </c>
      <c r="BR781" s="1" t="s">
        <v>74</v>
      </c>
      <c r="BS781" s="1" t="s">
        <v>7656</v>
      </c>
      <c r="BT781" s="1" t="str">
        <f>HYPERLINK("https%3A%2F%2Fwww.webofscience.com%2Fwos%2Fwoscc%2Ffull-record%2FWOS:001056091100001","View Full Record in Web of Science")</f>
        <v>View Full Record in Web of Science</v>
      </c>
    </row>
    <row r="782" ht="12.75" customHeight="1">
      <c r="A782" s="1" t="s">
        <v>72</v>
      </c>
      <c r="B782" s="1" t="s">
        <v>6586</v>
      </c>
      <c r="C782" s="1" t="s">
        <v>74</v>
      </c>
      <c r="D782" s="1" t="s">
        <v>74</v>
      </c>
      <c r="E782" s="1" t="s">
        <v>74</v>
      </c>
      <c r="F782" s="1" t="s">
        <v>6587</v>
      </c>
      <c r="G782" s="1" t="s">
        <v>74</v>
      </c>
      <c r="H782" s="1" t="s">
        <v>74</v>
      </c>
      <c r="I782" s="1" t="s">
        <v>7657</v>
      </c>
      <c r="J782" s="1" t="s">
        <v>7658</v>
      </c>
      <c r="K782" s="1" t="s">
        <v>74</v>
      </c>
      <c r="L782" s="1" t="s">
        <v>74</v>
      </c>
      <c r="M782" s="1" t="s">
        <v>74</v>
      </c>
      <c r="N782" s="1" t="s">
        <v>74</v>
      </c>
      <c r="O782" s="1" t="s">
        <v>74</v>
      </c>
      <c r="P782" s="1" t="s">
        <v>74</v>
      </c>
      <c r="Q782" s="1" t="s">
        <v>74</v>
      </c>
      <c r="R782" s="1" t="s">
        <v>74</v>
      </c>
      <c r="S782" s="1" t="s">
        <v>74</v>
      </c>
      <c r="T782" s="1" t="s">
        <v>74</v>
      </c>
      <c r="U782" s="1" t="s">
        <v>74</v>
      </c>
      <c r="V782" s="1" t="s">
        <v>7659</v>
      </c>
      <c r="W782" s="1" t="s">
        <v>74</v>
      </c>
      <c r="X782" s="1" t="s">
        <v>74</v>
      </c>
      <c r="Y782" s="1" t="s">
        <v>74</v>
      </c>
      <c r="Z782" s="1" t="s">
        <v>74</v>
      </c>
      <c r="AA782" s="1" t="s">
        <v>6590</v>
      </c>
      <c r="AB782" s="1" t="s">
        <v>6591</v>
      </c>
      <c r="AC782" s="1" t="s">
        <v>74</v>
      </c>
      <c r="AD782" s="1" t="s">
        <v>74</v>
      </c>
      <c r="AE782" s="1" t="s">
        <v>74</v>
      </c>
      <c r="AF782" s="1" t="s">
        <v>74</v>
      </c>
      <c r="AG782" s="1" t="s">
        <v>74</v>
      </c>
      <c r="AH782" s="1" t="s">
        <v>74</v>
      </c>
      <c r="AI782" s="1" t="s">
        <v>74</v>
      </c>
      <c r="AJ782" s="1" t="s">
        <v>74</v>
      </c>
      <c r="AK782" s="1" t="s">
        <v>74</v>
      </c>
      <c r="AL782" s="1" t="s">
        <v>74</v>
      </c>
      <c r="AM782" s="1" t="s">
        <v>74</v>
      </c>
      <c r="AN782" s="1" t="s">
        <v>74</v>
      </c>
      <c r="AO782" s="1" t="s">
        <v>7660</v>
      </c>
      <c r="AP782" s="1" t="s">
        <v>7661</v>
      </c>
      <c r="AQ782" s="1" t="s">
        <v>74</v>
      </c>
      <c r="AR782" s="1" t="s">
        <v>74</v>
      </c>
      <c r="AS782" s="1" t="s">
        <v>74</v>
      </c>
      <c r="AT782" s="1" t="s">
        <v>7662</v>
      </c>
      <c r="AU782" s="1">
        <v>2024.0</v>
      </c>
      <c r="AV782" s="1">
        <v>568.0</v>
      </c>
      <c r="AW782" s="1" t="s">
        <v>74</v>
      </c>
      <c r="AX782" s="1" t="s">
        <v>74</v>
      </c>
      <c r="AY782" s="1" t="s">
        <v>74</v>
      </c>
      <c r="AZ782" s="1" t="s">
        <v>74</v>
      </c>
      <c r="BA782" s="1" t="s">
        <v>74</v>
      </c>
      <c r="BB782" s="1" t="s">
        <v>74</v>
      </c>
      <c r="BC782" s="1" t="s">
        <v>74</v>
      </c>
      <c r="BD782" s="1">
        <v>117955.0</v>
      </c>
      <c r="BE782" s="1" t="s">
        <v>7663</v>
      </c>
      <c r="BF782" s="2" t="str">
        <f>HYPERLINK("http://dx.doi.org/10.1016/j.jsv.2023.117955","http://dx.doi.org/10.1016/j.jsv.2023.117955")</f>
        <v>http://dx.doi.org/10.1016/j.jsv.2023.117955</v>
      </c>
      <c r="BG782" s="1" t="s">
        <v>74</v>
      </c>
      <c r="BH782" s="1" t="s">
        <v>837</v>
      </c>
      <c r="BI782" s="1" t="s">
        <v>74</v>
      </c>
      <c r="BJ782" s="1" t="s">
        <v>74</v>
      </c>
      <c r="BK782" s="1" t="s">
        <v>74</v>
      </c>
      <c r="BL782" s="1" t="s">
        <v>74</v>
      </c>
      <c r="BM782" s="1" t="s">
        <v>74</v>
      </c>
      <c r="BN782" s="1" t="s">
        <v>74</v>
      </c>
      <c r="BO782" s="1" t="s">
        <v>74</v>
      </c>
      <c r="BP782" s="1" t="s">
        <v>74</v>
      </c>
      <c r="BQ782" s="1" t="s">
        <v>74</v>
      </c>
      <c r="BR782" s="1" t="s">
        <v>74</v>
      </c>
      <c r="BS782" s="1" t="s">
        <v>7664</v>
      </c>
      <c r="BT782" s="1" t="str">
        <f>HYPERLINK("https%3A%2F%2Fwww.webofscience.com%2Fwos%2Fwoscc%2Ffull-record%2FWOS:001051615300001","View Full Record in Web of Science")</f>
        <v>View Full Record in Web of Science</v>
      </c>
    </row>
    <row r="783" ht="12.75" customHeight="1">
      <c r="A783" s="1" t="s">
        <v>72</v>
      </c>
      <c r="B783" s="1" t="s">
        <v>7665</v>
      </c>
      <c r="C783" s="1" t="s">
        <v>74</v>
      </c>
      <c r="D783" s="1" t="s">
        <v>74</v>
      </c>
      <c r="E783" s="1" t="s">
        <v>74</v>
      </c>
      <c r="F783" s="1" t="s">
        <v>7666</v>
      </c>
      <c r="G783" s="1" t="s">
        <v>74</v>
      </c>
      <c r="H783" s="1" t="s">
        <v>74</v>
      </c>
      <c r="I783" s="1" t="s">
        <v>7667</v>
      </c>
      <c r="J783" s="1" t="s">
        <v>7668</v>
      </c>
      <c r="K783" s="1" t="s">
        <v>74</v>
      </c>
      <c r="L783" s="1" t="s">
        <v>74</v>
      </c>
      <c r="M783" s="1" t="s">
        <v>74</v>
      </c>
      <c r="N783" s="1" t="s">
        <v>74</v>
      </c>
      <c r="O783" s="1" t="s">
        <v>74</v>
      </c>
      <c r="P783" s="1" t="s">
        <v>74</v>
      </c>
      <c r="Q783" s="1" t="s">
        <v>74</v>
      </c>
      <c r="R783" s="1" t="s">
        <v>74</v>
      </c>
      <c r="S783" s="1" t="s">
        <v>74</v>
      </c>
      <c r="T783" s="1" t="s">
        <v>74</v>
      </c>
      <c r="U783" s="1" t="s">
        <v>74</v>
      </c>
      <c r="V783" s="1" t="s">
        <v>7669</v>
      </c>
      <c r="W783" s="1" t="s">
        <v>74</v>
      </c>
      <c r="X783" s="1" t="s">
        <v>74</v>
      </c>
      <c r="Y783" s="1" t="s">
        <v>74</v>
      </c>
      <c r="Z783" s="1" t="s">
        <v>74</v>
      </c>
      <c r="AA783" s="1" t="s">
        <v>7670</v>
      </c>
      <c r="AB783" s="1" t="s">
        <v>7671</v>
      </c>
      <c r="AC783" s="1" t="s">
        <v>74</v>
      </c>
      <c r="AD783" s="1" t="s">
        <v>74</v>
      </c>
      <c r="AE783" s="1" t="s">
        <v>74</v>
      </c>
      <c r="AF783" s="1" t="s">
        <v>74</v>
      </c>
      <c r="AG783" s="1" t="s">
        <v>74</v>
      </c>
      <c r="AH783" s="1" t="s">
        <v>74</v>
      </c>
      <c r="AI783" s="1" t="s">
        <v>74</v>
      </c>
      <c r="AJ783" s="1" t="s">
        <v>74</v>
      </c>
      <c r="AK783" s="1" t="s">
        <v>74</v>
      </c>
      <c r="AL783" s="1" t="s">
        <v>74</v>
      </c>
      <c r="AM783" s="1" t="s">
        <v>74</v>
      </c>
      <c r="AN783" s="1" t="s">
        <v>74</v>
      </c>
      <c r="AO783" s="1" t="s">
        <v>74</v>
      </c>
      <c r="AP783" s="1" t="s">
        <v>7672</v>
      </c>
      <c r="AQ783" s="1" t="s">
        <v>74</v>
      </c>
      <c r="AR783" s="1" t="s">
        <v>74</v>
      </c>
      <c r="AS783" s="1" t="s">
        <v>74</v>
      </c>
      <c r="AT783" s="1" t="s">
        <v>158</v>
      </c>
      <c r="AU783" s="1">
        <v>2023.0</v>
      </c>
      <c r="AV783" s="1">
        <v>15.0</v>
      </c>
      <c r="AW783" s="1">
        <v>14.0</v>
      </c>
      <c r="AX783" s="1" t="s">
        <v>74</v>
      </c>
      <c r="AY783" s="1" t="s">
        <v>74</v>
      </c>
      <c r="AZ783" s="1" t="s">
        <v>74</v>
      </c>
      <c r="BA783" s="1" t="s">
        <v>74</v>
      </c>
      <c r="BB783" s="1" t="s">
        <v>74</v>
      </c>
      <c r="BC783" s="1" t="s">
        <v>74</v>
      </c>
      <c r="BD783" s="1">
        <v>2665.0</v>
      </c>
      <c r="BE783" s="1" t="s">
        <v>7673</v>
      </c>
      <c r="BF783" s="2" t="str">
        <f>HYPERLINK("http://dx.doi.org/10.3390/w15142665","http://dx.doi.org/10.3390/w15142665")</f>
        <v>http://dx.doi.org/10.3390/w15142665</v>
      </c>
      <c r="BG783" s="1" t="s">
        <v>74</v>
      </c>
      <c r="BH783" s="1" t="s">
        <v>74</v>
      </c>
      <c r="BI783" s="1" t="s">
        <v>74</v>
      </c>
      <c r="BJ783" s="1" t="s">
        <v>74</v>
      </c>
      <c r="BK783" s="1" t="s">
        <v>74</v>
      </c>
      <c r="BL783" s="1" t="s">
        <v>74</v>
      </c>
      <c r="BM783" s="1" t="s">
        <v>74</v>
      </c>
      <c r="BN783" s="1" t="s">
        <v>74</v>
      </c>
      <c r="BO783" s="1" t="s">
        <v>74</v>
      </c>
      <c r="BP783" s="1" t="s">
        <v>74</v>
      </c>
      <c r="BQ783" s="1" t="s">
        <v>74</v>
      </c>
      <c r="BR783" s="1" t="s">
        <v>74</v>
      </c>
      <c r="BS783" s="1" t="s">
        <v>7674</v>
      </c>
      <c r="BT783" s="1" t="str">
        <f>HYPERLINK("https%3A%2F%2Fwww.webofscience.com%2Fwos%2Fwoscc%2Ffull-record%2FWOS:001038956800001","View Full Record in Web of Science")</f>
        <v>View Full Record in Web of Science</v>
      </c>
    </row>
    <row r="784" ht="12.75" customHeight="1">
      <c r="A784" s="1" t="s">
        <v>72</v>
      </c>
      <c r="B784" s="1" t="s">
        <v>7675</v>
      </c>
      <c r="C784" s="1" t="s">
        <v>74</v>
      </c>
      <c r="D784" s="1" t="s">
        <v>74</v>
      </c>
      <c r="E784" s="1" t="s">
        <v>74</v>
      </c>
      <c r="F784" s="1" t="s">
        <v>7676</v>
      </c>
      <c r="G784" s="1" t="s">
        <v>74</v>
      </c>
      <c r="H784" s="1" t="s">
        <v>74</v>
      </c>
      <c r="I784" s="1" t="s">
        <v>7677</v>
      </c>
      <c r="J784" s="1" t="s">
        <v>7678</v>
      </c>
      <c r="K784" s="1" t="s">
        <v>74</v>
      </c>
      <c r="L784" s="1" t="s">
        <v>74</v>
      </c>
      <c r="M784" s="1" t="s">
        <v>74</v>
      </c>
      <c r="N784" s="1" t="s">
        <v>74</v>
      </c>
      <c r="O784" s="1" t="s">
        <v>74</v>
      </c>
      <c r="P784" s="1" t="s">
        <v>74</v>
      </c>
      <c r="Q784" s="1" t="s">
        <v>74</v>
      </c>
      <c r="R784" s="1" t="s">
        <v>74</v>
      </c>
      <c r="S784" s="1" t="s">
        <v>74</v>
      </c>
      <c r="T784" s="1" t="s">
        <v>74</v>
      </c>
      <c r="U784" s="1" t="s">
        <v>74</v>
      </c>
      <c r="V784" s="1" t="s">
        <v>7679</v>
      </c>
      <c r="W784" s="1" t="s">
        <v>74</v>
      </c>
      <c r="X784" s="1" t="s">
        <v>74</v>
      </c>
      <c r="Y784" s="1" t="s">
        <v>74</v>
      </c>
      <c r="Z784" s="1" t="s">
        <v>74</v>
      </c>
      <c r="AA784" s="1" t="s">
        <v>7680</v>
      </c>
      <c r="AB784" s="1" t="s">
        <v>7681</v>
      </c>
      <c r="AC784" s="1" t="s">
        <v>74</v>
      </c>
      <c r="AD784" s="1" t="s">
        <v>74</v>
      </c>
      <c r="AE784" s="1" t="s">
        <v>74</v>
      </c>
      <c r="AF784" s="1" t="s">
        <v>74</v>
      </c>
      <c r="AG784" s="1" t="s">
        <v>74</v>
      </c>
      <c r="AH784" s="1" t="s">
        <v>74</v>
      </c>
      <c r="AI784" s="1" t="s">
        <v>74</v>
      </c>
      <c r="AJ784" s="1" t="s">
        <v>74</v>
      </c>
      <c r="AK784" s="1" t="s">
        <v>74</v>
      </c>
      <c r="AL784" s="1" t="s">
        <v>74</v>
      </c>
      <c r="AM784" s="1" t="s">
        <v>74</v>
      </c>
      <c r="AN784" s="1" t="s">
        <v>74</v>
      </c>
      <c r="AO784" s="1" t="s">
        <v>7682</v>
      </c>
      <c r="AP784" s="1" t="s">
        <v>7683</v>
      </c>
      <c r="AQ784" s="1" t="s">
        <v>74</v>
      </c>
      <c r="AR784" s="1" t="s">
        <v>74</v>
      </c>
      <c r="AS784" s="1" t="s">
        <v>74</v>
      </c>
      <c r="AT784" s="1" t="s">
        <v>7684</v>
      </c>
      <c r="AU784" s="1">
        <v>2023.0</v>
      </c>
      <c r="AV784" s="1">
        <v>158.0</v>
      </c>
      <c r="AW784" s="1">
        <v>16.0</v>
      </c>
      <c r="AX784" s="1" t="s">
        <v>74</v>
      </c>
      <c r="AY784" s="1" t="s">
        <v>74</v>
      </c>
      <c r="AZ784" s="1" t="s">
        <v>74</v>
      </c>
      <c r="BA784" s="1" t="s">
        <v>74</v>
      </c>
      <c r="BB784" s="1" t="s">
        <v>74</v>
      </c>
      <c r="BC784" s="1" t="s">
        <v>74</v>
      </c>
      <c r="BD784" s="1">
        <v>164305.0</v>
      </c>
      <c r="BE784" s="1" t="s">
        <v>7685</v>
      </c>
      <c r="BF784" s="2" t="str">
        <f>HYPERLINK("http://dx.doi.org/10.1063/5.0143835","http://dx.doi.org/10.1063/5.0143835")</f>
        <v>http://dx.doi.org/10.1063/5.0143835</v>
      </c>
      <c r="BG784" s="1" t="s">
        <v>74</v>
      </c>
      <c r="BH784" s="1" t="s">
        <v>74</v>
      </c>
      <c r="BI784" s="1" t="s">
        <v>74</v>
      </c>
      <c r="BJ784" s="1" t="s">
        <v>74</v>
      </c>
      <c r="BK784" s="1" t="s">
        <v>74</v>
      </c>
      <c r="BL784" s="1" t="s">
        <v>74</v>
      </c>
      <c r="BM784" s="1" t="s">
        <v>74</v>
      </c>
      <c r="BN784" s="1">
        <v>3.7093138E7</v>
      </c>
      <c r="BO784" s="1" t="s">
        <v>74</v>
      </c>
      <c r="BP784" s="1" t="s">
        <v>74</v>
      </c>
      <c r="BQ784" s="1" t="s">
        <v>74</v>
      </c>
      <c r="BR784" s="1" t="s">
        <v>74</v>
      </c>
      <c r="BS784" s="1" t="s">
        <v>7686</v>
      </c>
      <c r="BT784" s="1" t="str">
        <f>HYPERLINK("https%3A%2F%2Fwww.webofscience.com%2Fwos%2Fwoscc%2Ffull-record%2FWOS:001010676000013","View Full Record in Web of Science")</f>
        <v>View Full Record in Web of Science</v>
      </c>
    </row>
    <row r="785" ht="12.75" customHeight="1">
      <c r="A785" s="1" t="s">
        <v>72</v>
      </c>
      <c r="B785" s="1" t="s">
        <v>7687</v>
      </c>
      <c r="C785" s="1" t="s">
        <v>74</v>
      </c>
      <c r="D785" s="1" t="s">
        <v>74</v>
      </c>
      <c r="E785" s="1" t="s">
        <v>74</v>
      </c>
      <c r="F785" s="1" t="s">
        <v>7688</v>
      </c>
      <c r="G785" s="1" t="s">
        <v>74</v>
      </c>
      <c r="H785" s="1" t="s">
        <v>74</v>
      </c>
      <c r="I785" s="1" t="s">
        <v>7689</v>
      </c>
      <c r="J785" s="1" t="s">
        <v>1605</v>
      </c>
      <c r="K785" s="1" t="s">
        <v>74</v>
      </c>
      <c r="L785" s="1" t="s">
        <v>74</v>
      </c>
      <c r="M785" s="1" t="s">
        <v>74</v>
      </c>
      <c r="N785" s="1" t="s">
        <v>74</v>
      </c>
      <c r="O785" s="1" t="s">
        <v>74</v>
      </c>
      <c r="P785" s="1" t="s">
        <v>74</v>
      </c>
      <c r="Q785" s="1" t="s">
        <v>74</v>
      </c>
      <c r="R785" s="1" t="s">
        <v>74</v>
      </c>
      <c r="S785" s="1" t="s">
        <v>74</v>
      </c>
      <c r="T785" s="1" t="s">
        <v>74</v>
      </c>
      <c r="U785" s="1" t="s">
        <v>74</v>
      </c>
      <c r="V785" s="1" t="s">
        <v>7690</v>
      </c>
      <c r="W785" s="1" t="s">
        <v>74</v>
      </c>
      <c r="X785" s="1" t="s">
        <v>74</v>
      </c>
      <c r="Y785" s="1" t="s">
        <v>74</v>
      </c>
      <c r="Z785" s="1" t="s">
        <v>74</v>
      </c>
      <c r="AA785" s="1" t="s">
        <v>7691</v>
      </c>
      <c r="AB785" s="1" t="s">
        <v>74</v>
      </c>
      <c r="AC785" s="1" t="s">
        <v>74</v>
      </c>
      <c r="AD785" s="1" t="s">
        <v>74</v>
      </c>
      <c r="AE785" s="1" t="s">
        <v>74</v>
      </c>
      <c r="AF785" s="1" t="s">
        <v>74</v>
      </c>
      <c r="AG785" s="1" t="s">
        <v>74</v>
      </c>
      <c r="AH785" s="1" t="s">
        <v>74</v>
      </c>
      <c r="AI785" s="1" t="s">
        <v>74</v>
      </c>
      <c r="AJ785" s="1" t="s">
        <v>74</v>
      </c>
      <c r="AK785" s="1" t="s">
        <v>74</v>
      </c>
      <c r="AL785" s="1" t="s">
        <v>74</v>
      </c>
      <c r="AM785" s="1" t="s">
        <v>74</v>
      </c>
      <c r="AN785" s="1" t="s">
        <v>74</v>
      </c>
      <c r="AO785" s="1" t="s">
        <v>1609</v>
      </c>
      <c r="AP785" s="1" t="s">
        <v>74</v>
      </c>
      <c r="AQ785" s="1" t="s">
        <v>74</v>
      </c>
      <c r="AR785" s="1" t="s">
        <v>74</v>
      </c>
      <c r="AS785" s="1" t="s">
        <v>74</v>
      </c>
      <c r="AT785" s="1" t="s">
        <v>7692</v>
      </c>
      <c r="AU785" s="1">
        <v>2023.0</v>
      </c>
      <c r="AV785" s="1">
        <v>18.0</v>
      </c>
      <c r="AW785" s="1">
        <v>2.0</v>
      </c>
      <c r="AX785" s="1" t="s">
        <v>74</v>
      </c>
      <c r="AY785" s="1" t="s">
        <v>74</v>
      </c>
      <c r="AZ785" s="1" t="s">
        <v>74</v>
      </c>
      <c r="BA785" s="1" t="s">
        <v>74</v>
      </c>
      <c r="BB785" s="1" t="s">
        <v>74</v>
      </c>
      <c r="BC785" s="1" t="s">
        <v>74</v>
      </c>
      <c r="BD785" s="1" t="s">
        <v>7693</v>
      </c>
      <c r="BE785" s="1" t="s">
        <v>7694</v>
      </c>
      <c r="BF785" s="2" t="str">
        <f>HYPERLINK("http://dx.doi.org/10.1371/journal.pone.0281483","http://dx.doi.org/10.1371/journal.pone.0281483")</f>
        <v>http://dx.doi.org/10.1371/journal.pone.0281483</v>
      </c>
      <c r="BG785" s="1" t="s">
        <v>74</v>
      </c>
      <c r="BH785" s="1" t="s">
        <v>74</v>
      </c>
      <c r="BI785" s="1" t="s">
        <v>74</v>
      </c>
      <c r="BJ785" s="1" t="s">
        <v>74</v>
      </c>
      <c r="BK785" s="1" t="s">
        <v>74</v>
      </c>
      <c r="BL785" s="1" t="s">
        <v>74</v>
      </c>
      <c r="BM785" s="1" t="s">
        <v>74</v>
      </c>
      <c r="BN785" s="1">
        <v>3.675792E7</v>
      </c>
      <c r="BO785" s="1" t="s">
        <v>74</v>
      </c>
      <c r="BP785" s="1" t="s">
        <v>74</v>
      </c>
      <c r="BQ785" s="1" t="s">
        <v>74</v>
      </c>
      <c r="BR785" s="1" t="s">
        <v>74</v>
      </c>
      <c r="BS785" s="1" t="s">
        <v>7695</v>
      </c>
      <c r="BT785" s="1" t="str">
        <f>HYPERLINK("https%3A%2F%2Fwww.webofscience.com%2Fwos%2Fwoscc%2Ffull-record%2FWOS:000929724500077","View Full Record in Web of Science")</f>
        <v>View Full Record in Web of Science</v>
      </c>
    </row>
    <row r="786" ht="12.75" customHeight="1">
      <c r="A786" s="1" t="s">
        <v>72</v>
      </c>
      <c r="B786" s="1" t="s">
        <v>7696</v>
      </c>
      <c r="C786" s="1" t="s">
        <v>74</v>
      </c>
      <c r="D786" s="1" t="s">
        <v>74</v>
      </c>
      <c r="E786" s="1" t="s">
        <v>74</v>
      </c>
      <c r="F786" s="1" t="s">
        <v>7697</v>
      </c>
      <c r="G786" s="1" t="s">
        <v>74</v>
      </c>
      <c r="H786" s="1" t="s">
        <v>74</v>
      </c>
      <c r="I786" s="1" t="s">
        <v>7698</v>
      </c>
      <c r="J786" s="1" t="s">
        <v>2992</v>
      </c>
      <c r="K786" s="1" t="s">
        <v>74</v>
      </c>
      <c r="L786" s="1" t="s">
        <v>74</v>
      </c>
      <c r="M786" s="1" t="s">
        <v>74</v>
      </c>
      <c r="N786" s="1" t="s">
        <v>74</v>
      </c>
      <c r="O786" s="1" t="s">
        <v>74</v>
      </c>
      <c r="P786" s="1" t="s">
        <v>74</v>
      </c>
      <c r="Q786" s="1" t="s">
        <v>74</v>
      </c>
      <c r="R786" s="1" t="s">
        <v>74</v>
      </c>
      <c r="S786" s="1" t="s">
        <v>74</v>
      </c>
      <c r="T786" s="1" t="s">
        <v>74</v>
      </c>
      <c r="U786" s="1" t="s">
        <v>74</v>
      </c>
      <c r="V786" s="1" t="s">
        <v>7699</v>
      </c>
      <c r="W786" s="1" t="s">
        <v>74</v>
      </c>
      <c r="X786" s="1" t="s">
        <v>74</v>
      </c>
      <c r="Y786" s="1" t="s">
        <v>74</v>
      </c>
      <c r="Z786" s="1" t="s">
        <v>74</v>
      </c>
      <c r="AA786" s="1" t="s">
        <v>7700</v>
      </c>
      <c r="AB786" s="1" t="s">
        <v>7701</v>
      </c>
      <c r="AC786" s="1" t="s">
        <v>74</v>
      </c>
      <c r="AD786" s="1" t="s">
        <v>74</v>
      </c>
      <c r="AE786" s="1" t="s">
        <v>74</v>
      </c>
      <c r="AF786" s="1" t="s">
        <v>74</v>
      </c>
      <c r="AG786" s="1" t="s">
        <v>74</v>
      </c>
      <c r="AH786" s="1" t="s">
        <v>74</v>
      </c>
      <c r="AI786" s="1" t="s">
        <v>74</v>
      </c>
      <c r="AJ786" s="1" t="s">
        <v>74</v>
      </c>
      <c r="AK786" s="1" t="s">
        <v>74</v>
      </c>
      <c r="AL786" s="1" t="s">
        <v>74</v>
      </c>
      <c r="AM786" s="1" t="s">
        <v>74</v>
      </c>
      <c r="AN786" s="1" t="s">
        <v>74</v>
      </c>
      <c r="AO786" s="1" t="s">
        <v>2996</v>
      </c>
      <c r="AP786" s="1" t="s">
        <v>2997</v>
      </c>
      <c r="AQ786" s="1" t="s">
        <v>74</v>
      </c>
      <c r="AR786" s="1" t="s">
        <v>74</v>
      </c>
      <c r="AS786" s="1" t="s">
        <v>74</v>
      </c>
      <c r="AT786" s="1" t="s">
        <v>6399</v>
      </c>
      <c r="AU786" s="1">
        <v>2023.0</v>
      </c>
      <c r="AV786" s="1">
        <v>124.0</v>
      </c>
      <c r="AW786" s="1">
        <v>8.0</v>
      </c>
      <c r="AX786" s="1" t="s">
        <v>74</v>
      </c>
      <c r="AY786" s="1" t="s">
        <v>74</v>
      </c>
      <c r="AZ786" s="1" t="s">
        <v>74</v>
      </c>
      <c r="BA786" s="1" t="s">
        <v>74</v>
      </c>
      <c r="BB786" s="1">
        <v>1908.0</v>
      </c>
      <c r="BC786" s="1">
        <v>1927.0</v>
      </c>
      <c r="BD786" s="1" t="s">
        <v>74</v>
      </c>
      <c r="BE786" s="1" t="s">
        <v>7702</v>
      </c>
      <c r="BF786" s="2" t="str">
        <f>HYPERLINK("http://dx.doi.org/10.1002/nme.7192","http://dx.doi.org/10.1002/nme.7192")</f>
        <v>http://dx.doi.org/10.1002/nme.7192</v>
      </c>
      <c r="BG786" s="1" t="s">
        <v>74</v>
      </c>
      <c r="BH786" s="1" t="s">
        <v>237</v>
      </c>
      <c r="BI786" s="1" t="s">
        <v>74</v>
      </c>
      <c r="BJ786" s="1" t="s">
        <v>74</v>
      </c>
      <c r="BK786" s="1" t="s">
        <v>74</v>
      </c>
      <c r="BL786" s="1" t="s">
        <v>74</v>
      </c>
      <c r="BM786" s="1" t="s">
        <v>74</v>
      </c>
      <c r="BN786" s="1" t="s">
        <v>74</v>
      </c>
      <c r="BO786" s="1" t="s">
        <v>74</v>
      </c>
      <c r="BP786" s="1" t="s">
        <v>74</v>
      </c>
      <c r="BQ786" s="1" t="s">
        <v>74</v>
      </c>
      <c r="BR786" s="1" t="s">
        <v>74</v>
      </c>
      <c r="BS786" s="1" t="s">
        <v>7703</v>
      </c>
      <c r="BT786" s="1" t="str">
        <f>HYPERLINK("https%3A%2F%2Fwww.webofscience.com%2Fwos%2Fwoscc%2Ffull-record%2FWOS:000906369800001","View Full Record in Web of Science")</f>
        <v>View Full Record in Web of Science</v>
      </c>
    </row>
    <row r="787" ht="12.75" customHeight="1">
      <c r="A787" s="1" t="s">
        <v>72</v>
      </c>
      <c r="B787" s="1" t="s">
        <v>7704</v>
      </c>
      <c r="C787" s="1" t="s">
        <v>74</v>
      </c>
      <c r="D787" s="1" t="s">
        <v>74</v>
      </c>
      <c r="E787" s="1" t="s">
        <v>74</v>
      </c>
      <c r="F787" s="1" t="s">
        <v>7705</v>
      </c>
      <c r="G787" s="1" t="s">
        <v>74</v>
      </c>
      <c r="H787" s="1" t="s">
        <v>74</v>
      </c>
      <c r="I787" s="1" t="s">
        <v>7706</v>
      </c>
      <c r="J787" s="1" t="s">
        <v>3502</v>
      </c>
      <c r="K787" s="1" t="s">
        <v>74</v>
      </c>
      <c r="L787" s="1" t="s">
        <v>74</v>
      </c>
      <c r="M787" s="1" t="s">
        <v>74</v>
      </c>
      <c r="N787" s="1" t="s">
        <v>74</v>
      </c>
      <c r="O787" s="1" t="s">
        <v>74</v>
      </c>
      <c r="P787" s="1" t="s">
        <v>74</v>
      </c>
      <c r="Q787" s="1" t="s">
        <v>74</v>
      </c>
      <c r="R787" s="1" t="s">
        <v>74</v>
      </c>
      <c r="S787" s="1" t="s">
        <v>74</v>
      </c>
      <c r="T787" s="1" t="s">
        <v>74</v>
      </c>
      <c r="U787" s="1" t="s">
        <v>74</v>
      </c>
      <c r="V787" s="1" t="s">
        <v>7707</v>
      </c>
      <c r="W787" s="1" t="s">
        <v>74</v>
      </c>
      <c r="X787" s="1" t="s">
        <v>74</v>
      </c>
      <c r="Y787" s="1" t="s">
        <v>74</v>
      </c>
      <c r="Z787" s="1" t="s">
        <v>74</v>
      </c>
      <c r="AA787" s="1" t="s">
        <v>7708</v>
      </c>
      <c r="AB787" s="1" t="s">
        <v>7709</v>
      </c>
      <c r="AC787" s="1" t="s">
        <v>74</v>
      </c>
      <c r="AD787" s="1" t="s">
        <v>74</v>
      </c>
      <c r="AE787" s="1" t="s">
        <v>74</v>
      </c>
      <c r="AF787" s="1" t="s">
        <v>74</v>
      </c>
      <c r="AG787" s="1" t="s">
        <v>74</v>
      </c>
      <c r="AH787" s="1" t="s">
        <v>74</v>
      </c>
      <c r="AI787" s="1" t="s">
        <v>74</v>
      </c>
      <c r="AJ787" s="1" t="s">
        <v>74</v>
      </c>
      <c r="AK787" s="1" t="s">
        <v>74</v>
      </c>
      <c r="AL787" s="1" t="s">
        <v>74</v>
      </c>
      <c r="AM787" s="1" t="s">
        <v>74</v>
      </c>
      <c r="AN787" s="1" t="s">
        <v>74</v>
      </c>
      <c r="AO787" s="1" t="s">
        <v>3505</v>
      </c>
      <c r="AP787" s="1" t="s">
        <v>3506</v>
      </c>
      <c r="AQ787" s="1" t="s">
        <v>74</v>
      </c>
      <c r="AR787" s="1" t="s">
        <v>74</v>
      </c>
      <c r="AS787" s="1" t="s">
        <v>74</v>
      </c>
      <c r="AT787" s="1" t="s">
        <v>74</v>
      </c>
      <c r="AU787" s="1">
        <v>2023.0</v>
      </c>
      <c r="AV787" s="1" t="s">
        <v>74</v>
      </c>
      <c r="AW787" s="1">
        <v>48.0</v>
      </c>
      <c r="AX787" s="1" t="s">
        <v>74</v>
      </c>
      <c r="AY787" s="1" t="s">
        <v>74</v>
      </c>
      <c r="AZ787" s="1" t="s">
        <v>74</v>
      </c>
      <c r="BA787" s="1" t="s">
        <v>74</v>
      </c>
      <c r="BB787" s="1">
        <v>429.0</v>
      </c>
      <c r="BC787" s="1">
        <v>438.0</v>
      </c>
      <c r="BD787" s="1" t="s">
        <v>74</v>
      </c>
      <c r="BE787" s="1" t="s">
        <v>74</v>
      </c>
      <c r="BF787" s="1" t="s">
        <v>74</v>
      </c>
      <c r="BG787" s="1" t="s">
        <v>74</v>
      </c>
      <c r="BH787" s="1" t="s">
        <v>74</v>
      </c>
      <c r="BI787" s="1" t="s">
        <v>74</v>
      </c>
      <c r="BJ787" s="1" t="s">
        <v>74</v>
      </c>
      <c r="BK787" s="1" t="s">
        <v>74</v>
      </c>
      <c r="BL787" s="1" t="s">
        <v>74</v>
      </c>
      <c r="BM787" s="1" t="s">
        <v>74</v>
      </c>
      <c r="BN787" s="1" t="s">
        <v>74</v>
      </c>
      <c r="BO787" s="1" t="s">
        <v>74</v>
      </c>
      <c r="BP787" s="1" t="s">
        <v>74</v>
      </c>
      <c r="BQ787" s="1" t="s">
        <v>74</v>
      </c>
      <c r="BR787" s="1" t="s">
        <v>74</v>
      </c>
      <c r="BS787" s="1" t="s">
        <v>7710</v>
      </c>
      <c r="BT787" s="1" t="str">
        <f>HYPERLINK("https%3A%2F%2Fwww.webofscience.com%2Fwos%2Fwoscc%2Ffull-record%2FWOS:001067627400001","View Full Record in Web of Science")</f>
        <v>View Full Record in Web of Science</v>
      </c>
    </row>
    <row r="788" ht="12.75" customHeight="1">
      <c r="A788" s="1" t="s">
        <v>182</v>
      </c>
      <c r="B788" s="1" t="s">
        <v>7711</v>
      </c>
      <c r="C788" s="1" t="s">
        <v>74</v>
      </c>
      <c r="D788" s="1" t="s">
        <v>7712</v>
      </c>
      <c r="E788" s="1" t="s">
        <v>74</v>
      </c>
      <c r="F788" s="1" t="s">
        <v>7713</v>
      </c>
      <c r="G788" s="1" t="s">
        <v>74</v>
      </c>
      <c r="H788" s="1" t="s">
        <v>74</v>
      </c>
      <c r="I788" s="1" t="s">
        <v>7714</v>
      </c>
      <c r="J788" s="1" t="s">
        <v>7715</v>
      </c>
      <c r="K788" s="1" t="s">
        <v>7716</v>
      </c>
      <c r="L788" s="1" t="s">
        <v>74</v>
      </c>
      <c r="M788" s="1" t="s">
        <v>74</v>
      </c>
      <c r="N788" s="1" t="s">
        <v>74</v>
      </c>
      <c r="O788" s="1" t="s">
        <v>7717</v>
      </c>
      <c r="P788" s="1" t="s">
        <v>7718</v>
      </c>
      <c r="Q788" s="1" t="s">
        <v>1918</v>
      </c>
      <c r="R788" s="1" t="s">
        <v>7719</v>
      </c>
      <c r="S788" s="1" t="s">
        <v>74</v>
      </c>
      <c r="T788" s="1" t="s">
        <v>74</v>
      </c>
      <c r="U788" s="1" t="s">
        <v>74</v>
      </c>
      <c r="V788" s="1" t="s">
        <v>7720</v>
      </c>
      <c r="W788" s="1" t="s">
        <v>74</v>
      </c>
      <c r="X788" s="1" t="s">
        <v>74</v>
      </c>
      <c r="Y788" s="1" t="s">
        <v>74</v>
      </c>
      <c r="Z788" s="1" t="s">
        <v>74</v>
      </c>
      <c r="AA788" s="1" t="s">
        <v>7721</v>
      </c>
      <c r="AB788" s="1" t="s">
        <v>7722</v>
      </c>
      <c r="AC788" s="1" t="s">
        <v>74</v>
      </c>
      <c r="AD788" s="1" t="s">
        <v>74</v>
      </c>
      <c r="AE788" s="1" t="s">
        <v>74</v>
      </c>
      <c r="AF788" s="1" t="s">
        <v>74</v>
      </c>
      <c r="AG788" s="1" t="s">
        <v>74</v>
      </c>
      <c r="AH788" s="1" t="s">
        <v>74</v>
      </c>
      <c r="AI788" s="1" t="s">
        <v>74</v>
      </c>
      <c r="AJ788" s="1" t="s">
        <v>74</v>
      </c>
      <c r="AK788" s="1" t="s">
        <v>74</v>
      </c>
      <c r="AL788" s="1" t="s">
        <v>74</v>
      </c>
      <c r="AM788" s="1" t="s">
        <v>74</v>
      </c>
      <c r="AN788" s="1" t="s">
        <v>74</v>
      </c>
      <c r="AO788" s="1" t="s">
        <v>7723</v>
      </c>
      <c r="AP788" s="1" t="s">
        <v>7724</v>
      </c>
      <c r="AQ788" s="1" t="s">
        <v>7725</v>
      </c>
      <c r="AR788" s="1" t="s">
        <v>74</v>
      </c>
      <c r="AS788" s="1" t="s">
        <v>74</v>
      </c>
      <c r="AT788" s="1" t="s">
        <v>74</v>
      </c>
      <c r="AU788" s="1">
        <v>2023.0</v>
      </c>
      <c r="AV788" s="1">
        <v>12567.0</v>
      </c>
      <c r="AW788" s="1" t="s">
        <v>74</v>
      </c>
      <c r="AX788" s="1" t="s">
        <v>74</v>
      </c>
      <c r="AY788" s="1" t="s">
        <v>74</v>
      </c>
      <c r="AZ788" s="1" t="s">
        <v>74</v>
      </c>
      <c r="BA788" s="1" t="s">
        <v>74</v>
      </c>
      <c r="BB788" s="1" t="s">
        <v>74</v>
      </c>
      <c r="BC788" s="1" t="s">
        <v>74</v>
      </c>
      <c r="BD788" s="1">
        <v>1256719.0</v>
      </c>
      <c r="BE788" s="1" t="s">
        <v>7726</v>
      </c>
      <c r="BF788" s="2" t="str">
        <f>HYPERLINK("http://dx.doi.org/10.1117/12.2669787","http://dx.doi.org/10.1117/12.2669787")</f>
        <v>http://dx.doi.org/10.1117/12.2669787</v>
      </c>
      <c r="BG788" s="1" t="s">
        <v>74</v>
      </c>
      <c r="BH788" s="1" t="s">
        <v>74</v>
      </c>
      <c r="BI788" s="1" t="s">
        <v>74</v>
      </c>
      <c r="BJ788" s="1" t="s">
        <v>74</v>
      </c>
      <c r="BK788" s="1" t="s">
        <v>74</v>
      </c>
      <c r="BL788" s="1" t="s">
        <v>74</v>
      </c>
      <c r="BM788" s="1" t="s">
        <v>74</v>
      </c>
      <c r="BN788" s="1" t="s">
        <v>74</v>
      </c>
      <c r="BO788" s="1" t="s">
        <v>74</v>
      </c>
      <c r="BP788" s="1" t="s">
        <v>74</v>
      </c>
      <c r="BQ788" s="1" t="s">
        <v>74</v>
      </c>
      <c r="BR788" s="1" t="s">
        <v>74</v>
      </c>
      <c r="BS788" s="1" t="s">
        <v>7727</v>
      </c>
      <c r="BT788" s="1" t="str">
        <f>HYPERLINK("https%3A%2F%2Fwww.webofscience.com%2Fwos%2Fwoscc%2Ffull-record%2FWOS:001002734500044","View Full Record in Web of Science")</f>
        <v>View Full Record in Web of Science</v>
      </c>
    </row>
    <row r="789" ht="12.75" customHeight="1">
      <c r="A789" s="1" t="s">
        <v>72</v>
      </c>
      <c r="B789" s="1" t="s">
        <v>7728</v>
      </c>
      <c r="C789" s="1" t="s">
        <v>74</v>
      </c>
      <c r="D789" s="1" t="s">
        <v>74</v>
      </c>
      <c r="E789" s="1" t="s">
        <v>74</v>
      </c>
      <c r="F789" s="1" t="s">
        <v>7729</v>
      </c>
      <c r="G789" s="1" t="s">
        <v>74</v>
      </c>
      <c r="H789" s="1" t="s">
        <v>74</v>
      </c>
      <c r="I789" s="1" t="s">
        <v>7730</v>
      </c>
      <c r="J789" s="1" t="s">
        <v>4412</v>
      </c>
      <c r="K789" s="1" t="s">
        <v>74</v>
      </c>
      <c r="L789" s="1" t="s">
        <v>74</v>
      </c>
      <c r="M789" s="1" t="s">
        <v>74</v>
      </c>
      <c r="N789" s="1" t="s">
        <v>74</v>
      </c>
      <c r="O789" s="1" t="s">
        <v>74</v>
      </c>
      <c r="P789" s="1" t="s">
        <v>74</v>
      </c>
      <c r="Q789" s="1" t="s">
        <v>74</v>
      </c>
      <c r="R789" s="1" t="s">
        <v>74</v>
      </c>
      <c r="S789" s="1" t="s">
        <v>74</v>
      </c>
      <c r="T789" s="1" t="s">
        <v>74</v>
      </c>
      <c r="U789" s="1" t="s">
        <v>74</v>
      </c>
      <c r="V789" s="1" t="s">
        <v>7731</v>
      </c>
      <c r="W789" s="1" t="s">
        <v>74</v>
      </c>
      <c r="X789" s="1" t="s">
        <v>74</v>
      </c>
      <c r="Y789" s="1" t="s">
        <v>74</v>
      </c>
      <c r="Z789" s="1" t="s">
        <v>74</v>
      </c>
      <c r="AA789" s="1" t="s">
        <v>7732</v>
      </c>
      <c r="AB789" s="1" t="s">
        <v>7733</v>
      </c>
      <c r="AC789" s="1" t="s">
        <v>74</v>
      </c>
      <c r="AD789" s="1" t="s">
        <v>74</v>
      </c>
      <c r="AE789" s="1" t="s">
        <v>74</v>
      </c>
      <c r="AF789" s="1" t="s">
        <v>74</v>
      </c>
      <c r="AG789" s="1" t="s">
        <v>74</v>
      </c>
      <c r="AH789" s="1" t="s">
        <v>74</v>
      </c>
      <c r="AI789" s="1" t="s">
        <v>74</v>
      </c>
      <c r="AJ789" s="1" t="s">
        <v>74</v>
      </c>
      <c r="AK789" s="1" t="s">
        <v>74</v>
      </c>
      <c r="AL789" s="1" t="s">
        <v>74</v>
      </c>
      <c r="AM789" s="1" t="s">
        <v>74</v>
      </c>
      <c r="AN789" s="1" t="s">
        <v>74</v>
      </c>
      <c r="AO789" s="1" t="s">
        <v>74</v>
      </c>
      <c r="AP789" s="1" t="s">
        <v>4416</v>
      </c>
      <c r="AQ789" s="1" t="s">
        <v>74</v>
      </c>
      <c r="AR789" s="1" t="s">
        <v>74</v>
      </c>
      <c r="AS789" s="1" t="s">
        <v>74</v>
      </c>
      <c r="AT789" s="1" t="s">
        <v>350</v>
      </c>
      <c r="AU789" s="1">
        <v>2022.0</v>
      </c>
      <c r="AV789" s="1">
        <v>19.0</v>
      </c>
      <c r="AW789" s="1">
        <v>15.0</v>
      </c>
      <c r="AX789" s="1" t="s">
        <v>74</v>
      </c>
      <c r="AY789" s="1" t="s">
        <v>74</v>
      </c>
      <c r="AZ789" s="1" t="s">
        <v>74</v>
      </c>
      <c r="BA789" s="1" t="s">
        <v>74</v>
      </c>
      <c r="BB789" s="1" t="s">
        <v>74</v>
      </c>
      <c r="BC789" s="1" t="s">
        <v>74</v>
      </c>
      <c r="BD789" s="1">
        <v>9189.0</v>
      </c>
      <c r="BE789" s="1" t="s">
        <v>7734</v>
      </c>
      <c r="BF789" s="2" t="str">
        <f>HYPERLINK("http://dx.doi.org/10.3390/ijerph19159189","http://dx.doi.org/10.3390/ijerph19159189")</f>
        <v>http://dx.doi.org/10.3390/ijerph19159189</v>
      </c>
      <c r="BG789" s="1" t="s">
        <v>74</v>
      </c>
      <c r="BH789" s="1" t="s">
        <v>74</v>
      </c>
      <c r="BI789" s="1" t="s">
        <v>74</v>
      </c>
      <c r="BJ789" s="1" t="s">
        <v>74</v>
      </c>
      <c r="BK789" s="1" t="s">
        <v>74</v>
      </c>
      <c r="BL789" s="1" t="s">
        <v>74</v>
      </c>
      <c r="BM789" s="1" t="s">
        <v>74</v>
      </c>
      <c r="BN789" s="1">
        <v>3.5954546E7</v>
      </c>
      <c r="BO789" s="1" t="s">
        <v>74</v>
      </c>
      <c r="BP789" s="1" t="s">
        <v>74</v>
      </c>
      <c r="BQ789" s="1" t="s">
        <v>74</v>
      </c>
      <c r="BR789" s="1" t="s">
        <v>74</v>
      </c>
      <c r="BS789" s="1" t="s">
        <v>7735</v>
      </c>
      <c r="BT789" s="1" t="str">
        <f>HYPERLINK("https%3A%2F%2Fwww.webofscience.com%2Fwos%2Fwoscc%2Ffull-record%2FWOS:000840212500001","View Full Record in Web of Science")</f>
        <v>View Full Record in Web of Science</v>
      </c>
    </row>
    <row r="790" ht="12.75" customHeight="1">
      <c r="A790" s="1" t="s">
        <v>72</v>
      </c>
      <c r="B790" s="1" t="s">
        <v>7736</v>
      </c>
      <c r="C790" s="1" t="s">
        <v>74</v>
      </c>
      <c r="D790" s="1" t="s">
        <v>74</v>
      </c>
      <c r="E790" s="1" t="s">
        <v>74</v>
      </c>
      <c r="F790" s="1" t="s">
        <v>7737</v>
      </c>
      <c r="G790" s="1" t="s">
        <v>74</v>
      </c>
      <c r="H790" s="1" t="s">
        <v>74</v>
      </c>
      <c r="I790" s="1" t="s">
        <v>7738</v>
      </c>
      <c r="J790" s="1" t="s">
        <v>4889</v>
      </c>
      <c r="K790" s="1" t="s">
        <v>74</v>
      </c>
      <c r="L790" s="1" t="s">
        <v>74</v>
      </c>
      <c r="M790" s="1" t="s">
        <v>74</v>
      </c>
      <c r="N790" s="1" t="s">
        <v>74</v>
      </c>
      <c r="O790" s="1" t="s">
        <v>74</v>
      </c>
      <c r="P790" s="1" t="s">
        <v>74</v>
      </c>
      <c r="Q790" s="1" t="s">
        <v>74</v>
      </c>
      <c r="R790" s="1" t="s">
        <v>74</v>
      </c>
      <c r="S790" s="1" t="s">
        <v>74</v>
      </c>
      <c r="T790" s="1" t="s">
        <v>74</v>
      </c>
      <c r="U790" s="1" t="s">
        <v>74</v>
      </c>
      <c r="V790" s="1" t="s">
        <v>7739</v>
      </c>
      <c r="W790" s="1" t="s">
        <v>74</v>
      </c>
      <c r="X790" s="1" t="s">
        <v>74</v>
      </c>
      <c r="Y790" s="1" t="s">
        <v>74</v>
      </c>
      <c r="Z790" s="1" t="s">
        <v>74</v>
      </c>
      <c r="AA790" s="1" t="s">
        <v>7740</v>
      </c>
      <c r="AB790" s="1" t="s">
        <v>7741</v>
      </c>
      <c r="AC790" s="1" t="s">
        <v>74</v>
      </c>
      <c r="AD790" s="1" t="s">
        <v>74</v>
      </c>
      <c r="AE790" s="1" t="s">
        <v>74</v>
      </c>
      <c r="AF790" s="1" t="s">
        <v>74</v>
      </c>
      <c r="AG790" s="1" t="s">
        <v>74</v>
      </c>
      <c r="AH790" s="1" t="s">
        <v>74</v>
      </c>
      <c r="AI790" s="1" t="s">
        <v>74</v>
      </c>
      <c r="AJ790" s="1" t="s">
        <v>74</v>
      </c>
      <c r="AK790" s="1" t="s">
        <v>74</v>
      </c>
      <c r="AL790" s="1" t="s">
        <v>74</v>
      </c>
      <c r="AM790" s="1" t="s">
        <v>74</v>
      </c>
      <c r="AN790" s="1" t="s">
        <v>74</v>
      </c>
      <c r="AO790" s="1" t="s">
        <v>4893</v>
      </c>
      <c r="AP790" s="1" t="s">
        <v>4894</v>
      </c>
      <c r="AQ790" s="1" t="s">
        <v>74</v>
      </c>
      <c r="AR790" s="1" t="s">
        <v>74</v>
      </c>
      <c r="AS790" s="1" t="s">
        <v>74</v>
      </c>
      <c r="AT790" s="1" t="s">
        <v>641</v>
      </c>
      <c r="AU790" s="1">
        <v>2022.0</v>
      </c>
      <c r="AV790" s="1">
        <v>278.0</v>
      </c>
      <c r="AW790" s="1" t="s">
        <v>74</v>
      </c>
      <c r="AX790" s="1" t="s">
        <v>74</v>
      </c>
      <c r="AY790" s="1" t="s">
        <v>74</v>
      </c>
      <c r="AZ790" s="1" t="s">
        <v>74</v>
      </c>
      <c r="BA790" s="1" t="s">
        <v>74</v>
      </c>
      <c r="BB790" s="1" t="s">
        <v>74</v>
      </c>
      <c r="BC790" s="1" t="s">
        <v>74</v>
      </c>
      <c r="BD790" s="1">
        <v>125650.0</v>
      </c>
      <c r="BE790" s="1" t="s">
        <v>7742</v>
      </c>
      <c r="BF790" s="2" t="str">
        <f>HYPERLINK("http://dx.doi.org/10.1016/j.matchemphys.2021.125650","http://dx.doi.org/10.1016/j.matchemphys.2021.125650")</f>
        <v>http://dx.doi.org/10.1016/j.matchemphys.2021.125650</v>
      </c>
      <c r="BG790" s="1" t="s">
        <v>74</v>
      </c>
      <c r="BH790" s="1" t="s">
        <v>74</v>
      </c>
      <c r="BI790" s="1" t="s">
        <v>74</v>
      </c>
      <c r="BJ790" s="1" t="s">
        <v>74</v>
      </c>
      <c r="BK790" s="1" t="s">
        <v>74</v>
      </c>
      <c r="BL790" s="1" t="s">
        <v>74</v>
      </c>
      <c r="BM790" s="1" t="s">
        <v>74</v>
      </c>
      <c r="BN790" s="1" t="s">
        <v>74</v>
      </c>
      <c r="BO790" s="1" t="s">
        <v>74</v>
      </c>
      <c r="BP790" s="1" t="s">
        <v>74</v>
      </c>
      <c r="BQ790" s="1" t="s">
        <v>74</v>
      </c>
      <c r="BR790" s="1" t="s">
        <v>74</v>
      </c>
      <c r="BS790" s="1" t="s">
        <v>7743</v>
      </c>
      <c r="BT790" s="1" t="str">
        <f>HYPERLINK("https%3A%2F%2Fwww.webofscience.com%2Fwos%2Fwoscc%2Ffull-record%2FWOS:000764111400006","View Full Record in Web of Science")</f>
        <v>View Full Record in Web of Science</v>
      </c>
    </row>
    <row r="791" ht="12.75" customHeight="1">
      <c r="A791" s="1" t="s">
        <v>72</v>
      </c>
      <c r="B791" s="1" t="s">
        <v>7744</v>
      </c>
      <c r="C791" s="1" t="s">
        <v>74</v>
      </c>
      <c r="D791" s="1" t="s">
        <v>74</v>
      </c>
      <c r="E791" s="1" t="s">
        <v>74</v>
      </c>
      <c r="F791" s="1" t="s">
        <v>7745</v>
      </c>
      <c r="G791" s="1" t="s">
        <v>74</v>
      </c>
      <c r="H791" s="1" t="s">
        <v>74</v>
      </c>
      <c r="I791" s="1" t="s">
        <v>7746</v>
      </c>
      <c r="J791" s="1" t="s">
        <v>3502</v>
      </c>
      <c r="K791" s="1" t="s">
        <v>74</v>
      </c>
      <c r="L791" s="1" t="s">
        <v>74</v>
      </c>
      <c r="M791" s="1" t="s">
        <v>74</v>
      </c>
      <c r="N791" s="1" t="s">
        <v>74</v>
      </c>
      <c r="O791" s="1" t="s">
        <v>74</v>
      </c>
      <c r="P791" s="1" t="s">
        <v>74</v>
      </c>
      <c r="Q791" s="1" t="s">
        <v>74</v>
      </c>
      <c r="R791" s="1" t="s">
        <v>74</v>
      </c>
      <c r="S791" s="1" t="s">
        <v>74</v>
      </c>
      <c r="T791" s="1" t="s">
        <v>74</v>
      </c>
      <c r="U791" s="1" t="s">
        <v>74</v>
      </c>
      <c r="V791" s="1" t="s">
        <v>7747</v>
      </c>
      <c r="W791" s="1" t="s">
        <v>74</v>
      </c>
      <c r="X791" s="1" t="s">
        <v>74</v>
      </c>
      <c r="Y791" s="1" t="s">
        <v>74</v>
      </c>
      <c r="Z791" s="1" t="s">
        <v>74</v>
      </c>
      <c r="AA791" s="1" t="s">
        <v>7748</v>
      </c>
      <c r="AB791" s="1" t="s">
        <v>74</v>
      </c>
      <c r="AC791" s="1" t="s">
        <v>74</v>
      </c>
      <c r="AD791" s="1" t="s">
        <v>74</v>
      </c>
      <c r="AE791" s="1" t="s">
        <v>74</v>
      </c>
      <c r="AF791" s="1" t="s">
        <v>74</v>
      </c>
      <c r="AG791" s="1" t="s">
        <v>74</v>
      </c>
      <c r="AH791" s="1" t="s">
        <v>74</v>
      </c>
      <c r="AI791" s="1" t="s">
        <v>74</v>
      </c>
      <c r="AJ791" s="1" t="s">
        <v>74</v>
      </c>
      <c r="AK791" s="1" t="s">
        <v>74</v>
      </c>
      <c r="AL791" s="1" t="s">
        <v>74</v>
      </c>
      <c r="AM791" s="1" t="s">
        <v>74</v>
      </c>
      <c r="AN791" s="1" t="s">
        <v>74</v>
      </c>
      <c r="AO791" s="1" t="s">
        <v>3505</v>
      </c>
      <c r="AP791" s="1" t="s">
        <v>3506</v>
      </c>
      <c r="AQ791" s="1" t="s">
        <v>74</v>
      </c>
      <c r="AR791" s="1" t="s">
        <v>74</v>
      </c>
      <c r="AS791" s="1" t="s">
        <v>74</v>
      </c>
      <c r="AT791" s="1" t="s">
        <v>74</v>
      </c>
      <c r="AU791" s="1">
        <v>2022.0</v>
      </c>
      <c r="AV791" s="1" t="s">
        <v>74</v>
      </c>
      <c r="AW791" s="1">
        <v>43.0</v>
      </c>
      <c r="AX791" s="1" t="s">
        <v>74</v>
      </c>
      <c r="AY791" s="1" t="s">
        <v>74</v>
      </c>
      <c r="AZ791" s="1" t="s">
        <v>74</v>
      </c>
      <c r="BA791" s="1" t="s">
        <v>74</v>
      </c>
      <c r="BB791" s="1">
        <v>651.0</v>
      </c>
      <c r="BC791" s="1">
        <v>659.0</v>
      </c>
      <c r="BD791" s="1" t="s">
        <v>74</v>
      </c>
      <c r="BE791" s="1" t="s">
        <v>74</v>
      </c>
      <c r="BF791" s="1" t="s">
        <v>74</v>
      </c>
      <c r="BG791" s="1" t="s">
        <v>74</v>
      </c>
      <c r="BH791" s="1" t="s">
        <v>74</v>
      </c>
      <c r="BI791" s="1" t="s">
        <v>74</v>
      </c>
      <c r="BJ791" s="1" t="s">
        <v>74</v>
      </c>
      <c r="BK791" s="1" t="s">
        <v>74</v>
      </c>
      <c r="BL791" s="1" t="s">
        <v>74</v>
      </c>
      <c r="BM791" s="1" t="s">
        <v>74</v>
      </c>
      <c r="BN791" s="1" t="s">
        <v>74</v>
      </c>
      <c r="BO791" s="1" t="s">
        <v>74</v>
      </c>
      <c r="BP791" s="1" t="s">
        <v>74</v>
      </c>
      <c r="BQ791" s="1" t="s">
        <v>74</v>
      </c>
      <c r="BR791" s="1" t="s">
        <v>74</v>
      </c>
      <c r="BS791" s="1" t="s">
        <v>7749</v>
      </c>
      <c r="BT791" s="1" t="str">
        <f>HYPERLINK("https%3A%2F%2Fwww.webofscience.com%2Fwos%2Fwoscc%2Ffull-record%2FWOS:000685677100001","View Full Record in Web of Science")</f>
        <v>View Full Record in Web of Science</v>
      </c>
    </row>
    <row r="792" ht="12.75" customHeight="1">
      <c r="A792" s="1" t="s">
        <v>72</v>
      </c>
      <c r="B792" s="1" t="s">
        <v>7750</v>
      </c>
      <c r="C792" s="1" t="s">
        <v>74</v>
      </c>
      <c r="D792" s="1" t="s">
        <v>74</v>
      </c>
      <c r="E792" s="1" t="s">
        <v>74</v>
      </c>
      <c r="F792" s="1" t="s">
        <v>7751</v>
      </c>
      <c r="G792" s="1" t="s">
        <v>74</v>
      </c>
      <c r="H792" s="1" t="s">
        <v>74</v>
      </c>
      <c r="I792" s="1" t="s">
        <v>7752</v>
      </c>
      <c r="J792" s="1" t="s">
        <v>7753</v>
      </c>
      <c r="K792" s="1" t="s">
        <v>74</v>
      </c>
      <c r="L792" s="1" t="s">
        <v>74</v>
      </c>
      <c r="M792" s="1" t="s">
        <v>74</v>
      </c>
      <c r="N792" s="1" t="s">
        <v>74</v>
      </c>
      <c r="O792" s="1" t="s">
        <v>74</v>
      </c>
      <c r="P792" s="1" t="s">
        <v>74</v>
      </c>
      <c r="Q792" s="1" t="s">
        <v>74</v>
      </c>
      <c r="R792" s="1" t="s">
        <v>74</v>
      </c>
      <c r="S792" s="1" t="s">
        <v>74</v>
      </c>
      <c r="T792" s="1" t="s">
        <v>74</v>
      </c>
      <c r="U792" s="1" t="s">
        <v>74</v>
      </c>
      <c r="V792" s="1" t="s">
        <v>7754</v>
      </c>
      <c r="W792" s="1" t="s">
        <v>74</v>
      </c>
      <c r="X792" s="1" t="s">
        <v>74</v>
      </c>
      <c r="Y792" s="1" t="s">
        <v>74</v>
      </c>
      <c r="Z792" s="1" t="s">
        <v>74</v>
      </c>
      <c r="AA792" s="1" t="s">
        <v>74</v>
      </c>
      <c r="AB792" s="1" t="s">
        <v>74</v>
      </c>
      <c r="AC792" s="1" t="s">
        <v>74</v>
      </c>
      <c r="AD792" s="1" t="s">
        <v>74</v>
      </c>
      <c r="AE792" s="1" t="s">
        <v>74</v>
      </c>
      <c r="AF792" s="1" t="s">
        <v>74</v>
      </c>
      <c r="AG792" s="1" t="s">
        <v>74</v>
      </c>
      <c r="AH792" s="1" t="s">
        <v>74</v>
      </c>
      <c r="AI792" s="1" t="s">
        <v>74</v>
      </c>
      <c r="AJ792" s="1" t="s">
        <v>74</v>
      </c>
      <c r="AK792" s="1" t="s">
        <v>74</v>
      </c>
      <c r="AL792" s="1" t="s">
        <v>74</v>
      </c>
      <c r="AM792" s="1" t="s">
        <v>74</v>
      </c>
      <c r="AN792" s="1" t="s">
        <v>74</v>
      </c>
      <c r="AO792" s="1" t="s">
        <v>7755</v>
      </c>
      <c r="AP792" s="1" t="s">
        <v>7756</v>
      </c>
      <c r="AQ792" s="1" t="s">
        <v>74</v>
      </c>
      <c r="AR792" s="1" t="s">
        <v>74</v>
      </c>
      <c r="AS792" s="1" t="s">
        <v>74</v>
      </c>
      <c r="AT792" s="1" t="s">
        <v>74</v>
      </c>
      <c r="AU792" s="1">
        <v>2022.0</v>
      </c>
      <c r="AV792" s="1">
        <v>40.0</v>
      </c>
      <c r="AW792" s="1">
        <v>1.0</v>
      </c>
      <c r="AX792" s="1" t="s">
        <v>74</v>
      </c>
      <c r="AY792" s="1" t="s">
        <v>74</v>
      </c>
      <c r="AZ792" s="1" t="s">
        <v>74</v>
      </c>
      <c r="BA792" s="1" t="s">
        <v>74</v>
      </c>
      <c r="BB792" s="1">
        <v>369.0</v>
      </c>
      <c r="BC792" s="1">
        <v>400.0</v>
      </c>
      <c r="BD792" s="1" t="s">
        <v>74</v>
      </c>
      <c r="BE792" s="1" t="s">
        <v>7757</v>
      </c>
      <c r="BF792" s="2" t="str">
        <f>HYPERLINK("http://dx.doi.org/10.18800/psico.202201.012","http://dx.doi.org/10.18800/psico.202201.012")</f>
        <v>http://dx.doi.org/10.18800/psico.202201.012</v>
      </c>
      <c r="BG792" s="1" t="s">
        <v>74</v>
      </c>
      <c r="BH792" s="1" t="s">
        <v>74</v>
      </c>
      <c r="BI792" s="1" t="s">
        <v>74</v>
      </c>
      <c r="BJ792" s="1" t="s">
        <v>74</v>
      </c>
      <c r="BK792" s="1" t="s">
        <v>74</v>
      </c>
      <c r="BL792" s="1" t="s">
        <v>74</v>
      </c>
      <c r="BM792" s="1" t="s">
        <v>74</v>
      </c>
      <c r="BN792" s="1" t="s">
        <v>74</v>
      </c>
      <c r="BO792" s="1" t="s">
        <v>74</v>
      </c>
      <c r="BP792" s="1" t="s">
        <v>74</v>
      </c>
      <c r="BQ792" s="1" t="s">
        <v>74</v>
      </c>
      <c r="BR792" s="1" t="s">
        <v>74</v>
      </c>
      <c r="BS792" s="1" t="s">
        <v>7758</v>
      </c>
      <c r="BT792" s="1" t="str">
        <f>HYPERLINK("https%3A%2F%2Fwww.webofscience.com%2Fwos%2Fwoscc%2Ffull-record%2FWOS:000731882000013","View Full Record in Web of Science")</f>
        <v>View Full Record in Web of Science</v>
      </c>
    </row>
    <row r="793" ht="12.75" customHeight="1">
      <c r="A793" s="1" t="s">
        <v>72</v>
      </c>
      <c r="B793" s="1" t="s">
        <v>7759</v>
      </c>
      <c r="C793" s="1" t="s">
        <v>74</v>
      </c>
      <c r="D793" s="1" t="s">
        <v>74</v>
      </c>
      <c r="E793" s="1" t="s">
        <v>74</v>
      </c>
      <c r="F793" s="1" t="s">
        <v>7760</v>
      </c>
      <c r="G793" s="1" t="s">
        <v>74</v>
      </c>
      <c r="H793" s="1" t="s">
        <v>74</v>
      </c>
      <c r="I793" s="1" t="s">
        <v>7761</v>
      </c>
      <c r="J793" s="1" t="s">
        <v>861</v>
      </c>
      <c r="K793" s="1" t="s">
        <v>74</v>
      </c>
      <c r="L793" s="1" t="s">
        <v>74</v>
      </c>
      <c r="M793" s="1" t="s">
        <v>74</v>
      </c>
      <c r="N793" s="1" t="s">
        <v>74</v>
      </c>
      <c r="O793" s="1" t="s">
        <v>74</v>
      </c>
      <c r="P793" s="1" t="s">
        <v>74</v>
      </c>
      <c r="Q793" s="1" t="s">
        <v>74</v>
      </c>
      <c r="R793" s="1" t="s">
        <v>74</v>
      </c>
      <c r="S793" s="1" t="s">
        <v>74</v>
      </c>
      <c r="T793" s="1" t="s">
        <v>74</v>
      </c>
      <c r="U793" s="1" t="s">
        <v>74</v>
      </c>
      <c r="V793" s="1" t="s">
        <v>7762</v>
      </c>
      <c r="W793" s="1" t="s">
        <v>74</v>
      </c>
      <c r="X793" s="1" t="s">
        <v>74</v>
      </c>
      <c r="Y793" s="1" t="s">
        <v>74</v>
      </c>
      <c r="Z793" s="1" t="s">
        <v>74</v>
      </c>
      <c r="AA793" s="1" t="s">
        <v>74</v>
      </c>
      <c r="AB793" s="1" t="s">
        <v>7763</v>
      </c>
      <c r="AC793" s="1" t="s">
        <v>74</v>
      </c>
      <c r="AD793" s="1" t="s">
        <v>74</v>
      </c>
      <c r="AE793" s="1" t="s">
        <v>74</v>
      </c>
      <c r="AF793" s="1" t="s">
        <v>74</v>
      </c>
      <c r="AG793" s="1" t="s">
        <v>74</v>
      </c>
      <c r="AH793" s="1" t="s">
        <v>74</v>
      </c>
      <c r="AI793" s="1" t="s">
        <v>74</v>
      </c>
      <c r="AJ793" s="1" t="s">
        <v>74</v>
      </c>
      <c r="AK793" s="1" t="s">
        <v>74</v>
      </c>
      <c r="AL793" s="1" t="s">
        <v>74</v>
      </c>
      <c r="AM793" s="1" t="s">
        <v>74</v>
      </c>
      <c r="AN793" s="1" t="s">
        <v>74</v>
      </c>
      <c r="AO793" s="1" t="s">
        <v>865</v>
      </c>
      <c r="AP793" s="1" t="s">
        <v>866</v>
      </c>
      <c r="AQ793" s="1" t="s">
        <v>74</v>
      </c>
      <c r="AR793" s="1" t="s">
        <v>74</v>
      </c>
      <c r="AS793" s="1" t="s">
        <v>74</v>
      </c>
      <c r="AT793" s="1" t="s">
        <v>294</v>
      </c>
      <c r="AU793" s="1">
        <v>2021.0</v>
      </c>
      <c r="AV793" s="1">
        <v>41.0</v>
      </c>
      <c r="AW793" s="1">
        <v>6.0</v>
      </c>
      <c r="AX793" s="1" t="s">
        <v>74</v>
      </c>
      <c r="AY793" s="1" t="s">
        <v>74</v>
      </c>
      <c r="AZ793" s="1" t="s">
        <v>74</v>
      </c>
      <c r="BA793" s="1" t="s">
        <v>74</v>
      </c>
      <c r="BB793" s="1">
        <v>2947.0</v>
      </c>
      <c r="BC793" s="1">
        <v>2969.0</v>
      </c>
      <c r="BD793" s="1" t="s">
        <v>74</v>
      </c>
      <c r="BE793" s="1" t="s">
        <v>7764</v>
      </c>
      <c r="BF793" s="2" t="str">
        <f>HYPERLINK("http://dx.doi.org/10.3934/dcds.2020392","http://dx.doi.org/10.3934/dcds.2020392")</f>
        <v>http://dx.doi.org/10.3934/dcds.2020392</v>
      </c>
      <c r="BG793" s="1" t="s">
        <v>74</v>
      </c>
      <c r="BH793" s="1" t="s">
        <v>74</v>
      </c>
      <c r="BI793" s="1" t="s">
        <v>74</v>
      </c>
      <c r="BJ793" s="1" t="s">
        <v>74</v>
      </c>
      <c r="BK793" s="1" t="s">
        <v>74</v>
      </c>
      <c r="BL793" s="1" t="s">
        <v>74</v>
      </c>
      <c r="BM793" s="1" t="s">
        <v>74</v>
      </c>
      <c r="BN793" s="1" t="s">
        <v>74</v>
      </c>
      <c r="BO793" s="1" t="s">
        <v>74</v>
      </c>
      <c r="BP793" s="1" t="s">
        <v>74</v>
      </c>
      <c r="BQ793" s="1" t="s">
        <v>74</v>
      </c>
      <c r="BR793" s="1" t="s">
        <v>74</v>
      </c>
      <c r="BS793" s="1" t="s">
        <v>7765</v>
      </c>
      <c r="BT793" s="1" t="str">
        <f>HYPERLINK("https%3A%2F%2Fwww.webofscience.com%2Fwos%2Fwoscc%2Ffull-record%2FWOS:000628833200018","View Full Record in Web of Science")</f>
        <v>View Full Record in Web of Science</v>
      </c>
    </row>
    <row r="794" ht="12.75" customHeight="1">
      <c r="A794" s="1" t="s">
        <v>72</v>
      </c>
      <c r="B794" s="1" t="s">
        <v>7265</v>
      </c>
      <c r="C794" s="1" t="s">
        <v>74</v>
      </c>
      <c r="D794" s="1" t="s">
        <v>74</v>
      </c>
      <c r="E794" s="1" t="s">
        <v>74</v>
      </c>
      <c r="F794" s="1" t="s">
        <v>7266</v>
      </c>
      <c r="G794" s="1" t="s">
        <v>74</v>
      </c>
      <c r="H794" s="1" t="s">
        <v>74</v>
      </c>
      <c r="I794" s="1" t="s">
        <v>7766</v>
      </c>
      <c r="J794" s="1" t="s">
        <v>7268</v>
      </c>
      <c r="K794" s="1" t="s">
        <v>74</v>
      </c>
      <c r="L794" s="1" t="s">
        <v>74</v>
      </c>
      <c r="M794" s="1" t="s">
        <v>74</v>
      </c>
      <c r="N794" s="1" t="s">
        <v>74</v>
      </c>
      <c r="O794" s="1" t="s">
        <v>74</v>
      </c>
      <c r="P794" s="1" t="s">
        <v>74</v>
      </c>
      <c r="Q794" s="1" t="s">
        <v>74</v>
      </c>
      <c r="R794" s="1" t="s">
        <v>74</v>
      </c>
      <c r="S794" s="1" t="s">
        <v>74</v>
      </c>
      <c r="T794" s="1" t="s">
        <v>74</v>
      </c>
      <c r="U794" s="1" t="s">
        <v>74</v>
      </c>
      <c r="V794" s="1" t="s">
        <v>7767</v>
      </c>
      <c r="W794" s="1" t="s">
        <v>74</v>
      </c>
      <c r="X794" s="1" t="s">
        <v>74</v>
      </c>
      <c r="Y794" s="1" t="s">
        <v>74</v>
      </c>
      <c r="Z794" s="1" t="s">
        <v>74</v>
      </c>
      <c r="AA794" s="1" t="s">
        <v>7768</v>
      </c>
      <c r="AB794" s="1" t="s">
        <v>7769</v>
      </c>
      <c r="AC794" s="1" t="s">
        <v>74</v>
      </c>
      <c r="AD794" s="1" t="s">
        <v>74</v>
      </c>
      <c r="AE794" s="1" t="s">
        <v>74</v>
      </c>
      <c r="AF794" s="1" t="s">
        <v>74</v>
      </c>
      <c r="AG794" s="1" t="s">
        <v>74</v>
      </c>
      <c r="AH794" s="1" t="s">
        <v>74</v>
      </c>
      <c r="AI794" s="1" t="s">
        <v>74</v>
      </c>
      <c r="AJ794" s="1" t="s">
        <v>74</v>
      </c>
      <c r="AK794" s="1" t="s">
        <v>74</v>
      </c>
      <c r="AL794" s="1" t="s">
        <v>74</v>
      </c>
      <c r="AM794" s="1" t="s">
        <v>74</v>
      </c>
      <c r="AN794" s="1" t="s">
        <v>74</v>
      </c>
      <c r="AO794" s="1" t="s">
        <v>74</v>
      </c>
      <c r="AP794" s="1" t="s">
        <v>7272</v>
      </c>
      <c r="AQ794" s="1" t="s">
        <v>74</v>
      </c>
      <c r="AR794" s="1" t="s">
        <v>74</v>
      </c>
      <c r="AS794" s="1" t="s">
        <v>74</v>
      </c>
      <c r="AT794" s="1" t="s">
        <v>2319</v>
      </c>
      <c r="AU794" s="1">
        <v>2021.0</v>
      </c>
      <c r="AV794" s="1">
        <v>21.0</v>
      </c>
      <c r="AW794" s="1">
        <v>1.0</v>
      </c>
      <c r="AX794" s="1" t="s">
        <v>74</v>
      </c>
      <c r="AY794" s="1" t="s">
        <v>74</v>
      </c>
      <c r="AZ794" s="1" t="s">
        <v>74</v>
      </c>
      <c r="BA794" s="1" t="s">
        <v>74</v>
      </c>
      <c r="BB794" s="1" t="s">
        <v>74</v>
      </c>
      <c r="BC794" s="1" t="s">
        <v>74</v>
      </c>
      <c r="BD794" s="1">
        <v>176.0</v>
      </c>
      <c r="BE794" s="1" t="s">
        <v>7770</v>
      </c>
      <c r="BF794" s="2" t="str">
        <f>HYPERLINK("http://dx.doi.org/10.1186/s12877-021-02126-9","http://dx.doi.org/10.1186/s12877-021-02126-9")</f>
        <v>http://dx.doi.org/10.1186/s12877-021-02126-9</v>
      </c>
      <c r="BG794" s="1" t="s">
        <v>74</v>
      </c>
      <c r="BH794" s="1" t="s">
        <v>74</v>
      </c>
      <c r="BI794" s="1" t="s">
        <v>74</v>
      </c>
      <c r="BJ794" s="1" t="s">
        <v>74</v>
      </c>
      <c r="BK794" s="1" t="s">
        <v>74</v>
      </c>
      <c r="BL794" s="1" t="s">
        <v>74</v>
      </c>
      <c r="BM794" s="1" t="s">
        <v>74</v>
      </c>
      <c r="BN794" s="1">
        <v>3.3706709E7</v>
      </c>
      <c r="BO794" s="1" t="s">
        <v>74</v>
      </c>
      <c r="BP794" s="1" t="s">
        <v>74</v>
      </c>
      <c r="BQ794" s="1" t="s">
        <v>74</v>
      </c>
      <c r="BR794" s="1" t="s">
        <v>74</v>
      </c>
      <c r="BS794" s="1" t="s">
        <v>7771</v>
      </c>
      <c r="BT794" s="1" t="str">
        <f>HYPERLINK("https%3A%2F%2Fwww.webofscience.com%2Fwos%2Fwoscc%2Ffull-record%2FWOS:000627777500001","View Full Record in Web of Science")</f>
        <v>View Full Record in Web of Science</v>
      </c>
    </row>
    <row r="795" ht="12.75" customHeight="1">
      <c r="A795" s="1" t="s">
        <v>72</v>
      </c>
      <c r="B795" s="1" t="s">
        <v>7772</v>
      </c>
      <c r="C795" s="1" t="s">
        <v>74</v>
      </c>
      <c r="D795" s="1" t="s">
        <v>74</v>
      </c>
      <c r="E795" s="1" t="s">
        <v>74</v>
      </c>
      <c r="F795" s="1" t="s">
        <v>7773</v>
      </c>
      <c r="G795" s="1" t="s">
        <v>74</v>
      </c>
      <c r="H795" s="1" t="s">
        <v>74</v>
      </c>
      <c r="I795" s="1" t="s">
        <v>7774</v>
      </c>
      <c r="J795" s="1" t="s">
        <v>7775</v>
      </c>
      <c r="K795" s="1" t="s">
        <v>74</v>
      </c>
      <c r="L795" s="1" t="s">
        <v>74</v>
      </c>
      <c r="M795" s="1" t="s">
        <v>74</v>
      </c>
      <c r="N795" s="1" t="s">
        <v>74</v>
      </c>
      <c r="O795" s="1" t="s">
        <v>74</v>
      </c>
      <c r="P795" s="1" t="s">
        <v>74</v>
      </c>
      <c r="Q795" s="1" t="s">
        <v>74</v>
      </c>
      <c r="R795" s="1" t="s">
        <v>74</v>
      </c>
      <c r="S795" s="1" t="s">
        <v>74</v>
      </c>
      <c r="T795" s="1" t="s">
        <v>74</v>
      </c>
      <c r="U795" s="1" t="s">
        <v>74</v>
      </c>
      <c r="V795" s="1" t="s">
        <v>7776</v>
      </c>
      <c r="W795" s="1" t="s">
        <v>74</v>
      </c>
      <c r="X795" s="1" t="s">
        <v>74</v>
      </c>
      <c r="Y795" s="1" t="s">
        <v>74</v>
      </c>
      <c r="Z795" s="1" t="s">
        <v>74</v>
      </c>
      <c r="AA795" s="1" t="s">
        <v>74</v>
      </c>
      <c r="AB795" s="1" t="s">
        <v>74</v>
      </c>
      <c r="AC795" s="1" t="s">
        <v>74</v>
      </c>
      <c r="AD795" s="1" t="s">
        <v>74</v>
      </c>
      <c r="AE795" s="1" t="s">
        <v>74</v>
      </c>
      <c r="AF795" s="1" t="s">
        <v>74</v>
      </c>
      <c r="AG795" s="1" t="s">
        <v>74</v>
      </c>
      <c r="AH795" s="1" t="s">
        <v>74</v>
      </c>
      <c r="AI795" s="1" t="s">
        <v>74</v>
      </c>
      <c r="AJ795" s="1" t="s">
        <v>74</v>
      </c>
      <c r="AK795" s="1" t="s">
        <v>74</v>
      </c>
      <c r="AL795" s="1" t="s">
        <v>74</v>
      </c>
      <c r="AM795" s="1" t="s">
        <v>74</v>
      </c>
      <c r="AN795" s="1" t="s">
        <v>74</v>
      </c>
      <c r="AO795" s="1" t="s">
        <v>7777</v>
      </c>
      <c r="AP795" s="1" t="s">
        <v>74</v>
      </c>
      <c r="AQ795" s="1" t="s">
        <v>74</v>
      </c>
      <c r="AR795" s="1" t="s">
        <v>74</v>
      </c>
      <c r="AS795" s="1" t="s">
        <v>74</v>
      </c>
      <c r="AT795" s="1" t="s">
        <v>74</v>
      </c>
      <c r="AU795" s="1">
        <v>2021.0</v>
      </c>
      <c r="AV795" s="1">
        <v>13.0</v>
      </c>
      <c r="AW795" s="1" t="s">
        <v>74</v>
      </c>
      <c r="AX795" s="1" t="s">
        <v>74</v>
      </c>
      <c r="AY795" s="1" t="s">
        <v>4577</v>
      </c>
      <c r="AZ795" s="1" t="s">
        <v>74</v>
      </c>
      <c r="BA795" s="1" t="s">
        <v>74</v>
      </c>
      <c r="BB795" s="1">
        <v>107.0</v>
      </c>
      <c r="BC795" s="1">
        <v>120.0</v>
      </c>
      <c r="BD795" s="1" t="s">
        <v>74</v>
      </c>
      <c r="BE795" s="1" t="s">
        <v>74</v>
      </c>
      <c r="BF795" s="1" t="s">
        <v>74</v>
      </c>
      <c r="BG795" s="1" t="s">
        <v>74</v>
      </c>
      <c r="BH795" s="1" t="s">
        <v>74</v>
      </c>
      <c r="BI795" s="1" t="s">
        <v>74</v>
      </c>
      <c r="BJ795" s="1" t="s">
        <v>74</v>
      </c>
      <c r="BK795" s="1" t="s">
        <v>74</v>
      </c>
      <c r="BL795" s="1" t="s">
        <v>74</v>
      </c>
      <c r="BM795" s="1" t="s">
        <v>74</v>
      </c>
      <c r="BN795" s="1" t="s">
        <v>74</v>
      </c>
      <c r="BO795" s="1" t="s">
        <v>74</v>
      </c>
      <c r="BP795" s="1" t="s">
        <v>74</v>
      </c>
      <c r="BQ795" s="1" t="s">
        <v>74</v>
      </c>
      <c r="BR795" s="1" t="s">
        <v>74</v>
      </c>
      <c r="BS795" s="1" t="s">
        <v>7778</v>
      </c>
      <c r="BT795" s="1" t="str">
        <f>HYPERLINK("https%3A%2F%2Fwww.webofscience.com%2Fwos%2Fwoscc%2Ffull-record%2FWOS:000709411800009","View Full Record in Web of Science")</f>
        <v>View Full Record in Web of Science</v>
      </c>
    </row>
    <row r="796" ht="12.75" customHeight="1">
      <c r="A796" s="1" t="s">
        <v>72</v>
      </c>
      <c r="B796" s="1" t="s">
        <v>7779</v>
      </c>
      <c r="C796" s="1" t="s">
        <v>74</v>
      </c>
      <c r="D796" s="1" t="s">
        <v>74</v>
      </c>
      <c r="E796" s="1" t="s">
        <v>74</v>
      </c>
      <c r="F796" s="1" t="s">
        <v>7780</v>
      </c>
      <c r="G796" s="1" t="s">
        <v>74</v>
      </c>
      <c r="H796" s="1" t="s">
        <v>74</v>
      </c>
      <c r="I796" s="1" t="s">
        <v>7781</v>
      </c>
      <c r="J796" s="1" t="s">
        <v>6315</v>
      </c>
      <c r="K796" s="1" t="s">
        <v>74</v>
      </c>
      <c r="L796" s="1" t="s">
        <v>74</v>
      </c>
      <c r="M796" s="1" t="s">
        <v>74</v>
      </c>
      <c r="N796" s="1" t="s">
        <v>74</v>
      </c>
      <c r="O796" s="1" t="s">
        <v>74</v>
      </c>
      <c r="P796" s="1" t="s">
        <v>74</v>
      </c>
      <c r="Q796" s="1" t="s">
        <v>74</v>
      </c>
      <c r="R796" s="1" t="s">
        <v>74</v>
      </c>
      <c r="S796" s="1" t="s">
        <v>74</v>
      </c>
      <c r="T796" s="1" t="s">
        <v>74</v>
      </c>
      <c r="U796" s="1" t="s">
        <v>74</v>
      </c>
      <c r="V796" s="1" t="s">
        <v>7782</v>
      </c>
      <c r="W796" s="1" t="s">
        <v>74</v>
      </c>
      <c r="X796" s="1" t="s">
        <v>74</v>
      </c>
      <c r="Y796" s="1" t="s">
        <v>74</v>
      </c>
      <c r="Z796" s="1" t="s">
        <v>74</v>
      </c>
      <c r="AA796" s="1" t="s">
        <v>7783</v>
      </c>
      <c r="AB796" s="1" t="s">
        <v>7784</v>
      </c>
      <c r="AC796" s="1" t="s">
        <v>74</v>
      </c>
      <c r="AD796" s="1" t="s">
        <v>74</v>
      </c>
      <c r="AE796" s="1" t="s">
        <v>74</v>
      </c>
      <c r="AF796" s="1" t="s">
        <v>74</v>
      </c>
      <c r="AG796" s="1" t="s">
        <v>74</v>
      </c>
      <c r="AH796" s="1" t="s">
        <v>74</v>
      </c>
      <c r="AI796" s="1" t="s">
        <v>74</v>
      </c>
      <c r="AJ796" s="1" t="s">
        <v>74</v>
      </c>
      <c r="AK796" s="1" t="s">
        <v>74</v>
      </c>
      <c r="AL796" s="1" t="s">
        <v>74</v>
      </c>
      <c r="AM796" s="1" t="s">
        <v>74</v>
      </c>
      <c r="AN796" s="1" t="s">
        <v>74</v>
      </c>
      <c r="AO796" s="1" t="s">
        <v>6319</v>
      </c>
      <c r="AP796" s="1" t="s">
        <v>74</v>
      </c>
      <c r="AQ796" s="1" t="s">
        <v>74</v>
      </c>
      <c r="AR796" s="1" t="s">
        <v>74</v>
      </c>
      <c r="AS796" s="1" t="s">
        <v>74</v>
      </c>
      <c r="AT796" s="1" t="s">
        <v>74</v>
      </c>
      <c r="AU796" s="1">
        <v>2021.0</v>
      </c>
      <c r="AV796" s="1">
        <v>9.0</v>
      </c>
      <c r="AW796" s="1" t="s">
        <v>74</v>
      </c>
      <c r="AX796" s="1" t="s">
        <v>74</v>
      </c>
      <c r="AY796" s="1" t="s">
        <v>74</v>
      </c>
      <c r="AZ796" s="1" t="s">
        <v>74</v>
      </c>
      <c r="BA796" s="1" t="s">
        <v>74</v>
      </c>
      <c r="BB796" s="1">
        <v>128055.0</v>
      </c>
      <c r="BC796" s="1">
        <v>128068.0</v>
      </c>
      <c r="BD796" s="1" t="s">
        <v>74</v>
      </c>
      <c r="BE796" s="1" t="s">
        <v>7785</v>
      </c>
      <c r="BF796" s="2" t="str">
        <f>HYPERLINK("http://dx.doi.org/10.1109/ACCESS.2021.3112899","http://dx.doi.org/10.1109/ACCESS.2021.3112899")</f>
        <v>http://dx.doi.org/10.1109/ACCESS.2021.3112899</v>
      </c>
      <c r="BG796" s="1" t="s">
        <v>74</v>
      </c>
      <c r="BH796" s="1" t="s">
        <v>74</v>
      </c>
      <c r="BI796" s="1" t="s">
        <v>74</v>
      </c>
      <c r="BJ796" s="1" t="s">
        <v>74</v>
      </c>
      <c r="BK796" s="1" t="s">
        <v>74</v>
      </c>
      <c r="BL796" s="1" t="s">
        <v>74</v>
      </c>
      <c r="BM796" s="1" t="s">
        <v>74</v>
      </c>
      <c r="BN796" s="1" t="s">
        <v>74</v>
      </c>
      <c r="BO796" s="1" t="s">
        <v>74</v>
      </c>
      <c r="BP796" s="1" t="s">
        <v>74</v>
      </c>
      <c r="BQ796" s="1" t="s">
        <v>74</v>
      </c>
      <c r="BR796" s="1" t="s">
        <v>74</v>
      </c>
      <c r="BS796" s="1" t="s">
        <v>7786</v>
      </c>
      <c r="BT796" s="1" t="str">
        <f>HYPERLINK("https%3A%2F%2Fwww.webofscience.com%2Fwos%2Fwoscc%2Ffull-record%2FWOS:000697809200001","View Full Record in Web of Science")</f>
        <v>View Full Record in Web of Science</v>
      </c>
    </row>
    <row r="797" ht="12.75" customHeight="1">
      <c r="A797" s="1" t="s">
        <v>72</v>
      </c>
      <c r="B797" s="1" t="s">
        <v>7787</v>
      </c>
      <c r="C797" s="1" t="s">
        <v>74</v>
      </c>
      <c r="D797" s="1" t="s">
        <v>74</v>
      </c>
      <c r="E797" s="1" t="s">
        <v>74</v>
      </c>
      <c r="F797" s="1" t="s">
        <v>7788</v>
      </c>
      <c r="G797" s="1" t="s">
        <v>74</v>
      </c>
      <c r="H797" s="1" t="s">
        <v>74</v>
      </c>
      <c r="I797" s="1" t="s">
        <v>7789</v>
      </c>
      <c r="J797" s="1" t="s">
        <v>7790</v>
      </c>
      <c r="K797" s="1" t="s">
        <v>74</v>
      </c>
      <c r="L797" s="1" t="s">
        <v>74</v>
      </c>
      <c r="M797" s="1" t="s">
        <v>74</v>
      </c>
      <c r="N797" s="1" t="s">
        <v>74</v>
      </c>
      <c r="O797" s="1" t="s">
        <v>74</v>
      </c>
      <c r="P797" s="1" t="s">
        <v>74</v>
      </c>
      <c r="Q797" s="1" t="s">
        <v>74</v>
      </c>
      <c r="R797" s="1" t="s">
        <v>74</v>
      </c>
      <c r="S797" s="1" t="s">
        <v>74</v>
      </c>
      <c r="T797" s="1" t="s">
        <v>74</v>
      </c>
      <c r="U797" s="1" t="s">
        <v>74</v>
      </c>
      <c r="V797" s="1" t="s">
        <v>7791</v>
      </c>
      <c r="W797" s="1" t="s">
        <v>74</v>
      </c>
      <c r="X797" s="1" t="s">
        <v>74</v>
      </c>
      <c r="Y797" s="1" t="s">
        <v>74</v>
      </c>
      <c r="Z797" s="1" t="s">
        <v>74</v>
      </c>
      <c r="AA797" s="1" t="s">
        <v>7792</v>
      </c>
      <c r="AB797" s="1" t="s">
        <v>7793</v>
      </c>
      <c r="AC797" s="1" t="s">
        <v>74</v>
      </c>
      <c r="AD797" s="1" t="s">
        <v>74</v>
      </c>
      <c r="AE797" s="1" t="s">
        <v>74</v>
      </c>
      <c r="AF797" s="1" t="s">
        <v>74</v>
      </c>
      <c r="AG797" s="1" t="s">
        <v>74</v>
      </c>
      <c r="AH797" s="1" t="s">
        <v>74</v>
      </c>
      <c r="AI797" s="1" t="s">
        <v>74</v>
      </c>
      <c r="AJ797" s="1" t="s">
        <v>74</v>
      </c>
      <c r="AK797" s="1" t="s">
        <v>74</v>
      </c>
      <c r="AL797" s="1" t="s">
        <v>74</v>
      </c>
      <c r="AM797" s="1" t="s">
        <v>74</v>
      </c>
      <c r="AN797" s="1" t="s">
        <v>74</v>
      </c>
      <c r="AO797" s="1" t="s">
        <v>7794</v>
      </c>
      <c r="AP797" s="1" t="s">
        <v>74</v>
      </c>
      <c r="AQ797" s="1" t="s">
        <v>74</v>
      </c>
      <c r="AR797" s="1" t="s">
        <v>74</v>
      </c>
      <c r="AS797" s="1" t="s">
        <v>74</v>
      </c>
      <c r="AT797" s="1" t="s">
        <v>74</v>
      </c>
      <c r="AU797" s="1">
        <v>2021.0</v>
      </c>
      <c r="AV797" s="1">
        <v>29.0</v>
      </c>
      <c r="AW797" s="1" t="s">
        <v>74</v>
      </c>
      <c r="AX797" s="1" t="s">
        <v>74</v>
      </c>
      <c r="AY797" s="1" t="s">
        <v>74</v>
      </c>
      <c r="AZ797" s="1" t="s">
        <v>74</v>
      </c>
      <c r="BA797" s="1" t="s">
        <v>74</v>
      </c>
      <c r="BB797" s="1" t="s">
        <v>74</v>
      </c>
      <c r="BC797" s="1" t="s">
        <v>74</v>
      </c>
      <c r="BD797" s="1" t="s">
        <v>7795</v>
      </c>
      <c r="BE797" s="1" t="s">
        <v>7796</v>
      </c>
      <c r="BF797" s="2" t="str">
        <f>HYPERLINK("http://dx.doi.org/10.1590/2526-8910.ctoEN1961","http://dx.doi.org/10.1590/2526-8910.ctoEN1961")</f>
        <v>http://dx.doi.org/10.1590/2526-8910.ctoEN1961</v>
      </c>
      <c r="BG797" s="1" t="s">
        <v>74</v>
      </c>
      <c r="BH797" s="1" t="s">
        <v>74</v>
      </c>
      <c r="BI797" s="1" t="s">
        <v>74</v>
      </c>
      <c r="BJ797" s="1" t="s">
        <v>74</v>
      </c>
      <c r="BK797" s="1" t="s">
        <v>74</v>
      </c>
      <c r="BL797" s="1" t="s">
        <v>74</v>
      </c>
      <c r="BM797" s="1" t="s">
        <v>74</v>
      </c>
      <c r="BN797" s="1" t="s">
        <v>74</v>
      </c>
      <c r="BO797" s="1" t="s">
        <v>74</v>
      </c>
      <c r="BP797" s="1" t="s">
        <v>74</v>
      </c>
      <c r="BQ797" s="1" t="s">
        <v>74</v>
      </c>
      <c r="BR797" s="1" t="s">
        <v>74</v>
      </c>
      <c r="BS797" s="1" t="s">
        <v>7797</v>
      </c>
      <c r="BT797" s="1" t="str">
        <f>HYPERLINK("https%3A%2F%2Fwww.webofscience.com%2Fwos%2Fwoscc%2Ffull-record%2FWOS:000744200500037","View Full Record in Web of Science")</f>
        <v>View Full Record in Web of Science</v>
      </c>
    </row>
    <row r="798" ht="12.75" customHeight="1">
      <c r="A798" s="1" t="s">
        <v>72</v>
      </c>
      <c r="B798" s="1" t="s">
        <v>7798</v>
      </c>
      <c r="C798" s="1" t="s">
        <v>74</v>
      </c>
      <c r="D798" s="1" t="s">
        <v>74</v>
      </c>
      <c r="E798" s="1" t="s">
        <v>74</v>
      </c>
      <c r="F798" s="1" t="s">
        <v>7799</v>
      </c>
      <c r="G798" s="1" t="s">
        <v>74</v>
      </c>
      <c r="H798" s="1" t="s">
        <v>74</v>
      </c>
      <c r="I798" s="1" t="s">
        <v>7800</v>
      </c>
      <c r="J798" s="1" t="s">
        <v>7801</v>
      </c>
      <c r="K798" s="1" t="s">
        <v>74</v>
      </c>
      <c r="L798" s="1" t="s">
        <v>74</v>
      </c>
      <c r="M798" s="1" t="s">
        <v>74</v>
      </c>
      <c r="N798" s="1" t="s">
        <v>74</v>
      </c>
      <c r="O798" s="1" t="s">
        <v>74</v>
      </c>
      <c r="P798" s="1" t="s">
        <v>74</v>
      </c>
      <c r="Q798" s="1" t="s">
        <v>74</v>
      </c>
      <c r="R798" s="1" t="s">
        <v>74</v>
      </c>
      <c r="S798" s="1" t="s">
        <v>74</v>
      </c>
      <c r="T798" s="1" t="s">
        <v>74</v>
      </c>
      <c r="U798" s="1" t="s">
        <v>74</v>
      </c>
      <c r="V798" s="1" t="s">
        <v>7802</v>
      </c>
      <c r="W798" s="1" t="s">
        <v>74</v>
      </c>
      <c r="X798" s="1" t="s">
        <v>74</v>
      </c>
      <c r="Y798" s="1" t="s">
        <v>74</v>
      </c>
      <c r="Z798" s="1" t="s">
        <v>74</v>
      </c>
      <c r="AA798" s="1" t="s">
        <v>7803</v>
      </c>
      <c r="AB798" s="1" t="s">
        <v>7804</v>
      </c>
      <c r="AC798" s="1" t="s">
        <v>74</v>
      </c>
      <c r="AD798" s="1" t="s">
        <v>74</v>
      </c>
      <c r="AE798" s="1" t="s">
        <v>74</v>
      </c>
      <c r="AF798" s="1" t="s">
        <v>74</v>
      </c>
      <c r="AG798" s="1" t="s">
        <v>74</v>
      </c>
      <c r="AH798" s="1" t="s">
        <v>74</v>
      </c>
      <c r="AI798" s="1" t="s">
        <v>74</v>
      </c>
      <c r="AJ798" s="1" t="s">
        <v>74</v>
      </c>
      <c r="AK798" s="1" t="s">
        <v>74</v>
      </c>
      <c r="AL798" s="1" t="s">
        <v>74</v>
      </c>
      <c r="AM798" s="1" t="s">
        <v>74</v>
      </c>
      <c r="AN798" s="1" t="s">
        <v>74</v>
      </c>
      <c r="AO798" s="1" t="s">
        <v>7805</v>
      </c>
      <c r="AP798" s="1" t="s">
        <v>7806</v>
      </c>
      <c r="AQ798" s="1" t="s">
        <v>74</v>
      </c>
      <c r="AR798" s="1" t="s">
        <v>74</v>
      </c>
      <c r="AS798" s="1" t="s">
        <v>74</v>
      </c>
      <c r="AT798" s="1" t="s">
        <v>180</v>
      </c>
      <c r="AU798" s="1">
        <v>2020.0</v>
      </c>
      <c r="AV798" s="1">
        <v>177.0</v>
      </c>
      <c r="AW798" s="1" t="s">
        <v>74</v>
      </c>
      <c r="AX798" s="1" t="s">
        <v>74</v>
      </c>
      <c r="AY798" s="1" t="s">
        <v>74</v>
      </c>
      <c r="AZ798" s="1" t="s">
        <v>74</v>
      </c>
      <c r="BA798" s="1" t="s">
        <v>74</v>
      </c>
      <c r="BB798" s="1" t="s">
        <v>74</v>
      </c>
      <c r="BC798" s="1" t="s">
        <v>74</v>
      </c>
      <c r="BD798" s="1">
        <v>109507.0</v>
      </c>
      <c r="BE798" s="1" t="s">
        <v>7807</v>
      </c>
      <c r="BF798" s="2" t="str">
        <f>HYPERLINK("http://dx.doi.org/10.1016/j.commatsci.2019.109507","http://dx.doi.org/10.1016/j.commatsci.2019.109507")</f>
        <v>http://dx.doi.org/10.1016/j.commatsci.2019.109507</v>
      </c>
      <c r="BG798" s="1" t="s">
        <v>74</v>
      </c>
      <c r="BH798" s="1" t="s">
        <v>74</v>
      </c>
      <c r="BI798" s="1" t="s">
        <v>74</v>
      </c>
      <c r="BJ798" s="1" t="s">
        <v>74</v>
      </c>
      <c r="BK798" s="1" t="s">
        <v>74</v>
      </c>
      <c r="BL798" s="1" t="s">
        <v>74</v>
      </c>
      <c r="BM798" s="1" t="s">
        <v>74</v>
      </c>
      <c r="BN798" s="1" t="s">
        <v>74</v>
      </c>
      <c r="BO798" s="1" t="s">
        <v>74</v>
      </c>
      <c r="BP798" s="1" t="s">
        <v>74</v>
      </c>
      <c r="BQ798" s="1" t="s">
        <v>74</v>
      </c>
      <c r="BR798" s="1" t="s">
        <v>74</v>
      </c>
      <c r="BS798" s="1" t="s">
        <v>7808</v>
      </c>
      <c r="BT798" s="1" t="str">
        <f>HYPERLINK("https%3A%2F%2Fwww.webofscience.com%2Fwos%2Fwoscc%2Ffull-record%2FWOS:000519576300008","View Full Record in Web of Science")</f>
        <v>View Full Record in Web of Science</v>
      </c>
    </row>
    <row r="799" ht="12.75" customHeight="1">
      <c r="A799" s="1" t="s">
        <v>72</v>
      </c>
      <c r="B799" s="1" t="s">
        <v>7809</v>
      </c>
      <c r="C799" s="1" t="s">
        <v>74</v>
      </c>
      <c r="D799" s="1" t="s">
        <v>74</v>
      </c>
      <c r="E799" s="1" t="s">
        <v>74</v>
      </c>
      <c r="F799" s="1" t="s">
        <v>7810</v>
      </c>
      <c r="G799" s="1" t="s">
        <v>74</v>
      </c>
      <c r="H799" s="1" t="s">
        <v>74</v>
      </c>
      <c r="I799" s="1" t="s">
        <v>7811</v>
      </c>
      <c r="J799" s="1" t="s">
        <v>7812</v>
      </c>
      <c r="K799" s="1" t="s">
        <v>74</v>
      </c>
      <c r="L799" s="1" t="s">
        <v>74</v>
      </c>
      <c r="M799" s="1" t="s">
        <v>74</v>
      </c>
      <c r="N799" s="1" t="s">
        <v>74</v>
      </c>
      <c r="O799" s="1" t="s">
        <v>74</v>
      </c>
      <c r="P799" s="1" t="s">
        <v>74</v>
      </c>
      <c r="Q799" s="1" t="s">
        <v>74</v>
      </c>
      <c r="R799" s="1" t="s">
        <v>74</v>
      </c>
      <c r="S799" s="1" t="s">
        <v>74</v>
      </c>
      <c r="T799" s="1" t="s">
        <v>74</v>
      </c>
      <c r="U799" s="1" t="s">
        <v>74</v>
      </c>
      <c r="V799" s="1" t="s">
        <v>7813</v>
      </c>
      <c r="W799" s="1" t="s">
        <v>74</v>
      </c>
      <c r="X799" s="1" t="s">
        <v>74</v>
      </c>
      <c r="Y799" s="1" t="s">
        <v>74</v>
      </c>
      <c r="Z799" s="1" t="s">
        <v>74</v>
      </c>
      <c r="AA799" s="1" t="s">
        <v>7814</v>
      </c>
      <c r="AB799" s="1" t="s">
        <v>7815</v>
      </c>
      <c r="AC799" s="1" t="s">
        <v>74</v>
      </c>
      <c r="AD799" s="1" t="s">
        <v>74</v>
      </c>
      <c r="AE799" s="1" t="s">
        <v>74</v>
      </c>
      <c r="AF799" s="1" t="s">
        <v>74</v>
      </c>
      <c r="AG799" s="1" t="s">
        <v>74</v>
      </c>
      <c r="AH799" s="1" t="s">
        <v>74</v>
      </c>
      <c r="AI799" s="1" t="s">
        <v>74</v>
      </c>
      <c r="AJ799" s="1" t="s">
        <v>74</v>
      </c>
      <c r="AK799" s="1" t="s">
        <v>74</v>
      </c>
      <c r="AL799" s="1" t="s">
        <v>74</v>
      </c>
      <c r="AM799" s="1" t="s">
        <v>74</v>
      </c>
      <c r="AN799" s="1" t="s">
        <v>74</v>
      </c>
      <c r="AO799" s="1" t="s">
        <v>7816</v>
      </c>
      <c r="AP799" s="1" t="s">
        <v>7817</v>
      </c>
      <c r="AQ799" s="1" t="s">
        <v>74</v>
      </c>
      <c r="AR799" s="1" t="s">
        <v>74</v>
      </c>
      <c r="AS799" s="1" t="s">
        <v>74</v>
      </c>
      <c r="AT799" s="1" t="s">
        <v>5171</v>
      </c>
      <c r="AU799" s="1">
        <v>2019.0</v>
      </c>
      <c r="AV799" s="1">
        <v>883.0</v>
      </c>
      <c r="AW799" s="1">
        <v>2.0</v>
      </c>
      <c r="AX799" s="1" t="s">
        <v>74</v>
      </c>
      <c r="AY799" s="1" t="s">
        <v>74</v>
      </c>
      <c r="AZ799" s="1" t="s">
        <v>74</v>
      </c>
      <c r="BA799" s="1" t="s">
        <v>74</v>
      </c>
      <c r="BB799" s="1" t="s">
        <v>74</v>
      </c>
      <c r="BC799" s="1" t="s">
        <v>74</v>
      </c>
      <c r="BD799" s="1" t="s">
        <v>7818</v>
      </c>
      <c r="BE799" s="1" t="s">
        <v>7819</v>
      </c>
      <c r="BF799" s="2" t="str">
        <f>HYPERLINK("http://dx.doi.org/10.3847/2041-8213/ab4425","http://dx.doi.org/10.3847/2041-8213/ab4425")</f>
        <v>http://dx.doi.org/10.3847/2041-8213/ab4425</v>
      </c>
      <c r="BG799" s="1" t="s">
        <v>74</v>
      </c>
      <c r="BH799" s="1" t="s">
        <v>74</v>
      </c>
      <c r="BI799" s="1" t="s">
        <v>74</v>
      </c>
      <c r="BJ799" s="1" t="s">
        <v>74</v>
      </c>
      <c r="BK799" s="1" t="s">
        <v>74</v>
      </c>
      <c r="BL799" s="1" t="s">
        <v>74</v>
      </c>
      <c r="BM799" s="1" t="s">
        <v>74</v>
      </c>
      <c r="BN799" s="1" t="s">
        <v>74</v>
      </c>
      <c r="BO799" s="1" t="s">
        <v>74</v>
      </c>
      <c r="BP799" s="1" t="s">
        <v>74</v>
      </c>
      <c r="BQ799" s="1" t="s">
        <v>74</v>
      </c>
      <c r="BR799" s="1" t="s">
        <v>74</v>
      </c>
      <c r="BS799" s="1" t="s">
        <v>7820</v>
      </c>
      <c r="BT799" s="1" t="str">
        <f>HYPERLINK("https%3A%2F%2Fwww.webofscience.com%2Fwos%2Fwoscc%2Ffull-record%2FWOS:000498566700001","View Full Record in Web of Science")</f>
        <v>View Full Record in Web of Science</v>
      </c>
    </row>
    <row r="800" ht="12.75" customHeight="1">
      <c r="A800" s="1" t="s">
        <v>72</v>
      </c>
      <c r="B800" s="1" t="s">
        <v>7821</v>
      </c>
      <c r="C800" s="1" t="s">
        <v>74</v>
      </c>
      <c r="D800" s="1" t="s">
        <v>74</v>
      </c>
      <c r="E800" s="1" t="s">
        <v>74</v>
      </c>
      <c r="F800" s="1" t="s">
        <v>7822</v>
      </c>
      <c r="G800" s="1" t="s">
        <v>74</v>
      </c>
      <c r="H800" s="1" t="s">
        <v>74</v>
      </c>
      <c r="I800" s="1" t="s">
        <v>7823</v>
      </c>
      <c r="J800" s="1" t="s">
        <v>7824</v>
      </c>
      <c r="K800" s="1" t="s">
        <v>74</v>
      </c>
      <c r="L800" s="1" t="s">
        <v>74</v>
      </c>
      <c r="M800" s="1" t="s">
        <v>74</v>
      </c>
      <c r="N800" s="1" t="s">
        <v>74</v>
      </c>
      <c r="O800" s="1" t="s">
        <v>74</v>
      </c>
      <c r="P800" s="1" t="s">
        <v>74</v>
      </c>
      <c r="Q800" s="1" t="s">
        <v>74</v>
      </c>
      <c r="R800" s="1" t="s">
        <v>74</v>
      </c>
      <c r="S800" s="1" t="s">
        <v>74</v>
      </c>
      <c r="T800" s="1" t="s">
        <v>74</v>
      </c>
      <c r="U800" s="1" t="s">
        <v>74</v>
      </c>
      <c r="V800" s="1" t="s">
        <v>7825</v>
      </c>
      <c r="W800" s="1" t="s">
        <v>74</v>
      </c>
      <c r="X800" s="1" t="s">
        <v>74</v>
      </c>
      <c r="Y800" s="1" t="s">
        <v>74</v>
      </c>
      <c r="Z800" s="1" t="s">
        <v>74</v>
      </c>
      <c r="AA800" s="1" t="s">
        <v>7826</v>
      </c>
      <c r="AB800" s="1" t="s">
        <v>7827</v>
      </c>
      <c r="AC800" s="1" t="s">
        <v>74</v>
      </c>
      <c r="AD800" s="1" t="s">
        <v>74</v>
      </c>
      <c r="AE800" s="1" t="s">
        <v>74</v>
      </c>
      <c r="AF800" s="1" t="s">
        <v>74</v>
      </c>
      <c r="AG800" s="1" t="s">
        <v>74</v>
      </c>
      <c r="AH800" s="1" t="s">
        <v>74</v>
      </c>
      <c r="AI800" s="1" t="s">
        <v>74</v>
      </c>
      <c r="AJ800" s="1" t="s">
        <v>74</v>
      </c>
      <c r="AK800" s="1" t="s">
        <v>74</v>
      </c>
      <c r="AL800" s="1" t="s">
        <v>74</v>
      </c>
      <c r="AM800" s="1" t="s">
        <v>74</v>
      </c>
      <c r="AN800" s="1" t="s">
        <v>74</v>
      </c>
      <c r="AO800" s="1" t="s">
        <v>7828</v>
      </c>
      <c r="AP800" s="1" t="s">
        <v>7829</v>
      </c>
      <c r="AQ800" s="1" t="s">
        <v>74</v>
      </c>
      <c r="AR800" s="1" t="s">
        <v>74</v>
      </c>
      <c r="AS800" s="1" t="s">
        <v>74</v>
      </c>
      <c r="AT800" s="1" t="s">
        <v>158</v>
      </c>
      <c r="AU800" s="1">
        <v>2019.0</v>
      </c>
      <c r="AV800" s="1">
        <v>27.0</v>
      </c>
      <c r="AW800" s="1">
        <v>4.0</v>
      </c>
      <c r="AX800" s="1" t="s">
        <v>74</v>
      </c>
      <c r="AY800" s="1" t="s">
        <v>74</v>
      </c>
      <c r="AZ800" s="1" t="s">
        <v>74</v>
      </c>
      <c r="BA800" s="1" t="s">
        <v>74</v>
      </c>
      <c r="BB800" s="1">
        <v>821.0</v>
      </c>
      <c r="BC800" s="1">
        <v>835.0</v>
      </c>
      <c r="BD800" s="1" t="s">
        <v>74</v>
      </c>
      <c r="BE800" s="1" t="s">
        <v>7830</v>
      </c>
      <c r="BF800" s="2" t="str">
        <f>HYPERLINK("http://dx.doi.org/10.1002/cae.22112","http://dx.doi.org/10.1002/cae.22112")</f>
        <v>http://dx.doi.org/10.1002/cae.22112</v>
      </c>
      <c r="BG800" s="1" t="s">
        <v>74</v>
      </c>
      <c r="BH800" s="1" t="s">
        <v>74</v>
      </c>
      <c r="BI800" s="1" t="s">
        <v>74</v>
      </c>
      <c r="BJ800" s="1" t="s">
        <v>74</v>
      </c>
      <c r="BK800" s="1" t="s">
        <v>74</v>
      </c>
      <c r="BL800" s="1" t="s">
        <v>74</v>
      </c>
      <c r="BM800" s="1" t="s">
        <v>74</v>
      </c>
      <c r="BN800" s="1" t="s">
        <v>74</v>
      </c>
      <c r="BO800" s="1" t="s">
        <v>74</v>
      </c>
      <c r="BP800" s="1" t="s">
        <v>74</v>
      </c>
      <c r="BQ800" s="1" t="s">
        <v>74</v>
      </c>
      <c r="BR800" s="1" t="s">
        <v>74</v>
      </c>
      <c r="BS800" s="1" t="s">
        <v>7831</v>
      </c>
      <c r="BT800" s="1" t="str">
        <f>HYPERLINK("https%3A%2F%2Fwww.webofscience.com%2Fwos%2Fwoscc%2Ffull-record%2FWOS:000475477500005","View Full Record in Web of Science")</f>
        <v>View Full Record in Web of Science</v>
      </c>
    </row>
    <row r="801" ht="12.75" customHeight="1">
      <c r="A801" s="1" t="s">
        <v>72</v>
      </c>
      <c r="B801" s="1" t="s">
        <v>7832</v>
      </c>
      <c r="C801" s="1" t="s">
        <v>74</v>
      </c>
      <c r="D801" s="1" t="s">
        <v>74</v>
      </c>
      <c r="E801" s="1" t="s">
        <v>74</v>
      </c>
      <c r="F801" s="1" t="s">
        <v>7833</v>
      </c>
      <c r="G801" s="1" t="s">
        <v>74</v>
      </c>
      <c r="H801" s="1" t="s">
        <v>74</v>
      </c>
      <c r="I801" s="1" t="s">
        <v>7834</v>
      </c>
      <c r="J801" s="1" t="s">
        <v>5739</v>
      </c>
      <c r="K801" s="1" t="s">
        <v>74</v>
      </c>
      <c r="L801" s="1" t="s">
        <v>74</v>
      </c>
      <c r="M801" s="1" t="s">
        <v>74</v>
      </c>
      <c r="N801" s="1" t="s">
        <v>74</v>
      </c>
      <c r="O801" s="1" t="s">
        <v>74</v>
      </c>
      <c r="P801" s="1" t="s">
        <v>74</v>
      </c>
      <c r="Q801" s="1" t="s">
        <v>74</v>
      </c>
      <c r="R801" s="1" t="s">
        <v>74</v>
      </c>
      <c r="S801" s="1" t="s">
        <v>74</v>
      </c>
      <c r="T801" s="1" t="s">
        <v>74</v>
      </c>
      <c r="U801" s="1" t="s">
        <v>74</v>
      </c>
      <c r="V801" s="1" t="s">
        <v>74</v>
      </c>
      <c r="W801" s="1" t="s">
        <v>74</v>
      </c>
      <c r="X801" s="1" t="s">
        <v>74</v>
      </c>
      <c r="Y801" s="1" t="s">
        <v>74</v>
      </c>
      <c r="Z801" s="1" t="s">
        <v>74</v>
      </c>
      <c r="AA801" s="1" t="s">
        <v>7835</v>
      </c>
      <c r="AB801" s="1" t="s">
        <v>7836</v>
      </c>
      <c r="AC801" s="1" t="s">
        <v>74</v>
      </c>
      <c r="AD801" s="1" t="s">
        <v>74</v>
      </c>
      <c r="AE801" s="1" t="s">
        <v>74</v>
      </c>
      <c r="AF801" s="1" t="s">
        <v>74</v>
      </c>
      <c r="AG801" s="1" t="s">
        <v>74</v>
      </c>
      <c r="AH801" s="1" t="s">
        <v>74</v>
      </c>
      <c r="AI801" s="1" t="s">
        <v>74</v>
      </c>
      <c r="AJ801" s="1" t="s">
        <v>74</v>
      </c>
      <c r="AK801" s="1" t="s">
        <v>74</v>
      </c>
      <c r="AL801" s="1" t="s">
        <v>74</v>
      </c>
      <c r="AM801" s="1" t="s">
        <v>74</v>
      </c>
      <c r="AN801" s="1" t="s">
        <v>74</v>
      </c>
      <c r="AO801" s="1" t="s">
        <v>5743</v>
      </c>
      <c r="AP801" s="1" t="s">
        <v>5744</v>
      </c>
      <c r="AQ801" s="1" t="s">
        <v>74</v>
      </c>
      <c r="AR801" s="1" t="s">
        <v>74</v>
      </c>
      <c r="AS801" s="1" t="s">
        <v>74</v>
      </c>
      <c r="AT801" s="1" t="s">
        <v>7837</v>
      </c>
      <c r="AU801" s="1">
        <v>2019.0</v>
      </c>
      <c r="AV801" s="1">
        <v>223.0</v>
      </c>
      <c r="AW801" s="1" t="s">
        <v>74</v>
      </c>
      <c r="AX801" s="1" t="s">
        <v>74</v>
      </c>
      <c r="AY801" s="1" t="s">
        <v>74</v>
      </c>
      <c r="AZ801" s="1" t="s">
        <v>74</v>
      </c>
      <c r="BA801" s="1" t="s">
        <v>74</v>
      </c>
      <c r="BB801" s="1">
        <v>189.0</v>
      </c>
      <c r="BC801" s="1">
        <v>213.0</v>
      </c>
      <c r="BD801" s="1" t="s">
        <v>74</v>
      </c>
      <c r="BE801" s="1" t="s">
        <v>7838</v>
      </c>
      <c r="BF801" s="2" t="str">
        <f>HYPERLINK("http://dx.doi.org/10.1016/j.jclepro.2019.02.268","http://dx.doi.org/10.1016/j.jclepro.2019.02.268")</f>
        <v>http://dx.doi.org/10.1016/j.jclepro.2019.02.268</v>
      </c>
      <c r="BG801" s="1" t="s">
        <v>74</v>
      </c>
      <c r="BH801" s="1" t="s">
        <v>74</v>
      </c>
      <c r="BI801" s="1" t="s">
        <v>74</v>
      </c>
      <c r="BJ801" s="1" t="s">
        <v>74</v>
      </c>
      <c r="BK801" s="1" t="s">
        <v>74</v>
      </c>
      <c r="BL801" s="1" t="s">
        <v>74</v>
      </c>
      <c r="BM801" s="1" t="s">
        <v>74</v>
      </c>
      <c r="BN801" s="1" t="s">
        <v>74</v>
      </c>
      <c r="BO801" s="1" t="s">
        <v>74</v>
      </c>
      <c r="BP801" s="1" t="s">
        <v>74</v>
      </c>
      <c r="BQ801" s="1" t="s">
        <v>74</v>
      </c>
      <c r="BR801" s="1" t="s">
        <v>74</v>
      </c>
      <c r="BS801" s="1" t="s">
        <v>7839</v>
      </c>
      <c r="BT801" s="1" t="str">
        <f>HYPERLINK("https%3A%2F%2Fwww.webofscience.com%2Fwos%2Fwoscc%2Ffull-record%2FWOS:000466253100017","View Full Record in Web of Science")</f>
        <v>View Full Record in Web of Science</v>
      </c>
    </row>
    <row r="802" ht="12.75" customHeight="1">
      <c r="A802" s="1" t="s">
        <v>72</v>
      </c>
      <c r="B802" s="1" t="s">
        <v>993</v>
      </c>
      <c r="C802" s="1" t="s">
        <v>74</v>
      </c>
      <c r="D802" s="1" t="s">
        <v>74</v>
      </c>
      <c r="E802" s="1" t="s">
        <v>74</v>
      </c>
      <c r="F802" s="1" t="s">
        <v>1043</v>
      </c>
      <c r="G802" s="1" t="s">
        <v>74</v>
      </c>
      <c r="H802" s="1" t="s">
        <v>74</v>
      </c>
      <c r="I802" s="1" t="s">
        <v>7840</v>
      </c>
      <c r="J802" s="1" t="s">
        <v>7841</v>
      </c>
      <c r="K802" s="1" t="s">
        <v>74</v>
      </c>
      <c r="L802" s="1" t="s">
        <v>74</v>
      </c>
      <c r="M802" s="1" t="s">
        <v>74</v>
      </c>
      <c r="N802" s="1" t="s">
        <v>74</v>
      </c>
      <c r="O802" s="1" t="s">
        <v>74</v>
      </c>
      <c r="P802" s="1" t="s">
        <v>74</v>
      </c>
      <c r="Q802" s="1" t="s">
        <v>74</v>
      </c>
      <c r="R802" s="1" t="s">
        <v>74</v>
      </c>
      <c r="S802" s="1" t="s">
        <v>74</v>
      </c>
      <c r="T802" s="1" t="s">
        <v>74</v>
      </c>
      <c r="U802" s="1" t="s">
        <v>74</v>
      </c>
      <c r="V802" s="1" t="s">
        <v>7842</v>
      </c>
      <c r="W802" s="1" t="s">
        <v>74</v>
      </c>
      <c r="X802" s="1" t="s">
        <v>74</v>
      </c>
      <c r="Y802" s="1" t="s">
        <v>74</v>
      </c>
      <c r="Z802" s="1" t="s">
        <v>74</v>
      </c>
      <c r="AA802" s="1" t="s">
        <v>74</v>
      </c>
      <c r="AB802" s="1" t="s">
        <v>998</v>
      </c>
      <c r="AC802" s="1" t="s">
        <v>74</v>
      </c>
      <c r="AD802" s="1" t="s">
        <v>74</v>
      </c>
      <c r="AE802" s="1" t="s">
        <v>74</v>
      </c>
      <c r="AF802" s="1" t="s">
        <v>74</v>
      </c>
      <c r="AG802" s="1" t="s">
        <v>74</v>
      </c>
      <c r="AH802" s="1" t="s">
        <v>74</v>
      </c>
      <c r="AI802" s="1" t="s">
        <v>74</v>
      </c>
      <c r="AJ802" s="1" t="s">
        <v>74</v>
      </c>
      <c r="AK802" s="1" t="s">
        <v>74</v>
      </c>
      <c r="AL802" s="1" t="s">
        <v>74</v>
      </c>
      <c r="AM802" s="1" t="s">
        <v>74</v>
      </c>
      <c r="AN802" s="1" t="s">
        <v>74</v>
      </c>
      <c r="AO802" s="1" t="s">
        <v>7843</v>
      </c>
      <c r="AP802" s="1" t="s">
        <v>74</v>
      </c>
      <c r="AQ802" s="1" t="s">
        <v>74</v>
      </c>
      <c r="AR802" s="1" t="s">
        <v>74</v>
      </c>
      <c r="AS802" s="1" t="s">
        <v>74</v>
      </c>
      <c r="AT802" s="1" t="s">
        <v>294</v>
      </c>
      <c r="AU802" s="1">
        <v>2017.0</v>
      </c>
      <c r="AV802" s="1">
        <v>49.0</v>
      </c>
      <c r="AW802" s="1">
        <v>2.0</v>
      </c>
      <c r="AX802" s="1" t="s">
        <v>74</v>
      </c>
      <c r="AY802" s="1" t="s">
        <v>74</v>
      </c>
      <c r="AZ802" s="1" t="s">
        <v>74</v>
      </c>
      <c r="BA802" s="1" t="s">
        <v>74</v>
      </c>
      <c r="BB802" s="1">
        <v>739.0</v>
      </c>
      <c r="BC802" s="1">
        <v>756.0</v>
      </c>
      <c r="BD802" s="1" t="s">
        <v>74</v>
      </c>
      <c r="BE802" s="1" t="s">
        <v>7844</v>
      </c>
      <c r="BF802" s="2" t="str">
        <f>HYPERLINK("http://dx.doi.org/10.12775/TMNA.2017.007","http://dx.doi.org/10.12775/TMNA.2017.007")</f>
        <v>http://dx.doi.org/10.12775/TMNA.2017.007</v>
      </c>
      <c r="BG802" s="1" t="s">
        <v>74</v>
      </c>
      <c r="BH802" s="1" t="s">
        <v>74</v>
      </c>
      <c r="BI802" s="1" t="s">
        <v>74</v>
      </c>
      <c r="BJ802" s="1" t="s">
        <v>74</v>
      </c>
      <c r="BK802" s="1" t="s">
        <v>74</v>
      </c>
      <c r="BL802" s="1" t="s">
        <v>74</v>
      </c>
      <c r="BM802" s="1" t="s">
        <v>74</v>
      </c>
      <c r="BN802" s="1" t="s">
        <v>74</v>
      </c>
      <c r="BO802" s="1" t="s">
        <v>74</v>
      </c>
      <c r="BP802" s="1" t="s">
        <v>74</v>
      </c>
      <c r="BQ802" s="1" t="s">
        <v>74</v>
      </c>
      <c r="BR802" s="1" t="s">
        <v>74</v>
      </c>
      <c r="BS802" s="1" t="s">
        <v>7845</v>
      </c>
      <c r="BT802" s="1" t="str">
        <f>HYPERLINK("https%3A%2F%2Fwww.webofscience.com%2Fwos%2Fwoscc%2Ffull-record%2FWOS:000405254400019","View Full Record in Web of Science")</f>
        <v>View Full Record in Web of Science</v>
      </c>
    </row>
    <row r="803" ht="12.75" customHeight="1">
      <c r="A803" s="1" t="s">
        <v>72</v>
      </c>
      <c r="B803" s="1" t="s">
        <v>7846</v>
      </c>
      <c r="C803" s="1" t="s">
        <v>74</v>
      </c>
      <c r="D803" s="1" t="s">
        <v>74</v>
      </c>
      <c r="E803" s="1" t="s">
        <v>74</v>
      </c>
      <c r="F803" s="1" t="s">
        <v>7847</v>
      </c>
      <c r="G803" s="1" t="s">
        <v>74</v>
      </c>
      <c r="H803" s="1" t="s">
        <v>74</v>
      </c>
      <c r="I803" s="1" t="s">
        <v>7848</v>
      </c>
      <c r="J803" s="1" t="s">
        <v>7849</v>
      </c>
      <c r="K803" s="1" t="s">
        <v>74</v>
      </c>
      <c r="L803" s="1" t="s">
        <v>74</v>
      </c>
      <c r="M803" s="1" t="s">
        <v>74</v>
      </c>
      <c r="N803" s="1" t="s">
        <v>74</v>
      </c>
      <c r="O803" s="1" t="s">
        <v>74</v>
      </c>
      <c r="P803" s="1" t="s">
        <v>74</v>
      </c>
      <c r="Q803" s="1" t="s">
        <v>74</v>
      </c>
      <c r="R803" s="1" t="s">
        <v>74</v>
      </c>
      <c r="S803" s="1" t="s">
        <v>74</v>
      </c>
      <c r="T803" s="1" t="s">
        <v>74</v>
      </c>
      <c r="U803" s="1" t="s">
        <v>74</v>
      </c>
      <c r="V803" s="1" t="s">
        <v>7850</v>
      </c>
      <c r="W803" s="1" t="s">
        <v>74</v>
      </c>
      <c r="X803" s="1" t="s">
        <v>74</v>
      </c>
      <c r="Y803" s="1" t="s">
        <v>74</v>
      </c>
      <c r="Z803" s="1" t="s">
        <v>74</v>
      </c>
      <c r="AA803" s="1" t="s">
        <v>7851</v>
      </c>
      <c r="AB803" s="1" t="s">
        <v>7852</v>
      </c>
      <c r="AC803" s="1" t="s">
        <v>74</v>
      </c>
      <c r="AD803" s="1" t="s">
        <v>74</v>
      </c>
      <c r="AE803" s="1" t="s">
        <v>74</v>
      </c>
      <c r="AF803" s="1" t="s">
        <v>74</v>
      </c>
      <c r="AG803" s="1" t="s">
        <v>74</v>
      </c>
      <c r="AH803" s="1" t="s">
        <v>74</v>
      </c>
      <c r="AI803" s="1" t="s">
        <v>74</v>
      </c>
      <c r="AJ803" s="1" t="s">
        <v>74</v>
      </c>
      <c r="AK803" s="1" t="s">
        <v>74</v>
      </c>
      <c r="AL803" s="1" t="s">
        <v>74</v>
      </c>
      <c r="AM803" s="1" t="s">
        <v>74</v>
      </c>
      <c r="AN803" s="1" t="s">
        <v>74</v>
      </c>
      <c r="AO803" s="1" t="s">
        <v>7853</v>
      </c>
      <c r="AP803" s="1" t="s">
        <v>7854</v>
      </c>
      <c r="AQ803" s="1" t="s">
        <v>74</v>
      </c>
      <c r="AR803" s="1" t="s">
        <v>74</v>
      </c>
      <c r="AS803" s="1" t="s">
        <v>74</v>
      </c>
      <c r="AT803" s="1" t="s">
        <v>739</v>
      </c>
      <c r="AU803" s="1">
        <v>2016.0</v>
      </c>
      <c r="AV803" s="1">
        <v>196.0</v>
      </c>
      <c r="AW803" s="1">
        <v>10.0</v>
      </c>
      <c r="AX803" s="1" t="s">
        <v>74</v>
      </c>
      <c r="AY803" s="1" t="s">
        <v>74</v>
      </c>
      <c r="AZ803" s="1" t="s">
        <v>74</v>
      </c>
      <c r="BA803" s="1" t="s">
        <v>74</v>
      </c>
      <c r="BB803" s="1">
        <v>4150.0</v>
      </c>
      <c r="BC803" s="1">
        <v>4163.0</v>
      </c>
      <c r="BD803" s="1" t="s">
        <v>74</v>
      </c>
      <c r="BE803" s="1" t="s">
        <v>7855</v>
      </c>
      <c r="BF803" s="2" t="str">
        <f>HYPERLINK("http://dx.doi.org/10.4049/jimmunol.1500439","http://dx.doi.org/10.4049/jimmunol.1500439")</f>
        <v>http://dx.doi.org/10.4049/jimmunol.1500439</v>
      </c>
      <c r="BG803" s="1" t="s">
        <v>74</v>
      </c>
      <c r="BH803" s="1" t="s">
        <v>74</v>
      </c>
      <c r="BI803" s="1" t="s">
        <v>74</v>
      </c>
      <c r="BJ803" s="1" t="s">
        <v>74</v>
      </c>
      <c r="BK803" s="1" t="s">
        <v>74</v>
      </c>
      <c r="BL803" s="1" t="s">
        <v>74</v>
      </c>
      <c r="BM803" s="1" t="s">
        <v>74</v>
      </c>
      <c r="BN803" s="1">
        <v>2.7053758E7</v>
      </c>
      <c r="BO803" s="1" t="s">
        <v>74</v>
      </c>
      <c r="BP803" s="1" t="s">
        <v>74</v>
      </c>
      <c r="BQ803" s="1" t="s">
        <v>74</v>
      </c>
      <c r="BR803" s="1" t="s">
        <v>74</v>
      </c>
      <c r="BS803" s="1" t="s">
        <v>7856</v>
      </c>
      <c r="BT803" s="1" t="str">
        <f>HYPERLINK("https%3A%2F%2Fwww.webofscience.com%2Fwos%2Fwoscc%2Ffull-record%2FWOS:000375831200018","View Full Record in Web of Science")</f>
        <v>View Full Record in Web of Science</v>
      </c>
    </row>
    <row r="804" ht="12.75" customHeight="1">
      <c r="A804" s="1" t="s">
        <v>72</v>
      </c>
      <c r="B804" s="1" t="s">
        <v>7857</v>
      </c>
      <c r="C804" s="1" t="s">
        <v>74</v>
      </c>
      <c r="D804" s="1" t="s">
        <v>74</v>
      </c>
      <c r="E804" s="1" t="s">
        <v>74</v>
      </c>
      <c r="F804" s="1" t="s">
        <v>7858</v>
      </c>
      <c r="G804" s="1" t="s">
        <v>74</v>
      </c>
      <c r="H804" s="1" t="s">
        <v>74</v>
      </c>
      <c r="I804" s="1" t="s">
        <v>7859</v>
      </c>
      <c r="J804" s="1" t="s">
        <v>7860</v>
      </c>
      <c r="K804" s="1" t="s">
        <v>74</v>
      </c>
      <c r="L804" s="1" t="s">
        <v>74</v>
      </c>
      <c r="M804" s="1" t="s">
        <v>74</v>
      </c>
      <c r="N804" s="1" t="s">
        <v>74</v>
      </c>
      <c r="O804" s="1" t="s">
        <v>74</v>
      </c>
      <c r="P804" s="1" t="s">
        <v>74</v>
      </c>
      <c r="Q804" s="1" t="s">
        <v>74</v>
      </c>
      <c r="R804" s="1" t="s">
        <v>74</v>
      </c>
      <c r="S804" s="1" t="s">
        <v>74</v>
      </c>
      <c r="T804" s="1" t="s">
        <v>74</v>
      </c>
      <c r="U804" s="1" t="s">
        <v>74</v>
      </c>
      <c r="V804" s="1" t="s">
        <v>7861</v>
      </c>
      <c r="W804" s="1" t="s">
        <v>74</v>
      </c>
      <c r="X804" s="1" t="s">
        <v>74</v>
      </c>
      <c r="Y804" s="1" t="s">
        <v>74</v>
      </c>
      <c r="Z804" s="1" t="s">
        <v>74</v>
      </c>
      <c r="AA804" s="1" t="s">
        <v>7862</v>
      </c>
      <c r="AB804" s="1" t="s">
        <v>7863</v>
      </c>
      <c r="AC804" s="1" t="s">
        <v>74</v>
      </c>
      <c r="AD804" s="1" t="s">
        <v>74</v>
      </c>
      <c r="AE804" s="1" t="s">
        <v>74</v>
      </c>
      <c r="AF804" s="1" t="s">
        <v>74</v>
      </c>
      <c r="AG804" s="1" t="s">
        <v>74</v>
      </c>
      <c r="AH804" s="1" t="s">
        <v>74</v>
      </c>
      <c r="AI804" s="1" t="s">
        <v>74</v>
      </c>
      <c r="AJ804" s="1" t="s">
        <v>74</v>
      </c>
      <c r="AK804" s="1" t="s">
        <v>74</v>
      </c>
      <c r="AL804" s="1" t="s">
        <v>74</v>
      </c>
      <c r="AM804" s="1" t="s">
        <v>74</v>
      </c>
      <c r="AN804" s="1" t="s">
        <v>74</v>
      </c>
      <c r="AO804" s="1" t="s">
        <v>7864</v>
      </c>
      <c r="AP804" s="1" t="s">
        <v>7865</v>
      </c>
      <c r="AQ804" s="1" t="s">
        <v>74</v>
      </c>
      <c r="AR804" s="1" t="s">
        <v>74</v>
      </c>
      <c r="AS804" s="1" t="s">
        <v>74</v>
      </c>
      <c r="AT804" s="1" t="s">
        <v>74</v>
      </c>
      <c r="AU804" s="1">
        <v>2016.0</v>
      </c>
      <c r="AV804" s="1">
        <v>2016.0</v>
      </c>
      <c r="AW804" s="1" t="s">
        <v>74</v>
      </c>
      <c r="AX804" s="1" t="s">
        <v>74</v>
      </c>
      <c r="AY804" s="1" t="s">
        <v>74</v>
      </c>
      <c r="AZ804" s="1" t="s">
        <v>74</v>
      </c>
      <c r="BA804" s="1" t="s">
        <v>74</v>
      </c>
      <c r="BB804" s="1" t="s">
        <v>74</v>
      </c>
      <c r="BC804" s="1" t="s">
        <v>74</v>
      </c>
      <c r="BD804" s="1">
        <v>1682925.0</v>
      </c>
      <c r="BE804" s="1" t="s">
        <v>7866</v>
      </c>
      <c r="BF804" s="2" t="str">
        <f>HYPERLINK("http://dx.doi.org/10.1155/2016/1682925","http://dx.doi.org/10.1155/2016/1682925")</f>
        <v>http://dx.doi.org/10.1155/2016/1682925</v>
      </c>
      <c r="BG804" s="1" t="s">
        <v>74</v>
      </c>
      <c r="BH804" s="1" t="s">
        <v>74</v>
      </c>
      <c r="BI804" s="1" t="s">
        <v>74</v>
      </c>
      <c r="BJ804" s="1" t="s">
        <v>74</v>
      </c>
      <c r="BK804" s="1" t="s">
        <v>74</v>
      </c>
      <c r="BL804" s="1" t="s">
        <v>74</v>
      </c>
      <c r="BM804" s="1" t="s">
        <v>74</v>
      </c>
      <c r="BN804" s="1" t="s">
        <v>74</v>
      </c>
      <c r="BO804" s="1" t="s">
        <v>74</v>
      </c>
      <c r="BP804" s="1" t="s">
        <v>74</v>
      </c>
      <c r="BQ804" s="1" t="s">
        <v>74</v>
      </c>
      <c r="BR804" s="1" t="s">
        <v>74</v>
      </c>
      <c r="BS804" s="1" t="s">
        <v>7867</v>
      </c>
      <c r="BT804" s="1" t="str">
        <f>HYPERLINK("https%3A%2F%2Fwww.webofscience.com%2Fwos%2Fwoscc%2Ffull-record%2FWOS:000372633000001","View Full Record in Web of Science")</f>
        <v>View Full Record in Web of Science</v>
      </c>
    </row>
    <row r="805" ht="12.75" customHeight="1">
      <c r="A805" s="1" t="s">
        <v>182</v>
      </c>
      <c r="B805" s="1" t="s">
        <v>7868</v>
      </c>
      <c r="C805" s="1" t="s">
        <v>74</v>
      </c>
      <c r="D805" s="1" t="s">
        <v>74</v>
      </c>
      <c r="E805" s="1" t="s">
        <v>184</v>
      </c>
      <c r="F805" s="1" t="s">
        <v>7869</v>
      </c>
      <c r="G805" s="1" t="s">
        <v>74</v>
      </c>
      <c r="H805" s="1" t="s">
        <v>74</v>
      </c>
      <c r="I805" s="1" t="s">
        <v>7870</v>
      </c>
      <c r="J805" s="1" t="s">
        <v>7871</v>
      </c>
      <c r="K805" s="1" t="s">
        <v>7872</v>
      </c>
      <c r="L805" s="1" t="s">
        <v>74</v>
      </c>
      <c r="M805" s="1" t="s">
        <v>74</v>
      </c>
      <c r="N805" s="1" t="s">
        <v>74</v>
      </c>
      <c r="O805" s="1" t="s">
        <v>7873</v>
      </c>
      <c r="P805" s="1" t="s">
        <v>7874</v>
      </c>
      <c r="Q805" s="1" t="s">
        <v>1918</v>
      </c>
      <c r="R805" s="1" t="s">
        <v>7875</v>
      </c>
      <c r="S805" s="1" t="s">
        <v>74</v>
      </c>
      <c r="T805" s="1" t="s">
        <v>74</v>
      </c>
      <c r="U805" s="1" t="s">
        <v>74</v>
      </c>
      <c r="V805" s="1" t="s">
        <v>7876</v>
      </c>
      <c r="W805" s="1" t="s">
        <v>74</v>
      </c>
      <c r="X805" s="1" t="s">
        <v>74</v>
      </c>
      <c r="Y805" s="1" t="s">
        <v>74</v>
      </c>
      <c r="Z805" s="1" t="s">
        <v>74</v>
      </c>
      <c r="AA805" s="1" t="s">
        <v>7877</v>
      </c>
      <c r="AB805" s="1" t="s">
        <v>7878</v>
      </c>
      <c r="AC805" s="1" t="s">
        <v>74</v>
      </c>
      <c r="AD805" s="1" t="s">
        <v>74</v>
      </c>
      <c r="AE805" s="1" t="s">
        <v>74</v>
      </c>
      <c r="AF805" s="1" t="s">
        <v>74</v>
      </c>
      <c r="AG805" s="1" t="s">
        <v>74</v>
      </c>
      <c r="AH805" s="1" t="s">
        <v>74</v>
      </c>
      <c r="AI805" s="1" t="s">
        <v>74</v>
      </c>
      <c r="AJ805" s="1" t="s">
        <v>74</v>
      </c>
      <c r="AK805" s="1" t="s">
        <v>74</v>
      </c>
      <c r="AL805" s="1" t="s">
        <v>74</v>
      </c>
      <c r="AM805" s="1" t="s">
        <v>74</v>
      </c>
      <c r="AN805" s="1" t="s">
        <v>74</v>
      </c>
      <c r="AO805" s="1" t="s">
        <v>7879</v>
      </c>
      <c r="AP805" s="1" t="s">
        <v>74</v>
      </c>
      <c r="AQ805" s="1" t="s">
        <v>7880</v>
      </c>
      <c r="AR805" s="1" t="s">
        <v>74</v>
      </c>
      <c r="AS805" s="1" t="s">
        <v>74</v>
      </c>
      <c r="AT805" s="1" t="s">
        <v>74</v>
      </c>
      <c r="AU805" s="1">
        <v>2016.0</v>
      </c>
      <c r="AV805" s="1" t="s">
        <v>74</v>
      </c>
      <c r="AW805" s="1" t="s">
        <v>74</v>
      </c>
      <c r="AX805" s="1" t="s">
        <v>74</v>
      </c>
      <c r="AY805" s="1" t="s">
        <v>74</v>
      </c>
      <c r="AZ805" s="1" t="s">
        <v>74</v>
      </c>
      <c r="BA805" s="1" t="s">
        <v>74</v>
      </c>
      <c r="BB805" s="1" t="s">
        <v>74</v>
      </c>
      <c r="BC805" s="1" t="s">
        <v>74</v>
      </c>
      <c r="BD805" s="1" t="s">
        <v>74</v>
      </c>
      <c r="BE805" s="1" t="s">
        <v>74</v>
      </c>
      <c r="BF805" s="1" t="s">
        <v>74</v>
      </c>
      <c r="BG805" s="1" t="s">
        <v>74</v>
      </c>
      <c r="BH805" s="1" t="s">
        <v>74</v>
      </c>
      <c r="BI805" s="1" t="s">
        <v>74</v>
      </c>
      <c r="BJ805" s="1" t="s">
        <v>74</v>
      </c>
      <c r="BK805" s="1" t="s">
        <v>74</v>
      </c>
      <c r="BL805" s="1" t="s">
        <v>74</v>
      </c>
      <c r="BM805" s="1" t="s">
        <v>74</v>
      </c>
      <c r="BN805" s="1" t="s">
        <v>74</v>
      </c>
      <c r="BO805" s="1" t="s">
        <v>74</v>
      </c>
      <c r="BP805" s="1" t="s">
        <v>74</v>
      </c>
      <c r="BQ805" s="1" t="s">
        <v>74</v>
      </c>
      <c r="BR805" s="1" t="s">
        <v>74</v>
      </c>
      <c r="BS805" s="1" t="s">
        <v>7881</v>
      </c>
      <c r="BT805" s="1" t="str">
        <f>HYPERLINK("https%3A%2F%2Fwww.webofscience.com%2Fwos%2Fwoscc%2Ffull-record%2FWOS:000401662600026","View Full Record in Web of Science")</f>
        <v>View Full Record in Web of Science</v>
      </c>
    </row>
    <row r="806" ht="12.75" customHeight="1">
      <c r="A806" s="1" t="s">
        <v>274</v>
      </c>
      <c r="B806" s="1" t="s">
        <v>7882</v>
      </c>
      <c r="C806" s="1" t="s">
        <v>74</v>
      </c>
      <c r="D806" s="1" t="s">
        <v>7883</v>
      </c>
      <c r="E806" s="1" t="s">
        <v>74</v>
      </c>
      <c r="F806" s="1" t="s">
        <v>7884</v>
      </c>
      <c r="G806" s="1" t="s">
        <v>74</v>
      </c>
      <c r="H806" s="1" t="s">
        <v>74</v>
      </c>
      <c r="I806" s="1" t="s">
        <v>7885</v>
      </c>
      <c r="J806" s="1" t="s">
        <v>7886</v>
      </c>
      <c r="K806" s="1" t="s">
        <v>7887</v>
      </c>
      <c r="L806" s="1" t="s">
        <v>74</v>
      </c>
      <c r="M806" s="1" t="s">
        <v>74</v>
      </c>
      <c r="N806" s="1" t="s">
        <v>74</v>
      </c>
      <c r="O806" s="1" t="s">
        <v>74</v>
      </c>
      <c r="P806" s="1" t="s">
        <v>74</v>
      </c>
      <c r="Q806" s="1" t="s">
        <v>74</v>
      </c>
      <c r="R806" s="1" t="s">
        <v>74</v>
      </c>
      <c r="S806" s="1" t="s">
        <v>74</v>
      </c>
      <c r="T806" s="1" t="s">
        <v>74</v>
      </c>
      <c r="U806" s="1" t="s">
        <v>74</v>
      </c>
      <c r="V806" s="1" t="s">
        <v>74</v>
      </c>
      <c r="W806" s="1" t="s">
        <v>74</v>
      </c>
      <c r="X806" s="1" t="s">
        <v>74</v>
      </c>
      <c r="Y806" s="1" t="s">
        <v>74</v>
      </c>
      <c r="Z806" s="1" t="s">
        <v>74</v>
      </c>
      <c r="AA806" s="1" t="s">
        <v>7888</v>
      </c>
      <c r="AB806" s="1" t="s">
        <v>74</v>
      </c>
      <c r="AC806" s="1" t="s">
        <v>74</v>
      </c>
      <c r="AD806" s="1" t="s">
        <v>74</v>
      </c>
      <c r="AE806" s="1" t="s">
        <v>74</v>
      </c>
      <c r="AF806" s="1" t="s">
        <v>74</v>
      </c>
      <c r="AG806" s="1" t="s">
        <v>74</v>
      </c>
      <c r="AH806" s="1" t="s">
        <v>74</v>
      </c>
      <c r="AI806" s="1" t="s">
        <v>74</v>
      </c>
      <c r="AJ806" s="1" t="s">
        <v>74</v>
      </c>
      <c r="AK806" s="1" t="s">
        <v>74</v>
      </c>
      <c r="AL806" s="1" t="s">
        <v>74</v>
      </c>
      <c r="AM806" s="1" t="s">
        <v>74</v>
      </c>
      <c r="AN806" s="1" t="s">
        <v>74</v>
      </c>
      <c r="AO806" s="1" t="s">
        <v>74</v>
      </c>
      <c r="AP806" s="1" t="s">
        <v>74</v>
      </c>
      <c r="AQ806" s="1" t="s">
        <v>7889</v>
      </c>
      <c r="AR806" s="1" t="s">
        <v>74</v>
      </c>
      <c r="AS806" s="1" t="s">
        <v>74</v>
      </c>
      <c r="AT806" s="1" t="s">
        <v>74</v>
      </c>
      <c r="AU806" s="1">
        <v>2016.0</v>
      </c>
      <c r="AV806" s="1" t="s">
        <v>74</v>
      </c>
      <c r="AW806" s="1" t="s">
        <v>74</v>
      </c>
      <c r="AX806" s="1" t="s">
        <v>74</v>
      </c>
      <c r="AY806" s="1" t="s">
        <v>74</v>
      </c>
      <c r="AZ806" s="1" t="s">
        <v>74</v>
      </c>
      <c r="BA806" s="1" t="s">
        <v>74</v>
      </c>
      <c r="BB806" s="1">
        <v>163.0</v>
      </c>
      <c r="BC806" s="1">
        <v>194.0</v>
      </c>
      <c r="BD806" s="1" t="s">
        <v>74</v>
      </c>
      <c r="BE806" s="1" t="s">
        <v>74</v>
      </c>
      <c r="BF806" s="1" t="s">
        <v>74</v>
      </c>
      <c r="BG806" s="1" t="s">
        <v>74</v>
      </c>
      <c r="BH806" s="1" t="s">
        <v>74</v>
      </c>
      <c r="BI806" s="1" t="s">
        <v>74</v>
      </c>
      <c r="BJ806" s="1" t="s">
        <v>74</v>
      </c>
      <c r="BK806" s="1" t="s">
        <v>74</v>
      </c>
      <c r="BL806" s="1" t="s">
        <v>74</v>
      </c>
      <c r="BM806" s="1" t="s">
        <v>74</v>
      </c>
      <c r="BN806" s="1" t="s">
        <v>74</v>
      </c>
      <c r="BO806" s="1" t="s">
        <v>74</v>
      </c>
      <c r="BP806" s="1" t="s">
        <v>74</v>
      </c>
      <c r="BQ806" s="1" t="s">
        <v>74</v>
      </c>
      <c r="BR806" s="1" t="s">
        <v>74</v>
      </c>
      <c r="BS806" s="1" t="s">
        <v>7890</v>
      </c>
      <c r="BT806" s="1" t="str">
        <f>HYPERLINK("https%3A%2F%2Fwww.webofscience.com%2Fwos%2Fwoscc%2Ffull-record%2FWOS:000375728600008","View Full Record in Web of Science")</f>
        <v>View Full Record in Web of Science</v>
      </c>
    </row>
    <row r="807" ht="12.75" customHeight="1">
      <c r="A807" s="1" t="s">
        <v>72</v>
      </c>
      <c r="B807" s="1" t="s">
        <v>7891</v>
      </c>
      <c r="C807" s="1" t="s">
        <v>74</v>
      </c>
      <c r="D807" s="1" t="s">
        <v>74</v>
      </c>
      <c r="E807" s="1" t="s">
        <v>74</v>
      </c>
      <c r="F807" s="1" t="s">
        <v>7892</v>
      </c>
      <c r="G807" s="1" t="s">
        <v>74</v>
      </c>
      <c r="H807" s="1" t="s">
        <v>74</v>
      </c>
      <c r="I807" s="1" t="s">
        <v>7893</v>
      </c>
      <c r="J807" s="1" t="s">
        <v>7894</v>
      </c>
      <c r="K807" s="1" t="s">
        <v>74</v>
      </c>
      <c r="L807" s="1" t="s">
        <v>74</v>
      </c>
      <c r="M807" s="1" t="s">
        <v>74</v>
      </c>
      <c r="N807" s="1" t="s">
        <v>74</v>
      </c>
      <c r="O807" s="1" t="s">
        <v>74</v>
      </c>
      <c r="P807" s="1" t="s">
        <v>74</v>
      </c>
      <c r="Q807" s="1" t="s">
        <v>74</v>
      </c>
      <c r="R807" s="1" t="s">
        <v>74</v>
      </c>
      <c r="S807" s="1" t="s">
        <v>74</v>
      </c>
      <c r="T807" s="1" t="s">
        <v>74</v>
      </c>
      <c r="U807" s="1" t="s">
        <v>74</v>
      </c>
      <c r="V807" s="1" t="s">
        <v>7895</v>
      </c>
      <c r="W807" s="1" t="s">
        <v>74</v>
      </c>
      <c r="X807" s="1" t="s">
        <v>74</v>
      </c>
      <c r="Y807" s="1" t="s">
        <v>74</v>
      </c>
      <c r="Z807" s="1" t="s">
        <v>74</v>
      </c>
      <c r="AA807" s="1" t="s">
        <v>7896</v>
      </c>
      <c r="AB807" s="1" t="s">
        <v>7897</v>
      </c>
      <c r="AC807" s="1" t="s">
        <v>74</v>
      </c>
      <c r="AD807" s="1" t="s">
        <v>74</v>
      </c>
      <c r="AE807" s="1" t="s">
        <v>74</v>
      </c>
      <c r="AF807" s="1" t="s">
        <v>74</v>
      </c>
      <c r="AG807" s="1" t="s">
        <v>74</v>
      </c>
      <c r="AH807" s="1" t="s">
        <v>74</v>
      </c>
      <c r="AI807" s="1" t="s">
        <v>74</v>
      </c>
      <c r="AJ807" s="1" t="s">
        <v>74</v>
      </c>
      <c r="AK807" s="1" t="s">
        <v>74</v>
      </c>
      <c r="AL807" s="1" t="s">
        <v>74</v>
      </c>
      <c r="AM807" s="1" t="s">
        <v>74</v>
      </c>
      <c r="AN807" s="1" t="s">
        <v>74</v>
      </c>
      <c r="AO807" s="1" t="s">
        <v>7898</v>
      </c>
      <c r="AP807" s="1" t="s">
        <v>7899</v>
      </c>
      <c r="AQ807" s="1" t="s">
        <v>74</v>
      </c>
      <c r="AR807" s="1" t="s">
        <v>74</v>
      </c>
      <c r="AS807" s="1" t="s">
        <v>74</v>
      </c>
      <c r="AT807" s="1" t="s">
        <v>652</v>
      </c>
      <c r="AU807" s="1">
        <v>2015.0</v>
      </c>
      <c r="AV807" s="1">
        <v>135.0</v>
      </c>
      <c r="AW807" s="1" t="s">
        <v>74</v>
      </c>
      <c r="AX807" s="1" t="s">
        <v>74</v>
      </c>
      <c r="AY807" s="1" t="s">
        <v>74</v>
      </c>
      <c r="AZ807" s="1" t="s">
        <v>74</v>
      </c>
      <c r="BA807" s="1" t="s">
        <v>74</v>
      </c>
      <c r="BB807" s="1">
        <v>383.0</v>
      </c>
      <c r="BC807" s="1">
        <v>392.0</v>
      </c>
      <c r="BD807" s="1" t="s">
        <v>74</v>
      </c>
      <c r="BE807" s="1" t="s">
        <v>7900</v>
      </c>
      <c r="BF807" s="2" t="str">
        <f>HYPERLINK("http://dx.doi.org/10.1016/j.catena.2014.08.006","http://dx.doi.org/10.1016/j.catena.2014.08.006")</f>
        <v>http://dx.doi.org/10.1016/j.catena.2014.08.006</v>
      </c>
      <c r="BG807" s="1" t="s">
        <v>74</v>
      </c>
      <c r="BH807" s="1" t="s">
        <v>74</v>
      </c>
      <c r="BI807" s="1" t="s">
        <v>74</v>
      </c>
      <c r="BJ807" s="1" t="s">
        <v>74</v>
      </c>
      <c r="BK807" s="1" t="s">
        <v>74</v>
      </c>
      <c r="BL807" s="1" t="s">
        <v>74</v>
      </c>
      <c r="BM807" s="1" t="s">
        <v>74</v>
      </c>
      <c r="BN807" s="1" t="s">
        <v>74</v>
      </c>
      <c r="BO807" s="1" t="s">
        <v>74</v>
      </c>
      <c r="BP807" s="1" t="s">
        <v>74</v>
      </c>
      <c r="BQ807" s="1" t="s">
        <v>74</v>
      </c>
      <c r="BR807" s="1" t="s">
        <v>74</v>
      </c>
      <c r="BS807" s="1" t="s">
        <v>7901</v>
      </c>
      <c r="BT807" s="1" t="str">
        <f>HYPERLINK("https%3A%2F%2Fwww.webofscience.com%2Fwos%2Fwoscc%2Ffull-record%2FWOS:000366225900041","View Full Record in Web of Science")</f>
        <v>View Full Record in Web of Science</v>
      </c>
    </row>
    <row r="808" ht="12.75" customHeight="1">
      <c r="A808" s="1" t="s">
        <v>72</v>
      </c>
      <c r="B808" s="1" t="s">
        <v>7902</v>
      </c>
      <c r="C808" s="1" t="s">
        <v>74</v>
      </c>
      <c r="D808" s="1" t="s">
        <v>74</v>
      </c>
      <c r="E808" s="1" t="s">
        <v>74</v>
      </c>
      <c r="F808" s="1" t="s">
        <v>7903</v>
      </c>
      <c r="G808" s="1" t="s">
        <v>74</v>
      </c>
      <c r="H808" s="1" t="s">
        <v>74</v>
      </c>
      <c r="I808" s="1" t="s">
        <v>7904</v>
      </c>
      <c r="J808" s="1" t="s">
        <v>7225</v>
      </c>
      <c r="K808" s="1" t="s">
        <v>74</v>
      </c>
      <c r="L808" s="1" t="s">
        <v>74</v>
      </c>
      <c r="M808" s="1" t="s">
        <v>74</v>
      </c>
      <c r="N808" s="1" t="s">
        <v>74</v>
      </c>
      <c r="O808" s="1" t="s">
        <v>74</v>
      </c>
      <c r="P808" s="1" t="s">
        <v>74</v>
      </c>
      <c r="Q808" s="1" t="s">
        <v>74</v>
      </c>
      <c r="R808" s="1" t="s">
        <v>74</v>
      </c>
      <c r="S808" s="1" t="s">
        <v>74</v>
      </c>
      <c r="T808" s="1" t="s">
        <v>74</v>
      </c>
      <c r="U808" s="1" t="s">
        <v>74</v>
      </c>
      <c r="V808" s="1" t="s">
        <v>7905</v>
      </c>
      <c r="W808" s="1" t="s">
        <v>74</v>
      </c>
      <c r="X808" s="1" t="s">
        <v>74</v>
      </c>
      <c r="Y808" s="1" t="s">
        <v>74</v>
      </c>
      <c r="Z808" s="1" t="s">
        <v>74</v>
      </c>
      <c r="AA808" s="1" t="s">
        <v>5667</v>
      </c>
      <c r="AB808" s="1" t="s">
        <v>5668</v>
      </c>
      <c r="AC808" s="1" t="s">
        <v>74</v>
      </c>
      <c r="AD808" s="1" t="s">
        <v>74</v>
      </c>
      <c r="AE808" s="1" t="s">
        <v>74</v>
      </c>
      <c r="AF808" s="1" t="s">
        <v>74</v>
      </c>
      <c r="AG808" s="1" t="s">
        <v>74</v>
      </c>
      <c r="AH808" s="1" t="s">
        <v>74</v>
      </c>
      <c r="AI808" s="1" t="s">
        <v>74</v>
      </c>
      <c r="AJ808" s="1" t="s">
        <v>74</v>
      </c>
      <c r="AK808" s="1" t="s">
        <v>74</v>
      </c>
      <c r="AL808" s="1" t="s">
        <v>74</v>
      </c>
      <c r="AM808" s="1" t="s">
        <v>74</v>
      </c>
      <c r="AN808" s="1" t="s">
        <v>74</v>
      </c>
      <c r="AO808" s="1" t="s">
        <v>74</v>
      </c>
      <c r="AP808" s="1" t="s">
        <v>7229</v>
      </c>
      <c r="AQ808" s="1" t="s">
        <v>74</v>
      </c>
      <c r="AR808" s="1" t="s">
        <v>74</v>
      </c>
      <c r="AS808" s="1" t="s">
        <v>74</v>
      </c>
      <c r="AT808" s="1" t="s">
        <v>90</v>
      </c>
      <c r="AU808" s="1">
        <v>2015.0</v>
      </c>
      <c r="AV808" s="1">
        <v>67.0</v>
      </c>
      <c r="AW808" s="1" t="s">
        <v>74</v>
      </c>
      <c r="AX808" s="1" t="s">
        <v>74</v>
      </c>
      <c r="AY808" s="1" t="s">
        <v>74</v>
      </c>
      <c r="AZ808" s="1" t="s">
        <v>74</v>
      </c>
      <c r="BA808" s="1" t="s">
        <v>74</v>
      </c>
      <c r="BB808" s="1" t="s">
        <v>74</v>
      </c>
      <c r="BC808" s="1" t="s">
        <v>74</v>
      </c>
      <c r="BD808" s="1">
        <v>148.0</v>
      </c>
      <c r="BE808" s="1" t="s">
        <v>7906</v>
      </c>
      <c r="BF808" s="2" t="str">
        <f>HYPERLINK("http://dx.doi.org/10.1186/s40623-015-0319-7","http://dx.doi.org/10.1186/s40623-015-0319-7")</f>
        <v>http://dx.doi.org/10.1186/s40623-015-0319-7</v>
      </c>
      <c r="BG808" s="1" t="s">
        <v>74</v>
      </c>
      <c r="BH808" s="1" t="s">
        <v>74</v>
      </c>
      <c r="BI808" s="1" t="s">
        <v>74</v>
      </c>
      <c r="BJ808" s="1" t="s">
        <v>74</v>
      </c>
      <c r="BK808" s="1" t="s">
        <v>74</v>
      </c>
      <c r="BL808" s="1" t="s">
        <v>74</v>
      </c>
      <c r="BM808" s="1" t="s">
        <v>74</v>
      </c>
      <c r="BN808" s="1" t="s">
        <v>74</v>
      </c>
      <c r="BO808" s="1" t="s">
        <v>74</v>
      </c>
      <c r="BP808" s="1" t="s">
        <v>74</v>
      </c>
      <c r="BQ808" s="1" t="s">
        <v>74</v>
      </c>
      <c r="BR808" s="1" t="s">
        <v>74</v>
      </c>
      <c r="BS808" s="1" t="s">
        <v>7907</v>
      </c>
      <c r="BT808" s="1" t="str">
        <f>HYPERLINK("https%3A%2F%2Fwww.webofscience.com%2Fwos%2Fwoscc%2Ffull-record%2FWOS:000361282000002","View Full Record in Web of Science")</f>
        <v>View Full Record in Web of Science</v>
      </c>
    </row>
    <row r="809" ht="12.75" customHeight="1">
      <c r="A809" s="1" t="s">
        <v>72</v>
      </c>
      <c r="B809" s="1" t="s">
        <v>7463</v>
      </c>
      <c r="C809" s="1" t="s">
        <v>74</v>
      </c>
      <c r="D809" s="1" t="s">
        <v>74</v>
      </c>
      <c r="E809" s="1" t="s">
        <v>74</v>
      </c>
      <c r="F809" s="1" t="s">
        <v>7908</v>
      </c>
      <c r="G809" s="1" t="s">
        <v>74</v>
      </c>
      <c r="H809" s="1" t="s">
        <v>74</v>
      </c>
      <c r="I809" s="1" t="s">
        <v>7909</v>
      </c>
      <c r="J809" s="1" t="s">
        <v>7910</v>
      </c>
      <c r="K809" s="1" t="s">
        <v>74</v>
      </c>
      <c r="L809" s="1" t="s">
        <v>74</v>
      </c>
      <c r="M809" s="1" t="s">
        <v>74</v>
      </c>
      <c r="N809" s="1" t="s">
        <v>74</v>
      </c>
      <c r="O809" s="1" t="s">
        <v>74</v>
      </c>
      <c r="P809" s="1" t="s">
        <v>74</v>
      </c>
      <c r="Q809" s="1" t="s">
        <v>74</v>
      </c>
      <c r="R809" s="1" t="s">
        <v>74</v>
      </c>
      <c r="S809" s="1" t="s">
        <v>74</v>
      </c>
      <c r="T809" s="1" t="s">
        <v>74</v>
      </c>
      <c r="U809" s="1" t="s">
        <v>74</v>
      </c>
      <c r="V809" s="1" t="s">
        <v>7911</v>
      </c>
      <c r="W809" s="1" t="s">
        <v>74</v>
      </c>
      <c r="X809" s="1" t="s">
        <v>74</v>
      </c>
      <c r="Y809" s="1" t="s">
        <v>74</v>
      </c>
      <c r="Z809" s="1" t="s">
        <v>74</v>
      </c>
      <c r="AA809" s="1" t="s">
        <v>7468</v>
      </c>
      <c r="AB809" s="1" t="s">
        <v>5814</v>
      </c>
      <c r="AC809" s="1" t="s">
        <v>74</v>
      </c>
      <c r="AD809" s="1" t="s">
        <v>74</v>
      </c>
      <c r="AE809" s="1" t="s">
        <v>74</v>
      </c>
      <c r="AF809" s="1" t="s">
        <v>74</v>
      </c>
      <c r="AG809" s="1" t="s">
        <v>74</v>
      </c>
      <c r="AH809" s="1" t="s">
        <v>74</v>
      </c>
      <c r="AI809" s="1" t="s">
        <v>74</v>
      </c>
      <c r="AJ809" s="1" t="s">
        <v>74</v>
      </c>
      <c r="AK809" s="1" t="s">
        <v>74</v>
      </c>
      <c r="AL809" s="1" t="s">
        <v>74</v>
      </c>
      <c r="AM809" s="1" t="s">
        <v>74</v>
      </c>
      <c r="AN809" s="1" t="s">
        <v>74</v>
      </c>
      <c r="AO809" s="1" t="s">
        <v>7912</v>
      </c>
      <c r="AP809" s="1" t="s">
        <v>7913</v>
      </c>
      <c r="AQ809" s="1" t="s">
        <v>74</v>
      </c>
      <c r="AR809" s="1" t="s">
        <v>74</v>
      </c>
      <c r="AS809" s="1" t="s">
        <v>74</v>
      </c>
      <c r="AT809" s="1" t="s">
        <v>350</v>
      </c>
      <c r="AU809" s="1">
        <v>2015.0</v>
      </c>
      <c r="AV809" s="1">
        <v>13.0</v>
      </c>
      <c r="AW809" s="1">
        <v>3.0</v>
      </c>
      <c r="AX809" s="1" t="s">
        <v>74</v>
      </c>
      <c r="AY809" s="1" t="s">
        <v>74</v>
      </c>
      <c r="AZ809" s="1" t="s">
        <v>74</v>
      </c>
      <c r="BA809" s="1" t="s">
        <v>74</v>
      </c>
      <c r="BB809" s="1">
        <v>289.0</v>
      </c>
      <c r="BC809" s="1">
        <v>298.0</v>
      </c>
      <c r="BD809" s="1" t="s">
        <v>74</v>
      </c>
      <c r="BE809" s="1" t="s">
        <v>7914</v>
      </c>
      <c r="BF809" s="2" t="str">
        <f>HYPERLINK("http://dx.doi.org/10.1057/kmrp.2013.50","http://dx.doi.org/10.1057/kmrp.2013.50")</f>
        <v>http://dx.doi.org/10.1057/kmrp.2013.50</v>
      </c>
      <c r="BG809" s="1" t="s">
        <v>74</v>
      </c>
      <c r="BH809" s="1" t="s">
        <v>74</v>
      </c>
      <c r="BI809" s="1" t="s">
        <v>74</v>
      </c>
      <c r="BJ809" s="1" t="s">
        <v>74</v>
      </c>
      <c r="BK809" s="1" t="s">
        <v>74</v>
      </c>
      <c r="BL809" s="1" t="s">
        <v>74</v>
      </c>
      <c r="BM809" s="1" t="s">
        <v>74</v>
      </c>
      <c r="BN809" s="1" t="s">
        <v>74</v>
      </c>
      <c r="BO809" s="1" t="s">
        <v>74</v>
      </c>
      <c r="BP809" s="1" t="s">
        <v>74</v>
      </c>
      <c r="BQ809" s="1" t="s">
        <v>74</v>
      </c>
      <c r="BR809" s="1" t="s">
        <v>74</v>
      </c>
      <c r="BS809" s="1" t="s">
        <v>7915</v>
      </c>
      <c r="BT809" s="1" t="str">
        <f>HYPERLINK("https%3A%2F%2Fwww.webofscience.com%2Fwos%2Fwoscc%2Ffull-record%2FWOS:000361070600006","View Full Record in Web of Science")</f>
        <v>View Full Record in Web of Science</v>
      </c>
    </row>
    <row r="810" ht="12.75" customHeight="1">
      <c r="A810" s="1" t="s">
        <v>72</v>
      </c>
      <c r="B810" s="1" t="s">
        <v>7916</v>
      </c>
      <c r="C810" s="1" t="s">
        <v>74</v>
      </c>
      <c r="D810" s="1" t="s">
        <v>74</v>
      </c>
      <c r="E810" s="1" t="s">
        <v>74</v>
      </c>
      <c r="F810" s="1" t="s">
        <v>7917</v>
      </c>
      <c r="G810" s="1" t="s">
        <v>74</v>
      </c>
      <c r="H810" s="1" t="s">
        <v>74</v>
      </c>
      <c r="I810" s="1" t="s">
        <v>7918</v>
      </c>
      <c r="J810" s="1" t="s">
        <v>7919</v>
      </c>
      <c r="K810" s="1" t="s">
        <v>74</v>
      </c>
      <c r="L810" s="1" t="s">
        <v>74</v>
      </c>
      <c r="M810" s="1" t="s">
        <v>74</v>
      </c>
      <c r="N810" s="1" t="s">
        <v>74</v>
      </c>
      <c r="O810" s="1" t="s">
        <v>74</v>
      </c>
      <c r="P810" s="1" t="s">
        <v>74</v>
      </c>
      <c r="Q810" s="1" t="s">
        <v>74</v>
      </c>
      <c r="R810" s="1" t="s">
        <v>74</v>
      </c>
      <c r="S810" s="1" t="s">
        <v>74</v>
      </c>
      <c r="T810" s="1" t="s">
        <v>74</v>
      </c>
      <c r="U810" s="1" t="s">
        <v>74</v>
      </c>
      <c r="V810" s="1" t="s">
        <v>7920</v>
      </c>
      <c r="W810" s="1" t="s">
        <v>74</v>
      </c>
      <c r="X810" s="1" t="s">
        <v>74</v>
      </c>
      <c r="Y810" s="1" t="s">
        <v>74</v>
      </c>
      <c r="Z810" s="1" t="s">
        <v>74</v>
      </c>
      <c r="AA810" s="1" t="s">
        <v>7921</v>
      </c>
      <c r="AB810" s="1" t="s">
        <v>7922</v>
      </c>
      <c r="AC810" s="1" t="s">
        <v>74</v>
      </c>
      <c r="AD810" s="1" t="s">
        <v>74</v>
      </c>
      <c r="AE810" s="1" t="s">
        <v>74</v>
      </c>
      <c r="AF810" s="1" t="s">
        <v>74</v>
      </c>
      <c r="AG810" s="1" t="s">
        <v>74</v>
      </c>
      <c r="AH810" s="1" t="s">
        <v>74</v>
      </c>
      <c r="AI810" s="1" t="s">
        <v>74</v>
      </c>
      <c r="AJ810" s="1" t="s">
        <v>74</v>
      </c>
      <c r="AK810" s="1" t="s">
        <v>74</v>
      </c>
      <c r="AL810" s="1" t="s">
        <v>74</v>
      </c>
      <c r="AM810" s="1" t="s">
        <v>74</v>
      </c>
      <c r="AN810" s="1" t="s">
        <v>74</v>
      </c>
      <c r="AO810" s="1" t="s">
        <v>7923</v>
      </c>
      <c r="AP810" s="1" t="s">
        <v>7924</v>
      </c>
      <c r="AQ810" s="1" t="s">
        <v>74</v>
      </c>
      <c r="AR810" s="1" t="s">
        <v>74</v>
      </c>
      <c r="AS810" s="1" t="s">
        <v>74</v>
      </c>
      <c r="AT810" s="1" t="s">
        <v>339</v>
      </c>
      <c r="AU810" s="1">
        <v>2014.0</v>
      </c>
      <c r="AV810" s="1">
        <v>17.0</v>
      </c>
      <c r="AW810" s="1">
        <v>5.0</v>
      </c>
      <c r="AX810" s="1" t="s">
        <v>74</v>
      </c>
      <c r="AY810" s="1" t="s">
        <v>74</v>
      </c>
      <c r="AZ810" s="1" t="s">
        <v>74</v>
      </c>
      <c r="BA810" s="1" t="s">
        <v>74</v>
      </c>
      <c r="BB810" s="1">
        <v>757.0</v>
      </c>
      <c r="BC810" s="1">
        <v>780.0</v>
      </c>
      <c r="BD810" s="1" t="s">
        <v>74</v>
      </c>
      <c r="BE810" s="1" t="s">
        <v>7925</v>
      </c>
      <c r="BF810" s="2" t="str">
        <f>HYPERLINK("http://dx.doi.org/10.1515/jgth-2014-0020","http://dx.doi.org/10.1515/jgth-2014-0020")</f>
        <v>http://dx.doi.org/10.1515/jgth-2014-0020</v>
      </c>
      <c r="BG810" s="1" t="s">
        <v>74</v>
      </c>
      <c r="BH810" s="1" t="s">
        <v>74</v>
      </c>
      <c r="BI810" s="1" t="s">
        <v>74</v>
      </c>
      <c r="BJ810" s="1" t="s">
        <v>74</v>
      </c>
      <c r="BK810" s="1" t="s">
        <v>74</v>
      </c>
      <c r="BL810" s="1" t="s">
        <v>74</v>
      </c>
      <c r="BM810" s="1" t="s">
        <v>74</v>
      </c>
      <c r="BN810" s="1" t="s">
        <v>74</v>
      </c>
      <c r="BO810" s="1" t="s">
        <v>74</v>
      </c>
      <c r="BP810" s="1" t="s">
        <v>74</v>
      </c>
      <c r="BQ810" s="1" t="s">
        <v>74</v>
      </c>
      <c r="BR810" s="1" t="s">
        <v>74</v>
      </c>
      <c r="BS810" s="1" t="s">
        <v>7926</v>
      </c>
      <c r="BT810" s="1" t="str">
        <f>HYPERLINK("https%3A%2F%2Fwww.webofscience.com%2Fwos%2Fwoscc%2Ffull-record%2FWOS:000341809100002","View Full Record in Web of Science")</f>
        <v>View Full Record in Web of Science</v>
      </c>
    </row>
    <row r="811" ht="12.75" customHeight="1">
      <c r="A811" s="1" t="s">
        <v>72</v>
      </c>
      <c r="B811" s="1" t="s">
        <v>7927</v>
      </c>
      <c r="C811" s="1" t="s">
        <v>74</v>
      </c>
      <c r="D811" s="1" t="s">
        <v>74</v>
      </c>
      <c r="E811" s="1" t="s">
        <v>74</v>
      </c>
      <c r="F811" s="1" t="s">
        <v>7928</v>
      </c>
      <c r="G811" s="1" t="s">
        <v>74</v>
      </c>
      <c r="H811" s="1" t="s">
        <v>74</v>
      </c>
      <c r="I811" s="1" t="s">
        <v>7929</v>
      </c>
      <c r="J811" s="1" t="s">
        <v>7930</v>
      </c>
      <c r="K811" s="1" t="s">
        <v>74</v>
      </c>
      <c r="L811" s="1" t="s">
        <v>74</v>
      </c>
      <c r="M811" s="1" t="s">
        <v>74</v>
      </c>
      <c r="N811" s="1" t="s">
        <v>74</v>
      </c>
      <c r="O811" s="1" t="s">
        <v>74</v>
      </c>
      <c r="P811" s="1" t="s">
        <v>74</v>
      </c>
      <c r="Q811" s="1" t="s">
        <v>74</v>
      </c>
      <c r="R811" s="1" t="s">
        <v>74</v>
      </c>
      <c r="S811" s="1" t="s">
        <v>74</v>
      </c>
      <c r="T811" s="1" t="s">
        <v>74</v>
      </c>
      <c r="U811" s="1" t="s">
        <v>74</v>
      </c>
      <c r="V811" s="1" t="s">
        <v>7931</v>
      </c>
      <c r="W811" s="1" t="s">
        <v>74</v>
      </c>
      <c r="X811" s="1" t="s">
        <v>74</v>
      </c>
      <c r="Y811" s="1" t="s">
        <v>74</v>
      </c>
      <c r="Z811" s="1" t="s">
        <v>74</v>
      </c>
      <c r="AA811" s="1" t="s">
        <v>7932</v>
      </c>
      <c r="AB811" s="1" t="s">
        <v>7933</v>
      </c>
      <c r="AC811" s="1" t="s">
        <v>74</v>
      </c>
      <c r="AD811" s="1" t="s">
        <v>74</v>
      </c>
      <c r="AE811" s="1" t="s">
        <v>74</v>
      </c>
      <c r="AF811" s="1" t="s">
        <v>74</v>
      </c>
      <c r="AG811" s="1" t="s">
        <v>74</v>
      </c>
      <c r="AH811" s="1" t="s">
        <v>74</v>
      </c>
      <c r="AI811" s="1" t="s">
        <v>74</v>
      </c>
      <c r="AJ811" s="1" t="s">
        <v>74</v>
      </c>
      <c r="AK811" s="1" t="s">
        <v>74</v>
      </c>
      <c r="AL811" s="1" t="s">
        <v>74</v>
      </c>
      <c r="AM811" s="1" t="s">
        <v>74</v>
      </c>
      <c r="AN811" s="1" t="s">
        <v>74</v>
      </c>
      <c r="AO811" s="1" t="s">
        <v>7934</v>
      </c>
      <c r="AP811" s="1" t="s">
        <v>7935</v>
      </c>
      <c r="AQ811" s="1" t="s">
        <v>74</v>
      </c>
      <c r="AR811" s="1" t="s">
        <v>74</v>
      </c>
      <c r="AS811" s="1" t="s">
        <v>74</v>
      </c>
      <c r="AT811" s="1" t="s">
        <v>158</v>
      </c>
      <c r="AU811" s="1">
        <v>2014.0</v>
      </c>
      <c r="AV811" s="1">
        <v>102.0</v>
      </c>
      <c r="AW811" s="1" t="s">
        <v>74</v>
      </c>
      <c r="AX811" s="1" t="s">
        <v>74</v>
      </c>
      <c r="AY811" s="1" t="s">
        <v>74</v>
      </c>
      <c r="AZ811" s="1" t="s">
        <v>74</v>
      </c>
      <c r="BA811" s="1" t="s">
        <v>74</v>
      </c>
      <c r="BB811" s="1">
        <v>174.0</v>
      </c>
      <c r="BC811" s="1">
        <v>182.0</v>
      </c>
      <c r="BD811" s="1" t="s">
        <v>74</v>
      </c>
      <c r="BE811" s="1" t="s">
        <v>7936</v>
      </c>
      <c r="BF811" s="2" t="str">
        <f>HYPERLINK("http://dx.doi.org/10.1016/j.biochi.2014.03.008","http://dx.doi.org/10.1016/j.biochi.2014.03.008")</f>
        <v>http://dx.doi.org/10.1016/j.biochi.2014.03.008</v>
      </c>
      <c r="BG811" s="1" t="s">
        <v>74</v>
      </c>
      <c r="BH811" s="1" t="s">
        <v>74</v>
      </c>
      <c r="BI811" s="1" t="s">
        <v>74</v>
      </c>
      <c r="BJ811" s="1" t="s">
        <v>74</v>
      </c>
      <c r="BK811" s="1" t="s">
        <v>74</v>
      </c>
      <c r="BL811" s="1" t="s">
        <v>74</v>
      </c>
      <c r="BM811" s="1" t="s">
        <v>74</v>
      </c>
      <c r="BN811" s="1">
        <v>2.4680738E7</v>
      </c>
      <c r="BO811" s="1" t="s">
        <v>74</v>
      </c>
      <c r="BP811" s="1" t="s">
        <v>74</v>
      </c>
      <c r="BQ811" s="1" t="s">
        <v>74</v>
      </c>
      <c r="BR811" s="1" t="s">
        <v>74</v>
      </c>
      <c r="BS811" s="1" t="s">
        <v>7937</v>
      </c>
      <c r="BT811" s="1" t="str">
        <f>HYPERLINK("https%3A%2F%2Fwww.webofscience.com%2Fwos%2Fwoscc%2Ffull-record%2FWOS:000338623600020","View Full Record in Web of Science")</f>
        <v>View Full Record in Web of Science</v>
      </c>
    </row>
    <row r="812" ht="12.75" customHeight="1">
      <c r="A812" s="1" t="s">
        <v>72</v>
      </c>
      <c r="B812" s="1" t="s">
        <v>1592</v>
      </c>
      <c r="C812" s="1" t="s">
        <v>74</v>
      </c>
      <c r="D812" s="1" t="s">
        <v>74</v>
      </c>
      <c r="E812" s="1" t="s">
        <v>74</v>
      </c>
      <c r="F812" s="1" t="s">
        <v>1593</v>
      </c>
      <c r="G812" s="1" t="s">
        <v>74</v>
      </c>
      <c r="H812" s="1" t="s">
        <v>74</v>
      </c>
      <c r="I812" s="1" t="s">
        <v>7938</v>
      </c>
      <c r="J812" s="1" t="s">
        <v>4516</v>
      </c>
      <c r="K812" s="1" t="s">
        <v>74</v>
      </c>
      <c r="L812" s="1" t="s">
        <v>74</v>
      </c>
      <c r="M812" s="1" t="s">
        <v>74</v>
      </c>
      <c r="N812" s="1" t="s">
        <v>74</v>
      </c>
      <c r="O812" s="1" t="s">
        <v>74</v>
      </c>
      <c r="P812" s="1" t="s">
        <v>74</v>
      </c>
      <c r="Q812" s="1" t="s">
        <v>74</v>
      </c>
      <c r="R812" s="1" t="s">
        <v>74</v>
      </c>
      <c r="S812" s="1" t="s">
        <v>74</v>
      </c>
      <c r="T812" s="1" t="s">
        <v>74</v>
      </c>
      <c r="U812" s="1" t="s">
        <v>74</v>
      </c>
      <c r="V812" s="1" t="s">
        <v>7939</v>
      </c>
      <c r="W812" s="1" t="s">
        <v>74</v>
      </c>
      <c r="X812" s="1" t="s">
        <v>74</v>
      </c>
      <c r="Y812" s="1" t="s">
        <v>74</v>
      </c>
      <c r="Z812" s="1" t="s">
        <v>74</v>
      </c>
      <c r="AA812" s="1" t="s">
        <v>74</v>
      </c>
      <c r="AB812" s="1" t="s">
        <v>1597</v>
      </c>
      <c r="AC812" s="1" t="s">
        <v>74</v>
      </c>
      <c r="AD812" s="1" t="s">
        <v>74</v>
      </c>
      <c r="AE812" s="1" t="s">
        <v>74</v>
      </c>
      <c r="AF812" s="1" t="s">
        <v>74</v>
      </c>
      <c r="AG812" s="1" t="s">
        <v>74</v>
      </c>
      <c r="AH812" s="1" t="s">
        <v>74</v>
      </c>
      <c r="AI812" s="1" t="s">
        <v>74</v>
      </c>
      <c r="AJ812" s="1" t="s">
        <v>74</v>
      </c>
      <c r="AK812" s="1" t="s">
        <v>74</v>
      </c>
      <c r="AL812" s="1" t="s">
        <v>74</v>
      </c>
      <c r="AM812" s="1" t="s">
        <v>74</v>
      </c>
      <c r="AN812" s="1" t="s">
        <v>74</v>
      </c>
      <c r="AO812" s="1" t="s">
        <v>4520</v>
      </c>
      <c r="AP812" s="1" t="s">
        <v>4521</v>
      </c>
      <c r="AQ812" s="1" t="s">
        <v>74</v>
      </c>
      <c r="AR812" s="1" t="s">
        <v>74</v>
      </c>
      <c r="AS812" s="1" t="s">
        <v>74</v>
      </c>
      <c r="AT812" s="1" t="s">
        <v>606</v>
      </c>
      <c r="AU812" s="1">
        <v>2013.0</v>
      </c>
      <c r="AV812" s="1">
        <v>33.0</v>
      </c>
      <c r="AW812" s="1">
        <v>2.0</v>
      </c>
      <c r="AX812" s="1" t="s">
        <v>74</v>
      </c>
      <c r="AY812" s="1" t="s">
        <v>74</v>
      </c>
      <c r="AZ812" s="1" t="s">
        <v>74</v>
      </c>
      <c r="BA812" s="1" t="s">
        <v>74</v>
      </c>
      <c r="BB812" s="1">
        <v>455.0</v>
      </c>
      <c r="BC812" s="1">
        <v>460.0</v>
      </c>
      <c r="BD812" s="1" t="s">
        <v>74</v>
      </c>
      <c r="BE812" s="1" t="s">
        <v>7940</v>
      </c>
      <c r="BF812" s="2" t="str">
        <f>HYPERLINK("http://dx.doi.org/10.1016/j.foodcont.2013.03.031","http://dx.doi.org/10.1016/j.foodcont.2013.03.031")</f>
        <v>http://dx.doi.org/10.1016/j.foodcont.2013.03.031</v>
      </c>
      <c r="BG812" s="1" t="s">
        <v>74</v>
      </c>
      <c r="BH812" s="1" t="s">
        <v>74</v>
      </c>
      <c r="BI812" s="1" t="s">
        <v>74</v>
      </c>
      <c r="BJ812" s="1" t="s">
        <v>74</v>
      </c>
      <c r="BK812" s="1" t="s">
        <v>74</v>
      </c>
      <c r="BL812" s="1" t="s">
        <v>74</v>
      </c>
      <c r="BM812" s="1" t="s">
        <v>74</v>
      </c>
      <c r="BN812" s="1" t="s">
        <v>74</v>
      </c>
      <c r="BO812" s="1" t="s">
        <v>74</v>
      </c>
      <c r="BP812" s="1" t="s">
        <v>74</v>
      </c>
      <c r="BQ812" s="1" t="s">
        <v>74</v>
      </c>
      <c r="BR812" s="1" t="s">
        <v>74</v>
      </c>
      <c r="BS812" s="1" t="s">
        <v>7941</v>
      </c>
      <c r="BT812" s="1" t="str">
        <f>HYPERLINK("https%3A%2F%2Fwww.webofscience.com%2Fwos%2Fwoscc%2Ffull-record%2FWOS:000320286900021","View Full Record in Web of Science")</f>
        <v>View Full Record in Web of Science</v>
      </c>
    </row>
    <row r="813" ht="12.75" customHeight="1">
      <c r="A813" s="1" t="s">
        <v>72</v>
      </c>
      <c r="B813" s="1" t="s">
        <v>7942</v>
      </c>
      <c r="C813" s="1" t="s">
        <v>74</v>
      </c>
      <c r="D813" s="1" t="s">
        <v>74</v>
      </c>
      <c r="E813" s="1" t="s">
        <v>74</v>
      </c>
      <c r="F813" s="1" t="s">
        <v>7943</v>
      </c>
      <c r="G813" s="1" t="s">
        <v>74</v>
      </c>
      <c r="H813" s="1" t="s">
        <v>74</v>
      </c>
      <c r="I813" s="1" t="s">
        <v>7944</v>
      </c>
      <c r="J813" s="1" t="s">
        <v>2561</v>
      </c>
      <c r="K813" s="1" t="s">
        <v>74</v>
      </c>
      <c r="L813" s="1" t="s">
        <v>74</v>
      </c>
      <c r="M813" s="1" t="s">
        <v>74</v>
      </c>
      <c r="N813" s="1" t="s">
        <v>74</v>
      </c>
      <c r="O813" s="1" t="s">
        <v>74</v>
      </c>
      <c r="P813" s="1" t="s">
        <v>74</v>
      </c>
      <c r="Q813" s="1" t="s">
        <v>74</v>
      </c>
      <c r="R813" s="1" t="s">
        <v>74</v>
      </c>
      <c r="S813" s="1" t="s">
        <v>74</v>
      </c>
      <c r="T813" s="1" t="s">
        <v>74</v>
      </c>
      <c r="U813" s="1" t="s">
        <v>74</v>
      </c>
      <c r="V813" s="1" t="s">
        <v>7945</v>
      </c>
      <c r="W813" s="1" t="s">
        <v>74</v>
      </c>
      <c r="X813" s="1" t="s">
        <v>74</v>
      </c>
      <c r="Y813" s="1" t="s">
        <v>74</v>
      </c>
      <c r="Z813" s="1" t="s">
        <v>74</v>
      </c>
      <c r="AA813" s="1" t="s">
        <v>7946</v>
      </c>
      <c r="AB813" s="1" t="s">
        <v>4225</v>
      </c>
      <c r="AC813" s="1" t="s">
        <v>74</v>
      </c>
      <c r="AD813" s="1" t="s">
        <v>74</v>
      </c>
      <c r="AE813" s="1" t="s">
        <v>74</v>
      </c>
      <c r="AF813" s="1" t="s">
        <v>74</v>
      </c>
      <c r="AG813" s="1" t="s">
        <v>74</v>
      </c>
      <c r="AH813" s="1" t="s">
        <v>74</v>
      </c>
      <c r="AI813" s="1" t="s">
        <v>74</v>
      </c>
      <c r="AJ813" s="1" t="s">
        <v>74</v>
      </c>
      <c r="AK813" s="1" t="s">
        <v>74</v>
      </c>
      <c r="AL813" s="1" t="s">
        <v>74</v>
      </c>
      <c r="AM813" s="1" t="s">
        <v>74</v>
      </c>
      <c r="AN813" s="1" t="s">
        <v>74</v>
      </c>
      <c r="AO813" s="1" t="s">
        <v>2563</v>
      </c>
      <c r="AP813" s="1" t="s">
        <v>74</v>
      </c>
      <c r="AQ813" s="1" t="s">
        <v>74</v>
      </c>
      <c r="AR813" s="1" t="s">
        <v>74</v>
      </c>
      <c r="AS813" s="1" t="s">
        <v>74</v>
      </c>
      <c r="AT813" s="1" t="s">
        <v>158</v>
      </c>
      <c r="AU813" s="1">
        <v>2013.0</v>
      </c>
      <c r="AV813" s="1">
        <v>6.0</v>
      </c>
      <c r="AW813" s="1">
        <v>7.0</v>
      </c>
      <c r="AX813" s="1" t="s">
        <v>74</v>
      </c>
      <c r="AY813" s="1" t="s">
        <v>74</v>
      </c>
      <c r="AZ813" s="1" t="s">
        <v>74</v>
      </c>
      <c r="BA813" s="1" t="s">
        <v>74</v>
      </c>
      <c r="BB813" s="1">
        <v>1878.0</v>
      </c>
      <c r="BC813" s="1">
        <v>1884.0</v>
      </c>
      <c r="BD813" s="1" t="s">
        <v>74</v>
      </c>
      <c r="BE813" s="1" t="s">
        <v>7947</v>
      </c>
      <c r="BF813" s="2" t="str">
        <f>HYPERLINK("http://dx.doi.org/10.1007/s11947-011-0729-x","http://dx.doi.org/10.1007/s11947-011-0729-x")</f>
        <v>http://dx.doi.org/10.1007/s11947-011-0729-x</v>
      </c>
      <c r="BG813" s="1" t="s">
        <v>74</v>
      </c>
      <c r="BH813" s="1" t="s">
        <v>74</v>
      </c>
      <c r="BI813" s="1" t="s">
        <v>74</v>
      </c>
      <c r="BJ813" s="1" t="s">
        <v>74</v>
      </c>
      <c r="BK813" s="1" t="s">
        <v>74</v>
      </c>
      <c r="BL813" s="1" t="s">
        <v>74</v>
      </c>
      <c r="BM813" s="1" t="s">
        <v>74</v>
      </c>
      <c r="BN813" s="1" t="s">
        <v>74</v>
      </c>
      <c r="BO813" s="1" t="s">
        <v>74</v>
      </c>
      <c r="BP813" s="1" t="s">
        <v>74</v>
      </c>
      <c r="BQ813" s="1" t="s">
        <v>74</v>
      </c>
      <c r="BR813" s="1" t="s">
        <v>74</v>
      </c>
      <c r="BS813" s="1" t="s">
        <v>7948</v>
      </c>
      <c r="BT813" s="1" t="str">
        <f>HYPERLINK("https%3A%2F%2Fwww.webofscience.com%2Fwos%2Fwoscc%2Ffull-record%2FWOS:000320695700027","View Full Record in Web of Science")</f>
        <v>View Full Record in Web of Science</v>
      </c>
    </row>
    <row r="814" ht="12.75" customHeight="1">
      <c r="A814" s="1" t="s">
        <v>72</v>
      </c>
      <c r="B814" s="1" t="s">
        <v>7949</v>
      </c>
      <c r="C814" s="1" t="s">
        <v>74</v>
      </c>
      <c r="D814" s="1" t="s">
        <v>74</v>
      </c>
      <c r="E814" s="1" t="s">
        <v>74</v>
      </c>
      <c r="F814" s="1" t="s">
        <v>7950</v>
      </c>
      <c r="G814" s="1" t="s">
        <v>74</v>
      </c>
      <c r="H814" s="1" t="s">
        <v>74</v>
      </c>
      <c r="I814" s="1" t="s">
        <v>7951</v>
      </c>
      <c r="J814" s="1" t="s">
        <v>4570</v>
      </c>
      <c r="K814" s="1" t="s">
        <v>74</v>
      </c>
      <c r="L814" s="1" t="s">
        <v>74</v>
      </c>
      <c r="M814" s="1" t="s">
        <v>74</v>
      </c>
      <c r="N814" s="1" t="s">
        <v>74</v>
      </c>
      <c r="O814" s="1" t="s">
        <v>7952</v>
      </c>
      <c r="P814" s="1" t="s">
        <v>7953</v>
      </c>
      <c r="Q814" s="1" t="s">
        <v>7954</v>
      </c>
      <c r="R814" s="1" t="s">
        <v>74</v>
      </c>
      <c r="S814" s="1" t="s">
        <v>74</v>
      </c>
      <c r="T814" s="1" t="s">
        <v>74</v>
      </c>
      <c r="U814" s="1" t="s">
        <v>74</v>
      </c>
      <c r="V814" s="1" t="s">
        <v>74</v>
      </c>
      <c r="W814" s="1" t="s">
        <v>74</v>
      </c>
      <c r="X814" s="1" t="s">
        <v>74</v>
      </c>
      <c r="Y814" s="1" t="s">
        <v>74</v>
      </c>
      <c r="Z814" s="1" t="s">
        <v>74</v>
      </c>
      <c r="AA814" s="1" t="s">
        <v>4574</v>
      </c>
      <c r="AB814" s="1" t="s">
        <v>74</v>
      </c>
      <c r="AC814" s="1" t="s">
        <v>74</v>
      </c>
      <c r="AD814" s="1" t="s">
        <v>74</v>
      </c>
      <c r="AE814" s="1" t="s">
        <v>74</v>
      </c>
      <c r="AF814" s="1" t="s">
        <v>74</v>
      </c>
      <c r="AG814" s="1" t="s">
        <v>74</v>
      </c>
      <c r="AH814" s="1" t="s">
        <v>74</v>
      </c>
      <c r="AI814" s="1" t="s">
        <v>74</v>
      </c>
      <c r="AJ814" s="1" t="s">
        <v>74</v>
      </c>
      <c r="AK814" s="1" t="s">
        <v>74</v>
      </c>
      <c r="AL814" s="1" t="s">
        <v>74</v>
      </c>
      <c r="AM814" s="1" t="s">
        <v>74</v>
      </c>
      <c r="AN814" s="1" t="s">
        <v>74</v>
      </c>
      <c r="AO814" s="1" t="s">
        <v>4575</v>
      </c>
      <c r="AP814" s="1" t="s">
        <v>74</v>
      </c>
      <c r="AQ814" s="1" t="s">
        <v>74</v>
      </c>
      <c r="AR814" s="1" t="s">
        <v>74</v>
      </c>
      <c r="AS814" s="1" t="s">
        <v>74</v>
      </c>
      <c r="AT814" s="1" t="s">
        <v>158</v>
      </c>
      <c r="AU814" s="1">
        <v>2013.0</v>
      </c>
      <c r="AV814" s="1">
        <v>61.0</v>
      </c>
      <c r="AW814" s="1" t="s">
        <v>74</v>
      </c>
      <c r="AX814" s="1" t="s">
        <v>74</v>
      </c>
      <c r="AY814" s="1">
        <v>1.0</v>
      </c>
      <c r="AZ814" s="1" t="s">
        <v>74</v>
      </c>
      <c r="BA814" s="1" t="s">
        <v>74</v>
      </c>
      <c r="BB814" s="1" t="s">
        <v>7955</v>
      </c>
      <c r="BC814" s="1" t="s">
        <v>7955</v>
      </c>
      <c r="BD814" s="1" t="s">
        <v>74</v>
      </c>
      <c r="BE814" s="1" t="s">
        <v>74</v>
      </c>
      <c r="BF814" s="1" t="s">
        <v>74</v>
      </c>
      <c r="BG814" s="1" t="s">
        <v>74</v>
      </c>
      <c r="BH814" s="1" t="s">
        <v>74</v>
      </c>
      <c r="BI814" s="1" t="s">
        <v>74</v>
      </c>
      <c r="BJ814" s="1" t="s">
        <v>74</v>
      </c>
      <c r="BK814" s="1" t="s">
        <v>74</v>
      </c>
      <c r="BL814" s="1" t="s">
        <v>74</v>
      </c>
      <c r="BM814" s="1" t="s">
        <v>74</v>
      </c>
      <c r="BN814" s="1" t="s">
        <v>74</v>
      </c>
      <c r="BO814" s="1" t="s">
        <v>74</v>
      </c>
      <c r="BP814" s="1" t="s">
        <v>74</v>
      </c>
      <c r="BQ814" s="1" t="s">
        <v>74</v>
      </c>
      <c r="BR814" s="1" t="s">
        <v>74</v>
      </c>
      <c r="BS814" s="1" t="s">
        <v>7956</v>
      </c>
      <c r="BT814" s="1" t="str">
        <f>HYPERLINK("https%3A%2F%2Fwww.webofscience.com%2Fwos%2Fwoscc%2Ffull-record%2FWOS:000320408400588","View Full Record in Web of Science")</f>
        <v>View Full Record in Web of Science</v>
      </c>
    </row>
    <row r="815" ht="12.75" customHeight="1">
      <c r="A815" s="1" t="s">
        <v>72</v>
      </c>
      <c r="B815" s="1" t="s">
        <v>7957</v>
      </c>
      <c r="C815" s="1" t="s">
        <v>74</v>
      </c>
      <c r="D815" s="1" t="s">
        <v>74</v>
      </c>
      <c r="E815" s="1" t="s">
        <v>74</v>
      </c>
      <c r="F815" s="1" t="s">
        <v>7958</v>
      </c>
      <c r="G815" s="1" t="s">
        <v>74</v>
      </c>
      <c r="H815" s="1" t="s">
        <v>74</v>
      </c>
      <c r="I815" s="1" t="s">
        <v>7959</v>
      </c>
      <c r="J815" s="1" t="s">
        <v>1128</v>
      </c>
      <c r="K815" s="1" t="s">
        <v>74</v>
      </c>
      <c r="L815" s="1" t="s">
        <v>74</v>
      </c>
      <c r="M815" s="1" t="s">
        <v>74</v>
      </c>
      <c r="N815" s="1" t="s">
        <v>74</v>
      </c>
      <c r="O815" s="1" t="s">
        <v>74</v>
      </c>
      <c r="P815" s="1" t="s">
        <v>74</v>
      </c>
      <c r="Q815" s="1" t="s">
        <v>74</v>
      </c>
      <c r="R815" s="1" t="s">
        <v>74</v>
      </c>
      <c r="S815" s="1" t="s">
        <v>74</v>
      </c>
      <c r="T815" s="1" t="s">
        <v>74</v>
      </c>
      <c r="U815" s="1" t="s">
        <v>74</v>
      </c>
      <c r="V815" s="1" t="s">
        <v>7960</v>
      </c>
      <c r="W815" s="1" t="s">
        <v>74</v>
      </c>
      <c r="X815" s="1" t="s">
        <v>74</v>
      </c>
      <c r="Y815" s="1" t="s">
        <v>74</v>
      </c>
      <c r="Z815" s="1" t="s">
        <v>74</v>
      </c>
      <c r="AA815" s="1" t="s">
        <v>7961</v>
      </c>
      <c r="AB815" s="1" t="s">
        <v>74</v>
      </c>
      <c r="AC815" s="1" t="s">
        <v>74</v>
      </c>
      <c r="AD815" s="1" t="s">
        <v>74</v>
      </c>
      <c r="AE815" s="1" t="s">
        <v>74</v>
      </c>
      <c r="AF815" s="1" t="s">
        <v>74</v>
      </c>
      <c r="AG815" s="1" t="s">
        <v>74</v>
      </c>
      <c r="AH815" s="1" t="s">
        <v>74</v>
      </c>
      <c r="AI815" s="1" t="s">
        <v>74</v>
      </c>
      <c r="AJ815" s="1" t="s">
        <v>74</v>
      </c>
      <c r="AK815" s="1" t="s">
        <v>74</v>
      </c>
      <c r="AL815" s="1" t="s">
        <v>74</v>
      </c>
      <c r="AM815" s="1" t="s">
        <v>74</v>
      </c>
      <c r="AN815" s="1" t="s">
        <v>74</v>
      </c>
      <c r="AO815" s="1" t="s">
        <v>7962</v>
      </c>
      <c r="AP815" s="1" t="s">
        <v>74</v>
      </c>
      <c r="AQ815" s="1" t="s">
        <v>74</v>
      </c>
      <c r="AR815" s="1" t="s">
        <v>74</v>
      </c>
      <c r="AS815" s="1" t="s">
        <v>74</v>
      </c>
      <c r="AT815" s="1" t="s">
        <v>294</v>
      </c>
      <c r="AU815" s="1">
        <v>2013.0</v>
      </c>
      <c r="AV815" s="1">
        <v>65.0</v>
      </c>
      <c r="AW815" s="1">
        <v>3.0</v>
      </c>
      <c r="AX815" s="1" t="s">
        <v>74</v>
      </c>
      <c r="AY815" s="1" t="s">
        <v>74</v>
      </c>
      <c r="AZ815" s="1" t="s">
        <v>74</v>
      </c>
      <c r="BA815" s="1" t="s">
        <v>74</v>
      </c>
      <c r="BB815" s="1">
        <v>216.0</v>
      </c>
      <c r="BC815" s="1">
        <v>221.0</v>
      </c>
      <c r="BD815" s="1" t="s">
        <v>74</v>
      </c>
      <c r="BE815" s="1" t="s">
        <v>7963</v>
      </c>
      <c r="BF815" s="2" t="str">
        <f>HYPERLINK("http://dx.doi.org/10.4067/S0718-40262013000300004","http://dx.doi.org/10.4067/S0718-40262013000300004")</f>
        <v>http://dx.doi.org/10.4067/S0718-40262013000300004</v>
      </c>
      <c r="BG815" s="1" t="s">
        <v>74</v>
      </c>
      <c r="BH815" s="1" t="s">
        <v>74</v>
      </c>
      <c r="BI815" s="1" t="s">
        <v>74</v>
      </c>
      <c r="BJ815" s="1" t="s">
        <v>74</v>
      </c>
      <c r="BK815" s="1" t="s">
        <v>74</v>
      </c>
      <c r="BL815" s="1" t="s">
        <v>74</v>
      </c>
      <c r="BM815" s="1" t="s">
        <v>74</v>
      </c>
      <c r="BN815" s="1" t="s">
        <v>74</v>
      </c>
      <c r="BO815" s="1" t="s">
        <v>74</v>
      </c>
      <c r="BP815" s="1" t="s">
        <v>74</v>
      </c>
      <c r="BQ815" s="1" t="s">
        <v>74</v>
      </c>
      <c r="BR815" s="1" t="s">
        <v>74</v>
      </c>
      <c r="BS815" s="1" t="s">
        <v>7964</v>
      </c>
      <c r="BT815" s="1" t="str">
        <f>HYPERLINK("https%3A%2F%2Fwww.webofscience.com%2Fwos%2Fwoscc%2Ffull-record%2FWOS:000320483300004","View Full Record in Web of Science")</f>
        <v>View Full Record in Web of Science</v>
      </c>
    </row>
    <row r="816" ht="12.75" customHeight="1">
      <c r="A816" s="1" t="s">
        <v>72</v>
      </c>
      <c r="B816" s="1" t="s">
        <v>7965</v>
      </c>
      <c r="C816" s="1" t="s">
        <v>74</v>
      </c>
      <c r="D816" s="1" t="s">
        <v>74</v>
      </c>
      <c r="E816" s="1" t="s">
        <v>74</v>
      </c>
      <c r="F816" s="1" t="s">
        <v>7966</v>
      </c>
      <c r="G816" s="1" t="s">
        <v>74</v>
      </c>
      <c r="H816" s="1" t="s">
        <v>74</v>
      </c>
      <c r="I816" s="1" t="s">
        <v>7967</v>
      </c>
      <c r="J816" s="1" t="s">
        <v>959</v>
      </c>
      <c r="K816" s="1" t="s">
        <v>74</v>
      </c>
      <c r="L816" s="1" t="s">
        <v>74</v>
      </c>
      <c r="M816" s="1" t="s">
        <v>74</v>
      </c>
      <c r="N816" s="1" t="s">
        <v>74</v>
      </c>
      <c r="O816" s="1" t="s">
        <v>74</v>
      </c>
      <c r="P816" s="1" t="s">
        <v>74</v>
      </c>
      <c r="Q816" s="1" t="s">
        <v>74</v>
      </c>
      <c r="R816" s="1" t="s">
        <v>74</v>
      </c>
      <c r="S816" s="1" t="s">
        <v>74</v>
      </c>
      <c r="T816" s="1" t="s">
        <v>74</v>
      </c>
      <c r="U816" s="1" t="s">
        <v>74</v>
      </c>
      <c r="V816" s="1" t="s">
        <v>7968</v>
      </c>
      <c r="W816" s="1" t="s">
        <v>74</v>
      </c>
      <c r="X816" s="1" t="s">
        <v>74</v>
      </c>
      <c r="Y816" s="1" t="s">
        <v>74</v>
      </c>
      <c r="Z816" s="1" t="s">
        <v>74</v>
      </c>
      <c r="AA816" s="1" t="s">
        <v>7969</v>
      </c>
      <c r="AB816" s="1" t="s">
        <v>7970</v>
      </c>
      <c r="AC816" s="1" t="s">
        <v>74</v>
      </c>
      <c r="AD816" s="1" t="s">
        <v>74</v>
      </c>
      <c r="AE816" s="1" t="s">
        <v>74</v>
      </c>
      <c r="AF816" s="1" t="s">
        <v>74</v>
      </c>
      <c r="AG816" s="1" t="s">
        <v>74</v>
      </c>
      <c r="AH816" s="1" t="s">
        <v>74</v>
      </c>
      <c r="AI816" s="1" t="s">
        <v>74</v>
      </c>
      <c r="AJ816" s="1" t="s">
        <v>74</v>
      </c>
      <c r="AK816" s="1" t="s">
        <v>74</v>
      </c>
      <c r="AL816" s="1" t="s">
        <v>74</v>
      </c>
      <c r="AM816" s="1" t="s">
        <v>74</v>
      </c>
      <c r="AN816" s="1" t="s">
        <v>74</v>
      </c>
      <c r="AO816" s="1" t="s">
        <v>963</v>
      </c>
      <c r="AP816" s="1" t="s">
        <v>964</v>
      </c>
      <c r="AQ816" s="1" t="s">
        <v>74</v>
      </c>
      <c r="AR816" s="1" t="s">
        <v>74</v>
      </c>
      <c r="AS816" s="1" t="s">
        <v>74</v>
      </c>
      <c r="AT816" s="1" t="s">
        <v>350</v>
      </c>
      <c r="AU816" s="1">
        <v>2012.0</v>
      </c>
      <c r="AV816" s="1">
        <v>24.0</v>
      </c>
      <c r="AW816" s="1">
        <v>8.0</v>
      </c>
      <c r="AX816" s="1" t="s">
        <v>74</v>
      </c>
      <c r="AY816" s="1" t="s">
        <v>74</v>
      </c>
      <c r="AZ816" s="1" t="s">
        <v>74</v>
      </c>
      <c r="BA816" s="1" t="s">
        <v>74</v>
      </c>
      <c r="BB816" s="1">
        <v>1709.0</v>
      </c>
      <c r="BC816" s="1">
        <v>1718.0</v>
      </c>
      <c r="BD816" s="1" t="s">
        <v>74</v>
      </c>
      <c r="BE816" s="1" t="s">
        <v>7971</v>
      </c>
      <c r="BF816" s="2" t="str">
        <f>HYPERLINK("http://dx.doi.org/10.1002/elan.201200038","http://dx.doi.org/10.1002/elan.201200038")</f>
        <v>http://dx.doi.org/10.1002/elan.201200038</v>
      </c>
      <c r="BG816" s="1" t="s">
        <v>74</v>
      </c>
      <c r="BH816" s="1" t="s">
        <v>74</v>
      </c>
      <c r="BI816" s="1" t="s">
        <v>74</v>
      </c>
      <c r="BJ816" s="1" t="s">
        <v>74</v>
      </c>
      <c r="BK816" s="1" t="s">
        <v>74</v>
      </c>
      <c r="BL816" s="1" t="s">
        <v>74</v>
      </c>
      <c r="BM816" s="1" t="s">
        <v>74</v>
      </c>
      <c r="BN816" s="1" t="s">
        <v>74</v>
      </c>
      <c r="BO816" s="1" t="s">
        <v>74</v>
      </c>
      <c r="BP816" s="1" t="s">
        <v>74</v>
      </c>
      <c r="BQ816" s="1" t="s">
        <v>74</v>
      </c>
      <c r="BR816" s="1" t="s">
        <v>74</v>
      </c>
      <c r="BS816" s="1" t="s">
        <v>7972</v>
      </c>
      <c r="BT816" s="1" t="str">
        <f>HYPERLINK("https%3A%2F%2Fwww.webofscience.com%2Fwos%2Fwoscc%2Ffull-record%2FWOS:000308398100004","View Full Record in Web of Science")</f>
        <v>View Full Record in Web of Science</v>
      </c>
    </row>
    <row r="817" ht="12.75" customHeight="1">
      <c r="A817" s="1" t="s">
        <v>72</v>
      </c>
      <c r="B817" s="1" t="s">
        <v>7973</v>
      </c>
      <c r="C817" s="1" t="s">
        <v>74</v>
      </c>
      <c r="D817" s="1" t="s">
        <v>74</v>
      </c>
      <c r="E817" s="1" t="s">
        <v>74</v>
      </c>
      <c r="F817" s="1" t="s">
        <v>7974</v>
      </c>
      <c r="G817" s="1" t="s">
        <v>74</v>
      </c>
      <c r="H817" s="1" t="s">
        <v>74</v>
      </c>
      <c r="I817" s="1" t="s">
        <v>7975</v>
      </c>
      <c r="J817" s="1" t="s">
        <v>7976</v>
      </c>
      <c r="K817" s="1" t="s">
        <v>74</v>
      </c>
      <c r="L817" s="1" t="s">
        <v>74</v>
      </c>
      <c r="M817" s="1" t="s">
        <v>74</v>
      </c>
      <c r="N817" s="1" t="s">
        <v>74</v>
      </c>
      <c r="O817" s="1" t="s">
        <v>74</v>
      </c>
      <c r="P817" s="1" t="s">
        <v>74</v>
      </c>
      <c r="Q817" s="1" t="s">
        <v>74</v>
      </c>
      <c r="R817" s="1" t="s">
        <v>74</v>
      </c>
      <c r="S817" s="1" t="s">
        <v>74</v>
      </c>
      <c r="T817" s="1" t="s">
        <v>74</v>
      </c>
      <c r="U817" s="1" t="s">
        <v>74</v>
      </c>
      <c r="V817" s="1" t="s">
        <v>7977</v>
      </c>
      <c r="W817" s="1" t="s">
        <v>74</v>
      </c>
      <c r="X817" s="1" t="s">
        <v>74</v>
      </c>
      <c r="Y817" s="1" t="s">
        <v>74</v>
      </c>
      <c r="Z817" s="1" t="s">
        <v>74</v>
      </c>
      <c r="AA817" s="1" t="s">
        <v>7978</v>
      </c>
      <c r="AB817" s="1" t="s">
        <v>7979</v>
      </c>
      <c r="AC817" s="1" t="s">
        <v>74</v>
      </c>
      <c r="AD817" s="1" t="s">
        <v>74</v>
      </c>
      <c r="AE817" s="1" t="s">
        <v>74</v>
      </c>
      <c r="AF817" s="1" t="s">
        <v>74</v>
      </c>
      <c r="AG817" s="1" t="s">
        <v>74</v>
      </c>
      <c r="AH817" s="1" t="s">
        <v>74</v>
      </c>
      <c r="AI817" s="1" t="s">
        <v>74</v>
      </c>
      <c r="AJ817" s="1" t="s">
        <v>74</v>
      </c>
      <c r="AK817" s="1" t="s">
        <v>74</v>
      </c>
      <c r="AL817" s="1" t="s">
        <v>74</v>
      </c>
      <c r="AM817" s="1" t="s">
        <v>74</v>
      </c>
      <c r="AN817" s="1" t="s">
        <v>74</v>
      </c>
      <c r="AO817" s="1" t="s">
        <v>7980</v>
      </c>
      <c r="AP817" s="1" t="s">
        <v>74</v>
      </c>
      <c r="AQ817" s="1" t="s">
        <v>74</v>
      </c>
      <c r="AR817" s="1" t="s">
        <v>74</v>
      </c>
      <c r="AS817" s="1" t="s">
        <v>74</v>
      </c>
      <c r="AT817" s="1" t="s">
        <v>4052</v>
      </c>
      <c r="AU817" s="1">
        <v>2012.0</v>
      </c>
      <c r="AV817" s="1">
        <v>14.0</v>
      </c>
      <c r="AW817" s="1" t="s">
        <v>74</v>
      </c>
      <c r="AX817" s="1" t="s">
        <v>74</v>
      </c>
      <c r="AY817" s="1" t="s">
        <v>74</v>
      </c>
      <c r="AZ817" s="1" t="s">
        <v>74</v>
      </c>
      <c r="BA817" s="1" t="s">
        <v>74</v>
      </c>
      <c r="BB817" s="1" t="s">
        <v>74</v>
      </c>
      <c r="BC817" s="1" t="s">
        <v>74</v>
      </c>
      <c r="BD817" s="1">
        <v>35016.0</v>
      </c>
      <c r="BE817" s="1" t="s">
        <v>7981</v>
      </c>
      <c r="BF817" s="2" t="str">
        <f>HYPERLINK("http://dx.doi.org/10.1088/1367-2630/14/3/035016","http://dx.doi.org/10.1088/1367-2630/14/3/035016")</f>
        <v>http://dx.doi.org/10.1088/1367-2630/14/3/035016</v>
      </c>
      <c r="BG817" s="1" t="s">
        <v>74</v>
      </c>
      <c r="BH817" s="1" t="s">
        <v>74</v>
      </c>
      <c r="BI817" s="1" t="s">
        <v>74</v>
      </c>
      <c r="BJ817" s="1" t="s">
        <v>74</v>
      </c>
      <c r="BK817" s="1" t="s">
        <v>74</v>
      </c>
      <c r="BL817" s="1" t="s">
        <v>74</v>
      </c>
      <c r="BM817" s="1" t="s">
        <v>74</v>
      </c>
      <c r="BN817" s="1" t="s">
        <v>74</v>
      </c>
      <c r="BO817" s="1" t="s">
        <v>74</v>
      </c>
      <c r="BP817" s="1" t="s">
        <v>74</v>
      </c>
      <c r="BQ817" s="1" t="s">
        <v>74</v>
      </c>
      <c r="BR817" s="1" t="s">
        <v>74</v>
      </c>
      <c r="BS817" s="1" t="s">
        <v>7982</v>
      </c>
      <c r="BT817" s="1" t="str">
        <f>HYPERLINK("https%3A%2F%2Fwww.webofscience.com%2Fwos%2Fwoscc%2Ffull-record%2FWOS:000302371100001","View Full Record in Web of Science")</f>
        <v>View Full Record in Web of Science</v>
      </c>
    </row>
    <row r="818" ht="12.75" customHeight="1">
      <c r="A818" s="1" t="s">
        <v>72</v>
      </c>
      <c r="B818" s="1" t="s">
        <v>7983</v>
      </c>
      <c r="C818" s="1" t="s">
        <v>74</v>
      </c>
      <c r="D818" s="1" t="s">
        <v>74</v>
      </c>
      <c r="E818" s="1" t="s">
        <v>74</v>
      </c>
      <c r="F818" s="1" t="s">
        <v>7984</v>
      </c>
      <c r="G818" s="1" t="s">
        <v>74</v>
      </c>
      <c r="H818" s="1" t="s">
        <v>74</v>
      </c>
      <c r="I818" s="1" t="s">
        <v>7985</v>
      </c>
      <c r="J818" s="1" t="s">
        <v>4807</v>
      </c>
      <c r="K818" s="1" t="s">
        <v>74</v>
      </c>
      <c r="L818" s="1" t="s">
        <v>74</v>
      </c>
      <c r="M818" s="1" t="s">
        <v>74</v>
      </c>
      <c r="N818" s="1" t="s">
        <v>74</v>
      </c>
      <c r="O818" s="1" t="s">
        <v>74</v>
      </c>
      <c r="P818" s="1" t="s">
        <v>74</v>
      </c>
      <c r="Q818" s="1" t="s">
        <v>74</v>
      </c>
      <c r="R818" s="1" t="s">
        <v>74</v>
      </c>
      <c r="S818" s="1" t="s">
        <v>74</v>
      </c>
      <c r="T818" s="1" t="s">
        <v>74</v>
      </c>
      <c r="U818" s="1" t="s">
        <v>74</v>
      </c>
      <c r="V818" s="1" t="s">
        <v>7986</v>
      </c>
      <c r="W818" s="1" t="s">
        <v>74</v>
      </c>
      <c r="X818" s="1" t="s">
        <v>74</v>
      </c>
      <c r="Y818" s="1" t="s">
        <v>74</v>
      </c>
      <c r="Z818" s="1" t="s">
        <v>74</v>
      </c>
      <c r="AA818" s="1" t="s">
        <v>4082</v>
      </c>
      <c r="AB818" s="1" t="s">
        <v>7987</v>
      </c>
      <c r="AC818" s="1" t="s">
        <v>74</v>
      </c>
      <c r="AD818" s="1" t="s">
        <v>74</v>
      </c>
      <c r="AE818" s="1" t="s">
        <v>74</v>
      </c>
      <c r="AF818" s="1" t="s">
        <v>74</v>
      </c>
      <c r="AG818" s="1" t="s">
        <v>74</v>
      </c>
      <c r="AH818" s="1" t="s">
        <v>74</v>
      </c>
      <c r="AI818" s="1" t="s">
        <v>74</v>
      </c>
      <c r="AJ818" s="1" t="s">
        <v>74</v>
      </c>
      <c r="AK818" s="1" t="s">
        <v>74</v>
      </c>
      <c r="AL818" s="1" t="s">
        <v>74</v>
      </c>
      <c r="AM818" s="1" t="s">
        <v>74</v>
      </c>
      <c r="AN818" s="1" t="s">
        <v>74</v>
      </c>
      <c r="AO818" s="1" t="s">
        <v>4811</v>
      </c>
      <c r="AP818" s="1" t="s">
        <v>4812</v>
      </c>
      <c r="AQ818" s="1" t="s">
        <v>74</v>
      </c>
      <c r="AR818" s="1" t="s">
        <v>74</v>
      </c>
      <c r="AS818" s="1" t="s">
        <v>74</v>
      </c>
      <c r="AT818" s="1" t="s">
        <v>5326</v>
      </c>
      <c r="AU818" s="1">
        <v>2011.0</v>
      </c>
      <c r="AV818" s="1">
        <v>146.0</v>
      </c>
      <c r="AW818" s="1">
        <v>2.0</v>
      </c>
      <c r="AX818" s="1" t="s">
        <v>74</v>
      </c>
      <c r="AY818" s="1" t="s">
        <v>74</v>
      </c>
      <c r="AZ818" s="1" t="s">
        <v>74</v>
      </c>
      <c r="BA818" s="1" t="s">
        <v>74</v>
      </c>
      <c r="BB818" s="1">
        <v>144.0</v>
      </c>
      <c r="BC818" s="1">
        <v>150.0</v>
      </c>
      <c r="BD818" s="1" t="s">
        <v>74</v>
      </c>
      <c r="BE818" s="1" t="s">
        <v>7988</v>
      </c>
      <c r="BF818" s="2" t="str">
        <f>HYPERLINK("http://dx.doi.org/10.1016/j.ijfoodmicro.2011.02.011","http://dx.doi.org/10.1016/j.ijfoodmicro.2011.02.011")</f>
        <v>http://dx.doi.org/10.1016/j.ijfoodmicro.2011.02.011</v>
      </c>
      <c r="BG818" s="1" t="s">
        <v>74</v>
      </c>
      <c r="BH818" s="1" t="s">
        <v>74</v>
      </c>
      <c r="BI818" s="1" t="s">
        <v>74</v>
      </c>
      <c r="BJ818" s="1" t="s">
        <v>74</v>
      </c>
      <c r="BK818" s="1" t="s">
        <v>74</v>
      </c>
      <c r="BL818" s="1" t="s">
        <v>74</v>
      </c>
      <c r="BM818" s="1" t="s">
        <v>74</v>
      </c>
      <c r="BN818" s="1">
        <v>2.1411168E7</v>
      </c>
      <c r="BO818" s="1" t="s">
        <v>74</v>
      </c>
      <c r="BP818" s="1" t="s">
        <v>74</v>
      </c>
      <c r="BQ818" s="1" t="s">
        <v>74</v>
      </c>
      <c r="BR818" s="1" t="s">
        <v>74</v>
      </c>
      <c r="BS818" s="1" t="s">
        <v>7989</v>
      </c>
      <c r="BT818" s="1" t="str">
        <f>HYPERLINK("https%3A%2F%2Fwww.webofscience.com%2Fwos%2Fwoscc%2Ffull-record%2FWOS:000290011600006","View Full Record in Web of Science")</f>
        <v>View Full Record in Web of Science</v>
      </c>
    </row>
    <row r="819" ht="12.75" customHeight="1">
      <c r="A819" s="1" t="s">
        <v>72</v>
      </c>
      <c r="B819" s="1" t="s">
        <v>7990</v>
      </c>
      <c r="C819" s="1" t="s">
        <v>74</v>
      </c>
      <c r="D819" s="1" t="s">
        <v>74</v>
      </c>
      <c r="E819" s="1" t="s">
        <v>74</v>
      </c>
      <c r="F819" s="1" t="s">
        <v>7991</v>
      </c>
      <c r="G819" s="1" t="s">
        <v>74</v>
      </c>
      <c r="H819" s="1" t="s">
        <v>74</v>
      </c>
      <c r="I819" s="1" t="s">
        <v>7992</v>
      </c>
      <c r="J819" s="1" t="s">
        <v>7993</v>
      </c>
      <c r="K819" s="1" t="s">
        <v>74</v>
      </c>
      <c r="L819" s="1" t="s">
        <v>74</v>
      </c>
      <c r="M819" s="1" t="s">
        <v>74</v>
      </c>
      <c r="N819" s="1" t="s">
        <v>74</v>
      </c>
      <c r="O819" s="1" t="s">
        <v>74</v>
      </c>
      <c r="P819" s="1" t="s">
        <v>74</v>
      </c>
      <c r="Q819" s="1" t="s">
        <v>74</v>
      </c>
      <c r="R819" s="1" t="s">
        <v>74</v>
      </c>
      <c r="S819" s="1" t="s">
        <v>74</v>
      </c>
      <c r="T819" s="1" t="s">
        <v>74</v>
      </c>
      <c r="U819" s="1" t="s">
        <v>74</v>
      </c>
      <c r="V819" s="1" t="s">
        <v>7994</v>
      </c>
      <c r="W819" s="1" t="s">
        <v>74</v>
      </c>
      <c r="X819" s="1" t="s">
        <v>74</v>
      </c>
      <c r="Y819" s="1" t="s">
        <v>74</v>
      </c>
      <c r="Z819" s="1" t="s">
        <v>74</v>
      </c>
      <c r="AA819" s="1" t="s">
        <v>2583</v>
      </c>
      <c r="AB819" s="1" t="s">
        <v>2039</v>
      </c>
      <c r="AC819" s="1" t="s">
        <v>74</v>
      </c>
      <c r="AD819" s="1" t="s">
        <v>74</v>
      </c>
      <c r="AE819" s="1" t="s">
        <v>74</v>
      </c>
      <c r="AF819" s="1" t="s">
        <v>74</v>
      </c>
      <c r="AG819" s="1" t="s">
        <v>74</v>
      </c>
      <c r="AH819" s="1" t="s">
        <v>74</v>
      </c>
      <c r="AI819" s="1" t="s">
        <v>74</v>
      </c>
      <c r="AJ819" s="1" t="s">
        <v>74</v>
      </c>
      <c r="AK819" s="1" t="s">
        <v>74</v>
      </c>
      <c r="AL819" s="1" t="s">
        <v>74</v>
      </c>
      <c r="AM819" s="1" t="s">
        <v>74</v>
      </c>
      <c r="AN819" s="1" t="s">
        <v>74</v>
      </c>
      <c r="AO819" s="1" t="s">
        <v>7995</v>
      </c>
      <c r="AP819" s="1" t="s">
        <v>74</v>
      </c>
      <c r="AQ819" s="1" t="s">
        <v>74</v>
      </c>
      <c r="AR819" s="1" t="s">
        <v>74</v>
      </c>
      <c r="AS819" s="1" t="s">
        <v>74</v>
      </c>
      <c r="AT819" s="1" t="s">
        <v>74</v>
      </c>
      <c r="AU819" s="1">
        <v>2010.0</v>
      </c>
      <c r="AV819" s="1">
        <v>60.0</v>
      </c>
      <c r="AW819" s="1">
        <v>2.0</v>
      </c>
      <c r="AX819" s="1" t="s">
        <v>74</v>
      </c>
      <c r="AY819" s="1" t="s">
        <v>74</v>
      </c>
      <c r="AZ819" s="1" t="s">
        <v>74</v>
      </c>
      <c r="BA819" s="1" t="s">
        <v>74</v>
      </c>
      <c r="BB819" s="1">
        <v>123.0</v>
      </c>
      <c r="BC819" s="1">
        <v>138.0</v>
      </c>
      <c r="BD819" s="1" t="s">
        <v>74</v>
      </c>
      <c r="BE819" s="1" t="s">
        <v>74</v>
      </c>
      <c r="BF819" s="1" t="s">
        <v>74</v>
      </c>
      <c r="BG819" s="1" t="s">
        <v>74</v>
      </c>
      <c r="BH819" s="1" t="s">
        <v>74</v>
      </c>
      <c r="BI819" s="1" t="s">
        <v>74</v>
      </c>
      <c r="BJ819" s="1" t="s">
        <v>74</v>
      </c>
      <c r="BK819" s="1" t="s">
        <v>74</v>
      </c>
      <c r="BL819" s="1" t="s">
        <v>74</v>
      </c>
      <c r="BM819" s="1" t="s">
        <v>74</v>
      </c>
      <c r="BN819" s="1" t="s">
        <v>74</v>
      </c>
      <c r="BO819" s="1" t="s">
        <v>74</v>
      </c>
      <c r="BP819" s="1" t="s">
        <v>74</v>
      </c>
      <c r="BQ819" s="1" t="s">
        <v>74</v>
      </c>
      <c r="BR819" s="1" t="s">
        <v>74</v>
      </c>
      <c r="BS819" s="1" t="s">
        <v>7996</v>
      </c>
      <c r="BT819" s="1" t="str">
        <f>HYPERLINK("https%3A%2F%2Fwww.webofscience.com%2Fwos%2Fwoscc%2Ffull-record%2FWOS:000283409000004","View Full Record in Web of Science")</f>
        <v>View Full Record in Web of Science</v>
      </c>
    </row>
    <row r="820" ht="12.75" customHeight="1">
      <c r="A820" s="1" t="s">
        <v>72</v>
      </c>
      <c r="B820" s="1" t="s">
        <v>7997</v>
      </c>
      <c r="C820" s="1" t="s">
        <v>74</v>
      </c>
      <c r="D820" s="1" t="s">
        <v>74</v>
      </c>
      <c r="E820" s="1" t="s">
        <v>74</v>
      </c>
      <c r="F820" s="1" t="s">
        <v>7998</v>
      </c>
      <c r="G820" s="1" t="s">
        <v>74</v>
      </c>
      <c r="H820" s="1" t="s">
        <v>74</v>
      </c>
      <c r="I820" s="1" t="s">
        <v>7999</v>
      </c>
      <c r="J820" s="1" t="s">
        <v>1107</v>
      </c>
      <c r="K820" s="1" t="s">
        <v>74</v>
      </c>
      <c r="L820" s="1" t="s">
        <v>74</v>
      </c>
      <c r="M820" s="1" t="s">
        <v>74</v>
      </c>
      <c r="N820" s="1" t="s">
        <v>74</v>
      </c>
      <c r="O820" s="1" t="s">
        <v>74</v>
      </c>
      <c r="P820" s="1" t="s">
        <v>74</v>
      </c>
      <c r="Q820" s="1" t="s">
        <v>74</v>
      </c>
      <c r="R820" s="1" t="s">
        <v>74</v>
      </c>
      <c r="S820" s="1" t="s">
        <v>74</v>
      </c>
      <c r="T820" s="1" t="s">
        <v>74</v>
      </c>
      <c r="U820" s="1" t="s">
        <v>74</v>
      </c>
      <c r="V820" s="1" t="s">
        <v>8000</v>
      </c>
      <c r="W820" s="1" t="s">
        <v>74</v>
      </c>
      <c r="X820" s="1" t="s">
        <v>74</v>
      </c>
      <c r="Y820" s="1" t="s">
        <v>74</v>
      </c>
      <c r="Z820" s="1" t="s">
        <v>74</v>
      </c>
      <c r="AA820" s="1" t="s">
        <v>8001</v>
      </c>
      <c r="AB820" s="1" t="s">
        <v>8002</v>
      </c>
      <c r="AC820" s="1" t="s">
        <v>74</v>
      </c>
      <c r="AD820" s="1" t="s">
        <v>74</v>
      </c>
      <c r="AE820" s="1" t="s">
        <v>74</v>
      </c>
      <c r="AF820" s="1" t="s">
        <v>74</v>
      </c>
      <c r="AG820" s="1" t="s">
        <v>74</v>
      </c>
      <c r="AH820" s="1" t="s">
        <v>74</v>
      </c>
      <c r="AI820" s="1" t="s">
        <v>74</v>
      </c>
      <c r="AJ820" s="1" t="s">
        <v>74</v>
      </c>
      <c r="AK820" s="1" t="s">
        <v>74</v>
      </c>
      <c r="AL820" s="1" t="s">
        <v>74</v>
      </c>
      <c r="AM820" s="1" t="s">
        <v>74</v>
      </c>
      <c r="AN820" s="1" t="s">
        <v>74</v>
      </c>
      <c r="AO820" s="1" t="s">
        <v>1111</v>
      </c>
      <c r="AP820" s="1" t="s">
        <v>1112</v>
      </c>
      <c r="AQ820" s="1" t="s">
        <v>74</v>
      </c>
      <c r="AR820" s="1" t="s">
        <v>74</v>
      </c>
      <c r="AS820" s="1" t="s">
        <v>74</v>
      </c>
      <c r="AT820" s="1" t="s">
        <v>2310</v>
      </c>
      <c r="AU820" s="1">
        <v>2008.0</v>
      </c>
      <c r="AV820" s="1">
        <v>323.0</v>
      </c>
      <c r="AW820" s="1">
        <v>1.0</v>
      </c>
      <c r="AX820" s="1" t="s">
        <v>74</v>
      </c>
      <c r="AY820" s="1" t="s">
        <v>74</v>
      </c>
      <c r="AZ820" s="1" t="s">
        <v>74</v>
      </c>
      <c r="BA820" s="1" t="s">
        <v>74</v>
      </c>
      <c r="BB820" s="1">
        <v>70.0</v>
      </c>
      <c r="BC820" s="1">
        <v>74.0</v>
      </c>
      <c r="BD820" s="1" t="s">
        <v>74</v>
      </c>
      <c r="BE820" s="1" t="s">
        <v>8003</v>
      </c>
      <c r="BF820" s="2" t="str">
        <f>HYPERLINK("http://dx.doi.org/10.1016/j.jcis.2008.04.034","http://dx.doi.org/10.1016/j.jcis.2008.04.034")</f>
        <v>http://dx.doi.org/10.1016/j.jcis.2008.04.034</v>
      </c>
      <c r="BG820" s="1" t="s">
        <v>74</v>
      </c>
      <c r="BH820" s="1" t="s">
        <v>74</v>
      </c>
      <c r="BI820" s="1" t="s">
        <v>74</v>
      </c>
      <c r="BJ820" s="1" t="s">
        <v>74</v>
      </c>
      <c r="BK820" s="1" t="s">
        <v>74</v>
      </c>
      <c r="BL820" s="1" t="s">
        <v>74</v>
      </c>
      <c r="BM820" s="1" t="s">
        <v>74</v>
      </c>
      <c r="BN820" s="1">
        <v>1.8471823E7</v>
      </c>
      <c r="BO820" s="1" t="s">
        <v>74</v>
      </c>
      <c r="BP820" s="1" t="s">
        <v>74</v>
      </c>
      <c r="BQ820" s="1" t="s">
        <v>74</v>
      </c>
      <c r="BR820" s="1" t="s">
        <v>74</v>
      </c>
      <c r="BS820" s="1" t="s">
        <v>8004</v>
      </c>
      <c r="BT820" s="1" t="str">
        <f>HYPERLINK("https%3A%2F%2Fwww.webofscience.com%2Fwos%2Fwoscc%2Ffull-record%2FWOS:000256646600009","View Full Record in Web of Science")</f>
        <v>View Full Record in Web of Science</v>
      </c>
    </row>
    <row r="821" ht="12.75" customHeight="1">
      <c r="A821" s="1" t="s">
        <v>72</v>
      </c>
      <c r="B821" s="1" t="s">
        <v>8005</v>
      </c>
      <c r="C821" s="1" t="s">
        <v>74</v>
      </c>
      <c r="D821" s="1" t="s">
        <v>74</v>
      </c>
      <c r="E821" s="1" t="s">
        <v>74</v>
      </c>
      <c r="F821" s="1" t="s">
        <v>8006</v>
      </c>
      <c r="G821" s="1" t="s">
        <v>74</v>
      </c>
      <c r="H821" s="1" t="s">
        <v>74</v>
      </c>
      <c r="I821" s="1" t="s">
        <v>8007</v>
      </c>
      <c r="J821" s="1" t="s">
        <v>6068</v>
      </c>
      <c r="K821" s="1" t="s">
        <v>74</v>
      </c>
      <c r="L821" s="1" t="s">
        <v>74</v>
      </c>
      <c r="M821" s="1" t="s">
        <v>74</v>
      </c>
      <c r="N821" s="1" t="s">
        <v>74</v>
      </c>
      <c r="O821" s="1" t="s">
        <v>74</v>
      </c>
      <c r="P821" s="1" t="s">
        <v>74</v>
      </c>
      <c r="Q821" s="1" t="s">
        <v>74</v>
      </c>
      <c r="R821" s="1" t="s">
        <v>74</v>
      </c>
      <c r="S821" s="1" t="s">
        <v>74</v>
      </c>
      <c r="T821" s="1" t="s">
        <v>74</v>
      </c>
      <c r="U821" s="1" t="s">
        <v>74</v>
      </c>
      <c r="V821" s="1" t="s">
        <v>8008</v>
      </c>
      <c r="W821" s="1" t="s">
        <v>74</v>
      </c>
      <c r="X821" s="1" t="s">
        <v>74</v>
      </c>
      <c r="Y821" s="1" t="s">
        <v>74</v>
      </c>
      <c r="Z821" s="1" t="s">
        <v>74</v>
      </c>
      <c r="AA821" s="1" t="s">
        <v>8009</v>
      </c>
      <c r="AB821" s="1" t="s">
        <v>8010</v>
      </c>
      <c r="AC821" s="1" t="s">
        <v>74</v>
      </c>
      <c r="AD821" s="1" t="s">
        <v>74</v>
      </c>
      <c r="AE821" s="1" t="s">
        <v>74</v>
      </c>
      <c r="AF821" s="1" t="s">
        <v>74</v>
      </c>
      <c r="AG821" s="1" t="s">
        <v>74</v>
      </c>
      <c r="AH821" s="1" t="s">
        <v>74</v>
      </c>
      <c r="AI821" s="1" t="s">
        <v>74</v>
      </c>
      <c r="AJ821" s="1" t="s">
        <v>74</v>
      </c>
      <c r="AK821" s="1" t="s">
        <v>74</v>
      </c>
      <c r="AL821" s="1" t="s">
        <v>74</v>
      </c>
      <c r="AM821" s="1" t="s">
        <v>74</v>
      </c>
      <c r="AN821" s="1" t="s">
        <v>74</v>
      </c>
      <c r="AO821" s="1" t="s">
        <v>6072</v>
      </c>
      <c r="AP821" s="1" t="s">
        <v>6073</v>
      </c>
      <c r="AQ821" s="1" t="s">
        <v>74</v>
      </c>
      <c r="AR821" s="1" t="s">
        <v>74</v>
      </c>
      <c r="AS821" s="1" t="s">
        <v>74</v>
      </c>
      <c r="AT821" s="1" t="s">
        <v>1413</v>
      </c>
      <c r="AU821" s="1">
        <v>2008.0</v>
      </c>
      <c r="AV821" s="1">
        <v>281.0</v>
      </c>
      <c r="AW821" s="1">
        <v>8.0</v>
      </c>
      <c r="AX821" s="1" t="s">
        <v>74</v>
      </c>
      <c r="AY821" s="1" t="s">
        <v>74</v>
      </c>
      <c r="AZ821" s="1" t="s">
        <v>74</v>
      </c>
      <c r="BA821" s="1" t="s">
        <v>74</v>
      </c>
      <c r="BB821" s="1">
        <v>2046.0</v>
      </c>
      <c r="BC821" s="1">
        <v>2049.0</v>
      </c>
      <c r="BD821" s="1" t="s">
        <v>74</v>
      </c>
      <c r="BE821" s="1" t="s">
        <v>8011</v>
      </c>
      <c r="BF821" s="2" t="str">
        <f>HYPERLINK("http://dx.doi.org/10.1016/j.optcom.2007.12.049","http://dx.doi.org/10.1016/j.optcom.2007.12.049")</f>
        <v>http://dx.doi.org/10.1016/j.optcom.2007.12.049</v>
      </c>
      <c r="BG821" s="1" t="s">
        <v>74</v>
      </c>
      <c r="BH821" s="1" t="s">
        <v>74</v>
      </c>
      <c r="BI821" s="1" t="s">
        <v>74</v>
      </c>
      <c r="BJ821" s="1" t="s">
        <v>74</v>
      </c>
      <c r="BK821" s="1" t="s">
        <v>74</v>
      </c>
      <c r="BL821" s="1" t="s">
        <v>74</v>
      </c>
      <c r="BM821" s="1" t="s">
        <v>74</v>
      </c>
      <c r="BN821" s="1" t="s">
        <v>74</v>
      </c>
      <c r="BO821" s="1" t="s">
        <v>74</v>
      </c>
      <c r="BP821" s="1" t="s">
        <v>74</v>
      </c>
      <c r="BQ821" s="1" t="s">
        <v>74</v>
      </c>
      <c r="BR821" s="1" t="s">
        <v>74</v>
      </c>
      <c r="BS821" s="1" t="s">
        <v>8012</v>
      </c>
      <c r="BT821" s="1" t="str">
        <f>HYPERLINK("https%3A%2F%2Fwww.webofscience.com%2Fwos%2Fwoscc%2Ffull-record%2FWOS:000254566000022","View Full Record in Web of Science")</f>
        <v>View Full Record in Web of Science</v>
      </c>
    </row>
    <row r="822" ht="12.75" customHeight="1">
      <c r="A822" s="1" t="s">
        <v>72</v>
      </c>
      <c r="B822" s="1" t="s">
        <v>8013</v>
      </c>
      <c r="C822" s="1" t="s">
        <v>74</v>
      </c>
      <c r="D822" s="1" t="s">
        <v>74</v>
      </c>
      <c r="E822" s="1" t="s">
        <v>74</v>
      </c>
      <c r="F822" s="1" t="s">
        <v>8014</v>
      </c>
      <c r="G822" s="1" t="s">
        <v>74</v>
      </c>
      <c r="H822" s="1" t="s">
        <v>74</v>
      </c>
      <c r="I822" s="1" t="s">
        <v>8015</v>
      </c>
      <c r="J822" s="1" t="s">
        <v>8016</v>
      </c>
      <c r="K822" s="1" t="s">
        <v>74</v>
      </c>
      <c r="L822" s="1" t="s">
        <v>74</v>
      </c>
      <c r="M822" s="1" t="s">
        <v>74</v>
      </c>
      <c r="N822" s="1" t="s">
        <v>74</v>
      </c>
      <c r="O822" s="1" t="s">
        <v>74</v>
      </c>
      <c r="P822" s="1" t="s">
        <v>74</v>
      </c>
      <c r="Q822" s="1" t="s">
        <v>74</v>
      </c>
      <c r="R822" s="1" t="s">
        <v>74</v>
      </c>
      <c r="S822" s="1" t="s">
        <v>74</v>
      </c>
      <c r="T822" s="1" t="s">
        <v>74</v>
      </c>
      <c r="U822" s="1" t="s">
        <v>74</v>
      </c>
      <c r="V822" s="1" t="s">
        <v>8017</v>
      </c>
      <c r="W822" s="1" t="s">
        <v>74</v>
      </c>
      <c r="X822" s="1" t="s">
        <v>74</v>
      </c>
      <c r="Y822" s="1" t="s">
        <v>74</v>
      </c>
      <c r="Z822" s="1" t="s">
        <v>74</v>
      </c>
      <c r="AA822" s="1" t="s">
        <v>8018</v>
      </c>
      <c r="AB822" s="1" t="s">
        <v>8019</v>
      </c>
      <c r="AC822" s="1" t="s">
        <v>74</v>
      </c>
      <c r="AD822" s="1" t="s">
        <v>74</v>
      </c>
      <c r="AE822" s="1" t="s">
        <v>74</v>
      </c>
      <c r="AF822" s="1" t="s">
        <v>74</v>
      </c>
      <c r="AG822" s="1" t="s">
        <v>74</v>
      </c>
      <c r="AH822" s="1" t="s">
        <v>74</v>
      </c>
      <c r="AI822" s="1" t="s">
        <v>74</v>
      </c>
      <c r="AJ822" s="1" t="s">
        <v>74</v>
      </c>
      <c r="AK822" s="1" t="s">
        <v>74</v>
      </c>
      <c r="AL822" s="1" t="s">
        <v>74</v>
      </c>
      <c r="AM822" s="1" t="s">
        <v>74</v>
      </c>
      <c r="AN822" s="1" t="s">
        <v>74</v>
      </c>
      <c r="AO822" s="1" t="s">
        <v>8020</v>
      </c>
      <c r="AP822" s="1" t="s">
        <v>8021</v>
      </c>
      <c r="AQ822" s="1" t="s">
        <v>74</v>
      </c>
      <c r="AR822" s="1" t="s">
        <v>74</v>
      </c>
      <c r="AS822" s="1" t="s">
        <v>74</v>
      </c>
      <c r="AT822" s="1" t="s">
        <v>606</v>
      </c>
      <c r="AU822" s="1">
        <v>2007.0</v>
      </c>
      <c r="AV822" s="1">
        <v>54.0</v>
      </c>
      <c r="AW822" s="1">
        <v>10.0</v>
      </c>
      <c r="AX822" s="1" t="s">
        <v>74</v>
      </c>
      <c r="AY822" s="1" t="s">
        <v>74</v>
      </c>
      <c r="AZ822" s="1" t="s">
        <v>74</v>
      </c>
      <c r="BA822" s="1" t="s">
        <v>74</v>
      </c>
      <c r="BB822" s="1">
        <v>2638.0</v>
      </c>
      <c r="BC822" s="1">
        <v>2643.0</v>
      </c>
      <c r="BD822" s="1" t="s">
        <v>74</v>
      </c>
      <c r="BE822" s="1" t="s">
        <v>8022</v>
      </c>
      <c r="BF822" s="2" t="str">
        <f>HYPERLINK("http://dx.doi.org/10.1109/TED.2007.904829","http://dx.doi.org/10.1109/TED.2007.904829")</f>
        <v>http://dx.doi.org/10.1109/TED.2007.904829</v>
      </c>
      <c r="BG822" s="1" t="s">
        <v>74</v>
      </c>
      <c r="BH822" s="1" t="s">
        <v>74</v>
      </c>
      <c r="BI822" s="1" t="s">
        <v>74</v>
      </c>
      <c r="BJ822" s="1" t="s">
        <v>74</v>
      </c>
      <c r="BK822" s="1" t="s">
        <v>74</v>
      </c>
      <c r="BL822" s="1" t="s">
        <v>74</v>
      </c>
      <c r="BM822" s="1" t="s">
        <v>74</v>
      </c>
      <c r="BN822" s="1" t="s">
        <v>74</v>
      </c>
      <c r="BO822" s="1" t="s">
        <v>74</v>
      </c>
      <c r="BP822" s="1" t="s">
        <v>74</v>
      </c>
      <c r="BQ822" s="1" t="s">
        <v>74</v>
      </c>
      <c r="BR822" s="1" t="s">
        <v>74</v>
      </c>
      <c r="BS822" s="1" t="s">
        <v>8023</v>
      </c>
      <c r="BT822" s="1" t="str">
        <f>HYPERLINK("https%3A%2F%2Fwww.webofscience.com%2Fwos%2Fwoscc%2Ffull-record%2FWOS:000249904100009","View Full Record in Web of Science")</f>
        <v>View Full Record in Web of Science</v>
      </c>
    </row>
    <row r="823" ht="12.75" customHeight="1">
      <c r="A823" s="1" t="s">
        <v>72</v>
      </c>
      <c r="B823" s="1" t="s">
        <v>8024</v>
      </c>
      <c r="C823" s="1" t="s">
        <v>74</v>
      </c>
      <c r="D823" s="1" t="s">
        <v>74</v>
      </c>
      <c r="E823" s="1" t="s">
        <v>74</v>
      </c>
      <c r="F823" s="1" t="s">
        <v>8025</v>
      </c>
      <c r="G823" s="1" t="s">
        <v>74</v>
      </c>
      <c r="H823" s="1" t="s">
        <v>74</v>
      </c>
      <c r="I823" s="1" t="s">
        <v>8026</v>
      </c>
      <c r="J823" s="1" t="s">
        <v>861</v>
      </c>
      <c r="K823" s="1" t="s">
        <v>74</v>
      </c>
      <c r="L823" s="1" t="s">
        <v>74</v>
      </c>
      <c r="M823" s="1" t="s">
        <v>74</v>
      </c>
      <c r="N823" s="1" t="s">
        <v>74</v>
      </c>
      <c r="O823" s="1" t="s">
        <v>8027</v>
      </c>
      <c r="P823" s="1" t="s">
        <v>8028</v>
      </c>
      <c r="Q823" s="1" t="s">
        <v>8029</v>
      </c>
      <c r="R823" s="1" t="s">
        <v>74</v>
      </c>
      <c r="S823" s="1" t="s">
        <v>8030</v>
      </c>
      <c r="T823" s="1" t="s">
        <v>74</v>
      </c>
      <c r="U823" s="1" t="s">
        <v>74</v>
      </c>
      <c r="V823" s="1" t="s">
        <v>8031</v>
      </c>
      <c r="W823" s="1" t="s">
        <v>74</v>
      </c>
      <c r="X823" s="1" t="s">
        <v>74</v>
      </c>
      <c r="Y823" s="1" t="s">
        <v>74</v>
      </c>
      <c r="Z823" s="1" t="s">
        <v>74</v>
      </c>
      <c r="AA823" s="1" t="s">
        <v>8032</v>
      </c>
      <c r="AB823" s="1" t="s">
        <v>8033</v>
      </c>
      <c r="AC823" s="1" t="s">
        <v>74</v>
      </c>
      <c r="AD823" s="1" t="s">
        <v>74</v>
      </c>
      <c r="AE823" s="1" t="s">
        <v>74</v>
      </c>
      <c r="AF823" s="1" t="s">
        <v>74</v>
      </c>
      <c r="AG823" s="1" t="s">
        <v>74</v>
      </c>
      <c r="AH823" s="1" t="s">
        <v>74</v>
      </c>
      <c r="AI823" s="1" t="s">
        <v>74</v>
      </c>
      <c r="AJ823" s="1" t="s">
        <v>74</v>
      </c>
      <c r="AK823" s="1" t="s">
        <v>74</v>
      </c>
      <c r="AL823" s="1" t="s">
        <v>74</v>
      </c>
      <c r="AM823" s="1" t="s">
        <v>74</v>
      </c>
      <c r="AN823" s="1" t="s">
        <v>74</v>
      </c>
      <c r="AO823" s="1" t="s">
        <v>865</v>
      </c>
      <c r="AP823" s="1" t="s">
        <v>866</v>
      </c>
      <c r="AQ823" s="1" t="s">
        <v>74</v>
      </c>
      <c r="AR823" s="1" t="s">
        <v>74</v>
      </c>
      <c r="AS823" s="1" t="s">
        <v>74</v>
      </c>
      <c r="AT823" s="1" t="s">
        <v>235</v>
      </c>
      <c r="AU823" s="1">
        <v>2007.0</v>
      </c>
      <c r="AV823" s="1">
        <v>17.0</v>
      </c>
      <c r="AW823" s="1">
        <v>2.0</v>
      </c>
      <c r="AX823" s="1" t="s">
        <v>74</v>
      </c>
      <c r="AY823" s="1" t="s">
        <v>74</v>
      </c>
      <c r="AZ823" s="1" t="s">
        <v>74</v>
      </c>
      <c r="BA823" s="1" t="s">
        <v>74</v>
      </c>
      <c r="BB823" s="1">
        <v>247.0</v>
      </c>
      <c r="BC823" s="1">
        <v>258.0</v>
      </c>
      <c r="BD823" s="1" t="s">
        <v>74</v>
      </c>
      <c r="BE823" s="1" t="s">
        <v>74</v>
      </c>
      <c r="BF823" s="1" t="s">
        <v>74</v>
      </c>
      <c r="BG823" s="1" t="s">
        <v>74</v>
      </c>
      <c r="BH823" s="1" t="s">
        <v>74</v>
      </c>
      <c r="BI823" s="1" t="s">
        <v>74</v>
      </c>
      <c r="BJ823" s="1" t="s">
        <v>74</v>
      </c>
      <c r="BK823" s="1" t="s">
        <v>74</v>
      </c>
      <c r="BL823" s="1" t="s">
        <v>74</v>
      </c>
      <c r="BM823" s="1" t="s">
        <v>74</v>
      </c>
      <c r="BN823" s="1" t="s">
        <v>74</v>
      </c>
      <c r="BO823" s="1" t="s">
        <v>74</v>
      </c>
      <c r="BP823" s="1" t="s">
        <v>74</v>
      </c>
      <c r="BQ823" s="1" t="s">
        <v>74</v>
      </c>
      <c r="BR823" s="1" t="s">
        <v>74</v>
      </c>
      <c r="BS823" s="1" t="s">
        <v>8034</v>
      </c>
      <c r="BT823" s="1" t="str">
        <f>HYPERLINK("https%3A%2F%2Fwww.webofscience.com%2Fwos%2Fwoscc%2Ffull-record%2FWOS:000241725600003","View Full Record in Web of Science")</f>
        <v>View Full Record in Web of Science</v>
      </c>
    </row>
    <row r="824" ht="12.75" customHeight="1">
      <c r="A824" s="1" t="s">
        <v>72</v>
      </c>
      <c r="B824" s="1" t="s">
        <v>8035</v>
      </c>
      <c r="C824" s="1" t="s">
        <v>74</v>
      </c>
      <c r="D824" s="1" t="s">
        <v>74</v>
      </c>
      <c r="E824" s="1" t="s">
        <v>74</v>
      </c>
      <c r="F824" s="1" t="s">
        <v>8035</v>
      </c>
      <c r="G824" s="1" t="s">
        <v>74</v>
      </c>
      <c r="H824" s="1" t="s">
        <v>74</v>
      </c>
      <c r="I824" s="1" t="s">
        <v>8036</v>
      </c>
      <c r="J824" s="1" t="s">
        <v>8037</v>
      </c>
      <c r="K824" s="1" t="s">
        <v>74</v>
      </c>
      <c r="L824" s="1" t="s">
        <v>74</v>
      </c>
      <c r="M824" s="1" t="s">
        <v>74</v>
      </c>
      <c r="N824" s="1" t="s">
        <v>74</v>
      </c>
      <c r="O824" s="1" t="s">
        <v>8038</v>
      </c>
      <c r="P824" s="1" t="s">
        <v>8039</v>
      </c>
      <c r="Q824" s="1" t="s">
        <v>6717</v>
      </c>
      <c r="R824" s="1" t="s">
        <v>8040</v>
      </c>
      <c r="S824" s="1" t="s">
        <v>74</v>
      </c>
      <c r="T824" s="1" t="s">
        <v>74</v>
      </c>
      <c r="U824" s="1" t="s">
        <v>74</v>
      </c>
      <c r="V824" s="1" t="s">
        <v>74</v>
      </c>
      <c r="W824" s="1" t="s">
        <v>74</v>
      </c>
      <c r="X824" s="1" t="s">
        <v>74</v>
      </c>
      <c r="Y824" s="1" t="s">
        <v>74</v>
      </c>
      <c r="Z824" s="1" t="s">
        <v>74</v>
      </c>
      <c r="AA824" s="1" t="s">
        <v>74</v>
      </c>
      <c r="AB824" s="1" t="s">
        <v>74</v>
      </c>
      <c r="AC824" s="1" t="s">
        <v>74</v>
      </c>
      <c r="AD824" s="1" t="s">
        <v>74</v>
      </c>
      <c r="AE824" s="1" t="s">
        <v>74</v>
      </c>
      <c r="AF824" s="1" t="s">
        <v>74</v>
      </c>
      <c r="AG824" s="1" t="s">
        <v>74</v>
      </c>
      <c r="AH824" s="1" t="s">
        <v>74</v>
      </c>
      <c r="AI824" s="1" t="s">
        <v>74</v>
      </c>
      <c r="AJ824" s="1" t="s">
        <v>74</v>
      </c>
      <c r="AK824" s="1" t="s">
        <v>74</v>
      </c>
      <c r="AL824" s="1" t="s">
        <v>74</v>
      </c>
      <c r="AM824" s="1" t="s">
        <v>74</v>
      </c>
      <c r="AN824" s="1" t="s">
        <v>74</v>
      </c>
      <c r="AO824" s="1" t="s">
        <v>8041</v>
      </c>
      <c r="AP824" s="1" t="s">
        <v>74</v>
      </c>
      <c r="AQ824" s="1" t="s">
        <v>74</v>
      </c>
      <c r="AR824" s="1" t="s">
        <v>74</v>
      </c>
      <c r="AS824" s="1" t="s">
        <v>74</v>
      </c>
      <c r="AT824" s="1" t="s">
        <v>696</v>
      </c>
      <c r="AU824" s="1">
        <v>2006.0</v>
      </c>
      <c r="AV824" s="1">
        <v>27.0</v>
      </c>
      <c r="AW824" s="1">
        <v>1.0</v>
      </c>
      <c r="AX824" s="1" t="s">
        <v>74</v>
      </c>
      <c r="AY824" s="1" t="s">
        <v>74</v>
      </c>
      <c r="AZ824" s="1" t="s">
        <v>74</v>
      </c>
      <c r="BA824" s="1" t="s">
        <v>74</v>
      </c>
      <c r="BB824" s="1" t="s">
        <v>8042</v>
      </c>
      <c r="BC824" s="1" t="s">
        <v>8042</v>
      </c>
      <c r="BD824" s="1" t="s">
        <v>74</v>
      </c>
      <c r="BE824" s="1" t="s">
        <v>74</v>
      </c>
      <c r="BF824" s="1" t="s">
        <v>74</v>
      </c>
      <c r="BG824" s="1" t="s">
        <v>74</v>
      </c>
      <c r="BH824" s="1" t="s">
        <v>74</v>
      </c>
      <c r="BI824" s="1" t="s">
        <v>74</v>
      </c>
      <c r="BJ824" s="1" t="s">
        <v>74</v>
      </c>
      <c r="BK824" s="1" t="s">
        <v>74</v>
      </c>
      <c r="BL824" s="1" t="s">
        <v>74</v>
      </c>
      <c r="BM824" s="1" t="s">
        <v>74</v>
      </c>
      <c r="BN824" s="1" t="s">
        <v>74</v>
      </c>
      <c r="BO824" s="1" t="s">
        <v>74</v>
      </c>
      <c r="BP824" s="1" t="s">
        <v>74</v>
      </c>
      <c r="BQ824" s="1" t="s">
        <v>74</v>
      </c>
      <c r="BR824" s="1" t="s">
        <v>74</v>
      </c>
      <c r="BS824" s="1" t="s">
        <v>8043</v>
      </c>
      <c r="BT824" s="1" t="str">
        <f>HYPERLINK("https%3A%2F%2Fwww.webofscience.com%2Fwos%2Fwoscc%2Ffull-record%2FWOS:000233996200138","View Full Record in Web of Science")</f>
        <v>View Full Record in Web of Science</v>
      </c>
    </row>
    <row r="825" ht="12.75" customHeight="1">
      <c r="A825" s="1" t="s">
        <v>72</v>
      </c>
      <c r="B825" s="1" t="s">
        <v>8044</v>
      </c>
      <c r="C825" s="1" t="s">
        <v>74</v>
      </c>
      <c r="D825" s="1" t="s">
        <v>74</v>
      </c>
      <c r="E825" s="1" t="s">
        <v>74</v>
      </c>
      <c r="F825" s="1" t="s">
        <v>8044</v>
      </c>
      <c r="G825" s="1" t="s">
        <v>74</v>
      </c>
      <c r="H825" s="1" t="s">
        <v>74</v>
      </c>
      <c r="I825" s="1" t="s">
        <v>8045</v>
      </c>
      <c r="J825" s="1" t="s">
        <v>8046</v>
      </c>
      <c r="K825" s="1" t="s">
        <v>74</v>
      </c>
      <c r="L825" s="1" t="s">
        <v>74</v>
      </c>
      <c r="M825" s="1" t="s">
        <v>74</v>
      </c>
      <c r="N825" s="1" t="s">
        <v>74</v>
      </c>
      <c r="O825" s="1" t="s">
        <v>74</v>
      </c>
      <c r="P825" s="1" t="s">
        <v>74</v>
      </c>
      <c r="Q825" s="1" t="s">
        <v>74</v>
      </c>
      <c r="R825" s="1" t="s">
        <v>74</v>
      </c>
      <c r="S825" s="1" t="s">
        <v>74</v>
      </c>
      <c r="T825" s="1" t="s">
        <v>74</v>
      </c>
      <c r="U825" s="1" t="s">
        <v>74</v>
      </c>
      <c r="V825" s="1" t="s">
        <v>8047</v>
      </c>
      <c r="W825" s="1" t="s">
        <v>74</v>
      </c>
      <c r="X825" s="1" t="s">
        <v>74</v>
      </c>
      <c r="Y825" s="1" t="s">
        <v>74</v>
      </c>
      <c r="Z825" s="1" t="s">
        <v>74</v>
      </c>
      <c r="AA825" s="1" t="s">
        <v>2752</v>
      </c>
      <c r="AB825" s="1" t="s">
        <v>2753</v>
      </c>
      <c r="AC825" s="1" t="s">
        <v>74</v>
      </c>
      <c r="AD825" s="1" t="s">
        <v>74</v>
      </c>
      <c r="AE825" s="1" t="s">
        <v>74</v>
      </c>
      <c r="AF825" s="1" t="s">
        <v>74</v>
      </c>
      <c r="AG825" s="1" t="s">
        <v>74</v>
      </c>
      <c r="AH825" s="1" t="s">
        <v>74</v>
      </c>
      <c r="AI825" s="1" t="s">
        <v>74</v>
      </c>
      <c r="AJ825" s="1" t="s">
        <v>74</v>
      </c>
      <c r="AK825" s="1" t="s">
        <v>74</v>
      </c>
      <c r="AL825" s="1" t="s">
        <v>74</v>
      </c>
      <c r="AM825" s="1" t="s">
        <v>74</v>
      </c>
      <c r="AN825" s="1" t="s">
        <v>74</v>
      </c>
      <c r="AO825" s="1" t="s">
        <v>8048</v>
      </c>
      <c r="AP825" s="1" t="s">
        <v>8049</v>
      </c>
      <c r="AQ825" s="1" t="s">
        <v>74</v>
      </c>
      <c r="AR825" s="1" t="s">
        <v>74</v>
      </c>
      <c r="AS825" s="1" t="s">
        <v>74</v>
      </c>
      <c r="AT825" s="1" t="s">
        <v>652</v>
      </c>
      <c r="AU825" s="1">
        <v>2005.0</v>
      </c>
      <c r="AV825" s="1">
        <v>40.0</v>
      </c>
      <c r="AW825" s="1">
        <v>4.0</v>
      </c>
      <c r="AX825" s="1" t="s">
        <v>74</v>
      </c>
      <c r="AY825" s="1" t="s">
        <v>74</v>
      </c>
      <c r="AZ825" s="1" t="s">
        <v>74</v>
      </c>
      <c r="BA825" s="1" t="s">
        <v>74</v>
      </c>
      <c r="BB825" s="1">
        <v>321.0</v>
      </c>
      <c r="BC825" s="1">
        <v>327.0</v>
      </c>
      <c r="BD825" s="1" t="s">
        <v>74</v>
      </c>
      <c r="BE825" s="1" t="s">
        <v>8050</v>
      </c>
      <c r="BF825" s="2" t="str">
        <f>HYPERLINK("http://dx.doi.org/10.1179/174327805X79511","http://dx.doi.org/10.1179/174327805X79511")</f>
        <v>http://dx.doi.org/10.1179/174327805X79511</v>
      </c>
      <c r="BG825" s="1" t="s">
        <v>74</v>
      </c>
      <c r="BH825" s="1" t="s">
        <v>74</v>
      </c>
      <c r="BI825" s="1" t="s">
        <v>74</v>
      </c>
      <c r="BJ825" s="1" t="s">
        <v>74</v>
      </c>
      <c r="BK825" s="1" t="s">
        <v>74</v>
      </c>
      <c r="BL825" s="1" t="s">
        <v>74</v>
      </c>
      <c r="BM825" s="1" t="s">
        <v>74</v>
      </c>
      <c r="BN825" s="1" t="s">
        <v>74</v>
      </c>
      <c r="BO825" s="1" t="s">
        <v>74</v>
      </c>
      <c r="BP825" s="1" t="s">
        <v>74</v>
      </c>
      <c r="BQ825" s="1" t="s">
        <v>74</v>
      </c>
      <c r="BR825" s="1" t="s">
        <v>74</v>
      </c>
      <c r="BS825" s="1" t="s">
        <v>8051</v>
      </c>
      <c r="BT825" s="1" t="str">
        <f>HYPERLINK("https%3A%2F%2Fwww.webofscience.com%2Fwos%2Fwoscc%2Ffull-record%2FWOS:000234390300012","View Full Record in Web of Science")</f>
        <v>View Full Record in Web of Science</v>
      </c>
    </row>
    <row r="826" ht="12.75" customHeight="1">
      <c r="A826" s="1" t="s">
        <v>72</v>
      </c>
      <c r="B826" s="1" t="s">
        <v>8052</v>
      </c>
      <c r="C826" s="1" t="s">
        <v>74</v>
      </c>
      <c r="D826" s="1" t="s">
        <v>74</v>
      </c>
      <c r="E826" s="1" t="s">
        <v>74</v>
      </c>
      <c r="F826" s="1" t="s">
        <v>8052</v>
      </c>
      <c r="G826" s="1" t="s">
        <v>74</v>
      </c>
      <c r="H826" s="1" t="s">
        <v>74</v>
      </c>
      <c r="I826" s="1" t="s">
        <v>8053</v>
      </c>
      <c r="J826" s="1" t="s">
        <v>8054</v>
      </c>
      <c r="K826" s="1" t="s">
        <v>74</v>
      </c>
      <c r="L826" s="1" t="s">
        <v>74</v>
      </c>
      <c r="M826" s="1" t="s">
        <v>74</v>
      </c>
      <c r="N826" s="1" t="s">
        <v>74</v>
      </c>
      <c r="O826" s="1" t="s">
        <v>74</v>
      </c>
      <c r="P826" s="1" t="s">
        <v>74</v>
      </c>
      <c r="Q826" s="1" t="s">
        <v>74</v>
      </c>
      <c r="R826" s="1" t="s">
        <v>74</v>
      </c>
      <c r="S826" s="1" t="s">
        <v>74</v>
      </c>
      <c r="T826" s="1" t="s">
        <v>74</v>
      </c>
      <c r="U826" s="1" t="s">
        <v>74</v>
      </c>
      <c r="V826" s="1" t="s">
        <v>8055</v>
      </c>
      <c r="W826" s="1" t="s">
        <v>74</v>
      </c>
      <c r="X826" s="1" t="s">
        <v>74</v>
      </c>
      <c r="Y826" s="1" t="s">
        <v>74</v>
      </c>
      <c r="Z826" s="1" t="s">
        <v>74</v>
      </c>
      <c r="AA826" s="1" t="s">
        <v>8056</v>
      </c>
      <c r="AB826" s="1" t="s">
        <v>8057</v>
      </c>
      <c r="AC826" s="1" t="s">
        <v>74</v>
      </c>
      <c r="AD826" s="1" t="s">
        <v>74</v>
      </c>
      <c r="AE826" s="1" t="s">
        <v>74</v>
      </c>
      <c r="AF826" s="1" t="s">
        <v>74</v>
      </c>
      <c r="AG826" s="1" t="s">
        <v>74</v>
      </c>
      <c r="AH826" s="1" t="s">
        <v>74</v>
      </c>
      <c r="AI826" s="1" t="s">
        <v>74</v>
      </c>
      <c r="AJ826" s="1" t="s">
        <v>74</v>
      </c>
      <c r="AK826" s="1" t="s">
        <v>74</v>
      </c>
      <c r="AL826" s="1" t="s">
        <v>74</v>
      </c>
      <c r="AM826" s="1" t="s">
        <v>74</v>
      </c>
      <c r="AN826" s="1" t="s">
        <v>74</v>
      </c>
      <c r="AO826" s="1" t="s">
        <v>8058</v>
      </c>
      <c r="AP826" s="1" t="s">
        <v>74</v>
      </c>
      <c r="AQ826" s="1" t="s">
        <v>74</v>
      </c>
      <c r="AR826" s="1" t="s">
        <v>74</v>
      </c>
      <c r="AS826" s="1" t="s">
        <v>74</v>
      </c>
      <c r="AT826" s="1" t="s">
        <v>339</v>
      </c>
      <c r="AU826" s="1">
        <v>2004.0</v>
      </c>
      <c r="AV826" s="1">
        <v>25.0</v>
      </c>
      <c r="AW826" s="1">
        <v>5.0</v>
      </c>
      <c r="AX826" s="1" t="s">
        <v>74</v>
      </c>
      <c r="AY826" s="1" t="s">
        <v>74</v>
      </c>
      <c r="AZ826" s="1" t="s">
        <v>74</v>
      </c>
      <c r="BA826" s="1" t="s">
        <v>74</v>
      </c>
      <c r="BB826" s="1">
        <v>817.0</v>
      </c>
      <c r="BC826" s="1">
        <v>823.0</v>
      </c>
      <c r="BD826" s="1" t="s">
        <v>74</v>
      </c>
      <c r="BE826" s="1" t="s">
        <v>8059</v>
      </c>
      <c r="BF826" s="2" t="str">
        <f>HYPERLINK("http://dx.doi.org/10.1016/j.neuro.2004.01.008","http://dx.doi.org/10.1016/j.neuro.2004.01.008")</f>
        <v>http://dx.doi.org/10.1016/j.neuro.2004.01.008</v>
      </c>
      <c r="BG826" s="1" t="s">
        <v>74</v>
      </c>
      <c r="BH826" s="1" t="s">
        <v>74</v>
      </c>
      <c r="BI826" s="1" t="s">
        <v>74</v>
      </c>
      <c r="BJ826" s="1" t="s">
        <v>74</v>
      </c>
      <c r="BK826" s="1" t="s">
        <v>74</v>
      </c>
      <c r="BL826" s="1" t="s">
        <v>74</v>
      </c>
      <c r="BM826" s="1" t="s">
        <v>74</v>
      </c>
      <c r="BN826" s="1">
        <v>1.5288512E7</v>
      </c>
      <c r="BO826" s="1" t="s">
        <v>74</v>
      </c>
      <c r="BP826" s="1" t="s">
        <v>74</v>
      </c>
      <c r="BQ826" s="1" t="s">
        <v>74</v>
      </c>
      <c r="BR826" s="1" t="s">
        <v>74</v>
      </c>
      <c r="BS826" s="1" t="s">
        <v>8060</v>
      </c>
      <c r="BT826" s="1" t="str">
        <f>HYPERLINK("https%3A%2F%2Fwww.webofscience.com%2Fwos%2Fwoscc%2Ffull-record%2FWOS:000223415500007","View Full Record in Web of Science")</f>
        <v>View Full Record in Web of Science</v>
      </c>
    </row>
    <row r="827" ht="12.75" customHeight="1">
      <c r="A827" s="1" t="s">
        <v>72</v>
      </c>
      <c r="B827" s="1" t="s">
        <v>8061</v>
      </c>
      <c r="C827" s="1" t="s">
        <v>74</v>
      </c>
      <c r="D827" s="1" t="s">
        <v>74</v>
      </c>
      <c r="E827" s="1" t="s">
        <v>74</v>
      </c>
      <c r="F827" s="1" t="s">
        <v>8061</v>
      </c>
      <c r="G827" s="1" t="s">
        <v>74</v>
      </c>
      <c r="H827" s="1" t="s">
        <v>74</v>
      </c>
      <c r="I827" s="1" t="s">
        <v>8062</v>
      </c>
      <c r="J827" s="1" t="s">
        <v>716</v>
      </c>
      <c r="K827" s="1" t="s">
        <v>74</v>
      </c>
      <c r="L827" s="1" t="s">
        <v>74</v>
      </c>
      <c r="M827" s="1" t="s">
        <v>74</v>
      </c>
      <c r="N827" s="1" t="s">
        <v>74</v>
      </c>
      <c r="O827" s="1" t="s">
        <v>74</v>
      </c>
      <c r="P827" s="1" t="s">
        <v>74</v>
      </c>
      <c r="Q827" s="1" t="s">
        <v>74</v>
      </c>
      <c r="R827" s="1" t="s">
        <v>74</v>
      </c>
      <c r="S827" s="1" t="s">
        <v>74</v>
      </c>
      <c r="T827" s="1" t="s">
        <v>74</v>
      </c>
      <c r="U827" s="1" t="s">
        <v>74</v>
      </c>
      <c r="V827" s="1" t="s">
        <v>8063</v>
      </c>
      <c r="W827" s="1" t="s">
        <v>74</v>
      </c>
      <c r="X827" s="1" t="s">
        <v>74</v>
      </c>
      <c r="Y827" s="1" t="s">
        <v>74</v>
      </c>
      <c r="Z827" s="1" t="s">
        <v>74</v>
      </c>
      <c r="AA827" s="1" t="s">
        <v>8064</v>
      </c>
      <c r="AB827" s="1" t="s">
        <v>8065</v>
      </c>
      <c r="AC827" s="1" t="s">
        <v>74</v>
      </c>
      <c r="AD827" s="1" t="s">
        <v>74</v>
      </c>
      <c r="AE827" s="1" t="s">
        <v>74</v>
      </c>
      <c r="AF827" s="1" t="s">
        <v>74</v>
      </c>
      <c r="AG827" s="1" t="s">
        <v>74</v>
      </c>
      <c r="AH827" s="1" t="s">
        <v>74</v>
      </c>
      <c r="AI827" s="1" t="s">
        <v>74</v>
      </c>
      <c r="AJ827" s="1" t="s">
        <v>74</v>
      </c>
      <c r="AK827" s="1" t="s">
        <v>74</v>
      </c>
      <c r="AL827" s="1" t="s">
        <v>74</v>
      </c>
      <c r="AM827" s="1" t="s">
        <v>74</v>
      </c>
      <c r="AN827" s="1" t="s">
        <v>74</v>
      </c>
      <c r="AO827" s="1" t="s">
        <v>6128</v>
      </c>
      <c r="AP827" s="1" t="s">
        <v>6129</v>
      </c>
      <c r="AQ827" s="1" t="s">
        <v>74</v>
      </c>
      <c r="AR827" s="1" t="s">
        <v>74</v>
      </c>
      <c r="AS827" s="1" t="s">
        <v>74</v>
      </c>
      <c r="AT827" s="1" t="s">
        <v>7104</v>
      </c>
      <c r="AU827" s="1">
        <v>2003.0</v>
      </c>
      <c r="AV827" s="1">
        <v>553.0</v>
      </c>
      <c r="AW827" s="1" t="s">
        <v>74</v>
      </c>
      <c r="AX827" s="1" t="s">
        <v>74</v>
      </c>
      <c r="AY827" s="1" t="s">
        <v>74</v>
      </c>
      <c r="AZ827" s="1" t="s">
        <v>74</v>
      </c>
      <c r="BA827" s="1" t="s">
        <v>74</v>
      </c>
      <c r="BB827" s="1">
        <v>147.0</v>
      </c>
      <c r="BC827" s="1">
        <v>156.0</v>
      </c>
      <c r="BD827" s="1" t="s">
        <v>74</v>
      </c>
      <c r="BE827" s="1" t="s">
        <v>8066</v>
      </c>
      <c r="BF827" s="2" t="str">
        <f>HYPERLINK("http://dx.doi.org/10.1016/S0022-0728(03)00309-7","http://dx.doi.org/10.1016/S0022-0728(03)00309-7")</f>
        <v>http://dx.doi.org/10.1016/S0022-0728(03)00309-7</v>
      </c>
      <c r="BG827" s="1" t="s">
        <v>74</v>
      </c>
      <c r="BH827" s="1" t="s">
        <v>74</v>
      </c>
      <c r="BI827" s="1" t="s">
        <v>74</v>
      </c>
      <c r="BJ827" s="1" t="s">
        <v>74</v>
      </c>
      <c r="BK827" s="1" t="s">
        <v>74</v>
      </c>
      <c r="BL827" s="1" t="s">
        <v>74</v>
      </c>
      <c r="BM827" s="1" t="s">
        <v>74</v>
      </c>
      <c r="BN827" s="1" t="s">
        <v>74</v>
      </c>
      <c r="BO827" s="1" t="s">
        <v>74</v>
      </c>
      <c r="BP827" s="1" t="s">
        <v>74</v>
      </c>
      <c r="BQ827" s="1" t="s">
        <v>74</v>
      </c>
      <c r="BR827" s="1" t="s">
        <v>74</v>
      </c>
      <c r="BS827" s="1" t="s">
        <v>8067</v>
      </c>
      <c r="BT827" s="1" t="str">
        <f>HYPERLINK("https%3A%2F%2Fwww.webofscience.com%2Fwos%2Fwoscc%2Ffull-record%2FWOS:000185368700016","View Full Record in Web of Science")</f>
        <v>View Full Record in Web of Science</v>
      </c>
    </row>
    <row r="828" ht="12.75" customHeight="1">
      <c r="A828" s="1" t="s">
        <v>72</v>
      </c>
      <c r="B828" s="1" t="s">
        <v>8068</v>
      </c>
      <c r="C828" s="1" t="s">
        <v>74</v>
      </c>
      <c r="D828" s="1" t="s">
        <v>74</v>
      </c>
      <c r="E828" s="1" t="s">
        <v>74</v>
      </c>
      <c r="F828" s="1" t="s">
        <v>8068</v>
      </c>
      <c r="G828" s="1" t="s">
        <v>74</v>
      </c>
      <c r="H828" s="1" t="s">
        <v>74</v>
      </c>
      <c r="I828" s="1" t="s">
        <v>8069</v>
      </c>
      <c r="J828" s="1" t="s">
        <v>8070</v>
      </c>
      <c r="K828" s="1" t="s">
        <v>74</v>
      </c>
      <c r="L828" s="1" t="s">
        <v>74</v>
      </c>
      <c r="M828" s="1" t="s">
        <v>74</v>
      </c>
      <c r="N828" s="1" t="s">
        <v>74</v>
      </c>
      <c r="O828" s="1" t="s">
        <v>74</v>
      </c>
      <c r="P828" s="1" t="s">
        <v>74</v>
      </c>
      <c r="Q828" s="1" t="s">
        <v>74</v>
      </c>
      <c r="R828" s="1" t="s">
        <v>74</v>
      </c>
      <c r="S828" s="1" t="s">
        <v>74</v>
      </c>
      <c r="T828" s="1" t="s">
        <v>74</v>
      </c>
      <c r="U828" s="1" t="s">
        <v>74</v>
      </c>
      <c r="V828" s="1" t="s">
        <v>8071</v>
      </c>
      <c r="W828" s="1" t="s">
        <v>74</v>
      </c>
      <c r="X828" s="1" t="s">
        <v>74</v>
      </c>
      <c r="Y828" s="1" t="s">
        <v>74</v>
      </c>
      <c r="Z828" s="1" t="s">
        <v>74</v>
      </c>
      <c r="AA828" s="1" t="s">
        <v>8072</v>
      </c>
      <c r="AB828" s="1" t="s">
        <v>8073</v>
      </c>
      <c r="AC828" s="1" t="s">
        <v>74</v>
      </c>
      <c r="AD828" s="1" t="s">
        <v>74</v>
      </c>
      <c r="AE828" s="1" t="s">
        <v>74</v>
      </c>
      <c r="AF828" s="1" t="s">
        <v>74</v>
      </c>
      <c r="AG828" s="1" t="s">
        <v>74</v>
      </c>
      <c r="AH828" s="1" t="s">
        <v>74</v>
      </c>
      <c r="AI828" s="1" t="s">
        <v>74</v>
      </c>
      <c r="AJ828" s="1" t="s">
        <v>74</v>
      </c>
      <c r="AK828" s="1" t="s">
        <v>74</v>
      </c>
      <c r="AL828" s="1" t="s">
        <v>74</v>
      </c>
      <c r="AM828" s="1" t="s">
        <v>74</v>
      </c>
      <c r="AN828" s="1" t="s">
        <v>74</v>
      </c>
      <c r="AO828" s="1" t="s">
        <v>8074</v>
      </c>
      <c r="AP828" s="1" t="s">
        <v>74</v>
      </c>
      <c r="AQ828" s="1" t="s">
        <v>74</v>
      </c>
      <c r="AR828" s="1" t="s">
        <v>74</v>
      </c>
      <c r="AS828" s="1" t="s">
        <v>74</v>
      </c>
      <c r="AT828" s="1" t="s">
        <v>257</v>
      </c>
      <c r="AU828" s="1">
        <v>2002.0</v>
      </c>
      <c r="AV828" s="1">
        <v>117.0</v>
      </c>
      <c r="AW828" s="1">
        <v>3.0</v>
      </c>
      <c r="AX828" s="1" t="s">
        <v>74</v>
      </c>
      <c r="AY828" s="1" t="s">
        <v>74</v>
      </c>
      <c r="AZ828" s="1" t="s">
        <v>74</v>
      </c>
      <c r="BA828" s="1" t="s">
        <v>74</v>
      </c>
      <c r="BB828" s="1">
        <v>265.0</v>
      </c>
      <c r="BC828" s="1">
        <v>273.0</v>
      </c>
      <c r="BD828" s="1" t="s">
        <v>74</v>
      </c>
      <c r="BE828" s="1" t="s">
        <v>8075</v>
      </c>
      <c r="BF828" s="2" t="str">
        <f>HYPERLINK("http://dx.doi.org/10.1007/s00418-001-0377-8","http://dx.doi.org/10.1007/s00418-001-0377-8")</f>
        <v>http://dx.doi.org/10.1007/s00418-001-0377-8</v>
      </c>
      <c r="BG828" s="1" t="s">
        <v>74</v>
      </c>
      <c r="BH828" s="1" t="s">
        <v>74</v>
      </c>
      <c r="BI828" s="1" t="s">
        <v>74</v>
      </c>
      <c r="BJ828" s="1" t="s">
        <v>74</v>
      </c>
      <c r="BK828" s="1" t="s">
        <v>74</v>
      </c>
      <c r="BL828" s="1" t="s">
        <v>74</v>
      </c>
      <c r="BM828" s="1" t="s">
        <v>74</v>
      </c>
      <c r="BN828" s="1">
        <v>1.1914924E7</v>
      </c>
      <c r="BO828" s="1" t="s">
        <v>74</v>
      </c>
      <c r="BP828" s="1" t="s">
        <v>74</v>
      </c>
      <c r="BQ828" s="1" t="s">
        <v>74</v>
      </c>
      <c r="BR828" s="1" t="s">
        <v>74</v>
      </c>
      <c r="BS828" s="1" t="s">
        <v>8076</v>
      </c>
      <c r="BT828" s="1" t="str">
        <f>HYPERLINK("https%3A%2F%2Fwww.webofscience.com%2Fwos%2Fwoscc%2Ffull-record%2FWOS:000174866000009","View Full Record in Web of Science")</f>
        <v>View Full Record in Web of Science</v>
      </c>
    </row>
    <row r="829" ht="12.75" customHeight="1">
      <c r="A829" s="1" t="s">
        <v>72</v>
      </c>
      <c r="B829" s="1" t="s">
        <v>8077</v>
      </c>
      <c r="C829" s="1" t="s">
        <v>74</v>
      </c>
      <c r="D829" s="1" t="s">
        <v>74</v>
      </c>
      <c r="E829" s="1" t="s">
        <v>74</v>
      </c>
      <c r="F829" s="1" t="s">
        <v>8077</v>
      </c>
      <c r="G829" s="1" t="s">
        <v>74</v>
      </c>
      <c r="H829" s="1" t="s">
        <v>74</v>
      </c>
      <c r="I829" s="1" t="s">
        <v>8078</v>
      </c>
      <c r="J829" s="1" t="s">
        <v>2124</v>
      </c>
      <c r="K829" s="1" t="s">
        <v>74</v>
      </c>
      <c r="L829" s="1" t="s">
        <v>74</v>
      </c>
      <c r="M829" s="1" t="s">
        <v>74</v>
      </c>
      <c r="N829" s="1" t="s">
        <v>74</v>
      </c>
      <c r="O829" s="1" t="s">
        <v>74</v>
      </c>
      <c r="P829" s="1" t="s">
        <v>74</v>
      </c>
      <c r="Q829" s="1" t="s">
        <v>74</v>
      </c>
      <c r="R829" s="1" t="s">
        <v>74</v>
      </c>
      <c r="S829" s="1" t="s">
        <v>74</v>
      </c>
      <c r="T829" s="1" t="s">
        <v>74</v>
      </c>
      <c r="U829" s="1" t="s">
        <v>74</v>
      </c>
      <c r="V829" s="1" t="s">
        <v>8079</v>
      </c>
      <c r="W829" s="1" t="s">
        <v>74</v>
      </c>
      <c r="X829" s="1" t="s">
        <v>74</v>
      </c>
      <c r="Y829" s="1" t="s">
        <v>74</v>
      </c>
      <c r="Z829" s="1" t="s">
        <v>74</v>
      </c>
      <c r="AA829" s="1" t="s">
        <v>74</v>
      </c>
      <c r="AB829" s="1" t="s">
        <v>74</v>
      </c>
      <c r="AC829" s="1" t="s">
        <v>74</v>
      </c>
      <c r="AD829" s="1" t="s">
        <v>74</v>
      </c>
      <c r="AE829" s="1" t="s">
        <v>74</v>
      </c>
      <c r="AF829" s="1" t="s">
        <v>74</v>
      </c>
      <c r="AG829" s="1" t="s">
        <v>74</v>
      </c>
      <c r="AH829" s="1" t="s">
        <v>74</v>
      </c>
      <c r="AI829" s="1" t="s">
        <v>74</v>
      </c>
      <c r="AJ829" s="1" t="s">
        <v>74</v>
      </c>
      <c r="AK829" s="1" t="s">
        <v>74</v>
      </c>
      <c r="AL829" s="1" t="s">
        <v>74</v>
      </c>
      <c r="AM829" s="1" t="s">
        <v>74</v>
      </c>
      <c r="AN829" s="1" t="s">
        <v>74</v>
      </c>
      <c r="AO829" s="1" t="s">
        <v>8080</v>
      </c>
      <c r="AP829" s="1" t="s">
        <v>8081</v>
      </c>
      <c r="AQ829" s="1" t="s">
        <v>74</v>
      </c>
      <c r="AR829" s="1" t="s">
        <v>74</v>
      </c>
      <c r="AS829" s="1" t="s">
        <v>74</v>
      </c>
      <c r="AT829" s="1" t="s">
        <v>3399</v>
      </c>
      <c r="AU829" s="1">
        <v>2000.0</v>
      </c>
      <c r="AV829" s="1">
        <v>62.0</v>
      </c>
      <c r="AW829" s="1">
        <v>2.0</v>
      </c>
      <c r="AX829" s="1" t="s">
        <v>74</v>
      </c>
      <c r="AY829" s="1" t="s">
        <v>74</v>
      </c>
      <c r="AZ829" s="1" t="s">
        <v>74</v>
      </c>
      <c r="BA829" s="1" t="s">
        <v>74</v>
      </c>
      <c r="BB829" s="1" t="s">
        <v>74</v>
      </c>
      <c r="BC829" s="1" t="s">
        <v>74</v>
      </c>
      <c r="BD829" s="1">
        <v>23501.0</v>
      </c>
      <c r="BE829" s="1" t="s">
        <v>8082</v>
      </c>
      <c r="BF829" s="2" t="str">
        <f>HYPERLINK("http://dx.doi.org/10.1103/PhysRevD.62.023501","http://dx.doi.org/10.1103/PhysRevD.62.023501")</f>
        <v>http://dx.doi.org/10.1103/PhysRevD.62.023501</v>
      </c>
      <c r="BG829" s="1" t="s">
        <v>74</v>
      </c>
      <c r="BH829" s="1" t="s">
        <v>74</v>
      </c>
      <c r="BI829" s="1" t="s">
        <v>74</v>
      </c>
      <c r="BJ829" s="1" t="s">
        <v>74</v>
      </c>
      <c r="BK829" s="1" t="s">
        <v>74</v>
      </c>
      <c r="BL829" s="1" t="s">
        <v>74</v>
      </c>
      <c r="BM829" s="1" t="s">
        <v>74</v>
      </c>
      <c r="BN829" s="1" t="s">
        <v>74</v>
      </c>
      <c r="BO829" s="1" t="s">
        <v>74</v>
      </c>
      <c r="BP829" s="1" t="s">
        <v>74</v>
      </c>
      <c r="BQ829" s="1" t="s">
        <v>74</v>
      </c>
      <c r="BR829" s="1" t="s">
        <v>74</v>
      </c>
      <c r="BS829" s="1" t="s">
        <v>8083</v>
      </c>
      <c r="BT829" s="1" t="str">
        <f>HYPERLINK("https%3A%2F%2Fwww.webofscience.com%2Fwos%2Fwoscc%2Ffull-record%2FWOS:000088326100008","View Full Record in Web of Science")</f>
        <v>View Full Record in Web of Science</v>
      </c>
    </row>
    <row r="830" ht="12.75" customHeight="1">
      <c r="A830" s="1" t="s">
        <v>72</v>
      </c>
      <c r="B830" s="1" t="s">
        <v>8084</v>
      </c>
      <c r="C830" s="1" t="s">
        <v>74</v>
      </c>
      <c r="D830" s="1" t="s">
        <v>74</v>
      </c>
      <c r="E830" s="1" t="s">
        <v>74</v>
      </c>
      <c r="F830" s="1" t="s">
        <v>8084</v>
      </c>
      <c r="G830" s="1" t="s">
        <v>74</v>
      </c>
      <c r="H830" s="1" t="s">
        <v>74</v>
      </c>
      <c r="I830" s="1" t="s">
        <v>8085</v>
      </c>
      <c r="J830" s="1" t="s">
        <v>8086</v>
      </c>
      <c r="K830" s="1" t="s">
        <v>74</v>
      </c>
      <c r="L830" s="1" t="s">
        <v>74</v>
      </c>
      <c r="M830" s="1" t="s">
        <v>74</v>
      </c>
      <c r="N830" s="1" t="s">
        <v>74</v>
      </c>
      <c r="O830" s="1" t="s">
        <v>74</v>
      </c>
      <c r="P830" s="1" t="s">
        <v>74</v>
      </c>
      <c r="Q830" s="1" t="s">
        <v>74</v>
      </c>
      <c r="R830" s="1" t="s">
        <v>74</v>
      </c>
      <c r="S830" s="1" t="s">
        <v>74</v>
      </c>
      <c r="T830" s="1" t="s">
        <v>74</v>
      </c>
      <c r="U830" s="1" t="s">
        <v>74</v>
      </c>
      <c r="V830" s="1" t="s">
        <v>8087</v>
      </c>
      <c r="W830" s="1" t="s">
        <v>74</v>
      </c>
      <c r="X830" s="1" t="s">
        <v>74</v>
      </c>
      <c r="Y830" s="1" t="s">
        <v>74</v>
      </c>
      <c r="Z830" s="1" t="s">
        <v>74</v>
      </c>
      <c r="AA830" s="1" t="s">
        <v>8088</v>
      </c>
      <c r="AB830" s="1" t="s">
        <v>8089</v>
      </c>
      <c r="AC830" s="1" t="s">
        <v>74</v>
      </c>
      <c r="AD830" s="1" t="s">
        <v>74</v>
      </c>
      <c r="AE830" s="1" t="s">
        <v>74</v>
      </c>
      <c r="AF830" s="1" t="s">
        <v>74</v>
      </c>
      <c r="AG830" s="1" t="s">
        <v>74</v>
      </c>
      <c r="AH830" s="1" t="s">
        <v>74</v>
      </c>
      <c r="AI830" s="1" t="s">
        <v>74</v>
      </c>
      <c r="AJ830" s="1" t="s">
        <v>74</v>
      </c>
      <c r="AK830" s="1" t="s">
        <v>74</v>
      </c>
      <c r="AL830" s="1" t="s">
        <v>74</v>
      </c>
      <c r="AM830" s="1" t="s">
        <v>74</v>
      </c>
      <c r="AN830" s="1" t="s">
        <v>74</v>
      </c>
      <c r="AO830" s="1" t="s">
        <v>8090</v>
      </c>
      <c r="AP830" s="1" t="s">
        <v>74</v>
      </c>
      <c r="AQ830" s="1" t="s">
        <v>74</v>
      </c>
      <c r="AR830" s="1" t="s">
        <v>74</v>
      </c>
      <c r="AS830" s="1" t="s">
        <v>74</v>
      </c>
      <c r="AT830" s="1" t="s">
        <v>294</v>
      </c>
      <c r="AU830" s="1">
        <v>1999.0</v>
      </c>
      <c r="AV830" s="1">
        <v>29.0</v>
      </c>
      <c r="AW830" s="1">
        <v>6.0</v>
      </c>
      <c r="AX830" s="1" t="s">
        <v>74</v>
      </c>
      <c r="AY830" s="1" t="s">
        <v>74</v>
      </c>
      <c r="AZ830" s="1" t="s">
        <v>74</v>
      </c>
      <c r="BA830" s="1" t="s">
        <v>74</v>
      </c>
      <c r="BB830" s="1">
        <v>759.0</v>
      </c>
      <c r="BC830" s="1">
        <v>764.0</v>
      </c>
      <c r="BD830" s="1" t="s">
        <v>74</v>
      </c>
      <c r="BE830" s="1" t="s">
        <v>74</v>
      </c>
      <c r="BF830" s="1" t="s">
        <v>74</v>
      </c>
      <c r="BG830" s="1" t="s">
        <v>74</v>
      </c>
      <c r="BH830" s="1" t="s">
        <v>74</v>
      </c>
      <c r="BI830" s="1" t="s">
        <v>74</v>
      </c>
      <c r="BJ830" s="1" t="s">
        <v>74</v>
      </c>
      <c r="BK830" s="1" t="s">
        <v>74</v>
      </c>
      <c r="BL830" s="1" t="s">
        <v>74</v>
      </c>
      <c r="BM830" s="1" t="s">
        <v>74</v>
      </c>
      <c r="BN830" s="1" t="s">
        <v>74</v>
      </c>
      <c r="BO830" s="1" t="s">
        <v>74</v>
      </c>
      <c r="BP830" s="1" t="s">
        <v>74</v>
      </c>
      <c r="BQ830" s="1" t="s">
        <v>74</v>
      </c>
      <c r="BR830" s="1" t="s">
        <v>74</v>
      </c>
      <c r="BS830" s="1" t="s">
        <v>8091</v>
      </c>
      <c r="BT830" s="1" t="str">
        <f>HYPERLINK("https%3A%2F%2Fwww.webofscience.com%2Fwos%2Fwoscc%2Ffull-record%2FWOS:000081034200012","View Full Record in Web of Science")</f>
        <v>View Full Record in Web of Science</v>
      </c>
    </row>
    <row r="831" ht="12.75" customHeight="1">
      <c r="A831" s="1" t="s">
        <v>72</v>
      </c>
      <c r="B831" s="1" t="s">
        <v>8092</v>
      </c>
      <c r="C831" s="1" t="s">
        <v>74</v>
      </c>
      <c r="D831" s="1" t="s">
        <v>74</v>
      </c>
      <c r="E831" s="1" t="s">
        <v>74</v>
      </c>
      <c r="F831" s="1" t="s">
        <v>8092</v>
      </c>
      <c r="G831" s="1" t="s">
        <v>74</v>
      </c>
      <c r="H831" s="1" t="s">
        <v>74</v>
      </c>
      <c r="I831" s="1" t="s">
        <v>8093</v>
      </c>
      <c r="J831" s="1" t="s">
        <v>8094</v>
      </c>
      <c r="K831" s="1" t="s">
        <v>74</v>
      </c>
      <c r="L831" s="1" t="s">
        <v>74</v>
      </c>
      <c r="M831" s="1" t="s">
        <v>74</v>
      </c>
      <c r="N831" s="1" t="s">
        <v>74</v>
      </c>
      <c r="O831" s="1" t="s">
        <v>74</v>
      </c>
      <c r="P831" s="1" t="s">
        <v>74</v>
      </c>
      <c r="Q831" s="1" t="s">
        <v>74</v>
      </c>
      <c r="R831" s="1" t="s">
        <v>74</v>
      </c>
      <c r="S831" s="1" t="s">
        <v>74</v>
      </c>
      <c r="T831" s="1" t="s">
        <v>74</v>
      </c>
      <c r="U831" s="1" t="s">
        <v>74</v>
      </c>
      <c r="V831" s="1" t="s">
        <v>74</v>
      </c>
      <c r="W831" s="1" t="s">
        <v>74</v>
      </c>
      <c r="X831" s="1" t="s">
        <v>74</v>
      </c>
      <c r="Y831" s="1" t="s">
        <v>74</v>
      </c>
      <c r="Z831" s="1" t="s">
        <v>74</v>
      </c>
      <c r="AA831" s="1" t="s">
        <v>8095</v>
      </c>
      <c r="AB831" s="1" t="s">
        <v>8096</v>
      </c>
      <c r="AC831" s="1" t="s">
        <v>74</v>
      </c>
      <c r="AD831" s="1" t="s">
        <v>74</v>
      </c>
      <c r="AE831" s="1" t="s">
        <v>74</v>
      </c>
      <c r="AF831" s="1" t="s">
        <v>74</v>
      </c>
      <c r="AG831" s="1" t="s">
        <v>74</v>
      </c>
      <c r="AH831" s="1" t="s">
        <v>74</v>
      </c>
      <c r="AI831" s="1" t="s">
        <v>74</v>
      </c>
      <c r="AJ831" s="1" t="s">
        <v>74</v>
      </c>
      <c r="AK831" s="1" t="s">
        <v>74</v>
      </c>
      <c r="AL831" s="1" t="s">
        <v>74</v>
      </c>
      <c r="AM831" s="1" t="s">
        <v>74</v>
      </c>
      <c r="AN831" s="1" t="s">
        <v>74</v>
      </c>
      <c r="AO831" s="1" t="s">
        <v>8097</v>
      </c>
      <c r="AP831" s="1" t="s">
        <v>74</v>
      </c>
      <c r="AQ831" s="1" t="s">
        <v>74</v>
      </c>
      <c r="AR831" s="1" t="s">
        <v>74</v>
      </c>
      <c r="AS831" s="1" t="s">
        <v>74</v>
      </c>
      <c r="AT831" s="1" t="s">
        <v>739</v>
      </c>
      <c r="AU831" s="1">
        <v>1995.0</v>
      </c>
      <c r="AV831" s="1">
        <v>51.0</v>
      </c>
      <c r="AW831" s="1">
        <v>20.0</v>
      </c>
      <c r="AX831" s="1" t="s">
        <v>74</v>
      </c>
      <c r="AY831" s="1" t="s">
        <v>74</v>
      </c>
      <c r="AZ831" s="1" t="s">
        <v>74</v>
      </c>
      <c r="BA831" s="1" t="s">
        <v>74</v>
      </c>
      <c r="BB831" s="1">
        <v>14414.0</v>
      </c>
      <c r="BC831" s="1">
        <v>14420.0</v>
      </c>
      <c r="BD831" s="1" t="s">
        <v>74</v>
      </c>
      <c r="BE831" s="1" t="s">
        <v>8098</v>
      </c>
      <c r="BF831" s="2" t="str">
        <f>HYPERLINK("http://dx.doi.org/10.1103/PhysRevB.51.14414","http://dx.doi.org/10.1103/PhysRevB.51.14414")</f>
        <v>http://dx.doi.org/10.1103/PhysRevB.51.14414</v>
      </c>
      <c r="BG831" s="1" t="s">
        <v>74</v>
      </c>
      <c r="BH831" s="1" t="s">
        <v>74</v>
      </c>
      <c r="BI831" s="1" t="s">
        <v>74</v>
      </c>
      <c r="BJ831" s="1" t="s">
        <v>74</v>
      </c>
      <c r="BK831" s="1" t="s">
        <v>74</v>
      </c>
      <c r="BL831" s="1" t="s">
        <v>74</v>
      </c>
      <c r="BM831" s="1" t="s">
        <v>74</v>
      </c>
      <c r="BN831" s="1">
        <v>9978373.0</v>
      </c>
      <c r="BO831" s="1" t="s">
        <v>74</v>
      </c>
      <c r="BP831" s="1" t="s">
        <v>74</v>
      </c>
      <c r="BQ831" s="1" t="s">
        <v>74</v>
      </c>
      <c r="BR831" s="1" t="s">
        <v>74</v>
      </c>
      <c r="BS831" s="1" t="s">
        <v>8099</v>
      </c>
      <c r="BT831" s="1" t="str">
        <f>HYPERLINK("https%3A%2F%2Fwww.webofscience.com%2Fwos%2Fwoscc%2Ffull-record%2FWOS:A1995RB21300057","View Full Record in Web of Science")</f>
        <v>View Full Record in Web of Science</v>
      </c>
    </row>
    <row r="832" ht="12.75" customHeight="1">
      <c r="A832" s="1" t="s">
        <v>72</v>
      </c>
      <c r="B832" s="1" t="s">
        <v>8100</v>
      </c>
      <c r="C832" s="1" t="s">
        <v>74</v>
      </c>
      <c r="D832" s="1" t="s">
        <v>74</v>
      </c>
      <c r="E832" s="1" t="s">
        <v>74</v>
      </c>
      <c r="F832" s="1" t="s">
        <v>8100</v>
      </c>
      <c r="G832" s="1" t="s">
        <v>74</v>
      </c>
      <c r="H832" s="1" t="s">
        <v>74</v>
      </c>
      <c r="I832" s="1" t="s">
        <v>8101</v>
      </c>
      <c r="J832" s="1" t="s">
        <v>6461</v>
      </c>
      <c r="K832" s="1" t="s">
        <v>74</v>
      </c>
      <c r="L832" s="1" t="s">
        <v>74</v>
      </c>
      <c r="M832" s="1" t="s">
        <v>74</v>
      </c>
      <c r="N832" s="1" t="s">
        <v>74</v>
      </c>
      <c r="O832" s="1" t="s">
        <v>74</v>
      </c>
      <c r="P832" s="1" t="s">
        <v>74</v>
      </c>
      <c r="Q832" s="1" t="s">
        <v>74</v>
      </c>
      <c r="R832" s="1" t="s">
        <v>74</v>
      </c>
      <c r="S832" s="1" t="s">
        <v>74</v>
      </c>
      <c r="T832" s="1" t="s">
        <v>74</v>
      </c>
      <c r="U832" s="1" t="s">
        <v>74</v>
      </c>
      <c r="V832" s="1" t="s">
        <v>74</v>
      </c>
      <c r="W832" s="1" t="s">
        <v>74</v>
      </c>
      <c r="X832" s="1" t="s">
        <v>74</v>
      </c>
      <c r="Y832" s="1" t="s">
        <v>74</v>
      </c>
      <c r="Z832" s="1" t="s">
        <v>74</v>
      </c>
      <c r="AA832" s="1" t="s">
        <v>74</v>
      </c>
      <c r="AB832" s="1" t="s">
        <v>74</v>
      </c>
      <c r="AC832" s="1" t="s">
        <v>74</v>
      </c>
      <c r="AD832" s="1" t="s">
        <v>74</v>
      </c>
      <c r="AE832" s="1" t="s">
        <v>74</v>
      </c>
      <c r="AF832" s="1" t="s">
        <v>74</v>
      </c>
      <c r="AG832" s="1" t="s">
        <v>74</v>
      </c>
      <c r="AH832" s="1" t="s">
        <v>74</v>
      </c>
      <c r="AI832" s="1" t="s">
        <v>74</v>
      </c>
      <c r="AJ832" s="1" t="s">
        <v>74</v>
      </c>
      <c r="AK832" s="1" t="s">
        <v>74</v>
      </c>
      <c r="AL832" s="1" t="s">
        <v>74</v>
      </c>
      <c r="AM832" s="1" t="s">
        <v>74</v>
      </c>
      <c r="AN832" s="1" t="s">
        <v>74</v>
      </c>
      <c r="AO832" s="1" t="s">
        <v>6465</v>
      </c>
      <c r="AP832" s="1" t="s">
        <v>74</v>
      </c>
      <c r="AQ832" s="1" t="s">
        <v>74</v>
      </c>
      <c r="AR832" s="1" t="s">
        <v>74</v>
      </c>
      <c r="AS832" s="1" t="s">
        <v>74</v>
      </c>
      <c r="AT832" s="1" t="s">
        <v>3303</v>
      </c>
      <c r="AU832" s="1">
        <v>1994.0</v>
      </c>
      <c r="AV832" s="1">
        <v>54.0</v>
      </c>
      <c r="AW832" s="1">
        <v>201.0</v>
      </c>
      <c r="AX832" s="1" t="s">
        <v>74</v>
      </c>
      <c r="AY832" s="1" t="s">
        <v>74</v>
      </c>
      <c r="AZ832" s="1" t="s">
        <v>74</v>
      </c>
      <c r="BA832" s="1" t="s">
        <v>74</v>
      </c>
      <c r="BB832" s="1">
        <v>313.0</v>
      </c>
      <c r="BC832" s="1">
        <v>354.0</v>
      </c>
      <c r="BD832" s="1" t="s">
        <v>74</v>
      </c>
      <c r="BE832" s="1" t="s">
        <v>74</v>
      </c>
      <c r="BF832" s="1" t="s">
        <v>74</v>
      </c>
      <c r="BG832" s="1" t="s">
        <v>74</v>
      </c>
      <c r="BH832" s="1" t="s">
        <v>74</v>
      </c>
      <c r="BI832" s="1" t="s">
        <v>74</v>
      </c>
      <c r="BJ832" s="1" t="s">
        <v>74</v>
      </c>
      <c r="BK832" s="1" t="s">
        <v>74</v>
      </c>
      <c r="BL832" s="1" t="s">
        <v>74</v>
      </c>
      <c r="BM832" s="1" t="s">
        <v>74</v>
      </c>
      <c r="BN832" s="1" t="s">
        <v>74</v>
      </c>
      <c r="BO832" s="1" t="s">
        <v>74</v>
      </c>
      <c r="BP832" s="1" t="s">
        <v>74</v>
      </c>
      <c r="BQ832" s="1" t="s">
        <v>74</v>
      </c>
      <c r="BR832" s="1" t="s">
        <v>74</v>
      </c>
      <c r="BS832" s="1" t="s">
        <v>8102</v>
      </c>
      <c r="BT832" s="1" t="str">
        <f>HYPERLINK("https%3A%2F%2Fwww.webofscience.com%2Fwos%2Fwoscc%2Ffull-record%2FWOS:A1994PT56700004","View Full Record in Web of Science")</f>
        <v>View Full Record in Web of Science</v>
      </c>
    </row>
    <row r="833" ht="12.75" customHeight="1">
      <c r="A833" s="1" t="s">
        <v>72</v>
      </c>
      <c r="B833" s="1" t="s">
        <v>8103</v>
      </c>
      <c r="C833" s="1" t="s">
        <v>74</v>
      </c>
      <c r="D833" s="1" t="s">
        <v>74</v>
      </c>
      <c r="E833" s="1" t="s">
        <v>74</v>
      </c>
      <c r="F833" s="1" t="s">
        <v>8103</v>
      </c>
      <c r="G833" s="1" t="s">
        <v>74</v>
      </c>
      <c r="H833" s="1" t="s">
        <v>74</v>
      </c>
      <c r="I833" s="1" t="s">
        <v>8104</v>
      </c>
      <c r="J833" s="1" t="s">
        <v>8105</v>
      </c>
      <c r="K833" s="1" t="s">
        <v>74</v>
      </c>
      <c r="L833" s="1" t="s">
        <v>74</v>
      </c>
      <c r="M833" s="1" t="s">
        <v>74</v>
      </c>
      <c r="N833" s="1" t="s">
        <v>74</v>
      </c>
      <c r="O833" s="1" t="s">
        <v>74</v>
      </c>
      <c r="P833" s="1" t="s">
        <v>74</v>
      </c>
      <c r="Q833" s="1" t="s">
        <v>74</v>
      </c>
      <c r="R833" s="1" t="s">
        <v>74</v>
      </c>
      <c r="S833" s="1" t="s">
        <v>74</v>
      </c>
      <c r="T833" s="1" t="s">
        <v>74</v>
      </c>
      <c r="U833" s="1" t="s">
        <v>74</v>
      </c>
      <c r="V833" s="1" t="s">
        <v>74</v>
      </c>
      <c r="W833" s="1" t="s">
        <v>74</v>
      </c>
      <c r="X833" s="1" t="s">
        <v>74</v>
      </c>
      <c r="Y833" s="1" t="s">
        <v>74</v>
      </c>
      <c r="Z833" s="1" t="s">
        <v>74</v>
      </c>
      <c r="AA833" s="1" t="s">
        <v>74</v>
      </c>
      <c r="AB833" s="1" t="s">
        <v>74</v>
      </c>
      <c r="AC833" s="1" t="s">
        <v>74</v>
      </c>
      <c r="AD833" s="1" t="s">
        <v>74</v>
      </c>
      <c r="AE833" s="1" t="s">
        <v>74</v>
      </c>
      <c r="AF833" s="1" t="s">
        <v>74</v>
      </c>
      <c r="AG833" s="1" t="s">
        <v>74</v>
      </c>
      <c r="AH833" s="1" t="s">
        <v>74</v>
      </c>
      <c r="AI833" s="1" t="s">
        <v>74</v>
      </c>
      <c r="AJ833" s="1" t="s">
        <v>74</v>
      </c>
      <c r="AK833" s="1" t="s">
        <v>74</v>
      </c>
      <c r="AL833" s="1" t="s">
        <v>74</v>
      </c>
      <c r="AM833" s="1" t="s">
        <v>74</v>
      </c>
      <c r="AN833" s="1" t="s">
        <v>74</v>
      </c>
      <c r="AO833" s="1" t="s">
        <v>8106</v>
      </c>
      <c r="AP833" s="1" t="s">
        <v>74</v>
      </c>
      <c r="AQ833" s="1" t="s">
        <v>74</v>
      </c>
      <c r="AR833" s="1" t="s">
        <v>74</v>
      </c>
      <c r="AS833" s="1" t="s">
        <v>74</v>
      </c>
      <c r="AT833" s="1" t="s">
        <v>678</v>
      </c>
      <c r="AU833" s="1">
        <v>1987.0</v>
      </c>
      <c r="AV833" s="1">
        <v>20.0</v>
      </c>
      <c r="AW833" s="1">
        <v>2.0</v>
      </c>
      <c r="AX833" s="1" t="s">
        <v>74</v>
      </c>
      <c r="AY833" s="1" t="s">
        <v>74</v>
      </c>
      <c r="AZ833" s="1" t="s">
        <v>74</v>
      </c>
      <c r="BA833" s="1" t="s">
        <v>74</v>
      </c>
      <c r="BB833" s="1" t="s">
        <v>8107</v>
      </c>
      <c r="BC833" s="1" t="s">
        <v>8107</v>
      </c>
      <c r="BD833" s="1" t="s">
        <v>74</v>
      </c>
      <c r="BE833" s="1" t="s">
        <v>74</v>
      </c>
      <c r="BF833" s="1" t="s">
        <v>74</v>
      </c>
      <c r="BG833" s="1" t="s">
        <v>74</v>
      </c>
      <c r="BH833" s="1" t="s">
        <v>74</v>
      </c>
      <c r="BI833" s="1" t="s">
        <v>74</v>
      </c>
      <c r="BJ833" s="1" t="s">
        <v>74</v>
      </c>
      <c r="BK833" s="1" t="s">
        <v>74</v>
      </c>
      <c r="BL833" s="1" t="s">
        <v>74</v>
      </c>
      <c r="BM833" s="1" t="s">
        <v>74</v>
      </c>
      <c r="BN833" s="1" t="s">
        <v>74</v>
      </c>
      <c r="BO833" s="1" t="s">
        <v>74</v>
      </c>
      <c r="BP833" s="1" t="s">
        <v>74</v>
      </c>
      <c r="BQ833" s="1" t="s">
        <v>74</v>
      </c>
      <c r="BR833" s="1" t="s">
        <v>74</v>
      </c>
      <c r="BS833" s="1" t="s">
        <v>8108</v>
      </c>
      <c r="BT833" s="1" t="str">
        <f>HYPERLINK("https%3A%2F%2Fwww.webofscience.com%2Fwos%2Fwoscc%2Ffull-record%2FWOS:A1987L151200257","View Full Record in Web of Science")</f>
        <v>View Full Record in Web of Science</v>
      </c>
    </row>
    <row r="834" ht="12.75" customHeight="1">
      <c r="A834" s="1" t="s">
        <v>72</v>
      </c>
      <c r="B834" s="1" t="s">
        <v>8109</v>
      </c>
      <c r="C834" s="1" t="s">
        <v>74</v>
      </c>
      <c r="D834" s="1" t="s">
        <v>74</v>
      </c>
      <c r="E834" s="1" t="s">
        <v>74</v>
      </c>
      <c r="F834" s="1" t="s">
        <v>8110</v>
      </c>
      <c r="G834" s="1" t="s">
        <v>74</v>
      </c>
      <c r="H834" s="1" t="s">
        <v>74</v>
      </c>
      <c r="I834" s="1" t="s">
        <v>8111</v>
      </c>
      <c r="J834" s="1" t="s">
        <v>8112</v>
      </c>
      <c r="K834" s="1" t="s">
        <v>74</v>
      </c>
      <c r="L834" s="1" t="s">
        <v>74</v>
      </c>
      <c r="M834" s="1" t="s">
        <v>74</v>
      </c>
      <c r="N834" s="1" t="s">
        <v>74</v>
      </c>
      <c r="O834" s="1" t="s">
        <v>74</v>
      </c>
      <c r="P834" s="1" t="s">
        <v>74</v>
      </c>
      <c r="Q834" s="1" t="s">
        <v>74</v>
      </c>
      <c r="R834" s="1" t="s">
        <v>74</v>
      </c>
      <c r="S834" s="1" t="s">
        <v>74</v>
      </c>
      <c r="T834" s="1" t="s">
        <v>74</v>
      </c>
      <c r="U834" s="1" t="s">
        <v>74</v>
      </c>
      <c r="V834" s="1" t="s">
        <v>8113</v>
      </c>
      <c r="W834" s="1" t="s">
        <v>74</v>
      </c>
      <c r="X834" s="1" t="s">
        <v>74</v>
      </c>
      <c r="Y834" s="1" t="s">
        <v>74</v>
      </c>
      <c r="Z834" s="1" t="s">
        <v>74</v>
      </c>
      <c r="AA834" s="1" t="s">
        <v>8114</v>
      </c>
      <c r="AB834" s="1" t="s">
        <v>74</v>
      </c>
      <c r="AC834" s="1" t="s">
        <v>74</v>
      </c>
      <c r="AD834" s="1" t="s">
        <v>74</v>
      </c>
      <c r="AE834" s="1" t="s">
        <v>74</v>
      </c>
      <c r="AF834" s="1" t="s">
        <v>74</v>
      </c>
      <c r="AG834" s="1" t="s">
        <v>74</v>
      </c>
      <c r="AH834" s="1" t="s">
        <v>74</v>
      </c>
      <c r="AI834" s="1" t="s">
        <v>74</v>
      </c>
      <c r="AJ834" s="1" t="s">
        <v>74</v>
      </c>
      <c r="AK834" s="1" t="s">
        <v>74</v>
      </c>
      <c r="AL834" s="1" t="s">
        <v>74</v>
      </c>
      <c r="AM834" s="1" t="s">
        <v>74</v>
      </c>
      <c r="AN834" s="1" t="s">
        <v>74</v>
      </c>
      <c r="AO834" s="1" t="s">
        <v>8115</v>
      </c>
      <c r="AP834" s="1" t="s">
        <v>8116</v>
      </c>
      <c r="AQ834" s="1" t="s">
        <v>74</v>
      </c>
      <c r="AR834" s="1" t="s">
        <v>74</v>
      </c>
      <c r="AS834" s="1" t="s">
        <v>74</v>
      </c>
      <c r="AT834" s="1" t="s">
        <v>8117</v>
      </c>
      <c r="AU834" s="1">
        <v>2025.0</v>
      </c>
      <c r="AV834" s="1" t="s">
        <v>74</v>
      </c>
      <c r="AW834" s="1" t="s">
        <v>74</v>
      </c>
      <c r="AX834" s="1" t="s">
        <v>74</v>
      </c>
      <c r="AY834" s="1" t="s">
        <v>74</v>
      </c>
      <c r="AZ834" s="1" t="s">
        <v>74</v>
      </c>
      <c r="BA834" s="1" t="s">
        <v>74</v>
      </c>
      <c r="BB834" s="1" t="s">
        <v>74</v>
      </c>
      <c r="BC834" s="1" t="s">
        <v>74</v>
      </c>
      <c r="BD834" s="1" t="s">
        <v>74</v>
      </c>
      <c r="BE834" s="1" t="s">
        <v>8118</v>
      </c>
      <c r="BF834" s="2" t="str">
        <f>HYPERLINK("http://dx.doi.org/10.1002/oca.3286","http://dx.doi.org/10.1002/oca.3286")</f>
        <v>http://dx.doi.org/10.1002/oca.3286</v>
      </c>
      <c r="BG834" s="1" t="s">
        <v>74</v>
      </c>
      <c r="BH834" s="1" t="s">
        <v>113</v>
      </c>
      <c r="BI834" s="1" t="s">
        <v>74</v>
      </c>
      <c r="BJ834" s="1" t="s">
        <v>74</v>
      </c>
      <c r="BK834" s="1" t="s">
        <v>74</v>
      </c>
      <c r="BL834" s="1" t="s">
        <v>74</v>
      </c>
      <c r="BM834" s="1" t="s">
        <v>74</v>
      </c>
      <c r="BN834" s="1" t="s">
        <v>74</v>
      </c>
      <c r="BO834" s="1" t="s">
        <v>74</v>
      </c>
      <c r="BP834" s="1" t="s">
        <v>74</v>
      </c>
      <c r="BQ834" s="1" t="s">
        <v>74</v>
      </c>
      <c r="BR834" s="1" t="s">
        <v>74</v>
      </c>
      <c r="BS834" s="1" t="s">
        <v>8119</v>
      </c>
      <c r="BT834" s="1" t="str">
        <f>HYPERLINK("https%3A%2F%2Fwww.webofscience.com%2Fwos%2Fwoscc%2Ffull-record%2FWOS:001451568400001","View Full Record in Web of Science")</f>
        <v>View Full Record in Web of Science</v>
      </c>
    </row>
    <row r="835" ht="12.75" customHeight="1">
      <c r="A835" s="1" t="s">
        <v>72</v>
      </c>
      <c r="B835" s="1" t="s">
        <v>8120</v>
      </c>
      <c r="C835" s="1" t="s">
        <v>74</v>
      </c>
      <c r="D835" s="1" t="s">
        <v>74</v>
      </c>
      <c r="E835" s="1" t="s">
        <v>74</v>
      </c>
      <c r="F835" s="1" t="s">
        <v>8121</v>
      </c>
      <c r="G835" s="1" t="s">
        <v>74</v>
      </c>
      <c r="H835" s="1" t="s">
        <v>74</v>
      </c>
      <c r="I835" s="1" t="s">
        <v>8122</v>
      </c>
      <c r="J835" s="1" t="s">
        <v>8123</v>
      </c>
      <c r="K835" s="1" t="s">
        <v>74</v>
      </c>
      <c r="L835" s="1" t="s">
        <v>74</v>
      </c>
      <c r="M835" s="1" t="s">
        <v>74</v>
      </c>
      <c r="N835" s="1" t="s">
        <v>74</v>
      </c>
      <c r="O835" s="1" t="s">
        <v>74</v>
      </c>
      <c r="P835" s="1" t="s">
        <v>74</v>
      </c>
      <c r="Q835" s="1" t="s">
        <v>74</v>
      </c>
      <c r="R835" s="1" t="s">
        <v>74</v>
      </c>
      <c r="S835" s="1" t="s">
        <v>74</v>
      </c>
      <c r="T835" s="1" t="s">
        <v>74</v>
      </c>
      <c r="U835" s="1" t="s">
        <v>74</v>
      </c>
      <c r="V835" s="1" t="s">
        <v>8124</v>
      </c>
      <c r="W835" s="1" t="s">
        <v>74</v>
      </c>
      <c r="X835" s="1" t="s">
        <v>74</v>
      </c>
      <c r="Y835" s="1" t="s">
        <v>74</v>
      </c>
      <c r="Z835" s="1" t="s">
        <v>74</v>
      </c>
      <c r="AA835" s="1" t="s">
        <v>8125</v>
      </c>
      <c r="AB835" s="1" t="s">
        <v>8126</v>
      </c>
      <c r="AC835" s="1" t="s">
        <v>74</v>
      </c>
      <c r="AD835" s="1" t="s">
        <v>74</v>
      </c>
      <c r="AE835" s="1" t="s">
        <v>74</v>
      </c>
      <c r="AF835" s="1" t="s">
        <v>74</v>
      </c>
      <c r="AG835" s="1" t="s">
        <v>74</v>
      </c>
      <c r="AH835" s="1" t="s">
        <v>74</v>
      </c>
      <c r="AI835" s="1" t="s">
        <v>74</v>
      </c>
      <c r="AJ835" s="1" t="s">
        <v>74</v>
      </c>
      <c r="AK835" s="1" t="s">
        <v>74</v>
      </c>
      <c r="AL835" s="1" t="s">
        <v>74</v>
      </c>
      <c r="AM835" s="1" t="s">
        <v>74</v>
      </c>
      <c r="AN835" s="1" t="s">
        <v>74</v>
      </c>
      <c r="AO835" s="1" t="s">
        <v>8127</v>
      </c>
      <c r="AP835" s="1" t="s">
        <v>8128</v>
      </c>
      <c r="AQ835" s="1" t="s">
        <v>74</v>
      </c>
      <c r="AR835" s="1" t="s">
        <v>74</v>
      </c>
      <c r="AS835" s="1" t="s">
        <v>74</v>
      </c>
      <c r="AT835" s="1" t="s">
        <v>2083</v>
      </c>
      <c r="AU835" s="1">
        <v>2024.0</v>
      </c>
      <c r="AV835" s="1">
        <v>15.0</v>
      </c>
      <c r="AW835" s="1">
        <v>37.0</v>
      </c>
      <c r="AX835" s="1" t="s">
        <v>74</v>
      </c>
      <c r="AY835" s="1" t="s">
        <v>74</v>
      </c>
      <c r="AZ835" s="1" t="s">
        <v>74</v>
      </c>
      <c r="BA835" s="1" t="s">
        <v>74</v>
      </c>
      <c r="BB835" s="1">
        <v>15232.0</v>
      </c>
      <c r="BC835" s="1">
        <v>15242.0</v>
      </c>
      <c r="BD835" s="1" t="s">
        <v>74</v>
      </c>
      <c r="BE835" s="1" t="s">
        <v>8129</v>
      </c>
      <c r="BF835" s="2" t="str">
        <f>HYPERLINK("http://dx.doi.org/10.1039/d4sc03630a","http://dx.doi.org/10.1039/d4sc03630a")</f>
        <v>http://dx.doi.org/10.1039/d4sc03630a</v>
      </c>
      <c r="BG835" s="1" t="s">
        <v>74</v>
      </c>
      <c r="BH835" s="1" t="s">
        <v>2173</v>
      </c>
      <c r="BI835" s="1" t="s">
        <v>74</v>
      </c>
      <c r="BJ835" s="1" t="s">
        <v>74</v>
      </c>
      <c r="BK835" s="1" t="s">
        <v>74</v>
      </c>
      <c r="BL835" s="1" t="s">
        <v>74</v>
      </c>
      <c r="BM835" s="1" t="s">
        <v>74</v>
      </c>
      <c r="BN835" s="1">
        <v>3.9246361E7</v>
      </c>
      <c r="BO835" s="1" t="s">
        <v>74</v>
      </c>
      <c r="BP835" s="1" t="s">
        <v>74</v>
      </c>
      <c r="BQ835" s="1" t="s">
        <v>74</v>
      </c>
      <c r="BR835" s="1" t="s">
        <v>74</v>
      </c>
      <c r="BS835" s="1" t="s">
        <v>8130</v>
      </c>
      <c r="BT835" s="1" t="str">
        <f>HYPERLINK("https%3A%2F%2Fwww.webofscience.com%2Fwos%2Fwoscc%2Ffull-record%2FWOS:001299172800001","View Full Record in Web of Science")</f>
        <v>View Full Record in Web of Science</v>
      </c>
    </row>
    <row r="836" ht="12.75" customHeight="1">
      <c r="A836" s="1" t="s">
        <v>72</v>
      </c>
      <c r="B836" s="1" t="s">
        <v>8131</v>
      </c>
      <c r="C836" s="1" t="s">
        <v>74</v>
      </c>
      <c r="D836" s="1" t="s">
        <v>74</v>
      </c>
      <c r="E836" s="1" t="s">
        <v>74</v>
      </c>
      <c r="F836" s="1" t="s">
        <v>8132</v>
      </c>
      <c r="G836" s="1" t="s">
        <v>74</v>
      </c>
      <c r="H836" s="1" t="s">
        <v>74</v>
      </c>
      <c r="I836" s="1" t="s">
        <v>8133</v>
      </c>
      <c r="J836" s="1" t="s">
        <v>4284</v>
      </c>
      <c r="K836" s="1" t="s">
        <v>74</v>
      </c>
      <c r="L836" s="1" t="s">
        <v>74</v>
      </c>
      <c r="M836" s="1" t="s">
        <v>74</v>
      </c>
      <c r="N836" s="1" t="s">
        <v>74</v>
      </c>
      <c r="O836" s="1" t="s">
        <v>74</v>
      </c>
      <c r="P836" s="1" t="s">
        <v>74</v>
      </c>
      <c r="Q836" s="1" t="s">
        <v>74</v>
      </c>
      <c r="R836" s="1" t="s">
        <v>74</v>
      </c>
      <c r="S836" s="1" t="s">
        <v>74</v>
      </c>
      <c r="T836" s="1" t="s">
        <v>74</v>
      </c>
      <c r="U836" s="1" t="s">
        <v>74</v>
      </c>
      <c r="V836" s="1" t="s">
        <v>8134</v>
      </c>
      <c r="W836" s="1" t="s">
        <v>74</v>
      </c>
      <c r="X836" s="1" t="s">
        <v>74</v>
      </c>
      <c r="Y836" s="1" t="s">
        <v>74</v>
      </c>
      <c r="Z836" s="1" t="s">
        <v>74</v>
      </c>
      <c r="AA836" s="1" t="s">
        <v>8135</v>
      </c>
      <c r="AB836" s="1" t="s">
        <v>74</v>
      </c>
      <c r="AC836" s="1" t="s">
        <v>74</v>
      </c>
      <c r="AD836" s="1" t="s">
        <v>74</v>
      </c>
      <c r="AE836" s="1" t="s">
        <v>74</v>
      </c>
      <c r="AF836" s="1" t="s">
        <v>74</v>
      </c>
      <c r="AG836" s="1" t="s">
        <v>74</v>
      </c>
      <c r="AH836" s="1" t="s">
        <v>74</v>
      </c>
      <c r="AI836" s="1" t="s">
        <v>74</v>
      </c>
      <c r="AJ836" s="1" t="s">
        <v>74</v>
      </c>
      <c r="AK836" s="1" t="s">
        <v>74</v>
      </c>
      <c r="AL836" s="1" t="s">
        <v>74</v>
      </c>
      <c r="AM836" s="1" t="s">
        <v>74</v>
      </c>
      <c r="AN836" s="1" t="s">
        <v>74</v>
      </c>
      <c r="AO836" s="1" t="s">
        <v>74</v>
      </c>
      <c r="AP836" s="1" t="s">
        <v>4287</v>
      </c>
      <c r="AQ836" s="1" t="s">
        <v>74</v>
      </c>
      <c r="AR836" s="1" t="s">
        <v>74</v>
      </c>
      <c r="AS836" s="1" t="s">
        <v>74</v>
      </c>
      <c r="AT836" s="1" t="s">
        <v>8136</v>
      </c>
      <c r="AU836" s="1">
        <v>2024.0</v>
      </c>
      <c r="AV836" s="1">
        <v>15.0</v>
      </c>
      <c r="AW836" s="1" t="s">
        <v>74</v>
      </c>
      <c r="AX836" s="1" t="s">
        <v>74</v>
      </c>
      <c r="AY836" s="1" t="s">
        <v>74</v>
      </c>
      <c r="AZ836" s="1" t="s">
        <v>74</v>
      </c>
      <c r="BA836" s="1" t="s">
        <v>74</v>
      </c>
      <c r="BB836" s="1" t="s">
        <v>74</v>
      </c>
      <c r="BC836" s="1" t="s">
        <v>74</v>
      </c>
      <c r="BD836" s="1">
        <v>1452989.0</v>
      </c>
      <c r="BE836" s="1" t="s">
        <v>8137</v>
      </c>
      <c r="BF836" s="2" t="str">
        <f>HYPERLINK("http://dx.doi.org/10.3389/fphar.2024.1452989","http://dx.doi.org/10.3389/fphar.2024.1452989")</f>
        <v>http://dx.doi.org/10.3389/fphar.2024.1452989</v>
      </c>
      <c r="BG836" s="1" t="s">
        <v>74</v>
      </c>
      <c r="BH836" s="1" t="s">
        <v>74</v>
      </c>
      <c r="BI836" s="1" t="s">
        <v>74</v>
      </c>
      <c r="BJ836" s="1" t="s">
        <v>74</v>
      </c>
      <c r="BK836" s="1" t="s">
        <v>74</v>
      </c>
      <c r="BL836" s="1" t="s">
        <v>74</v>
      </c>
      <c r="BM836" s="1" t="s">
        <v>74</v>
      </c>
      <c r="BN836" s="1">
        <v>3.9193334E7</v>
      </c>
      <c r="BO836" s="1" t="s">
        <v>74</v>
      </c>
      <c r="BP836" s="1" t="s">
        <v>74</v>
      </c>
      <c r="BQ836" s="1" t="s">
        <v>74</v>
      </c>
      <c r="BR836" s="1" t="s">
        <v>74</v>
      </c>
      <c r="BS836" s="1" t="s">
        <v>8138</v>
      </c>
      <c r="BT836" s="1" t="str">
        <f>HYPERLINK("https%3A%2F%2Fwww.webofscience.com%2Fwos%2Fwoscc%2Ffull-record%2FWOS:001297522400001","View Full Record in Web of Science")</f>
        <v>View Full Record in Web of Science</v>
      </c>
    </row>
    <row r="837" ht="12.75" customHeight="1">
      <c r="A837" s="1" t="s">
        <v>72</v>
      </c>
      <c r="B837" s="1" t="s">
        <v>8139</v>
      </c>
      <c r="C837" s="1" t="s">
        <v>74</v>
      </c>
      <c r="D837" s="1" t="s">
        <v>74</v>
      </c>
      <c r="E837" s="1" t="s">
        <v>74</v>
      </c>
      <c r="F837" s="1" t="s">
        <v>8140</v>
      </c>
      <c r="G837" s="1" t="s">
        <v>74</v>
      </c>
      <c r="H837" s="1" t="s">
        <v>74</v>
      </c>
      <c r="I837" s="1" t="s">
        <v>8141</v>
      </c>
      <c r="J837" s="1" t="s">
        <v>4284</v>
      </c>
      <c r="K837" s="1" t="s">
        <v>74</v>
      </c>
      <c r="L837" s="1" t="s">
        <v>74</v>
      </c>
      <c r="M837" s="1" t="s">
        <v>74</v>
      </c>
      <c r="N837" s="1" t="s">
        <v>74</v>
      </c>
      <c r="O837" s="1" t="s">
        <v>74</v>
      </c>
      <c r="P837" s="1" t="s">
        <v>74</v>
      </c>
      <c r="Q837" s="1" t="s">
        <v>74</v>
      </c>
      <c r="R837" s="1" t="s">
        <v>74</v>
      </c>
      <c r="S837" s="1" t="s">
        <v>74</v>
      </c>
      <c r="T837" s="1" t="s">
        <v>74</v>
      </c>
      <c r="U837" s="1" t="s">
        <v>74</v>
      </c>
      <c r="V837" s="1" t="s">
        <v>8142</v>
      </c>
      <c r="W837" s="1" t="s">
        <v>74</v>
      </c>
      <c r="X837" s="1" t="s">
        <v>74</v>
      </c>
      <c r="Y837" s="1" t="s">
        <v>74</v>
      </c>
      <c r="Z837" s="1" t="s">
        <v>74</v>
      </c>
      <c r="AA837" s="1" t="s">
        <v>8143</v>
      </c>
      <c r="AB837" s="1" t="s">
        <v>8144</v>
      </c>
      <c r="AC837" s="1" t="s">
        <v>74</v>
      </c>
      <c r="AD837" s="1" t="s">
        <v>74</v>
      </c>
      <c r="AE837" s="1" t="s">
        <v>74</v>
      </c>
      <c r="AF837" s="1" t="s">
        <v>74</v>
      </c>
      <c r="AG837" s="1" t="s">
        <v>74</v>
      </c>
      <c r="AH837" s="1" t="s">
        <v>74</v>
      </c>
      <c r="AI837" s="1" t="s">
        <v>74</v>
      </c>
      <c r="AJ837" s="1" t="s">
        <v>74</v>
      </c>
      <c r="AK837" s="1" t="s">
        <v>74</v>
      </c>
      <c r="AL837" s="1" t="s">
        <v>74</v>
      </c>
      <c r="AM837" s="1" t="s">
        <v>74</v>
      </c>
      <c r="AN837" s="1" t="s">
        <v>74</v>
      </c>
      <c r="AO837" s="1" t="s">
        <v>74</v>
      </c>
      <c r="AP837" s="1" t="s">
        <v>4287</v>
      </c>
      <c r="AQ837" s="1" t="s">
        <v>74</v>
      </c>
      <c r="AR837" s="1" t="s">
        <v>74</v>
      </c>
      <c r="AS837" s="1" t="s">
        <v>74</v>
      </c>
      <c r="AT837" s="1" t="s">
        <v>8145</v>
      </c>
      <c r="AU837" s="1">
        <v>2024.0</v>
      </c>
      <c r="AV837" s="1">
        <v>15.0</v>
      </c>
      <c r="AW837" s="1" t="s">
        <v>74</v>
      </c>
      <c r="AX837" s="1" t="s">
        <v>74</v>
      </c>
      <c r="AY837" s="1" t="s">
        <v>74</v>
      </c>
      <c r="AZ837" s="1" t="s">
        <v>74</v>
      </c>
      <c r="BA837" s="1" t="s">
        <v>74</v>
      </c>
      <c r="BB837" s="1" t="s">
        <v>74</v>
      </c>
      <c r="BC837" s="1" t="s">
        <v>74</v>
      </c>
      <c r="BD837" s="1">
        <v>1412420.0</v>
      </c>
      <c r="BE837" s="1" t="s">
        <v>8146</v>
      </c>
      <c r="BF837" s="2" t="str">
        <f>HYPERLINK("http://dx.doi.org/10.3389/fphar.2024.1412420","http://dx.doi.org/10.3389/fphar.2024.1412420")</f>
        <v>http://dx.doi.org/10.3389/fphar.2024.1412420</v>
      </c>
      <c r="BG837" s="1" t="s">
        <v>74</v>
      </c>
      <c r="BH837" s="1" t="s">
        <v>74</v>
      </c>
      <c r="BI837" s="1" t="s">
        <v>74</v>
      </c>
      <c r="BJ837" s="1" t="s">
        <v>74</v>
      </c>
      <c r="BK837" s="1" t="s">
        <v>74</v>
      </c>
      <c r="BL837" s="1" t="s">
        <v>74</v>
      </c>
      <c r="BM837" s="1" t="s">
        <v>74</v>
      </c>
      <c r="BN837" s="1">
        <v>3.9081952E7</v>
      </c>
      <c r="BO837" s="1" t="s">
        <v>74</v>
      </c>
      <c r="BP837" s="1" t="s">
        <v>74</v>
      </c>
      <c r="BQ837" s="1" t="s">
        <v>74</v>
      </c>
      <c r="BR837" s="1" t="s">
        <v>74</v>
      </c>
      <c r="BS837" s="1" t="s">
        <v>8147</v>
      </c>
      <c r="BT837" s="1" t="str">
        <f>HYPERLINK("https%3A%2F%2Fwww.webofscience.com%2Fwos%2Fwoscc%2Ffull-record%2FWOS:001279074600001","View Full Record in Web of Science")</f>
        <v>View Full Record in Web of Science</v>
      </c>
    </row>
    <row r="838" ht="12.75" customHeight="1">
      <c r="A838" s="1" t="s">
        <v>72</v>
      </c>
      <c r="B838" s="1" t="s">
        <v>8148</v>
      </c>
      <c r="C838" s="1" t="s">
        <v>74</v>
      </c>
      <c r="D838" s="1" t="s">
        <v>74</v>
      </c>
      <c r="E838" s="1" t="s">
        <v>74</v>
      </c>
      <c r="F838" s="1" t="s">
        <v>8149</v>
      </c>
      <c r="G838" s="1" t="s">
        <v>74</v>
      </c>
      <c r="H838" s="1" t="s">
        <v>74</v>
      </c>
      <c r="I838" s="1" t="s">
        <v>8150</v>
      </c>
      <c r="J838" s="1" t="s">
        <v>4163</v>
      </c>
      <c r="K838" s="1" t="s">
        <v>74</v>
      </c>
      <c r="L838" s="1" t="s">
        <v>74</v>
      </c>
      <c r="M838" s="1" t="s">
        <v>74</v>
      </c>
      <c r="N838" s="1" t="s">
        <v>74</v>
      </c>
      <c r="O838" s="1" t="s">
        <v>74</v>
      </c>
      <c r="P838" s="1" t="s">
        <v>74</v>
      </c>
      <c r="Q838" s="1" t="s">
        <v>74</v>
      </c>
      <c r="R838" s="1" t="s">
        <v>74</v>
      </c>
      <c r="S838" s="1" t="s">
        <v>74</v>
      </c>
      <c r="T838" s="1" t="s">
        <v>74</v>
      </c>
      <c r="U838" s="1" t="s">
        <v>74</v>
      </c>
      <c r="V838" s="1" t="s">
        <v>8151</v>
      </c>
      <c r="W838" s="1" t="s">
        <v>74</v>
      </c>
      <c r="X838" s="1" t="s">
        <v>74</v>
      </c>
      <c r="Y838" s="1" t="s">
        <v>74</v>
      </c>
      <c r="Z838" s="1" t="s">
        <v>74</v>
      </c>
      <c r="AA838" s="1" t="s">
        <v>8152</v>
      </c>
      <c r="AB838" s="1" t="s">
        <v>8153</v>
      </c>
      <c r="AC838" s="1" t="s">
        <v>74</v>
      </c>
      <c r="AD838" s="1" t="s">
        <v>74</v>
      </c>
      <c r="AE838" s="1" t="s">
        <v>74</v>
      </c>
      <c r="AF838" s="1" t="s">
        <v>74</v>
      </c>
      <c r="AG838" s="1" t="s">
        <v>74</v>
      </c>
      <c r="AH838" s="1" t="s">
        <v>74</v>
      </c>
      <c r="AI838" s="1" t="s">
        <v>74</v>
      </c>
      <c r="AJ838" s="1" t="s">
        <v>74</v>
      </c>
      <c r="AK838" s="1" t="s">
        <v>74</v>
      </c>
      <c r="AL838" s="1" t="s">
        <v>74</v>
      </c>
      <c r="AM838" s="1" t="s">
        <v>74</v>
      </c>
      <c r="AN838" s="1" t="s">
        <v>74</v>
      </c>
      <c r="AO838" s="1" t="s">
        <v>74</v>
      </c>
      <c r="AP838" s="1" t="s">
        <v>4167</v>
      </c>
      <c r="AQ838" s="1" t="s">
        <v>74</v>
      </c>
      <c r="AR838" s="1" t="s">
        <v>74</v>
      </c>
      <c r="AS838" s="1" t="s">
        <v>74</v>
      </c>
      <c r="AT838" s="1" t="s">
        <v>294</v>
      </c>
      <c r="AU838" s="1">
        <v>2024.0</v>
      </c>
      <c r="AV838" s="1">
        <v>29.0</v>
      </c>
      <c r="AW838" s="1">
        <v>12.0</v>
      </c>
      <c r="AX838" s="1" t="s">
        <v>74</v>
      </c>
      <c r="AY838" s="1" t="s">
        <v>74</v>
      </c>
      <c r="AZ838" s="1" t="s">
        <v>74</v>
      </c>
      <c r="BA838" s="1" t="s">
        <v>74</v>
      </c>
      <c r="BB838" s="1" t="s">
        <v>74</v>
      </c>
      <c r="BC838" s="1" t="s">
        <v>74</v>
      </c>
      <c r="BD838" s="1">
        <v>2923.0</v>
      </c>
      <c r="BE838" s="1" t="s">
        <v>8154</v>
      </c>
      <c r="BF838" s="2" t="str">
        <f>HYPERLINK("http://dx.doi.org/10.3390/molecules29122923","http://dx.doi.org/10.3390/molecules29122923")</f>
        <v>http://dx.doi.org/10.3390/molecules29122923</v>
      </c>
      <c r="BG838" s="1" t="s">
        <v>74</v>
      </c>
      <c r="BH838" s="1" t="s">
        <v>74</v>
      </c>
      <c r="BI838" s="1" t="s">
        <v>74</v>
      </c>
      <c r="BJ838" s="1" t="s">
        <v>74</v>
      </c>
      <c r="BK838" s="1" t="s">
        <v>74</v>
      </c>
      <c r="BL838" s="1" t="s">
        <v>74</v>
      </c>
      <c r="BM838" s="1" t="s">
        <v>74</v>
      </c>
      <c r="BN838" s="1">
        <v>3.8930987E7</v>
      </c>
      <c r="BO838" s="1" t="s">
        <v>74</v>
      </c>
      <c r="BP838" s="1" t="s">
        <v>74</v>
      </c>
      <c r="BQ838" s="1" t="s">
        <v>74</v>
      </c>
      <c r="BR838" s="1" t="s">
        <v>74</v>
      </c>
      <c r="BS838" s="1" t="s">
        <v>8155</v>
      </c>
      <c r="BT838" s="1" t="str">
        <f>HYPERLINK("https%3A%2F%2Fwww.webofscience.com%2Fwos%2Fwoscc%2Ffull-record%2FWOS:001256781600001","View Full Record in Web of Science")</f>
        <v>View Full Record in Web of Science</v>
      </c>
    </row>
    <row r="839" ht="12.75" customHeight="1">
      <c r="A839" s="1" t="s">
        <v>72</v>
      </c>
      <c r="B839" s="1" t="s">
        <v>8156</v>
      </c>
      <c r="C839" s="1" t="s">
        <v>74</v>
      </c>
      <c r="D839" s="1" t="s">
        <v>74</v>
      </c>
      <c r="E839" s="1" t="s">
        <v>74</v>
      </c>
      <c r="F839" s="1" t="s">
        <v>8157</v>
      </c>
      <c r="G839" s="1" t="s">
        <v>74</v>
      </c>
      <c r="H839" s="1" t="s">
        <v>74</v>
      </c>
      <c r="I839" s="1" t="s">
        <v>8158</v>
      </c>
      <c r="J839" s="1" t="s">
        <v>2124</v>
      </c>
      <c r="K839" s="1" t="s">
        <v>74</v>
      </c>
      <c r="L839" s="1" t="s">
        <v>74</v>
      </c>
      <c r="M839" s="1" t="s">
        <v>74</v>
      </c>
      <c r="N839" s="1" t="s">
        <v>74</v>
      </c>
      <c r="O839" s="1" t="s">
        <v>74</v>
      </c>
      <c r="P839" s="1" t="s">
        <v>74</v>
      </c>
      <c r="Q839" s="1" t="s">
        <v>74</v>
      </c>
      <c r="R839" s="1" t="s">
        <v>74</v>
      </c>
      <c r="S839" s="1" t="s">
        <v>74</v>
      </c>
      <c r="T839" s="1" t="s">
        <v>74</v>
      </c>
      <c r="U839" s="1" t="s">
        <v>74</v>
      </c>
      <c r="V839" s="1" t="s">
        <v>8159</v>
      </c>
      <c r="W839" s="1" t="s">
        <v>74</v>
      </c>
      <c r="X839" s="1" t="s">
        <v>74</v>
      </c>
      <c r="Y839" s="1" t="s">
        <v>74</v>
      </c>
      <c r="Z839" s="1" t="s">
        <v>74</v>
      </c>
      <c r="AA839" s="1" t="s">
        <v>2208</v>
      </c>
      <c r="AB839" s="1" t="s">
        <v>8160</v>
      </c>
      <c r="AC839" s="1" t="s">
        <v>74</v>
      </c>
      <c r="AD839" s="1" t="s">
        <v>74</v>
      </c>
      <c r="AE839" s="1" t="s">
        <v>74</v>
      </c>
      <c r="AF839" s="1" t="s">
        <v>74</v>
      </c>
      <c r="AG839" s="1" t="s">
        <v>74</v>
      </c>
      <c r="AH839" s="1" t="s">
        <v>74</v>
      </c>
      <c r="AI839" s="1" t="s">
        <v>74</v>
      </c>
      <c r="AJ839" s="1" t="s">
        <v>74</v>
      </c>
      <c r="AK839" s="1" t="s">
        <v>74</v>
      </c>
      <c r="AL839" s="1" t="s">
        <v>74</v>
      </c>
      <c r="AM839" s="1" t="s">
        <v>74</v>
      </c>
      <c r="AN839" s="1" t="s">
        <v>74</v>
      </c>
      <c r="AO839" s="1" t="s">
        <v>2127</v>
      </c>
      <c r="AP839" s="1" t="s">
        <v>2128</v>
      </c>
      <c r="AQ839" s="1" t="s">
        <v>74</v>
      </c>
      <c r="AR839" s="1" t="s">
        <v>74</v>
      </c>
      <c r="AS839" s="1" t="s">
        <v>74</v>
      </c>
      <c r="AT839" s="1" t="s">
        <v>8161</v>
      </c>
      <c r="AU839" s="1">
        <v>2024.0</v>
      </c>
      <c r="AV839" s="1">
        <v>109.0</v>
      </c>
      <c r="AW839" s="1">
        <v>10.0</v>
      </c>
      <c r="AX839" s="1" t="s">
        <v>74</v>
      </c>
      <c r="AY839" s="1" t="s">
        <v>74</v>
      </c>
      <c r="AZ839" s="1" t="s">
        <v>74</v>
      </c>
      <c r="BA839" s="1" t="s">
        <v>74</v>
      </c>
      <c r="BB839" s="1" t="s">
        <v>74</v>
      </c>
      <c r="BC839" s="1" t="s">
        <v>74</v>
      </c>
      <c r="BD839" s="1">
        <v>103038.0</v>
      </c>
      <c r="BE839" s="1" t="s">
        <v>8162</v>
      </c>
      <c r="BF839" s="2" t="str">
        <f>HYPERLINK("http://dx.doi.org/10.1103/PhysRevD.109.103038","http://dx.doi.org/10.1103/PhysRevD.109.103038")</f>
        <v>http://dx.doi.org/10.1103/PhysRevD.109.103038</v>
      </c>
      <c r="BG839" s="1" t="s">
        <v>74</v>
      </c>
      <c r="BH839" s="1" t="s">
        <v>74</v>
      </c>
      <c r="BI839" s="1" t="s">
        <v>74</v>
      </c>
      <c r="BJ839" s="1" t="s">
        <v>74</v>
      </c>
      <c r="BK839" s="1" t="s">
        <v>74</v>
      </c>
      <c r="BL839" s="1" t="s">
        <v>74</v>
      </c>
      <c r="BM839" s="1" t="s">
        <v>74</v>
      </c>
      <c r="BN839" s="1" t="s">
        <v>74</v>
      </c>
      <c r="BO839" s="1" t="s">
        <v>74</v>
      </c>
      <c r="BP839" s="1" t="s">
        <v>74</v>
      </c>
      <c r="BQ839" s="1" t="s">
        <v>74</v>
      </c>
      <c r="BR839" s="1" t="s">
        <v>74</v>
      </c>
      <c r="BS839" s="1" t="s">
        <v>8163</v>
      </c>
      <c r="BT839" s="1" t="str">
        <f>HYPERLINK("https%3A%2F%2Fwww.webofscience.com%2Fwos%2Fwoscc%2Ffull-record%2FWOS:001238459100004","View Full Record in Web of Science")</f>
        <v>View Full Record in Web of Science</v>
      </c>
    </row>
    <row r="840" ht="12.75" customHeight="1">
      <c r="A840" s="1" t="s">
        <v>72</v>
      </c>
      <c r="B840" s="1" t="s">
        <v>8164</v>
      </c>
      <c r="C840" s="1" t="s">
        <v>74</v>
      </c>
      <c r="D840" s="1" t="s">
        <v>74</v>
      </c>
      <c r="E840" s="1" t="s">
        <v>74</v>
      </c>
      <c r="F840" s="1" t="s">
        <v>8165</v>
      </c>
      <c r="G840" s="1" t="s">
        <v>74</v>
      </c>
      <c r="H840" s="1" t="s">
        <v>74</v>
      </c>
      <c r="I840" s="1" t="s">
        <v>8166</v>
      </c>
      <c r="J840" s="1" t="s">
        <v>4900</v>
      </c>
      <c r="K840" s="1" t="s">
        <v>74</v>
      </c>
      <c r="L840" s="1" t="s">
        <v>74</v>
      </c>
      <c r="M840" s="1" t="s">
        <v>74</v>
      </c>
      <c r="N840" s="1" t="s">
        <v>74</v>
      </c>
      <c r="O840" s="1" t="s">
        <v>74</v>
      </c>
      <c r="P840" s="1" t="s">
        <v>74</v>
      </c>
      <c r="Q840" s="1" t="s">
        <v>74</v>
      </c>
      <c r="R840" s="1" t="s">
        <v>74</v>
      </c>
      <c r="S840" s="1" t="s">
        <v>74</v>
      </c>
      <c r="T840" s="1" t="s">
        <v>74</v>
      </c>
      <c r="U840" s="1" t="s">
        <v>74</v>
      </c>
      <c r="V840" s="1" t="s">
        <v>8167</v>
      </c>
      <c r="W840" s="1" t="s">
        <v>74</v>
      </c>
      <c r="X840" s="1" t="s">
        <v>74</v>
      </c>
      <c r="Y840" s="1" t="s">
        <v>74</v>
      </c>
      <c r="Z840" s="1" t="s">
        <v>74</v>
      </c>
      <c r="AA840" s="1" t="s">
        <v>8168</v>
      </c>
      <c r="AB840" s="1" t="s">
        <v>74</v>
      </c>
      <c r="AC840" s="1" t="s">
        <v>74</v>
      </c>
      <c r="AD840" s="1" t="s">
        <v>74</v>
      </c>
      <c r="AE840" s="1" t="s">
        <v>74</v>
      </c>
      <c r="AF840" s="1" t="s">
        <v>74</v>
      </c>
      <c r="AG840" s="1" t="s">
        <v>74</v>
      </c>
      <c r="AH840" s="1" t="s">
        <v>74</v>
      </c>
      <c r="AI840" s="1" t="s">
        <v>74</v>
      </c>
      <c r="AJ840" s="1" t="s">
        <v>74</v>
      </c>
      <c r="AK840" s="1" t="s">
        <v>74</v>
      </c>
      <c r="AL840" s="1" t="s">
        <v>74</v>
      </c>
      <c r="AM840" s="1" t="s">
        <v>74</v>
      </c>
      <c r="AN840" s="1" t="s">
        <v>74</v>
      </c>
      <c r="AO840" s="1" t="s">
        <v>4904</v>
      </c>
      <c r="AP840" s="1" t="s">
        <v>4905</v>
      </c>
      <c r="AQ840" s="1" t="s">
        <v>74</v>
      </c>
      <c r="AR840" s="1" t="s">
        <v>74</v>
      </c>
      <c r="AS840" s="1" t="s">
        <v>74</v>
      </c>
      <c r="AT840" s="1" t="s">
        <v>294</v>
      </c>
      <c r="AU840" s="1">
        <v>2024.0</v>
      </c>
      <c r="AV840" s="1">
        <v>12.0</v>
      </c>
      <c r="AW840" s="1">
        <v>3.0</v>
      </c>
      <c r="AX840" s="1" t="s">
        <v>74</v>
      </c>
      <c r="AY840" s="1" t="s">
        <v>74</v>
      </c>
      <c r="AZ840" s="1" t="s">
        <v>74</v>
      </c>
      <c r="BA840" s="1" t="s">
        <v>74</v>
      </c>
      <c r="BB840" s="1" t="s">
        <v>74</v>
      </c>
      <c r="BC840" s="1" t="s">
        <v>74</v>
      </c>
      <c r="BD840" s="1">
        <v>112938.0</v>
      </c>
      <c r="BE840" s="1" t="s">
        <v>8169</v>
      </c>
      <c r="BF840" s="2" t="str">
        <f>HYPERLINK("http://dx.doi.org/10.1016/j.jece.2024.112938","http://dx.doi.org/10.1016/j.jece.2024.112938")</f>
        <v>http://dx.doi.org/10.1016/j.jece.2024.112938</v>
      </c>
      <c r="BG840" s="1" t="s">
        <v>74</v>
      </c>
      <c r="BH840" s="1" t="s">
        <v>170</v>
      </c>
      <c r="BI840" s="1" t="s">
        <v>74</v>
      </c>
      <c r="BJ840" s="1" t="s">
        <v>74</v>
      </c>
      <c r="BK840" s="1" t="s">
        <v>74</v>
      </c>
      <c r="BL840" s="1" t="s">
        <v>74</v>
      </c>
      <c r="BM840" s="1" t="s">
        <v>74</v>
      </c>
      <c r="BN840" s="1" t="s">
        <v>74</v>
      </c>
      <c r="BO840" s="1" t="s">
        <v>74</v>
      </c>
      <c r="BP840" s="1" t="s">
        <v>74</v>
      </c>
      <c r="BQ840" s="1" t="s">
        <v>74</v>
      </c>
      <c r="BR840" s="1" t="s">
        <v>74</v>
      </c>
      <c r="BS840" s="1" t="s">
        <v>8170</v>
      </c>
      <c r="BT840" s="1" t="str">
        <f>HYPERLINK("https%3A%2F%2Fwww.webofscience.com%2Fwos%2Fwoscc%2Ffull-record%2FWOS:001241150700001","View Full Record in Web of Science")</f>
        <v>View Full Record in Web of Science</v>
      </c>
    </row>
    <row r="841" ht="12.75" customHeight="1">
      <c r="A841" s="1" t="s">
        <v>72</v>
      </c>
      <c r="B841" s="1" t="s">
        <v>8171</v>
      </c>
      <c r="C841" s="1" t="s">
        <v>74</v>
      </c>
      <c r="D841" s="1" t="s">
        <v>74</v>
      </c>
      <c r="E841" s="1" t="s">
        <v>74</v>
      </c>
      <c r="F841" s="1" t="s">
        <v>8172</v>
      </c>
      <c r="G841" s="1" t="s">
        <v>74</v>
      </c>
      <c r="H841" s="1" t="s">
        <v>74</v>
      </c>
      <c r="I841" s="1" t="s">
        <v>8173</v>
      </c>
      <c r="J841" s="1" t="s">
        <v>3502</v>
      </c>
      <c r="K841" s="1" t="s">
        <v>74</v>
      </c>
      <c r="L841" s="1" t="s">
        <v>74</v>
      </c>
      <c r="M841" s="1" t="s">
        <v>74</v>
      </c>
      <c r="N841" s="1" t="s">
        <v>74</v>
      </c>
      <c r="O841" s="1" t="s">
        <v>74</v>
      </c>
      <c r="P841" s="1" t="s">
        <v>74</v>
      </c>
      <c r="Q841" s="1" t="s">
        <v>74</v>
      </c>
      <c r="R841" s="1" t="s">
        <v>74</v>
      </c>
      <c r="S841" s="1" t="s">
        <v>74</v>
      </c>
      <c r="T841" s="1" t="s">
        <v>74</v>
      </c>
      <c r="U841" s="1" t="s">
        <v>74</v>
      </c>
      <c r="V841" s="1" t="s">
        <v>8174</v>
      </c>
      <c r="W841" s="1" t="s">
        <v>74</v>
      </c>
      <c r="X841" s="1" t="s">
        <v>74</v>
      </c>
      <c r="Y841" s="1" t="s">
        <v>74</v>
      </c>
      <c r="Z841" s="1" t="s">
        <v>74</v>
      </c>
      <c r="AA841" s="1" t="s">
        <v>8175</v>
      </c>
      <c r="AB841" s="1" t="s">
        <v>74</v>
      </c>
      <c r="AC841" s="1" t="s">
        <v>74</v>
      </c>
      <c r="AD841" s="1" t="s">
        <v>74</v>
      </c>
      <c r="AE841" s="1" t="s">
        <v>74</v>
      </c>
      <c r="AF841" s="1" t="s">
        <v>74</v>
      </c>
      <c r="AG841" s="1" t="s">
        <v>74</v>
      </c>
      <c r="AH841" s="1" t="s">
        <v>74</v>
      </c>
      <c r="AI841" s="1" t="s">
        <v>74</v>
      </c>
      <c r="AJ841" s="1" t="s">
        <v>74</v>
      </c>
      <c r="AK841" s="1" t="s">
        <v>74</v>
      </c>
      <c r="AL841" s="1" t="s">
        <v>74</v>
      </c>
      <c r="AM841" s="1" t="s">
        <v>74</v>
      </c>
      <c r="AN841" s="1" t="s">
        <v>74</v>
      </c>
      <c r="AO841" s="1" t="s">
        <v>3505</v>
      </c>
      <c r="AP841" s="1" t="s">
        <v>3506</v>
      </c>
      <c r="AQ841" s="1" t="s">
        <v>74</v>
      </c>
      <c r="AR841" s="1" t="s">
        <v>74</v>
      </c>
      <c r="AS841" s="1" t="s">
        <v>74</v>
      </c>
      <c r="AT841" s="1" t="s">
        <v>74</v>
      </c>
      <c r="AU841" s="1">
        <v>2024.0</v>
      </c>
      <c r="AV841" s="1" t="s">
        <v>74</v>
      </c>
      <c r="AW841" s="1">
        <v>60.0</v>
      </c>
      <c r="AX841" s="1" t="s">
        <v>74</v>
      </c>
      <c r="AY841" s="1" t="s">
        <v>74</v>
      </c>
      <c r="AZ841" s="1" t="s">
        <v>74</v>
      </c>
      <c r="BA841" s="1" t="s">
        <v>74</v>
      </c>
      <c r="BB841" s="1">
        <v>981.0</v>
      </c>
      <c r="BC841" s="1">
        <v>989.0</v>
      </c>
      <c r="BD841" s="1" t="s">
        <v>74</v>
      </c>
      <c r="BE841" s="1" t="s">
        <v>74</v>
      </c>
      <c r="BF841" s="1" t="s">
        <v>74</v>
      </c>
      <c r="BG841" s="1" t="s">
        <v>74</v>
      </c>
      <c r="BH841" s="1" t="s">
        <v>74</v>
      </c>
      <c r="BI841" s="1" t="s">
        <v>74</v>
      </c>
      <c r="BJ841" s="1" t="s">
        <v>74</v>
      </c>
      <c r="BK841" s="1" t="s">
        <v>74</v>
      </c>
      <c r="BL841" s="1" t="s">
        <v>74</v>
      </c>
      <c r="BM841" s="1" t="s">
        <v>74</v>
      </c>
      <c r="BN841" s="1" t="s">
        <v>74</v>
      </c>
      <c r="BO841" s="1" t="s">
        <v>74</v>
      </c>
      <c r="BP841" s="1" t="s">
        <v>74</v>
      </c>
      <c r="BQ841" s="1" t="s">
        <v>74</v>
      </c>
      <c r="BR841" s="1" t="s">
        <v>74</v>
      </c>
      <c r="BS841" s="1" t="s">
        <v>8176</v>
      </c>
      <c r="BT841" s="1" t="str">
        <f>HYPERLINK("https%3A%2F%2Fwww.webofscience.com%2Fwos%2Fwoscc%2Ffull-record%2FWOS:001330547100001","View Full Record in Web of Science")</f>
        <v>View Full Record in Web of Science</v>
      </c>
    </row>
    <row r="842" ht="12.75" customHeight="1">
      <c r="A842" s="1" t="s">
        <v>72</v>
      </c>
      <c r="B842" s="1" t="s">
        <v>8177</v>
      </c>
      <c r="C842" s="1" t="s">
        <v>74</v>
      </c>
      <c r="D842" s="1" t="s">
        <v>74</v>
      </c>
      <c r="E842" s="1" t="s">
        <v>74</v>
      </c>
      <c r="F842" s="1" t="s">
        <v>8178</v>
      </c>
      <c r="G842" s="1" t="s">
        <v>74</v>
      </c>
      <c r="H842" s="1" t="s">
        <v>74</v>
      </c>
      <c r="I842" s="1" t="s">
        <v>8179</v>
      </c>
      <c r="J842" s="1" t="s">
        <v>1605</v>
      </c>
      <c r="K842" s="1" t="s">
        <v>74</v>
      </c>
      <c r="L842" s="1" t="s">
        <v>74</v>
      </c>
      <c r="M842" s="1" t="s">
        <v>74</v>
      </c>
      <c r="N842" s="1" t="s">
        <v>74</v>
      </c>
      <c r="O842" s="1" t="s">
        <v>74</v>
      </c>
      <c r="P842" s="1" t="s">
        <v>74</v>
      </c>
      <c r="Q842" s="1" t="s">
        <v>74</v>
      </c>
      <c r="R842" s="1" t="s">
        <v>74</v>
      </c>
      <c r="S842" s="1" t="s">
        <v>74</v>
      </c>
      <c r="T842" s="1" t="s">
        <v>74</v>
      </c>
      <c r="U842" s="1" t="s">
        <v>74</v>
      </c>
      <c r="V842" s="1" t="s">
        <v>8180</v>
      </c>
      <c r="W842" s="1" t="s">
        <v>74</v>
      </c>
      <c r="X842" s="1" t="s">
        <v>74</v>
      </c>
      <c r="Y842" s="1" t="s">
        <v>74</v>
      </c>
      <c r="Z842" s="1" t="s">
        <v>74</v>
      </c>
      <c r="AA842" s="1" t="s">
        <v>4060</v>
      </c>
      <c r="AB842" s="1" t="s">
        <v>8181</v>
      </c>
      <c r="AC842" s="1" t="s">
        <v>74</v>
      </c>
      <c r="AD842" s="1" t="s">
        <v>74</v>
      </c>
      <c r="AE842" s="1" t="s">
        <v>74</v>
      </c>
      <c r="AF842" s="1" t="s">
        <v>74</v>
      </c>
      <c r="AG842" s="1" t="s">
        <v>74</v>
      </c>
      <c r="AH842" s="1" t="s">
        <v>74</v>
      </c>
      <c r="AI842" s="1" t="s">
        <v>74</v>
      </c>
      <c r="AJ842" s="1" t="s">
        <v>74</v>
      </c>
      <c r="AK842" s="1" t="s">
        <v>74</v>
      </c>
      <c r="AL842" s="1" t="s">
        <v>74</v>
      </c>
      <c r="AM842" s="1" t="s">
        <v>74</v>
      </c>
      <c r="AN842" s="1" t="s">
        <v>74</v>
      </c>
      <c r="AO842" s="1" t="s">
        <v>1609</v>
      </c>
      <c r="AP842" s="1" t="s">
        <v>74</v>
      </c>
      <c r="AQ842" s="1" t="s">
        <v>74</v>
      </c>
      <c r="AR842" s="1" t="s">
        <v>74</v>
      </c>
      <c r="AS842" s="1" t="s">
        <v>74</v>
      </c>
      <c r="AT842" s="1" t="s">
        <v>8182</v>
      </c>
      <c r="AU842" s="1">
        <v>2023.0</v>
      </c>
      <c r="AV842" s="1">
        <v>18.0</v>
      </c>
      <c r="AW842" s="1">
        <v>9.0</v>
      </c>
      <c r="AX842" s="1" t="s">
        <v>74</v>
      </c>
      <c r="AY842" s="1" t="s">
        <v>74</v>
      </c>
      <c r="AZ842" s="1" t="s">
        <v>74</v>
      </c>
      <c r="BA842" s="1" t="s">
        <v>74</v>
      </c>
      <c r="BB842" s="1" t="s">
        <v>74</v>
      </c>
      <c r="BC842" s="1" t="s">
        <v>74</v>
      </c>
      <c r="BD842" s="1" t="s">
        <v>8183</v>
      </c>
      <c r="BE842" s="1" t="s">
        <v>8184</v>
      </c>
      <c r="BF842" s="2" t="str">
        <f>HYPERLINK("http://dx.doi.org/10.1371/journal.pone.0291164","http://dx.doi.org/10.1371/journal.pone.0291164")</f>
        <v>http://dx.doi.org/10.1371/journal.pone.0291164</v>
      </c>
      <c r="BG842" s="1" t="s">
        <v>74</v>
      </c>
      <c r="BH842" s="1" t="s">
        <v>74</v>
      </c>
      <c r="BI842" s="1" t="s">
        <v>74</v>
      </c>
      <c r="BJ842" s="1" t="s">
        <v>74</v>
      </c>
      <c r="BK842" s="1" t="s">
        <v>74</v>
      </c>
      <c r="BL842" s="1" t="s">
        <v>74</v>
      </c>
      <c r="BM842" s="1" t="s">
        <v>74</v>
      </c>
      <c r="BN842" s="1">
        <v>3.7682893E7</v>
      </c>
      <c r="BO842" s="1" t="s">
        <v>74</v>
      </c>
      <c r="BP842" s="1" t="s">
        <v>74</v>
      </c>
      <c r="BQ842" s="1" t="s">
        <v>74</v>
      </c>
      <c r="BR842" s="1" t="s">
        <v>74</v>
      </c>
      <c r="BS842" s="1" t="s">
        <v>8185</v>
      </c>
      <c r="BT842" s="1" t="str">
        <f>HYPERLINK("https%3A%2F%2Fwww.webofscience.com%2Fwos%2Fwoscc%2Ffull-record%2FWOS:001091871500110","View Full Record in Web of Science")</f>
        <v>View Full Record in Web of Science</v>
      </c>
    </row>
    <row r="843" ht="12.75" customHeight="1">
      <c r="A843" s="1" t="s">
        <v>72</v>
      </c>
      <c r="B843" s="1" t="s">
        <v>8186</v>
      </c>
      <c r="C843" s="1" t="s">
        <v>74</v>
      </c>
      <c r="D843" s="1" t="s">
        <v>74</v>
      </c>
      <c r="E843" s="1" t="s">
        <v>74</v>
      </c>
      <c r="F843" s="1" t="s">
        <v>8187</v>
      </c>
      <c r="G843" s="1" t="s">
        <v>74</v>
      </c>
      <c r="H843" s="1" t="s">
        <v>74</v>
      </c>
      <c r="I843" s="1" t="s">
        <v>8188</v>
      </c>
      <c r="J843" s="1" t="s">
        <v>4368</v>
      </c>
      <c r="K843" s="1" t="s">
        <v>74</v>
      </c>
      <c r="L843" s="1" t="s">
        <v>74</v>
      </c>
      <c r="M843" s="1" t="s">
        <v>74</v>
      </c>
      <c r="N843" s="1" t="s">
        <v>74</v>
      </c>
      <c r="O843" s="1" t="s">
        <v>74</v>
      </c>
      <c r="P843" s="1" t="s">
        <v>74</v>
      </c>
      <c r="Q843" s="1" t="s">
        <v>74</v>
      </c>
      <c r="R843" s="1" t="s">
        <v>74</v>
      </c>
      <c r="S843" s="1" t="s">
        <v>74</v>
      </c>
      <c r="T843" s="1" t="s">
        <v>74</v>
      </c>
      <c r="U843" s="1" t="s">
        <v>74</v>
      </c>
      <c r="V843" s="1" t="s">
        <v>74</v>
      </c>
      <c r="W843" s="1" t="s">
        <v>74</v>
      </c>
      <c r="X843" s="1" t="s">
        <v>74</v>
      </c>
      <c r="Y843" s="1" t="s">
        <v>74</v>
      </c>
      <c r="Z843" s="1" t="s">
        <v>74</v>
      </c>
      <c r="AA843" s="1" t="s">
        <v>74</v>
      </c>
      <c r="AB843" s="1" t="s">
        <v>74</v>
      </c>
      <c r="AC843" s="1" t="s">
        <v>74</v>
      </c>
      <c r="AD843" s="1" t="s">
        <v>74</v>
      </c>
      <c r="AE843" s="1" t="s">
        <v>74</v>
      </c>
      <c r="AF843" s="1" t="s">
        <v>74</v>
      </c>
      <c r="AG843" s="1" t="s">
        <v>74</v>
      </c>
      <c r="AH843" s="1" t="s">
        <v>74</v>
      </c>
      <c r="AI843" s="1" t="s">
        <v>74</v>
      </c>
      <c r="AJ843" s="1" t="s">
        <v>74</v>
      </c>
      <c r="AK843" s="1" t="s">
        <v>74</v>
      </c>
      <c r="AL843" s="1" t="s">
        <v>74</v>
      </c>
      <c r="AM843" s="1" t="s">
        <v>74</v>
      </c>
      <c r="AN843" s="1" t="s">
        <v>74</v>
      </c>
      <c r="AO843" s="1" t="s">
        <v>4369</v>
      </c>
      <c r="AP843" s="1" t="s">
        <v>4370</v>
      </c>
      <c r="AQ843" s="1" t="s">
        <v>74</v>
      </c>
      <c r="AR843" s="1" t="s">
        <v>74</v>
      </c>
      <c r="AS843" s="1" t="s">
        <v>74</v>
      </c>
      <c r="AT843" s="1" t="s">
        <v>339</v>
      </c>
      <c r="AU843" s="1">
        <v>2023.0</v>
      </c>
      <c r="AV843" s="1">
        <v>42.0</v>
      </c>
      <c r="AW843" s="1">
        <v>4.0</v>
      </c>
      <c r="AX843" s="1" t="s">
        <v>74</v>
      </c>
      <c r="AY843" s="1" t="s">
        <v>74</v>
      </c>
      <c r="AZ843" s="1" t="s">
        <v>74</v>
      </c>
      <c r="BA843" s="1" t="s">
        <v>74</v>
      </c>
      <c r="BB843" s="1">
        <v>599.0</v>
      </c>
      <c r="BC843" s="1">
        <v>600.0</v>
      </c>
      <c r="BD843" s="1" t="s">
        <v>74</v>
      </c>
      <c r="BE843" s="1" t="s">
        <v>8189</v>
      </c>
      <c r="BF843" s="2" t="str">
        <f>HYPERLINK("http://dx.doi.org/10.1111/blar.13520","http://dx.doi.org/10.1111/blar.13520")</f>
        <v>http://dx.doi.org/10.1111/blar.13520</v>
      </c>
      <c r="BG843" s="1" t="s">
        <v>74</v>
      </c>
      <c r="BH843" s="1" t="s">
        <v>74</v>
      </c>
      <c r="BI843" s="1" t="s">
        <v>74</v>
      </c>
      <c r="BJ843" s="1" t="s">
        <v>74</v>
      </c>
      <c r="BK843" s="1" t="s">
        <v>74</v>
      </c>
      <c r="BL843" s="1" t="s">
        <v>74</v>
      </c>
      <c r="BM843" s="1" t="s">
        <v>74</v>
      </c>
      <c r="BN843" s="1" t="s">
        <v>74</v>
      </c>
      <c r="BO843" s="1" t="s">
        <v>74</v>
      </c>
      <c r="BP843" s="1" t="s">
        <v>74</v>
      </c>
      <c r="BQ843" s="1" t="s">
        <v>74</v>
      </c>
      <c r="BR843" s="1" t="s">
        <v>74</v>
      </c>
      <c r="BS843" s="1" t="s">
        <v>8190</v>
      </c>
      <c r="BT843" s="1" t="str">
        <f>HYPERLINK("https%3A%2F%2Fwww.webofscience.com%2Fwos%2Fwoscc%2Ffull-record%2FWOS:001104836200011","View Full Record in Web of Science")</f>
        <v>View Full Record in Web of Science</v>
      </c>
    </row>
    <row r="844" ht="12.75" customHeight="1">
      <c r="A844" s="1" t="s">
        <v>72</v>
      </c>
      <c r="B844" s="1" t="s">
        <v>8191</v>
      </c>
      <c r="C844" s="1" t="s">
        <v>74</v>
      </c>
      <c r="D844" s="1" t="s">
        <v>74</v>
      </c>
      <c r="E844" s="1" t="s">
        <v>74</v>
      </c>
      <c r="F844" s="1" t="s">
        <v>8192</v>
      </c>
      <c r="G844" s="1" t="s">
        <v>74</v>
      </c>
      <c r="H844" s="1" t="s">
        <v>74</v>
      </c>
      <c r="I844" s="1" t="s">
        <v>8193</v>
      </c>
      <c r="J844" s="1" t="s">
        <v>8194</v>
      </c>
      <c r="K844" s="1" t="s">
        <v>74</v>
      </c>
      <c r="L844" s="1" t="s">
        <v>74</v>
      </c>
      <c r="M844" s="1" t="s">
        <v>74</v>
      </c>
      <c r="N844" s="1" t="s">
        <v>74</v>
      </c>
      <c r="O844" s="1" t="s">
        <v>74</v>
      </c>
      <c r="P844" s="1" t="s">
        <v>74</v>
      </c>
      <c r="Q844" s="1" t="s">
        <v>74</v>
      </c>
      <c r="R844" s="1" t="s">
        <v>74</v>
      </c>
      <c r="S844" s="1" t="s">
        <v>74</v>
      </c>
      <c r="T844" s="1" t="s">
        <v>74</v>
      </c>
      <c r="U844" s="1" t="s">
        <v>74</v>
      </c>
      <c r="V844" s="1" t="s">
        <v>8195</v>
      </c>
      <c r="W844" s="1" t="s">
        <v>74</v>
      </c>
      <c r="X844" s="1" t="s">
        <v>74</v>
      </c>
      <c r="Y844" s="1" t="s">
        <v>74</v>
      </c>
      <c r="Z844" s="1" t="s">
        <v>74</v>
      </c>
      <c r="AA844" s="1" t="s">
        <v>8196</v>
      </c>
      <c r="AB844" s="1" t="s">
        <v>8197</v>
      </c>
      <c r="AC844" s="1" t="s">
        <v>74</v>
      </c>
      <c r="AD844" s="1" t="s">
        <v>74</v>
      </c>
      <c r="AE844" s="1" t="s">
        <v>74</v>
      </c>
      <c r="AF844" s="1" t="s">
        <v>74</v>
      </c>
      <c r="AG844" s="1" t="s">
        <v>74</v>
      </c>
      <c r="AH844" s="1" t="s">
        <v>74</v>
      </c>
      <c r="AI844" s="1" t="s">
        <v>74</v>
      </c>
      <c r="AJ844" s="1" t="s">
        <v>74</v>
      </c>
      <c r="AK844" s="1" t="s">
        <v>74</v>
      </c>
      <c r="AL844" s="1" t="s">
        <v>74</v>
      </c>
      <c r="AM844" s="1" t="s">
        <v>74</v>
      </c>
      <c r="AN844" s="1" t="s">
        <v>74</v>
      </c>
      <c r="AO844" s="1" t="s">
        <v>74</v>
      </c>
      <c r="AP844" s="1" t="s">
        <v>8198</v>
      </c>
      <c r="AQ844" s="1" t="s">
        <v>74</v>
      </c>
      <c r="AR844" s="1" t="s">
        <v>74</v>
      </c>
      <c r="AS844" s="1" t="s">
        <v>74</v>
      </c>
      <c r="AT844" s="1" t="s">
        <v>8199</v>
      </c>
      <c r="AU844" s="1">
        <v>2023.0</v>
      </c>
      <c r="AV844" s="1">
        <v>25.0</v>
      </c>
      <c r="AW844" s="1">
        <v>5.0</v>
      </c>
      <c r="AX844" s="1" t="s">
        <v>74</v>
      </c>
      <c r="AY844" s="1" t="s">
        <v>74</v>
      </c>
      <c r="AZ844" s="1" t="s">
        <v>74</v>
      </c>
      <c r="BA844" s="1" t="s">
        <v>74</v>
      </c>
      <c r="BB844" s="1" t="s">
        <v>74</v>
      </c>
      <c r="BC844" s="1" t="s">
        <v>74</v>
      </c>
      <c r="BD844" s="1">
        <v>756.0</v>
      </c>
      <c r="BE844" s="1" t="s">
        <v>8200</v>
      </c>
      <c r="BF844" s="2" t="str">
        <f>HYPERLINK("http://dx.doi.org/10.3390/e25050756","http://dx.doi.org/10.3390/e25050756")</f>
        <v>http://dx.doi.org/10.3390/e25050756</v>
      </c>
      <c r="BG844" s="1" t="s">
        <v>74</v>
      </c>
      <c r="BH844" s="1" t="s">
        <v>74</v>
      </c>
      <c r="BI844" s="1" t="s">
        <v>74</v>
      </c>
      <c r="BJ844" s="1" t="s">
        <v>74</v>
      </c>
      <c r="BK844" s="1" t="s">
        <v>74</v>
      </c>
      <c r="BL844" s="1" t="s">
        <v>74</v>
      </c>
      <c r="BM844" s="1" t="s">
        <v>74</v>
      </c>
      <c r="BN844" s="1">
        <v>3.7238511E7</v>
      </c>
      <c r="BO844" s="1" t="s">
        <v>74</v>
      </c>
      <c r="BP844" s="1" t="s">
        <v>74</v>
      </c>
      <c r="BQ844" s="1" t="s">
        <v>74</v>
      </c>
      <c r="BR844" s="1" t="s">
        <v>74</v>
      </c>
      <c r="BS844" s="1" t="s">
        <v>8201</v>
      </c>
      <c r="BT844" s="1" t="str">
        <f>HYPERLINK("https%3A%2F%2Fwww.webofscience.com%2Fwos%2Fwoscc%2Ffull-record%2FWOS:000998088600001","View Full Record in Web of Science")</f>
        <v>View Full Record in Web of Science</v>
      </c>
    </row>
    <row r="845" ht="12.75" customHeight="1">
      <c r="A845" s="1" t="s">
        <v>72</v>
      </c>
      <c r="B845" s="1" t="s">
        <v>8202</v>
      </c>
      <c r="C845" s="1" t="s">
        <v>74</v>
      </c>
      <c r="D845" s="1" t="s">
        <v>74</v>
      </c>
      <c r="E845" s="1" t="s">
        <v>74</v>
      </c>
      <c r="F845" s="1" t="s">
        <v>8203</v>
      </c>
      <c r="G845" s="1" t="s">
        <v>74</v>
      </c>
      <c r="H845" s="1" t="s">
        <v>74</v>
      </c>
      <c r="I845" s="1" t="s">
        <v>8204</v>
      </c>
      <c r="J845" s="1" t="s">
        <v>8205</v>
      </c>
      <c r="K845" s="1" t="s">
        <v>74</v>
      </c>
      <c r="L845" s="1" t="s">
        <v>74</v>
      </c>
      <c r="M845" s="1" t="s">
        <v>74</v>
      </c>
      <c r="N845" s="1" t="s">
        <v>74</v>
      </c>
      <c r="O845" s="1" t="s">
        <v>74</v>
      </c>
      <c r="P845" s="1" t="s">
        <v>74</v>
      </c>
      <c r="Q845" s="1" t="s">
        <v>74</v>
      </c>
      <c r="R845" s="1" t="s">
        <v>74</v>
      </c>
      <c r="S845" s="1" t="s">
        <v>74</v>
      </c>
      <c r="T845" s="1" t="s">
        <v>74</v>
      </c>
      <c r="U845" s="1" t="s">
        <v>74</v>
      </c>
      <c r="V845" s="1" t="s">
        <v>8206</v>
      </c>
      <c r="W845" s="1" t="s">
        <v>74</v>
      </c>
      <c r="X845" s="1" t="s">
        <v>74</v>
      </c>
      <c r="Y845" s="1" t="s">
        <v>74</v>
      </c>
      <c r="Z845" s="1" t="s">
        <v>74</v>
      </c>
      <c r="AA845" s="1" t="s">
        <v>74</v>
      </c>
      <c r="AB845" s="1" t="s">
        <v>74</v>
      </c>
      <c r="AC845" s="1" t="s">
        <v>74</v>
      </c>
      <c r="AD845" s="1" t="s">
        <v>74</v>
      </c>
      <c r="AE845" s="1" t="s">
        <v>74</v>
      </c>
      <c r="AF845" s="1" t="s">
        <v>74</v>
      </c>
      <c r="AG845" s="1" t="s">
        <v>74</v>
      </c>
      <c r="AH845" s="1" t="s">
        <v>74</v>
      </c>
      <c r="AI845" s="1" t="s">
        <v>74</v>
      </c>
      <c r="AJ845" s="1" t="s">
        <v>74</v>
      </c>
      <c r="AK845" s="1" t="s">
        <v>74</v>
      </c>
      <c r="AL845" s="1" t="s">
        <v>74</v>
      </c>
      <c r="AM845" s="1" t="s">
        <v>74</v>
      </c>
      <c r="AN845" s="1" t="s">
        <v>74</v>
      </c>
      <c r="AO845" s="1" t="s">
        <v>8207</v>
      </c>
      <c r="AP845" s="1" t="s">
        <v>8208</v>
      </c>
      <c r="AQ845" s="1" t="s">
        <v>74</v>
      </c>
      <c r="AR845" s="1" t="s">
        <v>74</v>
      </c>
      <c r="AS845" s="1" t="s">
        <v>74</v>
      </c>
      <c r="AT845" s="1" t="s">
        <v>74</v>
      </c>
      <c r="AU845" s="1">
        <v>2023.0</v>
      </c>
      <c r="AV845" s="1">
        <v>108.0</v>
      </c>
      <c r="AW845" s="1">
        <v>4.0</v>
      </c>
      <c r="AX845" s="1" t="s">
        <v>74</v>
      </c>
      <c r="AY845" s="1" t="s">
        <v>74</v>
      </c>
      <c r="AZ845" s="1" t="s">
        <v>74</v>
      </c>
      <c r="BA845" s="1" t="s">
        <v>74</v>
      </c>
      <c r="BB845" s="1" t="s">
        <v>74</v>
      </c>
      <c r="BC845" s="1" t="s">
        <v>74</v>
      </c>
      <c r="BD845" s="1" t="s">
        <v>8209</v>
      </c>
      <c r="BE845" s="1" t="s">
        <v>8210</v>
      </c>
      <c r="BF845" s="2" t="str">
        <f>HYPERLINK("http://dx.doi.org/10.5565/rev/papers.3178","http://dx.doi.org/10.5565/rev/papers.3178")</f>
        <v>http://dx.doi.org/10.5565/rev/papers.3178</v>
      </c>
      <c r="BG845" s="1" t="s">
        <v>74</v>
      </c>
      <c r="BH845" s="1" t="s">
        <v>74</v>
      </c>
      <c r="BI845" s="1" t="s">
        <v>74</v>
      </c>
      <c r="BJ845" s="1" t="s">
        <v>74</v>
      </c>
      <c r="BK845" s="1" t="s">
        <v>74</v>
      </c>
      <c r="BL845" s="1" t="s">
        <v>74</v>
      </c>
      <c r="BM845" s="1" t="s">
        <v>74</v>
      </c>
      <c r="BN845" s="1" t="s">
        <v>74</v>
      </c>
      <c r="BO845" s="1" t="s">
        <v>74</v>
      </c>
      <c r="BP845" s="1" t="s">
        <v>74</v>
      </c>
      <c r="BQ845" s="1" t="s">
        <v>74</v>
      </c>
      <c r="BR845" s="1" t="s">
        <v>74</v>
      </c>
      <c r="BS845" s="1" t="s">
        <v>8211</v>
      </c>
      <c r="BT845" s="1" t="str">
        <f>HYPERLINK("https%3A%2F%2Fwww.webofscience.com%2Fwos%2Fwoscc%2Ffull-record%2FWOS:001138038900002","View Full Record in Web of Science")</f>
        <v>View Full Record in Web of Science</v>
      </c>
    </row>
    <row r="846" ht="12.75" customHeight="1">
      <c r="A846" s="1" t="s">
        <v>72</v>
      </c>
      <c r="B846" s="1" t="s">
        <v>8212</v>
      </c>
      <c r="C846" s="1" t="s">
        <v>74</v>
      </c>
      <c r="D846" s="1" t="s">
        <v>74</v>
      </c>
      <c r="E846" s="1" t="s">
        <v>74</v>
      </c>
      <c r="F846" s="1" t="s">
        <v>8213</v>
      </c>
      <c r="G846" s="1" t="s">
        <v>74</v>
      </c>
      <c r="H846" s="1" t="s">
        <v>74</v>
      </c>
      <c r="I846" s="1" t="s">
        <v>8214</v>
      </c>
      <c r="J846" s="1" t="s">
        <v>4368</v>
      </c>
      <c r="K846" s="1" t="s">
        <v>74</v>
      </c>
      <c r="L846" s="1" t="s">
        <v>74</v>
      </c>
      <c r="M846" s="1" t="s">
        <v>74</v>
      </c>
      <c r="N846" s="1" t="s">
        <v>74</v>
      </c>
      <c r="O846" s="1" t="s">
        <v>74</v>
      </c>
      <c r="P846" s="1" t="s">
        <v>74</v>
      </c>
      <c r="Q846" s="1" t="s">
        <v>74</v>
      </c>
      <c r="R846" s="1" t="s">
        <v>74</v>
      </c>
      <c r="S846" s="1" t="s">
        <v>74</v>
      </c>
      <c r="T846" s="1" t="s">
        <v>74</v>
      </c>
      <c r="U846" s="1" t="s">
        <v>74</v>
      </c>
      <c r="V846" s="1" t="s">
        <v>8215</v>
      </c>
      <c r="W846" s="1" t="s">
        <v>74</v>
      </c>
      <c r="X846" s="1" t="s">
        <v>74</v>
      </c>
      <c r="Y846" s="1" t="s">
        <v>74</v>
      </c>
      <c r="Z846" s="1" t="s">
        <v>74</v>
      </c>
      <c r="AA846" s="1" t="s">
        <v>8216</v>
      </c>
      <c r="AB846" s="1" t="s">
        <v>8217</v>
      </c>
      <c r="AC846" s="1" t="s">
        <v>74</v>
      </c>
      <c r="AD846" s="1" t="s">
        <v>74</v>
      </c>
      <c r="AE846" s="1" t="s">
        <v>74</v>
      </c>
      <c r="AF846" s="1" t="s">
        <v>74</v>
      </c>
      <c r="AG846" s="1" t="s">
        <v>74</v>
      </c>
      <c r="AH846" s="1" t="s">
        <v>74</v>
      </c>
      <c r="AI846" s="1" t="s">
        <v>74</v>
      </c>
      <c r="AJ846" s="1" t="s">
        <v>74</v>
      </c>
      <c r="AK846" s="1" t="s">
        <v>74</v>
      </c>
      <c r="AL846" s="1" t="s">
        <v>74</v>
      </c>
      <c r="AM846" s="1" t="s">
        <v>74</v>
      </c>
      <c r="AN846" s="1" t="s">
        <v>74</v>
      </c>
      <c r="AO846" s="1" t="s">
        <v>4369</v>
      </c>
      <c r="AP846" s="1" t="s">
        <v>4370</v>
      </c>
      <c r="AQ846" s="1" t="s">
        <v>74</v>
      </c>
      <c r="AR846" s="1" t="s">
        <v>74</v>
      </c>
      <c r="AS846" s="1" t="s">
        <v>74</v>
      </c>
      <c r="AT846" s="1" t="s">
        <v>306</v>
      </c>
      <c r="AU846" s="1">
        <v>2023.0</v>
      </c>
      <c r="AV846" s="1">
        <v>42.0</v>
      </c>
      <c r="AW846" s="1">
        <v>2.0</v>
      </c>
      <c r="AX846" s="1" t="s">
        <v>74</v>
      </c>
      <c r="AY846" s="1" t="s">
        <v>74</v>
      </c>
      <c r="AZ846" s="1" t="s">
        <v>74</v>
      </c>
      <c r="BA846" s="1" t="s">
        <v>74</v>
      </c>
      <c r="BB846" s="1">
        <v>283.0</v>
      </c>
      <c r="BC846" s="1">
        <v>301.0</v>
      </c>
      <c r="BD846" s="1" t="s">
        <v>74</v>
      </c>
      <c r="BE846" s="1" t="s">
        <v>8218</v>
      </c>
      <c r="BF846" s="2" t="str">
        <f>HYPERLINK("http://dx.doi.org/10.1111/blar.13381","http://dx.doi.org/10.1111/blar.13381")</f>
        <v>http://dx.doi.org/10.1111/blar.13381</v>
      </c>
      <c r="BG846" s="1" t="s">
        <v>74</v>
      </c>
      <c r="BH846" s="1" t="s">
        <v>4341</v>
      </c>
      <c r="BI846" s="1" t="s">
        <v>74</v>
      </c>
      <c r="BJ846" s="1" t="s">
        <v>74</v>
      </c>
      <c r="BK846" s="1" t="s">
        <v>74</v>
      </c>
      <c r="BL846" s="1" t="s">
        <v>74</v>
      </c>
      <c r="BM846" s="1" t="s">
        <v>74</v>
      </c>
      <c r="BN846" s="1">
        <v>3.6245916E7</v>
      </c>
      <c r="BO846" s="1" t="s">
        <v>74</v>
      </c>
      <c r="BP846" s="1" t="s">
        <v>74</v>
      </c>
      <c r="BQ846" s="1" t="s">
        <v>74</v>
      </c>
      <c r="BR846" s="1" t="s">
        <v>74</v>
      </c>
      <c r="BS846" s="1" t="s">
        <v>8219</v>
      </c>
      <c r="BT846" s="1" t="str">
        <f>HYPERLINK("https%3A%2F%2Fwww.webofscience.com%2Fwos%2Fwoscc%2Ffull-record%2FWOS:000857134100001","View Full Record in Web of Science")</f>
        <v>View Full Record in Web of Science</v>
      </c>
    </row>
    <row r="847" ht="12.75" customHeight="1">
      <c r="A847" s="1" t="s">
        <v>72</v>
      </c>
      <c r="B847" s="1" t="s">
        <v>8220</v>
      </c>
      <c r="C847" s="1" t="s">
        <v>74</v>
      </c>
      <c r="D847" s="1" t="s">
        <v>74</v>
      </c>
      <c r="E847" s="1" t="s">
        <v>74</v>
      </c>
      <c r="F847" s="1" t="s">
        <v>8221</v>
      </c>
      <c r="G847" s="1" t="s">
        <v>74</v>
      </c>
      <c r="H847" s="1" t="s">
        <v>74</v>
      </c>
      <c r="I847" s="1" t="s">
        <v>8222</v>
      </c>
      <c r="J847" s="1" t="s">
        <v>8223</v>
      </c>
      <c r="K847" s="1" t="s">
        <v>74</v>
      </c>
      <c r="L847" s="1" t="s">
        <v>74</v>
      </c>
      <c r="M847" s="1" t="s">
        <v>74</v>
      </c>
      <c r="N847" s="1" t="s">
        <v>74</v>
      </c>
      <c r="O847" s="1" t="s">
        <v>74</v>
      </c>
      <c r="P847" s="1" t="s">
        <v>74</v>
      </c>
      <c r="Q847" s="1" t="s">
        <v>74</v>
      </c>
      <c r="R847" s="1" t="s">
        <v>74</v>
      </c>
      <c r="S847" s="1" t="s">
        <v>74</v>
      </c>
      <c r="T847" s="1" t="s">
        <v>74</v>
      </c>
      <c r="U847" s="1" t="s">
        <v>74</v>
      </c>
      <c r="V847" s="1" t="s">
        <v>8224</v>
      </c>
      <c r="W847" s="1" t="s">
        <v>74</v>
      </c>
      <c r="X847" s="1" t="s">
        <v>74</v>
      </c>
      <c r="Y847" s="1" t="s">
        <v>74</v>
      </c>
      <c r="Z847" s="1" t="s">
        <v>74</v>
      </c>
      <c r="AA847" s="1" t="s">
        <v>8225</v>
      </c>
      <c r="AB847" s="1" t="s">
        <v>8226</v>
      </c>
      <c r="AC847" s="1" t="s">
        <v>74</v>
      </c>
      <c r="AD847" s="1" t="s">
        <v>74</v>
      </c>
      <c r="AE847" s="1" t="s">
        <v>74</v>
      </c>
      <c r="AF847" s="1" t="s">
        <v>74</v>
      </c>
      <c r="AG847" s="1" t="s">
        <v>74</v>
      </c>
      <c r="AH847" s="1" t="s">
        <v>74</v>
      </c>
      <c r="AI847" s="1" t="s">
        <v>74</v>
      </c>
      <c r="AJ847" s="1" t="s">
        <v>74</v>
      </c>
      <c r="AK847" s="1" t="s">
        <v>74</v>
      </c>
      <c r="AL847" s="1" t="s">
        <v>74</v>
      </c>
      <c r="AM847" s="1" t="s">
        <v>74</v>
      </c>
      <c r="AN847" s="1" t="s">
        <v>74</v>
      </c>
      <c r="AO847" s="1" t="s">
        <v>8227</v>
      </c>
      <c r="AP847" s="1" t="s">
        <v>8228</v>
      </c>
      <c r="AQ847" s="1" t="s">
        <v>74</v>
      </c>
      <c r="AR847" s="1" t="s">
        <v>74</v>
      </c>
      <c r="AS847" s="1" t="s">
        <v>74</v>
      </c>
      <c r="AT847" s="1" t="s">
        <v>235</v>
      </c>
      <c r="AU847" s="1">
        <v>2022.0</v>
      </c>
      <c r="AV847" s="1">
        <v>510.0</v>
      </c>
      <c r="AW847" s="1">
        <v>2.0</v>
      </c>
      <c r="AX847" s="1" t="s">
        <v>74</v>
      </c>
      <c r="AY847" s="1" t="s">
        <v>74</v>
      </c>
      <c r="AZ847" s="1" t="s">
        <v>74</v>
      </c>
      <c r="BA847" s="1" t="s">
        <v>74</v>
      </c>
      <c r="BB847" s="1">
        <v>1612.0</v>
      </c>
      <c r="BC847" s="1">
        <v>1626.0</v>
      </c>
      <c r="BD847" s="1" t="s">
        <v>74</v>
      </c>
      <c r="BE847" s="1" t="s">
        <v>8229</v>
      </c>
      <c r="BF847" s="2" t="str">
        <f>HYPERLINK("http://dx.doi.org/10.1093/mnras/stab3438","http://dx.doi.org/10.1093/mnras/stab3438")</f>
        <v>http://dx.doi.org/10.1093/mnras/stab3438</v>
      </c>
      <c r="BG847" s="1" t="s">
        <v>74</v>
      </c>
      <c r="BH847" s="1" t="s">
        <v>5328</v>
      </c>
      <c r="BI847" s="1" t="s">
        <v>74</v>
      </c>
      <c r="BJ847" s="1" t="s">
        <v>74</v>
      </c>
      <c r="BK847" s="1" t="s">
        <v>74</v>
      </c>
      <c r="BL847" s="1" t="s">
        <v>74</v>
      </c>
      <c r="BM847" s="1" t="s">
        <v>74</v>
      </c>
      <c r="BN847" s="1" t="s">
        <v>74</v>
      </c>
      <c r="BO847" s="1" t="s">
        <v>74</v>
      </c>
      <c r="BP847" s="1" t="s">
        <v>74</v>
      </c>
      <c r="BQ847" s="1" t="s">
        <v>74</v>
      </c>
      <c r="BR847" s="1" t="s">
        <v>74</v>
      </c>
      <c r="BS847" s="1" t="s">
        <v>8230</v>
      </c>
      <c r="BT847" s="1" t="str">
        <f>HYPERLINK("https%3A%2F%2Fwww.webofscience.com%2Fwos%2Fwoscc%2Ffull-record%2FWOS:000744576900004","View Full Record in Web of Science")</f>
        <v>View Full Record in Web of Science</v>
      </c>
    </row>
    <row r="848" ht="12.75" customHeight="1">
      <c r="A848" s="1" t="s">
        <v>72</v>
      </c>
      <c r="B848" s="1" t="s">
        <v>8231</v>
      </c>
      <c r="C848" s="1" t="s">
        <v>74</v>
      </c>
      <c r="D848" s="1" t="s">
        <v>74</v>
      </c>
      <c r="E848" s="1" t="s">
        <v>74</v>
      </c>
      <c r="F848" s="1" t="s">
        <v>8232</v>
      </c>
      <c r="G848" s="1" t="s">
        <v>74</v>
      </c>
      <c r="H848" s="1" t="s">
        <v>74</v>
      </c>
      <c r="I848" s="1" t="s">
        <v>8233</v>
      </c>
      <c r="J848" s="1" t="s">
        <v>4284</v>
      </c>
      <c r="K848" s="1" t="s">
        <v>74</v>
      </c>
      <c r="L848" s="1" t="s">
        <v>74</v>
      </c>
      <c r="M848" s="1" t="s">
        <v>74</v>
      </c>
      <c r="N848" s="1" t="s">
        <v>74</v>
      </c>
      <c r="O848" s="1" t="s">
        <v>74</v>
      </c>
      <c r="P848" s="1" t="s">
        <v>74</v>
      </c>
      <c r="Q848" s="1" t="s">
        <v>74</v>
      </c>
      <c r="R848" s="1" t="s">
        <v>74</v>
      </c>
      <c r="S848" s="1" t="s">
        <v>74</v>
      </c>
      <c r="T848" s="1" t="s">
        <v>74</v>
      </c>
      <c r="U848" s="1" t="s">
        <v>74</v>
      </c>
      <c r="V848" s="1" t="s">
        <v>8234</v>
      </c>
      <c r="W848" s="1" t="s">
        <v>74</v>
      </c>
      <c r="X848" s="1" t="s">
        <v>74</v>
      </c>
      <c r="Y848" s="1" t="s">
        <v>74</v>
      </c>
      <c r="Z848" s="1" t="s">
        <v>74</v>
      </c>
      <c r="AA848" s="1" t="s">
        <v>8235</v>
      </c>
      <c r="AB848" s="1" t="s">
        <v>8236</v>
      </c>
      <c r="AC848" s="1" t="s">
        <v>74</v>
      </c>
      <c r="AD848" s="1" t="s">
        <v>74</v>
      </c>
      <c r="AE848" s="1" t="s">
        <v>74</v>
      </c>
      <c r="AF848" s="1" t="s">
        <v>74</v>
      </c>
      <c r="AG848" s="1" t="s">
        <v>74</v>
      </c>
      <c r="AH848" s="1" t="s">
        <v>74</v>
      </c>
      <c r="AI848" s="1" t="s">
        <v>74</v>
      </c>
      <c r="AJ848" s="1" t="s">
        <v>74</v>
      </c>
      <c r="AK848" s="1" t="s">
        <v>74</v>
      </c>
      <c r="AL848" s="1" t="s">
        <v>74</v>
      </c>
      <c r="AM848" s="1" t="s">
        <v>74</v>
      </c>
      <c r="AN848" s="1" t="s">
        <v>74</v>
      </c>
      <c r="AO848" s="1" t="s">
        <v>74</v>
      </c>
      <c r="AP848" s="1" t="s">
        <v>4287</v>
      </c>
      <c r="AQ848" s="1" t="s">
        <v>74</v>
      </c>
      <c r="AR848" s="1" t="s">
        <v>74</v>
      </c>
      <c r="AS848" s="1" t="s">
        <v>74</v>
      </c>
      <c r="AT848" s="1" t="s">
        <v>5404</v>
      </c>
      <c r="AU848" s="1">
        <v>2021.0</v>
      </c>
      <c r="AV848" s="1">
        <v>12.0</v>
      </c>
      <c r="AW848" s="1" t="s">
        <v>74</v>
      </c>
      <c r="AX848" s="1" t="s">
        <v>74</v>
      </c>
      <c r="AY848" s="1" t="s">
        <v>74</v>
      </c>
      <c r="AZ848" s="1" t="s">
        <v>74</v>
      </c>
      <c r="BA848" s="1" t="s">
        <v>74</v>
      </c>
      <c r="BB848" s="1" t="s">
        <v>74</v>
      </c>
      <c r="BC848" s="1" t="s">
        <v>74</v>
      </c>
      <c r="BD848" s="1">
        <v>742146.0</v>
      </c>
      <c r="BE848" s="1" t="s">
        <v>8237</v>
      </c>
      <c r="BF848" s="2" t="str">
        <f>HYPERLINK("http://dx.doi.org/10.3389/fphar.2021.742146","http://dx.doi.org/10.3389/fphar.2021.742146")</f>
        <v>http://dx.doi.org/10.3389/fphar.2021.742146</v>
      </c>
      <c r="BG848" s="1" t="s">
        <v>74</v>
      </c>
      <c r="BH848" s="1" t="s">
        <v>74</v>
      </c>
      <c r="BI848" s="1" t="s">
        <v>74</v>
      </c>
      <c r="BJ848" s="1" t="s">
        <v>74</v>
      </c>
      <c r="BK848" s="1" t="s">
        <v>74</v>
      </c>
      <c r="BL848" s="1" t="s">
        <v>74</v>
      </c>
      <c r="BM848" s="1" t="s">
        <v>74</v>
      </c>
      <c r="BN848" s="1">
        <v>3.4764869E7</v>
      </c>
      <c r="BO848" s="1" t="s">
        <v>74</v>
      </c>
      <c r="BP848" s="1" t="s">
        <v>74</v>
      </c>
      <c r="BQ848" s="1" t="s">
        <v>74</v>
      </c>
      <c r="BR848" s="1" t="s">
        <v>74</v>
      </c>
      <c r="BS848" s="1" t="s">
        <v>8238</v>
      </c>
      <c r="BT848" s="1" t="str">
        <f>HYPERLINK("https%3A%2F%2Fwww.webofscience.com%2Fwos%2Fwoscc%2Ffull-record%2FWOS:000726188800001","View Full Record in Web of Science")</f>
        <v>View Full Record in Web of Science</v>
      </c>
    </row>
    <row r="849" ht="12.75" customHeight="1">
      <c r="A849" s="1" t="s">
        <v>72</v>
      </c>
      <c r="B849" s="1" t="s">
        <v>8239</v>
      </c>
      <c r="C849" s="1" t="s">
        <v>74</v>
      </c>
      <c r="D849" s="1" t="s">
        <v>74</v>
      </c>
      <c r="E849" s="1" t="s">
        <v>74</v>
      </c>
      <c r="F849" s="1" t="s">
        <v>8240</v>
      </c>
      <c r="G849" s="1" t="s">
        <v>74</v>
      </c>
      <c r="H849" s="1" t="s">
        <v>74</v>
      </c>
      <c r="I849" s="1" t="s">
        <v>8241</v>
      </c>
      <c r="J849" s="1" t="s">
        <v>8242</v>
      </c>
      <c r="K849" s="1" t="s">
        <v>74</v>
      </c>
      <c r="L849" s="1" t="s">
        <v>74</v>
      </c>
      <c r="M849" s="1" t="s">
        <v>74</v>
      </c>
      <c r="N849" s="1" t="s">
        <v>74</v>
      </c>
      <c r="O849" s="1" t="s">
        <v>74</v>
      </c>
      <c r="P849" s="1" t="s">
        <v>74</v>
      </c>
      <c r="Q849" s="1" t="s">
        <v>74</v>
      </c>
      <c r="R849" s="1" t="s">
        <v>74</v>
      </c>
      <c r="S849" s="1" t="s">
        <v>74</v>
      </c>
      <c r="T849" s="1" t="s">
        <v>74</v>
      </c>
      <c r="U849" s="1" t="s">
        <v>74</v>
      </c>
      <c r="V849" s="1" t="s">
        <v>8243</v>
      </c>
      <c r="W849" s="1" t="s">
        <v>74</v>
      </c>
      <c r="X849" s="1" t="s">
        <v>74</v>
      </c>
      <c r="Y849" s="1" t="s">
        <v>74</v>
      </c>
      <c r="Z849" s="1" t="s">
        <v>74</v>
      </c>
      <c r="AA849" s="1" t="s">
        <v>3145</v>
      </c>
      <c r="AB849" s="1" t="s">
        <v>1253</v>
      </c>
      <c r="AC849" s="1" t="s">
        <v>74</v>
      </c>
      <c r="AD849" s="1" t="s">
        <v>74</v>
      </c>
      <c r="AE849" s="1" t="s">
        <v>74</v>
      </c>
      <c r="AF849" s="1" t="s">
        <v>74</v>
      </c>
      <c r="AG849" s="1" t="s">
        <v>74</v>
      </c>
      <c r="AH849" s="1" t="s">
        <v>74</v>
      </c>
      <c r="AI849" s="1" t="s">
        <v>74</v>
      </c>
      <c r="AJ849" s="1" t="s">
        <v>74</v>
      </c>
      <c r="AK849" s="1" t="s">
        <v>74</v>
      </c>
      <c r="AL849" s="1" t="s">
        <v>74</v>
      </c>
      <c r="AM849" s="1" t="s">
        <v>74</v>
      </c>
      <c r="AN849" s="1" t="s">
        <v>74</v>
      </c>
      <c r="AO849" s="1" t="s">
        <v>8244</v>
      </c>
      <c r="AP849" s="1" t="s">
        <v>8245</v>
      </c>
      <c r="AQ849" s="1" t="s">
        <v>74</v>
      </c>
      <c r="AR849" s="1" t="s">
        <v>74</v>
      </c>
      <c r="AS849" s="1" t="s">
        <v>74</v>
      </c>
      <c r="AT849" s="1" t="s">
        <v>339</v>
      </c>
      <c r="AU849" s="1">
        <v>2021.0</v>
      </c>
      <c r="AV849" s="1">
        <v>18.0</v>
      </c>
      <c r="AW849" s="1">
        <v>11.0</v>
      </c>
      <c r="AX849" s="1" t="s">
        <v>74</v>
      </c>
      <c r="AY849" s="1" t="s">
        <v>74</v>
      </c>
      <c r="AZ849" s="1" t="s">
        <v>74</v>
      </c>
      <c r="BA849" s="1" t="s">
        <v>74</v>
      </c>
      <c r="BB849" s="1" t="s">
        <v>74</v>
      </c>
      <c r="BC849" s="1" t="s">
        <v>74</v>
      </c>
      <c r="BD849" s="1">
        <v>2150176.0</v>
      </c>
      <c r="BE849" s="1" t="s">
        <v>8246</v>
      </c>
      <c r="BF849" s="2" t="str">
        <f>HYPERLINK("http://dx.doi.org/10.1142/S0219887821501760","http://dx.doi.org/10.1142/S0219887821501760")</f>
        <v>http://dx.doi.org/10.1142/S0219887821501760</v>
      </c>
      <c r="BG849" s="1" t="s">
        <v>74</v>
      </c>
      <c r="BH849" s="1" t="s">
        <v>74</v>
      </c>
      <c r="BI849" s="1" t="s">
        <v>74</v>
      </c>
      <c r="BJ849" s="1" t="s">
        <v>74</v>
      </c>
      <c r="BK849" s="1" t="s">
        <v>74</v>
      </c>
      <c r="BL849" s="1" t="s">
        <v>74</v>
      </c>
      <c r="BM849" s="1" t="s">
        <v>74</v>
      </c>
      <c r="BN849" s="1" t="s">
        <v>74</v>
      </c>
      <c r="BO849" s="1" t="s">
        <v>74</v>
      </c>
      <c r="BP849" s="1" t="s">
        <v>74</v>
      </c>
      <c r="BQ849" s="1" t="s">
        <v>74</v>
      </c>
      <c r="BR849" s="1" t="s">
        <v>74</v>
      </c>
      <c r="BS849" s="1" t="s">
        <v>8247</v>
      </c>
      <c r="BT849" s="1" t="str">
        <f>HYPERLINK("https%3A%2F%2Fwww.webofscience.com%2Fwos%2Fwoscc%2Ffull-record%2FWOS:000695875800014","View Full Record in Web of Science")</f>
        <v>View Full Record in Web of Science</v>
      </c>
    </row>
    <row r="850" ht="12.75" customHeight="1">
      <c r="A850" s="1" t="s">
        <v>72</v>
      </c>
      <c r="B850" s="1" t="s">
        <v>8248</v>
      </c>
      <c r="C850" s="1" t="s">
        <v>74</v>
      </c>
      <c r="D850" s="1" t="s">
        <v>74</v>
      </c>
      <c r="E850" s="1" t="s">
        <v>74</v>
      </c>
      <c r="F850" s="1" t="s">
        <v>8249</v>
      </c>
      <c r="G850" s="1" t="s">
        <v>74</v>
      </c>
      <c r="H850" s="1" t="s">
        <v>74</v>
      </c>
      <c r="I850" s="1" t="s">
        <v>8250</v>
      </c>
      <c r="J850" s="1" t="s">
        <v>8251</v>
      </c>
      <c r="K850" s="1" t="s">
        <v>74</v>
      </c>
      <c r="L850" s="1" t="s">
        <v>74</v>
      </c>
      <c r="M850" s="1" t="s">
        <v>74</v>
      </c>
      <c r="N850" s="1" t="s">
        <v>74</v>
      </c>
      <c r="O850" s="1" t="s">
        <v>74</v>
      </c>
      <c r="P850" s="1" t="s">
        <v>74</v>
      </c>
      <c r="Q850" s="1" t="s">
        <v>74</v>
      </c>
      <c r="R850" s="1" t="s">
        <v>74</v>
      </c>
      <c r="S850" s="1" t="s">
        <v>74</v>
      </c>
      <c r="T850" s="1" t="s">
        <v>74</v>
      </c>
      <c r="U850" s="1" t="s">
        <v>74</v>
      </c>
      <c r="V850" s="1" t="s">
        <v>8252</v>
      </c>
      <c r="W850" s="1" t="s">
        <v>74</v>
      </c>
      <c r="X850" s="1" t="s">
        <v>74</v>
      </c>
      <c r="Y850" s="1" t="s">
        <v>74</v>
      </c>
      <c r="Z850" s="1" t="s">
        <v>74</v>
      </c>
      <c r="AA850" s="1" t="s">
        <v>8253</v>
      </c>
      <c r="AB850" s="1" t="s">
        <v>8254</v>
      </c>
      <c r="AC850" s="1" t="s">
        <v>74</v>
      </c>
      <c r="AD850" s="1" t="s">
        <v>74</v>
      </c>
      <c r="AE850" s="1" t="s">
        <v>74</v>
      </c>
      <c r="AF850" s="1" t="s">
        <v>74</v>
      </c>
      <c r="AG850" s="1" t="s">
        <v>74</v>
      </c>
      <c r="AH850" s="1" t="s">
        <v>74</v>
      </c>
      <c r="AI850" s="1" t="s">
        <v>74</v>
      </c>
      <c r="AJ850" s="1" t="s">
        <v>74</v>
      </c>
      <c r="AK850" s="1" t="s">
        <v>74</v>
      </c>
      <c r="AL850" s="1" t="s">
        <v>74</v>
      </c>
      <c r="AM850" s="1" t="s">
        <v>74</v>
      </c>
      <c r="AN850" s="1" t="s">
        <v>74</v>
      </c>
      <c r="AO850" s="1" t="s">
        <v>8255</v>
      </c>
      <c r="AP850" s="1" t="s">
        <v>8256</v>
      </c>
      <c r="AQ850" s="1" t="s">
        <v>74</v>
      </c>
      <c r="AR850" s="1" t="s">
        <v>74</v>
      </c>
      <c r="AS850" s="1" t="s">
        <v>74</v>
      </c>
      <c r="AT850" s="1" t="s">
        <v>74</v>
      </c>
      <c r="AU850" s="1">
        <v>2021.0</v>
      </c>
      <c r="AV850" s="1">
        <v>39.0</v>
      </c>
      <c r="AW850" s="1">
        <v>4.0</v>
      </c>
      <c r="AX850" s="1" t="s">
        <v>74</v>
      </c>
      <c r="AY850" s="1" t="s">
        <v>74</v>
      </c>
      <c r="AZ850" s="1" t="s">
        <v>74</v>
      </c>
      <c r="BA850" s="1" t="s">
        <v>74</v>
      </c>
      <c r="BB850" s="1">
        <v>247.0</v>
      </c>
      <c r="BC850" s="1">
        <v>278.0</v>
      </c>
      <c r="BD850" s="1" t="s">
        <v>74</v>
      </c>
      <c r="BE850" s="1" t="s">
        <v>8257</v>
      </c>
      <c r="BF850" s="2" t="str">
        <f>HYPERLINK("http://dx.doi.org/10.22394/2073-7203-2021-39-4-247-278","http://dx.doi.org/10.22394/2073-7203-2021-39-4-247-278")</f>
        <v>http://dx.doi.org/10.22394/2073-7203-2021-39-4-247-278</v>
      </c>
      <c r="BG850" s="1" t="s">
        <v>74</v>
      </c>
      <c r="BH850" s="1" t="s">
        <v>74</v>
      </c>
      <c r="BI850" s="1" t="s">
        <v>74</v>
      </c>
      <c r="BJ850" s="1" t="s">
        <v>74</v>
      </c>
      <c r="BK850" s="1" t="s">
        <v>74</v>
      </c>
      <c r="BL850" s="1" t="s">
        <v>74</v>
      </c>
      <c r="BM850" s="1" t="s">
        <v>74</v>
      </c>
      <c r="BN850" s="1" t="s">
        <v>74</v>
      </c>
      <c r="BO850" s="1" t="s">
        <v>74</v>
      </c>
      <c r="BP850" s="1" t="s">
        <v>74</v>
      </c>
      <c r="BQ850" s="1" t="s">
        <v>74</v>
      </c>
      <c r="BR850" s="1" t="s">
        <v>74</v>
      </c>
      <c r="BS850" s="1" t="s">
        <v>8258</v>
      </c>
      <c r="BT850" s="1" t="str">
        <f>HYPERLINK("https%3A%2F%2Fwww.webofscience.com%2Fwos%2Fwoscc%2Ffull-record%2FWOS:000751643900013","View Full Record in Web of Science")</f>
        <v>View Full Record in Web of Science</v>
      </c>
    </row>
    <row r="851" ht="12.75" customHeight="1">
      <c r="A851" s="1" t="s">
        <v>72</v>
      </c>
      <c r="B851" s="1" t="s">
        <v>8259</v>
      </c>
      <c r="C851" s="1" t="s">
        <v>74</v>
      </c>
      <c r="D851" s="1" t="s">
        <v>74</v>
      </c>
      <c r="E851" s="1" t="s">
        <v>74</v>
      </c>
      <c r="F851" s="1" t="s">
        <v>8260</v>
      </c>
      <c r="G851" s="1" t="s">
        <v>74</v>
      </c>
      <c r="H851" s="1" t="s">
        <v>74</v>
      </c>
      <c r="I851" s="1" t="s">
        <v>8261</v>
      </c>
      <c r="J851" s="1" t="s">
        <v>8262</v>
      </c>
      <c r="K851" s="1" t="s">
        <v>74</v>
      </c>
      <c r="L851" s="1" t="s">
        <v>74</v>
      </c>
      <c r="M851" s="1" t="s">
        <v>74</v>
      </c>
      <c r="N851" s="1" t="s">
        <v>74</v>
      </c>
      <c r="O851" s="1" t="s">
        <v>74</v>
      </c>
      <c r="P851" s="1" t="s">
        <v>74</v>
      </c>
      <c r="Q851" s="1" t="s">
        <v>74</v>
      </c>
      <c r="R851" s="1" t="s">
        <v>74</v>
      </c>
      <c r="S851" s="1" t="s">
        <v>74</v>
      </c>
      <c r="T851" s="1" t="s">
        <v>74</v>
      </c>
      <c r="U851" s="1" t="s">
        <v>74</v>
      </c>
      <c r="V851" s="1" t="s">
        <v>8263</v>
      </c>
      <c r="W851" s="1" t="s">
        <v>74</v>
      </c>
      <c r="X851" s="1" t="s">
        <v>74</v>
      </c>
      <c r="Y851" s="1" t="s">
        <v>74</v>
      </c>
      <c r="Z851" s="1" t="s">
        <v>74</v>
      </c>
      <c r="AA851" s="1" t="s">
        <v>8264</v>
      </c>
      <c r="AB851" s="1" t="s">
        <v>8265</v>
      </c>
      <c r="AC851" s="1" t="s">
        <v>74</v>
      </c>
      <c r="AD851" s="1" t="s">
        <v>74</v>
      </c>
      <c r="AE851" s="1" t="s">
        <v>74</v>
      </c>
      <c r="AF851" s="1" t="s">
        <v>74</v>
      </c>
      <c r="AG851" s="1" t="s">
        <v>74</v>
      </c>
      <c r="AH851" s="1" t="s">
        <v>74</v>
      </c>
      <c r="AI851" s="1" t="s">
        <v>74</v>
      </c>
      <c r="AJ851" s="1" t="s">
        <v>74</v>
      </c>
      <c r="AK851" s="1" t="s">
        <v>74</v>
      </c>
      <c r="AL851" s="1" t="s">
        <v>74</v>
      </c>
      <c r="AM851" s="1" t="s">
        <v>74</v>
      </c>
      <c r="AN851" s="1" t="s">
        <v>74</v>
      </c>
      <c r="AO851" s="1" t="s">
        <v>8266</v>
      </c>
      <c r="AP851" s="1" t="s">
        <v>74</v>
      </c>
      <c r="AQ851" s="1" t="s">
        <v>74</v>
      </c>
      <c r="AR851" s="1" t="s">
        <v>74</v>
      </c>
      <c r="AS851" s="1" t="s">
        <v>74</v>
      </c>
      <c r="AT851" s="1" t="s">
        <v>74</v>
      </c>
      <c r="AU851" s="1">
        <v>2020.0</v>
      </c>
      <c r="AV851" s="1">
        <v>10.0</v>
      </c>
      <c r="AW851" s="1">
        <v>9.0</v>
      </c>
      <c r="AX851" s="1" t="s">
        <v>74</v>
      </c>
      <c r="AY851" s="1" t="s">
        <v>74</v>
      </c>
      <c r="AZ851" s="1" t="s">
        <v>74</v>
      </c>
      <c r="BA851" s="1" t="s">
        <v>74</v>
      </c>
      <c r="BB851" s="1" t="s">
        <v>74</v>
      </c>
      <c r="BC851" s="1" t="s">
        <v>74</v>
      </c>
      <c r="BD851" s="1" t="s">
        <v>8267</v>
      </c>
      <c r="BE851" s="1" t="s">
        <v>8268</v>
      </c>
      <c r="BF851" s="2" t="str">
        <f>HYPERLINK("http://dx.doi.org/10.1136/bmjopen-2020-037290","http://dx.doi.org/10.1136/bmjopen-2020-037290")</f>
        <v>http://dx.doi.org/10.1136/bmjopen-2020-037290</v>
      </c>
      <c r="BG851" s="1" t="s">
        <v>74</v>
      </c>
      <c r="BH851" s="1" t="s">
        <v>74</v>
      </c>
      <c r="BI851" s="1" t="s">
        <v>74</v>
      </c>
      <c r="BJ851" s="1" t="s">
        <v>74</v>
      </c>
      <c r="BK851" s="1" t="s">
        <v>74</v>
      </c>
      <c r="BL851" s="1" t="s">
        <v>74</v>
      </c>
      <c r="BM851" s="1" t="s">
        <v>74</v>
      </c>
      <c r="BN851" s="1">
        <v>3.287876E7</v>
      </c>
      <c r="BO851" s="1" t="s">
        <v>74</v>
      </c>
      <c r="BP851" s="1" t="s">
        <v>74</v>
      </c>
      <c r="BQ851" s="1" t="s">
        <v>74</v>
      </c>
      <c r="BR851" s="1" t="s">
        <v>74</v>
      </c>
      <c r="BS851" s="1" t="s">
        <v>8269</v>
      </c>
      <c r="BT851" s="1" t="str">
        <f>HYPERLINK("https%3A%2F%2Fwww.webofscience.com%2Fwos%2Fwoscc%2Ffull-record%2FWOS:000570963700024","View Full Record in Web of Science")</f>
        <v>View Full Record in Web of Science</v>
      </c>
    </row>
    <row r="852" ht="12.75" customHeight="1">
      <c r="A852" s="1" t="s">
        <v>72</v>
      </c>
      <c r="B852" s="1" t="s">
        <v>8270</v>
      </c>
      <c r="C852" s="1" t="s">
        <v>74</v>
      </c>
      <c r="D852" s="1" t="s">
        <v>74</v>
      </c>
      <c r="E852" s="1" t="s">
        <v>74</v>
      </c>
      <c r="F852" s="1" t="s">
        <v>8271</v>
      </c>
      <c r="G852" s="1" t="s">
        <v>74</v>
      </c>
      <c r="H852" s="1" t="s">
        <v>74</v>
      </c>
      <c r="I852" s="1" t="s">
        <v>8272</v>
      </c>
      <c r="J852" s="1" t="s">
        <v>8273</v>
      </c>
      <c r="K852" s="1" t="s">
        <v>74</v>
      </c>
      <c r="L852" s="1" t="s">
        <v>74</v>
      </c>
      <c r="M852" s="1" t="s">
        <v>74</v>
      </c>
      <c r="N852" s="1" t="s">
        <v>74</v>
      </c>
      <c r="O852" s="1" t="s">
        <v>74</v>
      </c>
      <c r="P852" s="1" t="s">
        <v>74</v>
      </c>
      <c r="Q852" s="1" t="s">
        <v>74</v>
      </c>
      <c r="R852" s="1" t="s">
        <v>74</v>
      </c>
      <c r="S852" s="1" t="s">
        <v>74</v>
      </c>
      <c r="T852" s="1" t="s">
        <v>74</v>
      </c>
      <c r="U852" s="1" t="s">
        <v>74</v>
      </c>
      <c r="V852" s="1" t="s">
        <v>8274</v>
      </c>
      <c r="W852" s="1" t="s">
        <v>74</v>
      </c>
      <c r="X852" s="1" t="s">
        <v>74</v>
      </c>
      <c r="Y852" s="1" t="s">
        <v>74</v>
      </c>
      <c r="Z852" s="1" t="s">
        <v>74</v>
      </c>
      <c r="AA852" s="1" t="s">
        <v>244</v>
      </c>
      <c r="AB852" s="1" t="s">
        <v>8275</v>
      </c>
      <c r="AC852" s="1" t="s">
        <v>74</v>
      </c>
      <c r="AD852" s="1" t="s">
        <v>74</v>
      </c>
      <c r="AE852" s="1" t="s">
        <v>74</v>
      </c>
      <c r="AF852" s="1" t="s">
        <v>74</v>
      </c>
      <c r="AG852" s="1" t="s">
        <v>74</v>
      </c>
      <c r="AH852" s="1" t="s">
        <v>74</v>
      </c>
      <c r="AI852" s="1" t="s">
        <v>74</v>
      </c>
      <c r="AJ852" s="1" t="s">
        <v>74</v>
      </c>
      <c r="AK852" s="1" t="s">
        <v>74</v>
      </c>
      <c r="AL852" s="1" t="s">
        <v>74</v>
      </c>
      <c r="AM852" s="1" t="s">
        <v>74</v>
      </c>
      <c r="AN852" s="1" t="s">
        <v>74</v>
      </c>
      <c r="AO852" s="1" t="s">
        <v>8276</v>
      </c>
      <c r="AP852" s="1" t="s">
        <v>8277</v>
      </c>
      <c r="AQ852" s="1" t="s">
        <v>74</v>
      </c>
      <c r="AR852" s="1" t="s">
        <v>74</v>
      </c>
      <c r="AS852" s="1" t="s">
        <v>74</v>
      </c>
      <c r="AT852" s="1" t="s">
        <v>678</v>
      </c>
      <c r="AU852" s="1">
        <v>2018.0</v>
      </c>
      <c r="AV852" s="1">
        <v>88.0</v>
      </c>
      <c r="AW852" s="1" t="s">
        <v>74</v>
      </c>
      <c r="AX852" s="1" t="s">
        <v>74</v>
      </c>
      <c r="AY852" s="1" t="s">
        <v>74</v>
      </c>
      <c r="AZ852" s="1" t="s">
        <v>74</v>
      </c>
      <c r="BA852" s="1" t="s">
        <v>74</v>
      </c>
      <c r="BB852" s="1">
        <v>413.0</v>
      </c>
      <c r="BC852" s="1">
        <v>423.0</v>
      </c>
      <c r="BD852" s="1" t="s">
        <v>74</v>
      </c>
      <c r="BE852" s="1" t="s">
        <v>8278</v>
      </c>
      <c r="BF852" s="2" t="str">
        <f>HYPERLINK("http://dx.doi.org/10.1016/j.future.2018.05.084","http://dx.doi.org/10.1016/j.future.2018.05.084")</f>
        <v>http://dx.doi.org/10.1016/j.future.2018.05.084</v>
      </c>
      <c r="BG852" s="1" t="s">
        <v>74</v>
      </c>
      <c r="BH852" s="1" t="s">
        <v>74</v>
      </c>
      <c r="BI852" s="1" t="s">
        <v>74</v>
      </c>
      <c r="BJ852" s="1" t="s">
        <v>74</v>
      </c>
      <c r="BK852" s="1" t="s">
        <v>74</v>
      </c>
      <c r="BL852" s="1" t="s">
        <v>74</v>
      </c>
      <c r="BM852" s="1" t="s">
        <v>74</v>
      </c>
      <c r="BN852" s="1" t="s">
        <v>74</v>
      </c>
      <c r="BO852" s="1" t="s">
        <v>74</v>
      </c>
      <c r="BP852" s="1" t="s">
        <v>74</v>
      </c>
      <c r="BQ852" s="1" t="s">
        <v>74</v>
      </c>
      <c r="BR852" s="1" t="s">
        <v>74</v>
      </c>
      <c r="BS852" s="1" t="s">
        <v>8279</v>
      </c>
      <c r="BT852" s="1" t="str">
        <f>HYPERLINK("https%3A%2F%2Fwww.webofscience.com%2Fwos%2Fwoscc%2Ffull-record%2FWOS:000444360400038","View Full Record in Web of Science")</f>
        <v>View Full Record in Web of Science</v>
      </c>
    </row>
    <row r="853" ht="12.75" customHeight="1">
      <c r="A853" s="1" t="s">
        <v>72</v>
      </c>
      <c r="B853" s="1" t="s">
        <v>8280</v>
      </c>
      <c r="C853" s="1" t="s">
        <v>74</v>
      </c>
      <c r="D853" s="1" t="s">
        <v>74</v>
      </c>
      <c r="E853" s="1" t="s">
        <v>74</v>
      </c>
      <c r="F853" s="1" t="s">
        <v>8281</v>
      </c>
      <c r="G853" s="1" t="s">
        <v>74</v>
      </c>
      <c r="H853" s="1" t="s">
        <v>74</v>
      </c>
      <c r="I853" s="1" t="s">
        <v>8282</v>
      </c>
      <c r="J853" s="1" t="s">
        <v>2169</v>
      </c>
      <c r="K853" s="1" t="s">
        <v>74</v>
      </c>
      <c r="L853" s="1" t="s">
        <v>74</v>
      </c>
      <c r="M853" s="1" t="s">
        <v>74</v>
      </c>
      <c r="N853" s="1" t="s">
        <v>74</v>
      </c>
      <c r="O853" s="1" t="s">
        <v>74</v>
      </c>
      <c r="P853" s="1" t="s">
        <v>74</v>
      </c>
      <c r="Q853" s="1" t="s">
        <v>74</v>
      </c>
      <c r="R853" s="1" t="s">
        <v>74</v>
      </c>
      <c r="S853" s="1" t="s">
        <v>74</v>
      </c>
      <c r="T853" s="1" t="s">
        <v>74</v>
      </c>
      <c r="U853" s="1" t="s">
        <v>74</v>
      </c>
      <c r="V853" s="1" t="s">
        <v>8283</v>
      </c>
      <c r="W853" s="1" t="s">
        <v>74</v>
      </c>
      <c r="X853" s="1" t="s">
        <v>74</v>
      </c>
      <c r="Y853" s="1" t="s">
        <v>74</v>
      </c>
      <c r="Z853" s="1" t="s">
        <v>74</v>
      </c>
      <c r="AA853" s="1" t="s">
        <v>74</v>
      </c>
      <c r="AB853" s="1" t="s">
        <v>74</v>
      </c>
      <c r="AC853" s="1" t="s">
        <v>74</v>
      </c>
      <c r="AD853" s="1" t="s">
        <v>74</v>
      </c>
      <c r="AE853" s="1" t="s">
        <v>74</v>
      </c>
      <c r="AF853" s="1" t="s">
        <v>74</v>
      </c>
      <c r="AG853" s="1" t="s">
        <v>74</v>
      </c>
      <c r="AH853" s="1" t="s">
        <v>74</v>
      </c>
      <c r="AI853" s="1" t="s">
        <v>74</v>
      </c>
      <c r="AJ853" s="1" t="s">
        <v>74</v>
      </c>
      <c r="AK853" s="1" t="s">
        <v>74</v>
      </c>
      <c r="AL853" s="1" t="s">
        <v>74</v>
      </c>
      <c r="AM853" s="1" t="s">
        <v>74</v>
      </c>
      <c r="AN853" s="1" t="s">
        <v>74</v>
      </c>
      <c r="AO853" s="1" t="s">
        <v>2171</v>
      </c>
      <c r="AP853" s="1" t="s">
        <v>74</v>
      </c>
      <c r="AQ853" s="1" t="s">
        <v>74</v>
      </c>
      <c r="AR853" s="1" t="s">
        <v>74</v>
      </c>
      <c r="AS853" s="1" t="s">
        <v>74</v>
      </c>
      <c r="AT853" s="1" t="s">
        <v>5787</v>
      </c>
      <c r="AU853" s="1">
        <v>2018.0</v>
      </c>
      <c r="AV853" s="1">
        <v>118.0</v>
      </c>
      <c r="AW853" s="1" t="s">
        <v>74</v>
      </c>
      <c r="AX853" s="1" t="s">
        <v>74</v>
      </c>
      <c r="AY853" s="1" t="s">
        <v>74</v>
      </c>
      <c r="AZ853" s="1" t="s">
        <v>74</v>
      </c>
      <c r="BA853" s="1" t="s">
        <v>74</v>
      </c>
      <c r="BB853" s="1">
        <v>1.0</v>
      </c>
      <c r="BC853" s="1">
        <v>8.0</v>
      </c>
      <c r="BD853" s="1" t="s">
        <v>74</v>
      </c>
      <c r="BE853" s="1" t="s">
        <v>8284</v>
      </c>
      <c r="BF853" s="2" t="str">
        <f>HYPERLINK("http://dx.doi.org/10.1016/j.mineng.2018.01.001","http://dx.doi.org/10.1016/j.mineng.2018.01.001")</f>
        <v>http://dx.doi.org/10.1016/j.mineng.2018.01.001</v>
      </c>
      <c r="BG853" s="1" t="s">
        <v>74</v>
      </c>
      <c r="BH853" s="1" t="s">
        <v>74</v>
      </c>
      <c r="BI853" s="1" t="s">
        <v>74</v>
      </c>
      <c r="BJ853" s="1" t="s">
        <v>74</v>
      </c>
      <c r="BK853" s="1" t="s">
        <v>74</v>
      </c>
      <c r="BL853" s="1" t="s">
        <v>74</v>
      </c>
      <c r="BM853" s="1" t="s">
        <v>74</v>
      </c>
      <c r="BN853" s="1" t="s">
        <v>74</v>
      </c>
      <c r="BO853" s="1" t="s">
        <v>74</v>
      </c>
      <c r="BP853" s="1" t="s">
        <v>74</v>
      </c>
      <c r="BQ853" s="1" t="s">
        <v>74</v>
      </c>
      <c r="BR853" s="1" t="s">
        <v>74</v>
      </c>
      <c r="BS853" s="1" t="s">
        <v>8285</v>
      </c>
      <c r="BT853" s="1" t="str">
        <f>HYPERLINK("https%3A%2F%2Fwww.webofscience.com%2Fwos%2Fwoscc%2Ffull-record%2FWOS:000427335600001","View Full Record in Web of Science")</f>
        <v>View Full Record in Web of Science</v>
      </c>
    </row>
    <row r="854" ht="12.75" customHeight="1">
      <c r="A854" s="1" t="s">
        <v>72</v>
      </c>
      <c r="B854" s="1" t="s">
        <v>8286</v>
      </c>
      <c r="C854" s="1" t="s">
        <v>74</v>
      </c>
      <c r="D854" s="1" t="s">
        <v>74</v>
      </c>
      <c r="E854" s="1" t="s">
        <v>74</v>
      </c>
      <c r="F854" s="1" t="s">
        <v>8287</v>
      </c>
      <c r="G854" s="1" t="s">
        <v>74</v>
      </c>
      <c r="H854" s="1" t="s">
        <v>74</v>
      </c>
      <c r="I854" s="1" t="s">
        <v>8288</v>
      </c>
      <c r="J854" s="1" t="s">
        <v>8289</v>
      </c>
      <c r="K854" s="1" t="s">
        <v>74</v>
      </c>
      <c r="L854" s="1" t="s">
        <v>74</v>
      </c>
      <c r="M854" s="1" t="s">
        <v>74</v>
      </c>
      <c r="N854" s="1" t="s">
        <v>74</v>
      </c>
      <c r="O854" s="1" t="s">
        <v>74</v>
      </c>
      <c r="P854" s="1" t="s">
        <v>74</v>
      </c>
      <c r="Q854" s="1" t="s">
        <v>74</v>
      </c>
      <c r="R854" s="1" t="s">
        <v>74</v>
      </c>
      <c r="S854" s="1" t="s">
        <v>74</v>
      </c>
      <c r="T854" s="1" t="s">
        <v>74</v>
      </c>
      <c r="U854" s="1" t="s">
        <v>74</v>
      </c>
      <c r="V854" s="1" t="s">
        <v>8290</v>
      </c>
      <c r="W854" s="1" t="s">
        <v>74</v>
      </c>
      <c r="X854" s="1" t="s">
        <v>74</v>
      </c>
      <c r="Y854" s="1" t="s">
        <v>74</v>
      </c>
      <c r="Z854" s="1" t="s">
        <v>74</v>
      </c>
      <c r="AA854" s="1" t="s">
        <v>8291</v>
      </c>
      <c r="AB854" s="1" t="s">
        <v>8292</v>
      </c>
      <c r="AC854" s="1" t="s">
        <v>74</v>
      </c>
      <c r="AD854" s="1" t="s">
        <v>74</v>
      </c>
      <c r="AE854" s="1" t="s">
        <v>74</v>
      </c>
      <c r="AF854" s="1" t="s">
        <v>74</v>
      </c>
      <c r="AG854" s="1" t="s">
        <v>74</v>
      </c>
      <c r="AH854" s="1" t="s">
        <v>74</v>
      </c>
      <c r="AI854" s="1" t="s">
        <v>74</v>
      </c>
      <c r="AJ854" s="1" t="s">
        <v>74</v>
      </c>
      <c r="AK854" s="1" t="s">
        <v>74</v>
      </c>
      <c r="AL854" s="1" t="s">
        <v>74</v>
      </c>
      <c r="AM854" s="1" t="s">
        <v>74</v>
      </c>
      <c r="AN854" s="1" t="s">
        <v>74</v>
      </c>
      <c r="AO854" s="1" t="s">
        <v>8293</v>
      </c>
      <c r="AP854" s="1" t="s">
        <v>8294</v>
      </c>
      <c r="AQ854" s="1" t="s">
        <v>74</v>
      </c>
      <c r="AR854" s="1" t="s">
        <v>74</v>
      </c>
      <c r="AS854" s="1" t="s">
        <v>74</v>
      </c>
      <c r="AT854" s="1" t="s">
        <v>696</v>
      </c>
      <c r="AU854" s="1">
        <v>2018.0</v>
      </c>
      <c r="AV854" s="1">
        <v>43.0</v>
      </c>
      <c r="AW854" s="1" t="s">
        <v>74</v>
      </c>
      <c r="AX854" s="1" t="s">
        <v>74</v>
      </c>
      <c r="AY854" s="1" t="s">
        <v>74</v>
      </c>
      <c r="AZ854" s="1" t="s">
        <v>74</v>
      </c>
      <c r="BA854" s="1" t="s">
        <v>74</v>
      </c>
      <c r="BB854" s="1">
        <v>158.0</v>
      </c>
      <c r="BC854" s="1">
        <v>168.0</v>
      </c>
      <c r="BD854" s="1" t="s">
        <v>74</v>
      </c>
      <c r="BE854" s="1" t="s">
        <v>8295</v>
      </c>
      <c r="BF854" s="2" t="str">
        <f>HYPERLINK("http://dx.doi.org/10.1016/j.najef.2017.10.012","http://dx.doi.org/10.1016/j.najef.2017.10.012")</f>
        <v>http://dx.doi.org/10.1016/j.najef.2017.10.012</v>
      </c>
      <c r="BG854" s="1" t="s">
        <v>74</v>
      </c>
      <c r="BH854" s="1" t="s">
        <v>74</v>
      </c>
      <c r="BI854" s="1" t="s">
        <v>74</v>
      </c>
      <c r="BJ854" s="1" t="s">
        <v>74</v>
      </c>
      <c r="BK854" s="1" t="s">
        <v>74</v>
      </c>
      <c r="BL854" s="1" t="s">
        <v>74</v>
      </c>
      <c r="BM854" s="1" t="s">
        <v>74</v>
      </c>
      <c r="BN854" s="1" t="s">
        <v>74</v>
      </c>
      <c r="BO854" s="1" t="s">
        <v>74</v>
      </c>
      <c r="BP854" s="1" t="s">
        <v>74</v>
      </c>
      <c r="BQ854" s="1" t="s">
        <v>74</v>
      </c>
      <c r="BR854" s="1" t="s">
        <v>74</v>
      </c>
      <c r="BS854" s="1" t="s">
        <v>8296</v>
      </c>
      <c r="BT854" s="1" t="str">
        <f>HYPERLINK("https%3A%2F%2Fwww.webofscience.com%2Fwos%2Fwoscc%2Ffull-record%2FWOS:000427341900011","View Full Record in Web of Science")</f>
        <v>View Full Record in Web of Science</v>
      </c>
    </row>
    <row r="855" ht="12.75" customHeight="1">
      <c r="A855" s="1" t="s">
        <v>72</v>
      </c>
      <c r="B855" s="1" t="s">
        <v>8297</v>
      </c>
      <c r="C855" s="1" t="s">
        <v>74</v>
      </c>
      <c r="D855" s="1" t="s">
        <v>74</v>
      </c>
      <c r="E855" s="1" t="s">
        <v>74</v>
      </c>
      <c r="F855" s="1" t="s">
        <v>8298</v>
      </c>
      <c r="G855" s="1" t="s">
        <v>74</v>
      </c>
      <c r="H855" s="1" t="s">
        <v>74</v>
      </c>
      <c r="I855" s="1" t="s">
        <v>8299</v>
      </c>
      <c r="J855" s="1" t="s">
        <v>8300</v>
      </c>
      <c r="K855" s="1" t="s">
        <v>74</v>
      </c>
      <c r="L855" s="1" t="s">
        <v>74</v>
      </c>
      <c r="M855" s="1" t="s">
        <v>74</v>
      </c>
      <c r="N855" s="1" t="s">
        <v>74</v>
      </c>
      <c r="O855" s="1" t="s">
        <v>74</v>
      </c>
      <c r="P855" s="1" t="s">
        <v>74</v>
      </c>
      <c r="Q855" s="1" t="s">
        <v>74</v>
      </c>
      <c r="R855" s="1" t="s">
        <v>74</v>
      </c>
      <c r="S855" s="1" t="s">
        <v>74</v>
      </c>
      <c r="T855" s="1" t="s">
        <v>74</v>
      </c>
      <c r="U855" s="1" t="s">
        <v>74</v>
      </c>
      <c r="V855" s="1" t="s">
        <v>8301</v>
      </c>
      <c r="W855" s="1" t="s">
        <v>74</v>
      </c>
      <c r="X855" s="1" t="s">
        <v>74</v>
      </c>
      <c r="Y855" s="1" t="s">
        <v>74</v>
      </c>
      <c r="Z855" s="1" t="s">
        <v>74</v>
      </c>
      <c r="AA855" s="1" t="s">
        <v>74</v>
      </c>
      <c r="AB855" s="1" t="s">
        <v>8302</v>
      </c>
      <c r="AC855" s="1" t="s">
        <v>74</v>
      </c>
      <c r="AD855" s="1" t="s">
        <v>74</v>
      </c>
      <c r="AE855" s="1" t="s">
        <v>74</v>
      </c>
      <c r="AF855" s="1" t="s">
        <v>74</v>
      </c>
      <c r="AG855" s="1" t="s">
        <v>74</v>
      </c>
      <c r="AH855" s="1" t="s">
        <v>74</v>
      </c>
      <c r="AI855" s="1" t="s">
        <v>74</v>
      </c>
      <c r="AJ855" s="1" t="s">
        <v>74</v>
      </c>
      <c r="AK855" s="1" t="s">
        <v>74</v>
      </c>
      <c r="AL855" s="1" t="s">
        <v>74</v>
      </c>
      <c r="AM855" s="1" t="s">
        <v>74</v>
      </c>
      <c r="AN855" s="1" t="s">
        <v>74</v>
      </c>
      <c r="AO855" s="1" t="s">
        <v>8303</v>
      </c>
      <c r="AP855" s="1" t="s">
        <v>74</v>
      </c>
      <c r="AQ855" s="1" t="s">
        <v>74</v>
      </c>
      <c r="AR855" s="1" t="s">
        <v>74</v>
      </c>
      <c r="AS855" s="1" t="s">
        <v>74</v>
      </c>
      <c r="AT855" s="1" t="s">
        <v>678</v>
      </c>
      <c r="AU855" s="1">
        <v>2017.0</v>
      </c>
      <c r="AV855" s="1">
        <v>22.0</v>
      </c>
      <c r="AW855" s="1" t="s">
        <v>74</v>
      </c>
      <c r="AX855" s="1">
        <v>2.0</v>
      </c>
      <c r="AY855" s="1" t="s">
        <v>74</v>
      </c>
      <c r="AZ855" s="1" t="s">
        <v>445</v>
      </c>
      <c r="BA855" s="1" t="s">
        <v>74</v>
      </c>
      <c r="BB855" s="1">
        <v>388.0</v>
      </c>
      <c r="BC855" s="1">
        <v>402.0</v>
      </c>
      <c r="BD855" s="1" t="s">
        <v>74</v>
      </c>
      <c r="BE855" s="1" t="s">
        <v>8304</v>
      </c>
      <c r="BF855" s="2" t="str">
        <f>HYPERLINK("http://dx.doi.org/10.1016/j.spasta.2017.07.009","http://dx.doi.org/10.1016/j.spasta.2017.07.009")</f>
        <v>http://dx.doi.org/10.1016/j.spasta.2017.07.009</v>
      </c>
      <c r="BG855" s="1" t="s">
        <v>74</v>
      </c>
      <c r="BH855" s="1" t="s">
        <v>74</v>
      </c>
      <c r="BI855" s="1" t="s">
        <v>74</v>
      </c>
      <c r="BJ855" s="1" t="s">
        <v>74</v>
      </c>
      <c r="BK855" s="1" t="s">
        <v>74</v>
      </c>
      <c r="BL855" s="1" t="s">
        <v>74</v>
      </c>
      <c r="BM855" s="1" t="s">
        <v>74</v>
      </c>
      <c r="BN855" s="1" t="s">
        <v>74</v>
      </c>
      <c r="BO855" s="1" t="s">
        <v>74</v>
      </c>
      <c r="BP855" s="1" t="s">
        <v>74</v>
      </c>
      <c r="BQ855" s="1" t="s">
        <v>74</v>
      </c>
      <c r="BR855" s="1" t="s">
        <v>74</v>
      </c>
      <c r="BS855" s="1" t="s">
        <v>8305</v>
      </c>
      <c r="BT855" s="1" t="str">
        <f>HYPERLINK("https%3A%2F%2Fwww.webofscience.com%2Fwos%2Fwoscc%2Ffull-record%2FWOS:000417466000011","View Full Record in Web of Science")</f>
        <v>View Full Record in Web of Science</v>
      </c>
    </row>
    <row r="856" ht="12.75" customHeight="1">
      <c r="A856" s="1" t="s">
        <v>72</v>
      </c>
      <c r="B856" s="1" t="s">
        <v>8306</v>
      </c>
      <c r="C856" s="1" t="s">
        <v>74</v>
      </c>
      <c r="D856" s="1" t="s">
        <v>74</v>
      </c>
      <c r="E856" s="1" t="s">
        <v>74</v>
      </c>
      <c r="F856" s="1" t="s">
        <v>8307</v>
      </c>
      <c r="G856" s="1" t="s">
        <v>74</v>
      </c>
      <c r="H856" s="1" t="s">
        <v>74</v>
      </c>
      <c r="I856" s="1" t="s">
        <v>8308</v>
      </c>
      <c r="J856" s="1" t="s">
        <v>8309</v>
      </c>
      <c r="K856" s="1" t="s">
        <v>74</v>
      </c>
      <c r="L856" s="1" t="s">
        <v>74</v>
      </c>
      <c r="M856" s="1" t="s">
        <v>74</v>
      </c>
      <c r="N856" s="1" t="s">
        <v>74</v>
      </c>
      <c r="O856" s="1" t="s">
        <v>74</v>
      </c>
      <c r="P856" s="1" t="s">
        <v>74</v>
      </c>
      <c r="Q856" s="1" t="s">
        <v>74</v>
      </c>
      <c r="R856" s="1" t="s">
        <v>74</v>
      </c>
      <c r="S856" s="1" t="s">
        <v>74</v>
      </c>
      <c r="T856" s="1" t="s">
        <v>74</v>
      </c>
      <c r="U856" s="1" t="s">
        <v>74</v>
      </c>
      <c r="V856" s="1" t="s">
        <v>8310</v>
      </c>
      <c r="W856" s="1" t="s">
        <v>74</v>
      </c>
      <c r="X856" s="1" t="s">
        <v>74</v>
      </c>
      <c r="Y856" s="1" t="s">
        <v>74</v>
      </c>
      <c r="Z856" s="1" t="s">
        <v>74</v>
      </c>
      <c r="AA856" s="1" t="s">
        <v>8311</v>
      </c>
      <c r="AB856" s="1" t="s">
        <v>8312</v>
      </c>
      <c r="AC856" s="1" t="s">
        <v>74</v>
      </c>
      <c r="AD856" s="1" t="s">
        <v>74</v>
      </c>
      <c r="AE856" s="1" t="s">
        <v>74</v>
      </c>
      <c r="AF856" s="1" t="s">
        <v>74</v>
      </c>
      <c r="AG856" s="1" t="s">
        <v>74</v>
      </c>
      <c r="AH856" s="1" t="s">
        <v>74</v>
      </c>
      <c r="AI856" s="1" t="s">
        <v>74</v>
      </c>
      <c r="AJ856" s="1" t="s">
        <v>74</v>
      </c>
      <c r="AK856" s="1" t="s">
        <v>74</v>
      </c>
      <c r="AL856" s="1" t="s">
        <v>74</v>
      </c>
      <c r="AM856" s="1" t="s">
        <v>74</v>
      </c>
      <c r="AN856" s="1" t="s">
        <v>74</v>
      </c>
      <c r="AO856" s="1" t="s">
        <v>8313</v>
      </c>
      <c r="AP856" s="1" t="s">
        <v>8314</v>
      </c>
      <c r="AQ856" s="1" t="s">
        <v>74</v>
      </c>
      <c r="AR856" s="1" t="s">
        <v>74</v>
      </c>
      <c r="AS856" s="1" t="s">
        <v>74</v>
      </c>
      <c r="AT856" s="1" t="s">
        <v>339</v>
      </c>
      <c r="AU856" s="1">
        <v>2017.0</v>
      </c>
      <c r="AV856" s="1">
        <v>101.0</v>
      </c>
      <c r="AW856" s="1">
        <v>17.0</v>
      </c>
      <c r="AX856" s="1" t="s">
        <v>74</v>
      </c>
      <c r="AY856" s="1" t="s">
        <v>74</v>
      </c>
      <c r="AZ856" s="1" t="s">
        <v>74</v>
      </c>
      <c r="BA856" s="1" t="s">
        <v>74</v>
      </c>
      <c r="BB856" s="1">
        <v>6765.0</v>
      </c>
      <c r="BC856" s="1">
        <v>6777.0</v>
      </c>
      <c r="BD856" s="1" t="s">
        <v>74</v>
      </c>
      <c r="BE856" s="1" t="s">
        <v>8315</v>
      </c>
      <c r="BF856" s="2" t="str">
        <f>HYPERLINK("http://dx.doi.org/10.1007/s00253-017-8400-8","http://dx.doi.org/10.1007/s00253-017-8400-8")</f>
        <v>http://dx.doi.org/10.1007/s00253-017-8400-8</v>
      </c>
      <c r="BG856" s="1" t="s">
        <v>74</v>
      </c>
      <c r="BH856" s="1" t="s">
        <v>74</v>
      </c>
      <c r="BI856" s="1" t="s">
        <v>74</v>
      </c>
      <c r="BJ856" s="1" t="s">
        <v>74</v>
      </c>
      <c r="BK856" s="1" t="s">
        <v>74</v>
      </c>
      <c r="BL856" s="1" t="s">
        <v>74</v>
      </c>
      <c r="BM856" s="1" t="s">
        <v>74</v>
      </c>
      <c r="BN856" s="1">
        <v>2.8685193E7</v>
      </c>
      <c r="BO856" s="1" t="s">
        <v>74</v>
      </c>
      <c r="BP856" s="1" t="s">
        <v>74</v>
      </c>
      <c r="BQ856" s="1" t="s">
        <v>74</v>
      </c>
      <c r="BR856" s="1" t="s">
        <v>74</v>
      </c>
      <c r="BS856" s="1" t="s">
        <v>8316</v>
      </c>
      <c r="BT856" s="1" t="str">
        <f>HYPERLINK("https%3A%2F%2Fwww.webofscience.com%2Fwos%2Fwoscc%2Ffull-record%2FWOS:000407563000018","View Full Record in Web of Science")</f>
        <v>View Full Record in Web of Science</v>
      </c>
    </row>
    <row r="857" ht="12.75" customHeight="1">
      <c r="A857" s="1" t="s">
        <v>72</v>
      </c>
      <c r="B857" s="1" t="s">
        <v>8317</v>
      </c>
      <c r="C857" s="1" t="s">
        <v>74</v>
      </c>
      <c r="D857" s="1" t="s">
        <v>74</v>
      </c>
      <c r="E857" s="1" t="s">
        <v>74</v>
      </c>
      <c r="F857" s="1" t="s">
        <v>8318</v>
      </c>
      <c r="G857" s="1" t="s">
        <v>74</v>
      </c>
      <c r="H857" s="1" t="s">
        <v>74</v>
      </c>
      <c r="I857" s="1" t="s">
        <v>8319</v>
      </c>
      <c r="J857" s="1" t="s">
        <v>8320</v>
      </c>
      <c r="K857" s="1" t="s">
        <v>74</v>
      </c>
      <c r="L857" s="1" t="s">
        <v>74</v>
      </c>
      <c r="M857" s="1" t="s">
        <v>74</v>
      </c>
      <c r="N857" s="1" t="s">
        <v>74</v>
      </c>
      <c r="O857" s="1" t="s">
        <v>74</v>
      </c>
      <c r="P857" s="1" t="s">
        <v>74</v>
      </c>
      <c r="Q857" s="1" t="s">
        <v>74</v>
      </c>
      <c r="R857" s="1" t="s">
        <v>74</v>
      </c>
      <c r="S857" s="1" t="s">
        <v>74</v>
      </c>
      <c r="T857" s="1" t="s">
        <v>74</v>
      </c>
      <c r="U857" s="1" t="s">
        <v>74</v>
      </c>
      <c r="V857" s="1" t="s">
        <v>8321</v>
      </c>
      <c r="W857" s="1" t="s">
        <v>74</v>
      </c>
      <c r="X857" s="1" t="s">
        <v>74</v>
      </c>
      <c r="Y857" s="1" t="s">
        <v>74</v>
      </c>
      <c r="Z857" s="1" t="s">
        <v>74</v>
      </c>
      <c r="AA857" s="1" t="s">
        <v>8322</v>
      </c>
      <c r="AB857" s="1" t="s">
        <v>8323</v>
      </c>
      <c r="AC857" s="1" t="s">
        <v>74</v>
      </c>
      <c r="AD857" s="1" t="s">
        <v>74</v>
      </c>
      <c r="AE857" s="1" t="s">
        <v>74</v>
      </c>
      <c r="AF857" s="1" t="s">
        <v>74</v>
      </c>
      <c r="AG857" s="1" t="s">
        <v>74</v>
      </c>
      <c r="AH857" s="1" t="s">
        <v>74</v>
      </c>
      <c r="AI857" s="1" t="s">
        <v>74</v>
      </c>
      <c r="AJ857" s="1" t="s">
        <v>74</v>
      </c>
      <c r="AK857" s="1" t="s">
        <v>74</v>
      </c>
      <c r="AL857" s="1" t="s">
        <v>74</v>
      </c>
      <c r="AM857" s="1" t="s">
        <v>74</v>
      </c>
      <c r="AN857" s="1" t="s">
        <v>74</v>
      </c>
      <c r="AO857" s="1" t="s">
        <v>8324</v>
      </c>
      <c r="AP857" s="1" t="s">
        <v>74</v>
      </c>
      <c r="AQ857" s="1" t="s">
        <v>74</v>
      </c>
      <c r="AR857" s="1" t="s">
        <v>74</v>
      </c>
      <c r="AS857" s="1" t="s">
        <v>74</v>
      </c>
      <c r="AT857" s="1" t="s">
        <v>339</v>
      </c>
      <c r="AU857" s="1">
        <v>2017.0</v>
      </c>
      <c r="AV857" s="1">
        <v>26.0</v>
      </c>
      <c r="AW857" s="1">
        <v>3.0</v>
      </c>
      <c r="AX857" s="1" t="s">
        <v>74</v>
      </c>
      <c r="AY857" s="1" t="s">
        <v>74</v>
      </c>
      <c r="AZ857" s="1" t="s">
        <v>74</v>
      </c>
      <c r="BA857" s="1" t="s">
        <v>74</v>
      </c>
      <c r="BB857" s="1">
        <v>287.0</v>
      </c>
      <c r="BC857" s="1">
        <v>294.0</v>
      </c>
      <c r="BD857" s="1" t="s">
        <v>74</v>
      </c>
      <c r="BE857" s="1" t="s">
        <v>8325</v>
      </c>
      <c r="BF857" s="2" t="str">
        <f>HYPERLINK("http://dx.doi.org/10.24846/v26i3y201704","http://dx.doi.org/10.24846/v26i3y201704")</f>
        <v>http://dx.doi.org/10.24846/v26i3y201704</v>
      </c>
      <c r="BG857" s="1" t="s">
        <v>74</v>
      </c>
      <c r="BH857" s="1" t="s">
        <v>74</v>
      </c>
      <c r="BI857" s="1" t="s">
        <v>74</v>
      </c>
      <c r="BJ857" s="1" t="s">
        <v>74</v>
      </c>
      <c r="BK857" s="1" t="s">
        <v>74</v>
      </c>
      <c r="BL857" s="1" t="s">
        <v>74</v>
      </c>
      <c r="BM857" s="1" t="s">
        <v>74</v>
      </c>
      <c r="BN857" s="1" t="s">
        <v>74</v>
      </c>
      <c r="BO857" s="1" t="s">
        <v>74</v>
      </c>
      <c r="BP857" s="1" t="s">
        <v>74</v>
      </c>
      <c r="BQ857" s="1" t="s">
        <v>74</v>
      </c>
      <c r="BR857" s="1" t="s">
        <v>74</v>
      </c>
      <c r="BS857" s="1" t="s">
        <v>8326</v>
      </c>
      <c r="BT857" s="1" t="str">
        <f>HYPERLINK("https%3A%2F%2Fwww.webofscience.com%2Fwos%2Fwoscc%2Ffull-record%2FWOS:000412715700004","View Full Record in Web of Science")</f>
        <v>View Full Record in Web of Science</v>
      </c>
    </row>
    <row r="858" ht="12.75" customHeight="1">
      <c r="A858" s="1" t="s">
        <v>72</v>
      </c>
      <c r="B858" s="1" t="s">
        <v>8327</v>
      </c>
      <c r="C858" s="1" t="s">
        <v>74</v>
      </c>
      <c r="D858" s="1" t="s">
        <v>74</v>
      </c>
      <c r="E858" s="1" t="s">
        <v>74</v>
      </c>
      <c r="F858" s="1" t="s">
        <v>8328</v>
      </c>
      <c r="G858" s="1" t="s">
        <v>74</v>
      </c>
      <c r="H858" s="1" t="s">
        <v>74</v>
      </c>
      <c r="I858" s="1" t="s">
        <v>8329</v>
      </c>
      <c r="J858" s="1" t="s">
        <v>8330</v>
      </c>
      <c r="K858" s="1" t="s">
        <v>74</v>
      </c>
      <c r="L858" s="1" t="s">
        <v>74</v>
      </c>
      <c r="M858" s="1" t="s">
        <v>74</v>
      </c>
      <c r="N858" s="1" t="s">
        <v>74</v>
      </c>
      <c r="O858" s="1" t="s">
        <v>74</v>
      </c>
      <c r="P858" s="1" t="s">
        <v>74</v>
      </c>
      <c r="Q858" s="1" t="s">
        <v>74</v>
      </c>
      <c r="R858" s="1" t="s">
        <v>74</v>
      </c>
      <c r="S858" s="1" t="s">
        <v>74</v>
      </c>
      <c r="T858" s="1" t="s">
        <v>74</v>
      </c>
      <c r="U858" s="1" t="s">
        <v>74</v>
      </c>
      <c r="V858" s="1" t="s">
        <v>8331</v>
      </c>
      <c r="W858" s="1" t="s">
        <v>74</v>
      </c>
      <c r="X858" s="1" t="s">
        <v>74</v>
      </c>
      <c r="Y858" s="1" t="s">
        <v>74</v>
      </c>
      <c r="Z858" s="1" t="s">
        <v>74</v>
      </c>
      <c r="AA858" s="1" t="s">
        <v>74</v>
      </c>
      <c r="AB858" s="1" t="s">
        <v>8332</v>
      </c>
      <c r="AC858" s="1" t="s">
        <v>74</v>
      </c>
      <c r="AD858" s="1" t="s">
        <v>74</v>
      </c>
      <c r="AE858" s="1" t="s">
        <v>74</v>
      </c>
      <c r="AF858" s="1" t="s">
        <v>74</v>
      </c>
      <c r="AG858" s="1" t="s">
        <v>74</v>
      </c>
      <c r="AH858" s="1" t="s">
        <v>74</v>
      </c>
      <c r="AI858" s="1" t="s">
        <v>74</v>
      </c>
      <c r="AJ858" s="1" t="s">
        <v>74</v>
      </c>
      <c r="AK858" s="1" t="s">
        <v>74</v>
      </c>
      <c r="AL858" s="1" t="s">
        <v>74</v>
      </c>
      <c r="AM858" s="1" t="s">
        <v>74</v>
      </c>
      <c r="AN858" s="1" t="s">
        <v>74</v>
      </c>
      <c r="AO858" s="1" t="s">
        <v>8333</v>
      </c>
      <c r="AP858" s="1" t="s">
        <v>8334</v>
      </c>
      <c r="AQ858" s="1" t="s">
        <v>74</v>
      </c>
      <c r="AR858" s="1" t="s">
        <v>74</v>
      </c>
      <c r="AS858" s="1" t="s">
        <v>74</v>
      </c>
      <c r="AT858" s="1" t="s">
        <v>235</v>
      </c>
      <c r="AU858" s="1">
        <v>2017.0</v>
      </c>
      <c r="AV858" s="1">
        <v>30.0</v>
      </c>
      <c r="AW858" s="1">
        <v>2.0</v>
      </c>
      <c r="AX858" s="1" t="s">
        <v>74</v>
      </c>
      <c r="AY858" s="1" t="s">
        <v>74</v>
      </c>
      <c r="AZ858" s="1" t="s">
        <v>74</v>
      </c>
      <c r="BA858" s="1" t="s">
        <v>74</v>
      </c>
      <c r="BB858" s="1">
        <v>703.0</v>
      </c>
      <c r="BC858" s="1">
        <v>734.0</v>
      </c>
      <c r="BD858" s="1" t="s">
        <v>74</v>
      </c>
      <c r="BE858" s="1" t="s">
        <v>8335</v>
      </c>
      <c r="BF858" s="2" t="str">
        <f>HYPERLINK("http://dx.doi.org/10.1088/1361-6544/aa527f","http://dx.doi.org/10.1088/1361-6544/aa527f")</f>
        <v>http://dx.doi.org/10.1088/1361-6544/aa527f</v>
      </c>
      <c r="BG858" s="1" t="s">
        <v>74</v>
      </c>
      <c r="BH858" s="1" t="s">
        <v>74</v>
      </c>
      <c r="BI858" s="1" t="s">
        <v>74</v>
      </c>
      <c r="BJ858" s="1" t="s">
        <v>74</v>
      </c>
      <c r="BK858" s="1" t="s">
        <v>74</v>
      </c>
      <c r="BL858" s="1" t="s">
        <v>74</v>
      </c>
      <c r="BM858" s="1" t="s">
        <v>74</v>
      </c>
      <c r="BN858" s="1" t="s">
        <v>74</v>
      </c>
      <c r="BO858" s="1" t="s">
        <v>74</v>
      </c>
      <c r="BP858" s="1" t="s">
        <v>74</v>
      </c>
      <c r="BQ858" s="1" t="s">
        <v>74</v>
      </c>
      <c r="BR858" s="1" t="s">
        <v>74</v>
      </c>
      <c r="BS858" s="1" t="s">
        <v>8336</v>
      </c>
      <c r="BT858" s="1" t="str">
        <f>HYPERLINK("https%3A%2F%2Fwww.webofscience.com%2Fwos%2Fwoscc%2Ffull-record%2FWOS:000393774300004","View Full Record in Web of Science")</f>
        <v>View Full Record in Web of Science</v>
      </c>
    </row>
    <row r="859" ht="12.75" customHeight="1">
      <c r="A859" s="1" t="s">
        <v>182</v>
      </c>
      <c r="B859" s="1" t="s">
        <v>8337</v>
      </c>
      <c r="C859" s="1" t="s">
        <v>74</v>
      </c>
      <c r="D859" s="1" t="s">
        <v>74</v>
      </c>
      <c r="E859" s="1" t="s">
        <v>184</v>
      </c>
      <c r="F859" s="1" t="s">
        <v>8338</v>
      </c>
      <c r="G859" s="1" t="s">
        <v>74</v>
      </c>
      <c r="H859" s="1" t="s">
        <v>74</v>
      </c>
      <c r="I859" s="1" t="s">
        <v>8339</v>
      </c>
      <c r="J859" s="1" t="s">
        <v>8340</v>
      </c>
      <c r="K859" s="1" t="s">
        <v>74</v>
      </c>
      <c r="L859" s="1" t="s">
        <v>74</v>
      </c>
      <c r="M859" s="1" t="s">
        <v>74</v>
      </c>
      <c r="N859" s="1" t="s">
        <v>74</v>
      </c>
      <c r="O859" s="1" t="s">
        <v>8341</v>
      </c>
      <c r="P859" s="1" t="s">
        <v>8342</v>
      </c>
      <c r="Q859" s="1" t="s">
        <v>6717</v>
      </c>
      <c r="R859" s="1" t="s">
        <v>8343</v>
      </c>
      <c r="S859" s="1" t="s">
        <v>74</v>
      </c>
      <c r="T859" s="1" t="s">
        <v>74</v>
      </c>
      <c r="U859" s="1" t="s">
        <v>74</v>
      </c>
      <c r="V859" s="1" t="s">
        <v>8344</v>
      </c>
      <c r="W859" s="1" t="s">
        <v>74</v>
      </c>
      <c r="X859" s="1" t="s">
        <v>74</v>
      </c>
      <c r="Y859" s="1" t="s">
        <v>74</v>
      </c>
      <c r="Z859" s="1" t="s">
        <v>74</v>
      </c>
      <c r="AA859" s="1" t="s">
        <v>8345</v>
      </c>
      <c r="AB859" s="1" t="s">
        <v>8346</v>
      </c>
      <c r="AC859" s="1" t="s">
        <v>74</v>
      </c>
      <c r="AD859" s="1" t="s">
        <v>74</v>
      </c>
      <c r="AE859" s="1" t="s">
        <v>74</v>
      </c>
      <c r="AF859" s="1" t="s">
        <v>74</v>
      </c>
      <c r="AG859" s="1" t="s">
        <v>74</v>
      </c>
      <c r="AH859" s="1" t="s">
        <v>74</v>
      </c>
      <c r="AI859" s="1" t="s">
        <v>74</v>
      </c>
      <c r="AJ859" s="1" t="s">
        <v>74</v>
      </c>
      <c r="AK859" s="1" t="s">
        <v>74</v>
      </c>
      <c r="AL859" s="1" t="s">
        <v>74</v>
      </c>
      <c r="AM859" s="1" t="s">
        <v>74</v>
      </c>
      <c r="AN859" s="1" t="s">
        <v>74</v>
      </c>
      <c r="AO859" s="1" t="s">
        <v>74</v>
      </c>
      <c r="AP859" s="1" t="s">
        <v>74</v>
      </c>
      <c r="AQ859" s="1" t="s">
        <v>8347</v>
      </c>
      <c r="AR859" s="1" t="s">
        <v>74</v>
      </c>
      <c r="AS859" s="1" t="s">
        <v>74</v>
      </c>
      <c r="AT859" s="1" t="s">
        <v>74</v>
      </c>
      <c r="AU859" s="1">
        <v>2017.0</v>
      </c>
      <c r="AV859" s="1" t="s">
        <v>74</v>
      </c>
      <c r="AW859" s="1" t="s">
        <v>74</v>
      </c>
      <c r="AX859" s="1" t="s">
        <v>74</v>
      </c>
      <c r="AY859" s="1" t="s">
        <v>74</v>
      </c>
      <c r="AZ859" s="1" t="s">
        <v>74</v>
      </c>
      <c r="BA859" s="1" t="s">
        <v>74</v>
      </c>
      <c r="BB859" s="1">
        <v>61.0</v>
      </c>
      <c r="BC859" s="1">
        <v>64.0</v>
      </c>
      <c r="BD859" s="1" t="s">
        <v>74</v>
      </c>
      <c r="BE859" s="1" t="s">
        <v>74</v>
      </c>
      <c r="BF859" s="1" t="s">
        <v>74</v>
      </c>
      <c r="BG859" s="1" t="s">
        <v>74</v>
      </c>
      <c r="BH859" s="1" t="s">
        <v>74</v>
      </c>
      <c r="BI859" s="1" t="s">
        <v>74</v>
      </c>
      <c r="BJ859" s="1" t="s">
        <v>74</v>
      </c>
      <c r="BK859" s="1" t="s">
        <v>74</v>
      </c>
      <c r="BL859" s="1" t="s">
        <v>74</v>
      </c>
      <c r="BM859" s="1" t="s">
        <v>74</v>
      </c>
      <c r="BN859" s="1" t="s">
        <v>74</v>
      </c>
      <c r="BO859" s="1" t="s">
        <v>74</v>
      </c>
      <c r="BP859" s="1" t="s">
        <v>74</v>
      </c>
      <c r="BQ859" s="1" t="s">
        <v>74</v>
      </c>
      <c r="BR859" s="1" t="s">
        <v>74</v>
      </c>
      <c r="BS859" s="1" t="s">
        <v>8348</v>
      </c>
      <c r="BT859" s="1" t="str">
        <f>HYPERLINK("https%3A%2F%2Fwww.webofscience.com%2Fwos%2Fwoscc%2Ffull-record%2FWOS:000428142700003","View Full Record in Web of Science")</f>
        <v>View Full Record in Web of Science</v>
      </c>
    </row>
    <row r="860" ht="12.75" customHeight="1">
      <c r="A860" s="1" t="s">
        <v>72</v>
      </c>
      <c r="B860" s="1" t="s">
        <v>8349</v>
      </c>
      <c r="C860" s="1" t="s">
        <v>74</v>
      </c>
      <c r="D860" s="1" t="s">
        <v>74</v>
      </c>
      <c r="E860" s="1" t="s">
        <v>74</v>
      </c>
      <c r="F860" s="1" t="s">
        <v>8350</v>
      </c>
      <c r="G860" s="1" t="s">
        <v>74</v>
      </c>
      <c r="H860" s="1" t="s">
        <v>74</v>
      </c>
      <c r="I860" s="1" t="s">
        <v>8351</v>
      </c>
      <c r="J860" s="1" t="s">
        <v>3024</v>
      </c>
      <c r="K860" s="1" t="s">
        <v>74</v>
      </c>
      <c r="L860" s="1" t="s">
        <v>74</v>
      </c>
      <c r="M860" s="1" t="s">
        <v>74</v>
      </c>
      <c r="N860" s="1" t="s">
        <v>74</v>
      </c>
      <c r="O860" s="1" t="s">
        <v>74</v>
      </c>
      <c r="P860" s="1" t="s">
        <v>74</v>
      </c>
      <c r="Q860" s="1" t="s">
        <v>74</v>
      </c>
      <c r="R860" s="1" t="s">
        <v>74</v>
      </c>
      <c r="S860" s="1" t="s">
        <v>74</v>
      </c>
      <c r="T860" s="1" t="s">
        <v>74</v>
      </c>
      <c r="U860" s="1" t="s">
        <v>74</v>
      </c>
      <c r="V860" s="1" t="s">
        <v>8352</v>
      </c>
      <c r="W860" s="1" t="s">
        <v>74</v>
      </c>
      <c r="X860" s="1" t="s">
        <v>74</v>
      </c>
      <c r="Y860" s="1" t="s">
        <v>74</v>
      </c>
      <c r="Z860" s="1" t="s">
        <v>74</v>
      </c>
      <c r="AA860" s="1" t="s">
        <v>8353</v>
      </c>
      <c r="AB860" s="1" t="s">
        <v>8354</v>
      </c>
      <c r="AC860" s="1" t="s">
        <v>74</v>
      </c>
      <c r="AD860" s="1" t="s">
        <v>74</v>
      </c>
      <c r="AE860" s="1" t="s">
        <v>74</v>
      </c>
      <c r="AF860" s="1" t="s">
        <v>74</v>
      </c>
      <c r="AG860" s="1" t="s">
        <v>74</v>
      </c>
      <c r="AH860" s="1" t="s">
        <v>74</v>
      </c>
      <c r="AI860" s="1" t="s">
        <v>74</v>
      </c>
      <c r="AJ860" s="1" t="s">
        <v>74</v>
      </c>
      <c r="AK860" s="1" t="s">
        <v>74</v>
      </c>
      <c r="AL860" s="1" t="s">
        <v>74</v>
      </c>
      <c r="AM860" s="1" t="s">
        <v>74</v>
      </c>
      <c r="AN860" s="1" t="s">
        <v>74</v>
      </c>
      <c r="AO860" s="1" t="s">
        <v>3028</v>
      </c>
      <c r="AP860" s="1" t="s">
        <v>3029</v>
      </c>
      <c r="AQ860" s="1" t="s">
        <v>74</v>
      </c>
      <c r="AR860" s="1" t="s">
        <v>74</v>
      </c>
      <c r="AS860" s="1" t="s">
        <v>74</v>
      </c>
      <c r="AT860" s="1" t="s">
        <v>3077</v>
      </c>
      <c r="AU860" s="1">
        <v>2017.0</v>
      </c>
      <c r="AV860" s="1">
        <v>313.0</v>
      </c>
      <c r="AW860" s="1" t="s">
        <v>74</v>
      </c>
      <c r="AX860" s="1" t="s">
        <v>74</v>
      </c>
      <c r="AY860" s="1" t="s">
        <v>74</v>
      </c>
      <c r="AZ860" s="1" t="s">
        <v>74</v>
      </c>
      <c r="BA860" s="1" t="s">
        <v>74</v>
      </c>
      <c r="BB860" s="1">
        <v>159.0</v>
      </c>
      <c r="BC860" s="1">
        <v>188.0</v>
      </c>
      <c r="BD860" s="1" t="s">
        <v>74</v>
      </c>
      <c r="BE860" s="1" t="s">
        <v>8355</v>
      </c>
      <c r="BF860" s="2" t="str">
        <f>HYPERLINK("http://dx.doi.org/10.1016/j.cma.2016.09.041","http://dx.doi.org/10.1016/j.cma.2016.09.041")</f>
        <v>http://dx.doi.org/10.1016/j.cma.2016.09.041</v>
      </c>
      <c r="BG860" s="1" t="s">
        <v>74</v>
      </c>
      <c r="BH860" s="1" t="s">
        <v>74</v>
      </c>
      <c r="BI860" s="1" t="s">
        <v>74</v>
      </c>
      <c r="BJ860" s="1" t="s">
        <v>74</v>
      </c>
      <c r="BK860" s="1" t="s">
        <v>74</v>
      </c>
      <c r="BL860" s="1" t="s">
        <v>74</v>
      </c>
      <c r="BM860" s="1" t="s">
        <v>74</v>
      </c>
      <c r="BN860" s="1" t="s">
        <v>74</v>
      </c>
      <c r="BO860" s="1" t="s">
        <v>74</v>
      </c>
      <c r="BP860" s="1" t="s">
        <v>74</v>
      </c>
      <c r="BQ860" s="1" t="s">
        <v>74</v>
      </c>
      <c r="BR860" s="1" t="s">
        <v>74</v>
      </c>
      <c r="BS860" s="1" t="s">
        <v>8356</v>
      </c>
      <c r="BT860" s="1" t="str">
        <f>HYPERLINK("https%3A%2F%2Fwww.webofscience.com%2Fwos%2Fwoscc%2Ffull-record%2FWOS:000390740900007","View Full Record in Web of Science")</f>
        <v>View Full Record in Web of Science</v>
      </c>
    </row>
    <row r="861" ht="12.75" customHeight="1">
      <c r="A861" s="1" t="s">
        <v>182</v>
      </c>
      <c r="B861" s="1" t="s">
        <v>8357</v>
      </c>
      <c r="C861" s="1" t="s">
        <v>74</v>
      </c>
      <c r="D861" s="1" t="s">
        <v>8358</v>
      </c>
      <c r="E861" s="1" t="s">
        <v>74</v>
      </c>
      <c r="F861" s="1" t="s">
        <v>8359</v>
      </c>
      <c r="G861" s="1" t="s">
        <v>74</v>
      </c>
      <c r="H861" s="1" t="s">
        <v>74</v>
      </c>
      <c r="I861" s="1" t="s">
        <v>8360</v>
      </c>
      <c r="J861" s="1" t="s">
        <v>8361</v>
      </c>
      <c r="K861" s="1" t="s">
        <v>1167</v>
      </c>
      <c r="L861" s="1" t="s">
        <v>74</v>
      </c>
      <c r="M861" s="1" t="s">
        <v>74</v>
      </c>
      <c r="N861" s="1" t="s">
        <v>74</v>
      </c>
      <c r="O861" s="1" t="s">
        <v>8362</v>
      </c>
      <c r="P861" s="1" t="s">
        <v>8363</v>
      </c>
      <c r="Q861" s="1" t="s">
        <v>8364</v>
      </c>
      <c r="R861" s="1" t="s">
        <v>8365</v>
      </c>
      <c r="S861" s="1" t="s">
        <v>74</v>
      </c>
      <c r="T861" s="1" t="s">
        <v>74</v>
      </c>
      <c r="U861" s="1" t="s">
        <v>74</v>
      </c>
      <c r="V861" s="1" t="s">
        <v>8366</v>
      </c>
      <c r="W861" s="1" t="s">
        <v>74</v>
      </c>
      <c r="X861" s="1" t="s">
        <v>74</v>
      </c>
      <c r="Y861" s="1" t="s">
        <v>74</v>
      </c>
      <c r="Z861" s="1" t="s">
        <v>74</v>
      </c>
      <c r="AA861" s="1" t="s">
        <v>8367</v>
      </c>
      <c r="AB861" s="1" t="s">
        <v>8368</v>
      </c>
      <c r="AC861" s="1" t="s">
        <v>74</v>
      </c>
      <c r="AD861" s="1" t="s">
        <v>74</v>
      </c>
      <c r="AE861" s="1" t="s">
        <v>74</v>
      </c>
      <c r="AF861" s="1" t="s">
        <v>74</v>
      </c>
      <c r="AG861" s="1" t="s">
        <v>74</v>
      </c>
      <c r="AH861" s="1" t="s">
        <v>74</v>
      </c>
      <c r="AI861" s="1" t="s">
        <v>74</v>
      </c>
      <c r="AJ861" s="1" t="s">
        <v>74</v>
      </c>
      <c r="AK861" s="1" t="s">
        <v>74</v>
      </c>
      <c r="AL861" s="1" t="s">
        <v>74</v>
      </c>
      <c r="AM861" s="1" t="s">
        <v>74</v>
      </c>
      <c r="AN861" s="1" t="s">
        <v>74</v>
      </c>
      <c r="AO861" s="1" t="s">
        <v>1175</v>
      </c>
      <c r="AP861" s="1" t="s">
        <v>1176</v>
      </c>
      <c r="AQ861" s="1" t="s">
        <v>8369</v>
      </c>
      <c r="AR861" s="1" t="s">
        <v>74</v>
      </c>
      <c r="AS861" s="1" t="s">
        <v>74</v>
      </c>
      <c r="AT861" s="1" t="s">
        <v>74</v>
      </c>
      <c r="AU861" s="1">
        <v>2017.0</v>
      </c>
      <c r="AV861" s="1">
        <v>10417.0</v>
      </c>
      <c r="AW861" s="1" t="s">
        <v>74</v>
      </c>
      <c r="AX861" s="1" t="s">
        <v>74</v>
      </c>
      <c r="AY861" s="1" t="s">
        <v>74</v>
      </c>
      <c r="AZ861" s="1" t="s">
        <v>74</v>
      </c>
      <c r="BA861" s="1" t="s">
        <v>74</v>
      </c>
      <c r="BB861" s="1">
        <v>638.0</v>
      </c>
      <c r="BC861" s="1">
        <v>650.0</v>
      </c>
      <c r="BD861" s="1" t="s">
        <v>74</v>
      </c>
      <c r="BE861" s="1" t="s">
        <v>8370</v>
      </c>
      <c r="BF861" s="2" t="str">
        <f>HYPERLINK("http://dx.doi.org/10.1007/978-3-319-64203-1_46","http://dx.doi.org/10.1007/978-3-319-64203-1_46")</f>
        <v>http://dx.doi.org/10.1007/978-3-319-64203-1_46</v>
      </c>
      <c r="BG861" s="1" t="s">
        <v>74</v>
      </c>
      <c r="BH861" s="1" t="s">
        <v>74</v>
      </c>
      <c r="BI861" s="1" t="s">
        <v>74</v>
      </c>
      <c r="BJ861" s="1" t="s">
        <v>74</v>
      </c>
      <c r="BK861" s="1" t="s">
        <v>74</v>
      </c>
      <c r="BL861" s="1" t="s">
        <v>74</v>
      </c>
      <c r="BM861" s="1" t="s">
        <v>74</v>
      </c>
      <c r="BN861" s="1" t="s">
        <v>74</v>
      </c>
      <c r="BO861" s="1" t="s">
        <v>74</v>
      </c>
      <c r="BP861" s="1" t="s">
        <v>74</v>
      </c>
      <c r="BQ861" s="1" t="s">
        <v>74</v>
      </c>
      <c r="BR861" s="1" t="s">
        <v>74</v>
      </c>
      <c r="BS861" s="1" t="s">
        <v>8371</v>
      </c>
      <c r="BT861" s="1" t="str">
        <f>HYPERLINK("https%3A%2F%2Fwww.webofscience.com%2Fwos%2Fwoscc%2Ffull-record%2FWOS:000851032800046","View Full Record in Web of Science")</f>
        <v>View Full Record in Web of Science</v>
      </c>
    </row>
    <row r="862" ht="12.75" customHeight="1">
      <c r="A862" s="1" t="s">
        <v>506</v>
      </c>
      <c r="B862" s="1" t="s">
        <v>8372</v>
      </c>
      <c r="C862" s="1" t="s">
        <v>74</v>
      </c>
      <c r="D862" s="1" t="s">
        <v>8373</v>
      </c>
      <c r="E862" s="1" t="s">
        <v>74</v>
      </c>
      <c r="F862" s="1" t="s">
        <v>8374</v>
      </c>
      <c r="G862" s="1" t="s">
        <v>74</v>
      </c>
      <c r="H862" s="1" t="s">
        <v>74</v>
      </c>
      <c r="I862" s="1" t="s">
        <v>8375</v>
      </c>
      <c r="J862" s="1" t="s">
        <v>8376</v>
      </c>
      <c r="K862" s="1" t="s">
        <v>8377</v>
      </c>
      <c r="L862" s="1" t="s">
        <v>74</v>
      </c>
      <c r="M862" s="1" t="s">
        <v>74</v>
      </c>
      <c r="N862" s="1" t="s">
        <v>74</v>
      </c>
      <c r="O862" s="1" t="s">
        <v>74</v>
      </c>
      <c r="P862" s="1" t="s">
        <v>74</v>
      </c>
      <c r="Q862" s="1" t="s">
        <v>74</v>
      </c>
      <c r="R862" s="1" t="s">
        <v>74</v>
      </c>
      <c r="S862" s="1" t="s">
        <v>74</v>
      </c>
      <c r="T862" s="1" t="s">
        <v>74</v>
      </c>
      <c r="U862" s="1" t="s">
        <v>74</v>
      </c>
      <c r="V862" s="1" t="s">
        <v>8378</v>
      </c>
      <c r="W862" s="1" t="s">
        <v>74</v>
      </c>
      <c r="X862" s="1" t="s">
        <v>74</v>
      </c>
      <c r="Y862" s="1" t="s">
        <v>74</v>
      </c>
      <c r="Z862" s="1" t="s">
        <v>74</v>
      </c>
      <c r="AA862" s="1" t="s">
        <v>8379</v>
      </c>
      <c r="AB862" s="1" t="s">
        <v>8380</v>
      </c>
      <c r="AC862" s="1" t="s">
        <v>74</v>
      </c>
      <c r="AD862" s="1" t="s">
        <v>74</v>
      </c>
      <c r="AE862" s="1" t="s">
        <v>74</v>
      </c>
      <c r="AF862" s="1" t="s">
        <v>74</v>
      </c>
      <c r="AG862" s="1" t="s">
        <v>74</v>
      </c>
      <c r="AH862" s="1" t="s">
        <v>74</v>
      </c>
      <c r="AI862" s="1" t="s">
        <v>74</v>
      </c>
      <c r="AJ862" s="1" t="s">
        <v>74</v>
      </c>
      <c r="AK862" s="1" t="s">
        <v>74</v>
      </c>
      <c r="AL862" s="1" t="s">
        <v>74</v>
      </c>
      <c r="AM862" s="1" t="s">
        <v>74</v>
      </c>
      <c r="AN862" s="1" t="s">
        <v>74</v>
      </c>
      <c r="AO862" s="1" t="s">
        <v>8381</v>
      </c>
      <c r="AP862" s="1" t="s">
        <v>8382</v>
      </c>
      <c r="AQ862" s="1" t="s">
        <v>8383</v>
      </c>
      <c r="AR862" s="1" t="s">
        <v>74</v>
      </c>
      <c r="AS862" s="1" t="s">
        <v>74</v>
      </c>
      <c r="AT862" s="1" t="s">
        <v>74</v>
      </c>
      <c r="AU862" s="1">
        <v>2017.0</v>
      </c>
      <c r="AV862" s="1">
        <v>1015.0</v>
      </c>
      <c r="AW862" s="1" t="s">
        <v>74</v>
      </c>
      <c r="AX862" s="1" t="s">
        <v>74</v>
      </c>
      <c r="AY862" s="1" t="s">
        <v>74</v>
      </c>
      <c r="AZ862" s="1" t="s">
        <v>74</v>
      </c>
      <c r="BA862" s="1" t="s">
        <v>74</v>
      </c>
      <c r="BB862" s="1">
        <v>265.0</v>
      </c>
      <c r="BC862" s="1">
        <v>277.0</v>
      </c>
      <c r="BD862" s="1" t="s">
        <v>74</v>
      </c>
      <c r="BE862" s="1" t="s">
        <v>8384</v>
      </c>
      <c r="BF862" s="2" t="str">
        <f>HYPERLINK("http://dx.doi.org/10.1007/978-3-319-62817-2_14","http://dx.doi.org/10.1007/978-3-319-62817-2_14")</f>
        <v>http://dx.doi.org/10.1007/978-3-319-62817-2_14</v>
      </c>
      <c r="BG862" s="1" t="s">
        <v>8385</v>
      </c>
      <c r="BH862" s="1" t="s">
        <v>74</v>
      </c>
      <c r="BI862" s="1" t="s">
        <v>74</v>
      </c>
      <c r="BJ862" s="1" t="s">
        <v>74</v>
      </c>
      <c r="BK862" s="1" t="s">
        <v>74</v>
      </c>
      <c r="BL862" s="1" t="s">
        <v>74</v>
      </c>
      <c r="BM862" s="1" t="s">
        <v>74</v>
      </c>
      <c r="BN862" s="1">
        <v>2.9080031E7</v>
      </c>
      <c r="BO862" s="1" t="s">
        <v>74</v>
      </c>
      <c r="BP862" s="1" t="s">
        <v>74</v>
      </c>
      <c r="BQ862" s="1" t="s">
        <v>74</v>
      </c>
      <c r="BR862" s="1" t="s">
        <v>74</v>
      </c>
      <c r="BS862" s="1" t="s">
        <v>8386</v>
      </c>
      <c r="BT862" s="1" t="str">
        <f>HYPERLINK("https%3A%2F%2Fwww.webofscience.com%2Fwos%2Fwoscc%2Ffull-record%2FWOS:000438289100014","View Full Record in Web of Science")</f>
        <v>View Full Record in Web of Science</v>
      </c>
    </row>
    <row r="863" ht="12.75" customHeight="1">
      <c r="A863" s="1" t="s">
        <v>72</v>
      </c>
      <c r="B863" s="1" t="s">
        <v>8387</v>
      </c>
      <c r="C863" s="1" t="s">
        <v>74</v>
      </c>
      <c r="D863" s="1" t="s">
        <v>74</v>
      </c>
      <c r="E863" s="1" t="s">
        <v>74</v>
      </c>
      <c r="F863" s="1" t="s">
        <v>8388</v>
      </c>
      <c r="G863" s="1" t="s">
        <v>74</v>
      </c>
      <c r="H863" s="1" t="s">
        <v>74</v>
      </c>
      <c r="I863" s="1" t="s">
        <v>8389</v>
      </c>
      <c r="J863" s="1" t="s">
        <v>8390</v>
      </c>
      <c r="K863" s="1" t="s">
        <v>74</v>
      </c>
      <c r="L863" s="1" t="s">
        <v>74</v>
      </c>
      <c r="M863" s="1" t="s">
        <v>74</v>
      </c>
      <c r="N863" s="1" t="s">
        <v>74</v>
      </c>
      <c r="O863" s="1" t="s">
        <v>74</v>
      </c>
      <c r="P863" s="1" t="s">
        <v>74</v>
      </c>
      <c r="Q863" s="1" t="s">
        <v>74</v>
      </c>
      <c r="R863" s="1" t="s">
        <v>74</v>
      </c>
      <c r="S863" s="1" t="s">
        <v>74</v>
      </c>
      <c r="T863" s="1" t="s">
        <v>74</v>
      </c>
      <c r="U863" s="1" t="s">
        <v>74</v>
      </c>
      <c r="V863" s="1" t="s">
        <v>8391</v>
      </c>
      <c r="W863" s="1" t="s">
        <v>74</v>
      </c>
      <c r="X863" s="1" t="s">
        <v>74</v>
      </c>
      <c r="Y863" s="1" t="s">
        <v>74</v>
      </c>
      <c r="Z863" s="1" t="s">
        <v>74</v>
      </c>
      <c r="AA863" s="1" t="s">
        <v>8392</v>
      </c>
      <c r="AB863" s="1" t="s">
        <v>8393</v>
      </c>
      <c r="AC863" s="1" t="s">
        <v>74</v>
      </c>
      <c r="AD863" s="1" t="s">
        <v>74</v>
      </c>
      <c r="AE863" s="1" t="s">
        <v>74</v>
      </c>
      <c r="AF863" s="1" t="s">
        <v>74</v>
      </c>
      <c r="AG863" s="1" t="s">
        <v>74</v>
      </c>
      <c r="AH863" s="1" t="s">
        <v>74</v>
      </c>
      <c r="AI863" s="1" t="s">
        <v>74</v>
      </c>
      <c r="AJ863" s="1" t="s">
        <v>74</v>
      </c>
      <c r="AK863" s="1" t="s">
        <v>74</v>
      </c>
      <c r="AL863" s="1" t="s">
        <v>74</v>
      </c>
      <c r="AM863" s="1" t="s">
        <v>74</v>
      </c>
      <c r="AN863" s="1" t="s">
        <v>74</v>
      </c>
      <c r="AO863" s="1" t="s">
        <v>8394</v>
      </c>
      <c r="AP863" s="1" t="s">
        <v>8395</v>
      </c>
      <c r="AQ863" s="1" t="s">
        <v>74</v>
      </c>
      <c r="AR863" s="1" t="s">
        <v>74</v>
      </c>
      <c r="AS863" s="1" t="s">
        <v>74</v>
      </c>
      <c r="AT863" s="1" t="s">
        <v>350</v>
      </c>
      <c r="AU863" s="1">
        <v>2016.0</v>
      </c>
      <c r="AV863" s="1">
        <v>177.0</v>
      </c>
      <c r="AW863" s="1" t="s">
        <v>74</v>
      </c>
      <c r="AX863" s="1" t="s">
        <v>74</v>
      </c>
      <c r="AY863" s="1" t="s">
        <v>74</v>
      </c>
      <c r="AZ863" s="1" t="s">
        <v>74</v>
      </c>
      <c r="BA863" s="1" t="s">
        <v>74</v>
      </c>
      <c r="BB863" s="1">
        <v>433.0</v>
      </c>
      <c r="BC863" s="1">
        <v>440.0</v>
      </c>
      <c r="BD863" s="1" t="s">
        <v>74</v>
      </c>
      <c r="BE863" s="1" t="s">
        <v>8396</v>
      </c>
      <c r="BF863" s="2" t="str">
        <f>HYPERLINK("http://dx.doi.org/10.1016/j.aquatox.2016.06.017","http://dx.doi.org/10.1016/j.aquatox.2016.06.017")</f>
        <v>http://dx.doi.org/10.1016/j.aquatox.2016.06.017</v>
      </c>
      <c r="BG863" s="1" t="s">
        <v>74</v>
      </c>
      <c r="BH863" s="1" t="s">
        <v>74</v>
      </c>
      <c r="BI863" s="1" t="s">
        <v>74</v>
      </c>
      <c r="BJ863" s="1" t="s">
        <v>74</v>
      </c>
      <c r="BK863" s="1" t="s">
        <v>74</v>
      </c>
      <c r="BL863" s="1" t="s">
        <v>74</v>
      </c>
      <c r="BM863" s="1" t="s">
        <v>74</v>
      </c>
      <c r="BN863" s="1">
        <v>2.7395803E7</v>
      </c>
      <c r="BO863" s="1" t="s">
        <v>74</v>
      </c>
      <c r="BP863" s="1" t="s">
        <v>74</v>
      </c>
      <c r="BQ863" s="1" t="s">
        <v>74</v>
      </c>
      <c r="BR863" s="1" t="s">
        <v>74</v>
      </c>
      <c r="BS863" s="1" t="s">
        <v>8397</v>
      </c>
      <c r="BT863" s="1" t="str">
        <f>HYPERLINK("https%3A%2F%2Fwww.webofscience.com%2Fwos%2Fwoscc%2Ffull-record%2FWOS:000381529700043","View Full Record in Web of Science")</f>
        <v>View Full Record in Web of Science</v>
      </c>
    </row>
    <row r="864" ht="12.75" customHeight="1">
      <c r="A864" s="1" t="s">
        <v>72</v>
      </c>
      <c r="B864" s="1" t="s">
        <v>8398</v>
      </c>
      <c r="C864" s="1" t="s">
        <v>74</v>
      </c>
      <c r="D864" s="1" t="s">
        <v>74</v>
      </c>
      <c r="E864" s="1" t="s">
        <v>74</v>
      </c>
      <c r="F864" s="1" t="s">
        <v>8399</v>
      </c>
      <c r="G864" s="1" t="s">
        <v>74</v>
      </c>
      <c r="H864" s="1" t="s">
        <v>74</v>
      </c>
      <c r="I864" s="1" t="s">
        <v>8400</v>
      </c>
      <c r="J864" s="1" t="s">
        <v>8401</v>
      </c>
      <c r="K864" s="1" t="s">
        <v>74</v>
      </c>
      <c r="L864" s="1" t="s">
        <v>74</v>
      </c>
      <c r="M864" s="1" t="s">
        <v>74</v>
      </c>
      <c r="N864" s="1" t="s">
        <v>74</v>
      </c>
      <c r="O864" s="1" t="s">
        <v>74</v>
      </c>
      <c r="P864" s="1" t="s">
        <v>74</v>
      </c>
      <c r="Q864" s="1" t="s">
        <v>74</v>
      </c>
      <c r="R864" s="1" t="s">
        <v>74</v>
      </c>
      <c r="S864" s="1" t="s">
        <v>74</v>
      </c>
      <c r="T864" s="1" t="s">
        <v>74</v>
      </c>
      <c r="U864" s="1" t="s">
        <v>74</v>
      </c>
      <c r="V864" s="1" t="s">
        <v>8402</v>
      </c>
      <c r="W864" s="1" t="s">
        <v>74</v>
      </c>
      <c r="X864" s="1" t="s">
        <v>74</v>
      </c>
      <c r="Y864" s="1" t="s">
        <v>74</v>
      </c>
      <c r="Z864" s="1" t="s">
        <v>74</v>
      </c>
      <c r="AA864" s="1" t="s">
        <v>8403</v>
      </c>
      <c r="AB864" s="1" t="s">
        <v>8404</v>
      </c>
      <c r="AC864" s="1" t="s">
        <v>74</v>
      </c>
      <c r="AD864" s="1" t="s">
        <v>74</v>
      </c>
      <c r="AE864" s="1" t="s">
        <v>74</v>
      </c>
      <c r="AF864" s="1" t="s">
        <v>74</v>
      </c>
      <c r="AG864" s="1" t="s">
        <v>74</v>
      </c>
      <c r="AH864" s="1" t="s">
        <v>74</v>
      </c>
      <c r="AI864" s="1" t="s">
        <v>74</v>
      </c>
      <c r="AJ864" s="1" t="s">
        <v>74</v>
      </c>
      <c r="AK864" s="1" t="s">
        <v>74</v>
      </c>
      <c r="AL864" s="1" t="s">
        <v>74</v>
      </c>
      <c r="AM864" s="1" t="s">
        <v>74</v>
      </c>
      <c r="AN864" s="1" t="s">
        <v>74</v>
      </c>
      <c r="AO864" s="1" t="s">
        <v>8405</v>
      </c>
      <c r="AP864" s="1" t="s">
        <v>8406</v>
      </c>
      <c r="AQ864" s="1" t="s">
        <v>74</v>
      </c>
      <c r="AR864" s="1" t="s">
        <v>74</v>
      </c>
      <c r="AS864" s="1" t="s">
        <v>74</v>
      </c>
      <c r="AT864" s="1" t="s">
        <v>350</v>
      </c>
      <c r="AU864" s="1">
        <v>2016.0</v>
      </c>
      <c r="AV864" s="1">
        <v>28.0</v>
      </c>
      <c r="AW864" s="1">
        <v>3.0</v>
      </c>
      <c r="AX864" s="1" t="s">
        <v>74</v>
      </c>
      <c r="AY864" s="1" t="s">
        <v>74</v>
      </c>
      <c r="AZ864" s="1" t="s">
        <v>74</v>
      </c>
      <c r="BA864" s="1" t="s">
        <v>74</v>
      </c>
      <c r="BB864" s="1">
        <v>330.0</v>
      </c>
      <c r="BC864" s="1">
        <v>339.0</v>
      </c>
      <c r="BD864" s="1" t="s">
        <v>74</v>
      </c>
      <c r="BE864" s="1" t="s">
        <v>8407</v>
      </c>
      <c r="BF864" s="2" t="str">
        <f>HYPERLINK("http://dx.doi.org/10.7334/psicothema2016.92","http://dx.doi.org/10.7334/psicothema2016.92")</f>
        <v>http://dx.doi.org/10.7334/psicothema2016.92</v>
      </c>
      <c r="BG864" s="1" t="s">
        <v>74</v>
      </c>
      <c r="BH864" s="1" t="s">
        <v>74</v>
      </c>
      <c r="BI864" s="1" t="s">
        <v>74</v>
      </c>
      <c r="BJ864" s="1" t="s">
        <v>74</v>
      </c>
      <c r="BK864" s="1" t="s">
        <v>74</v>
      </c>
      <c r="BL864" s="1" t="s">
        <v>74</v>
      </c>
      <c r="BM864" s="1" t="s">
        <v>74</v>
      </c>
      <c r="BN864" s="1">
        <v>2.7448269E7</v>
      </c>
      <c r="BO864" s="1" t="s">
        <v>74</v>
      </c>
      <c r="BP864" s="1" t="s">
        <v>74</v>
      </c>
      <c r="BQ864" s="1" t="s">
        <v>74</v>
      </c>
      <c r="BR864" s="1" t="s">
        <v>74</v>
      </c>
      <c r="BS864" s="1" t="s">
        <v>8408</v>
      </c>
      <c r="BT864" s="1" t="str">
        <f>HYPERLINK("https%3A%2F%2Fwww.webofscience.com%2Fwos%2Fwoscc%2Ffull-record%2FWOS:000380180200017","View Full Record in Web of Science")</f>
        <v>View Full Record in Web of Science</v>
      </c>
    </row>
    <row r="865" ht="12.75" customHeight="1">
      <c r="A865" s="1" t="s">
        <v>72</v>
      </c>
      <c r="B865" s="1" t="s">
        <v>8409</v>
      </c>
      <c r="C865" s="1" t="s">
        <v>74</v>
      </c>
      <c r="D865" s="1" t="s">
        <v>74</v>
      </c>
      <c r="E865" s="1" t="s">
        <v>74</v>
      </c>
      <c r="F865" s="1" t="s">
        <v>8410</v>
      </c>
      <c r="G865" s="1" t="s">
        <v>74</v>
      </c>
      <c r="H865" s="1" t="s">
        <v>74</v>
      </c>
      <c r="I865" s="1" t="s">
        <v>8411</v>
      </c>
      <c r="J865" s="1" t="s">
        <v>8412</v>
      </c>
      <c r="K865" s="1" t="s">
        <v>74</v>
      </c>
      <c r="L865" s="1" t="s">
        <v>74</v>
      </c>
      <c r="M865" s="1" t="s">
        <v>74</v>
      </c>
      <c r="N865" s="1" t="s">
        <v>74</v>
      </c>
      <c r="O865" s="1" t="s">
        <v>74</v>
      </c>
      <c r="P865" s="1" t="s">
        <v>74</v>
      </c>
      <c r="Q865" s="1" t="s">
        <v>74</v>
      </c>
      <c r="R865" s="1" t="s">
        <v>74</v>
      </c>
      <c r="S865" s="1" t="s">
        <v>74</v>
      </c>
      <c r="T865" s="1" t="s">
        <v>74</v>
      </c>
      <c r="U865" s="1" t="s">
        <v>74</v>
      </c>
      <c r="V865" s="1" t="s">
        <v>8413</v>
      </c>
      <c r="W865" s="1" t="s">
        <v>74</v>
      </c>
      <c r="X865" s="1" t="s">
        <v>74</v>
      </c>
      <c r="Y865" s="1" t="s">
        <v>74</v>
      </c>
      <c r="Z865" s="1" t="s">
        <v>74</v>
      </c>
      <c r="AA865" s="1" t="s">
        <v>4707</v>
      </c>
      <c r="AB865" s="1" t="s">
        <v>74</v>
      </c>
      <c r="AC865" s="1" t="s">
        <v>74</v>
      </c>
      <c r="AD865" s="1" t="s">
        <v>74</v>
      </c>
      <c r="AE865" s="1" t="s">
        <v>74</v>
      </c>
      <c r="AF865" s="1" t="s">
        <v>74</v>
      </c>
      <c r="AG865" s="1" t="s">
        <v>74</v>
      </c>
      <c r="AH865" s="1" t="s">
        <v>74</v>
      </c>
      <c r="AI865" s="1" t="s">
        <v>74</v>
      </c>
      <c r="AJ865" s="1" t="s">
        <v>74</v>
      </c>
      <c r="AK865" s="1" t="s">
        <v>74</v>
      </c>
      <c r="AL865" s="1" t="s">
        <v>74</v>
      </c>
      <c r="AM865" s="1" t="s">
        <v>74</v>
      </c>
      <c r="AN865" s="1" t="s">
        <v>74</v>
      </c>
      <c r="AO865" s="1" t="s">
        <v>8414</v>
      </c>
      <c r="AP865" s="1" t="s">
        <v>74</v>
      </c>
      <c r="AQ865" s="1" t="s">
        <v>74</v>
      </c>
      <c r="AR865" s="1" t="s">
        <v>74</v>
      </c>
      <c r="AS865" s="1" t="s">
        <v>74</v>
      </c>
      <c r="AT865" s="1" t="s">
        <v>74</v>
      </c>
      <c r="AU865" s="1">
        <v>2016.0</v>
      </c>
      <c r="AV865" s="1">
        <v>22.0</v>
      </c>
      <c r="AW865" s="1">
        <v>2.0</v>
      </c>
      <c r="AX865" s="1" t="s">
        <v>74</v>
      </c>
      <c r="AY865" s="1" t="s">
        <v>74</v>
      </c>
      <c r="AZ865" s="1" t="s">
        <v>74</v>
      </c>
      <c r="BA865" s="1" t="s">
        <v>74</v>
      </c>
      <c r="BB865" s="1">
        <v>114.0</v>
      </c>
      <c r="BC865" s="1">
        <v>122.0</v>
      </c>
      <c r="BD865" s="1" t="s">
        <v>74</v>
      </c>
      <c r="BE865" s="1" t="s">
        <v>8415</v>
      </c>
      <c r="BF865" s="2" t="str">
        <f>HYPERLINK("http://dx.doi.org/10.5755/j01.eie.22.2.14603","http://dx.doi.org/10.5755/j01.eie.22.2.14603")</f>
        <v>http://dx.doi.org/10.5755/j01.eie.22.2.14603</v>
      </c>
      <c r="BG865" s="1" t="s">
        <v>74</v>
      </c>
      <c r="BH865" s="1" t="s">
        <v>74</v>
      </c>
      <c r="BI865" s="1" t="s">
        <v>74</v>
      </c>
      <c r="BJ865" s="1" t="s">
        <v>74</v>
      </c>
      <c r="BK865" s="1" t="s">
        <v>74</v>
      </c>
      <c r="BL865" s="1" t="s">
        <v>74</v>
      </c>
      <c r="BM865" s="1" t="s">
        <v>74</v>
      </c>
      <c r="BN865" s="1" t="s">
        <v>74</v>
      </c>
      <c r="BO865" s="1" t="s">
        <v>74</v>
      </c>
      <c r="BP865" s="1" t="s">
        <v>74</v>
      </c>
      <c r="BQ865" s="1" t="s">
        <v>74</v>
      </c>
      <c r="BR865" s="1" t="s">
        <v>74</v>
      </c>
      <c r="BS865" s="1" t="s">
        <v>8416</v>
      </c>
      <c r="BT865" s="1" t="str">
        <f>HYPERLINK("https%3A%2F%2Fwww.webofscience.com%2Fwos%2Fwoscc%2Ffull-record%2FWOS:000377541700020","View Full Record in Web of Science")</f>
        <v>View Full Record in Web of Science</v>
      </c>
    </row>
    <row r="866" ht="12.75" customHeight="1">
      <c r="A866" s="1" t="s">
        <v>72</v>
      </c>
      <c r="B866" s="1" t="s">
        <v>8417</v>
      </c>
      <c r="C866" s="1" t="s">
        <v>74</v>
      </c>
      <c r="D866" s="1" t="s">
        <v>74</v>
      </c>
      <c r="E866" s="1" t="s">
        <v>74</v>
      </c>
      <c r="F866" s="1" t="s">
        <v>8418</v>
      </c>
      <c r="G866" s="1" t="s">
        <v>74</v>
      </c>
      <c r="H866" s="1" t="s">
        <v>74</v>
      </c>
      <c r="I866" s="1" t="s">
        <v>8419</v>
      </c>
      <c r="J866" s="1" t="s">
        <v>5636</v>
      </c>
      <c r="K866" s="1" t="s">
        <v>74</v>
      </c>
      <c r="L866" s="1" t="s">
        <v>74</v>
      </c>
      <c r="M866" s="1" t="s">
        <v>74</v>
      </c>
      <c r="N866" s="1" t="s">
        <v>74</v>
      </c>
      <c r="O866" s="1" t="s">
        <v>74</v>
      </c>
      <c r="P866" s="1" t="s">
        <v>74</v>
      </c>
      <c r="Q866" s="1" t="s">
        <v>74</v>
      </c>
      <c r="R866" s="1" t="s">
        <v>74</v>
      </c>
      <c r="S866" s="1" t="s">
        <v>74</v>
      </c>
      <c r="T866" s="1" t="s">
        <v>74</v>
      </c>
      <c r="U866" s="1" t="s">
        <v>74</v>
      </c>
      <c r="V866" s="1" t="s">
        <v>8420</v>
      </c>
      <c r="W866" s="1" t="s">
        <v>74</v>
      </c>
      <c r="X866" s="1" t="s">
        <v>74</v>
      </c>
      <c r="Y866" s="1" t="s">
        <v>74</v>
      </c>
      <c r="Z866" s="1" t="s">
        <v>74</v>
      </c>
      <c r="AA866" s="1" t="s">
        <v>8421</v>
      </c>
      <c r="AB866" s="1" t="s">
        <v>8422</v>
      </c>
      <c r="AC866" s="1" t="s">
        <v>74</v>
      </c>
      <c r="AD866" s="1" t="s">
        <v>74</v>
      </c>
      <c r="AE866" s="1" t="s">
        <v>74</v>
      </c>
      <c r="AF866" s="1" t="s">
        <v>74</v>
      </c>
      <c r="AG866" s="1" t="s">
        <v>74</v>
      </c>
      <c r="AH866" s="1" t="s">
        <v>74</v>
      </c>
      <c r="AI866" s="1" t="s">
        <v>74</v>
      </c>
      <c r="AJ866" s="1" t="s">
        <v>74</v>
      </c>
      <c r="AK866" s="1" t="s">
        <v>74</v>
      </c>
      <c r="AL866" s="1" t="s">
        <v>74</v>
      </c>
      <c r="AM866" s="1" t="s">
        <v>74</v>
      </c>
      <c r="AN866" s="1" t="s">
        <v>74</v>
      </c>
      <c r="AO866" s="1" t="s">
        <v>5644</v>
      </c>
      <c r="AP866" s="1" t="s">
        <v>5645</v>
      </c>
      <c r="AQ866" s="1" t="s">
        <v>74</v>
      </c>
      <c r="AR866" s="1" t="s">
        <v>74</v>
      </c>
      <c r="AS866" s="1" t="s">
        <v>74</v>
      </c>
      <c r="AT866" s="1" t="s">
        <v>8423</v>
      </c>
      <c r="AU866" s="1">
        <v>2015.0</v>
      </c>
      <c r="AV866" s="1">
        <v>396.0</v>
      </c>
      <c r="AW866" s="1" t="s">
        <v>74</v>
      </c>
      <c r="AX866" s="1" t="s">
        <v>74</v>
      </c>
      <c r="AY866" s="1" t="s">
        <v>74</v>
      </c>
      <c r="AZ866" s="1" t="s">
        <v>74</v>
      </c>
      <c r="BA866" s="1" t="s">
        <v>74</v>
      </c>
      <c r="BB866" s="1">
        <v>327.0</v>
      </c>
      <c r="BC866" s="1">
        <v>332.0</v>
      </c>
      <c r="BD866" s="1" t="s">
        <v>74</v>
      </c>
      <c r="BE866" s="1" t="s">
        <v>8424</v>
      </c>
      <c r="BF866" s="2" t="str">
        <f>HYPERLINK("http://dx.doi.org/10.1016/j.jmmm.2015.08.056","http://dx.doi.org/10.1016/j.jmmm.2015.08.056")</f>
        <v>http://dx.doi.org/10.1016/j.jmmm.2015.08.056</v>
      </c>
      <c r="BG866" s="1" t="s">
        <v>74</v>
      </c>
      <c r="BH866" s="1" t="s">
        <v>74</v>
      </c>
      <c r="BI866" s="1" t="s">
        <v>74</v>
      </c>
      <c r="BJ866" s="1" t="s">
        <v>74</v>
      </c>
      <c r="BK866" s="1" t="s">
        <v>74</v>
      </c>
      <c r="BL866" s="1" t="s">
        <v>74</v>
      </c>
      <c r="BM866" s="1" t="s">
        <v>74</v>
      </c>
      <c r="BN866" s="1" t="s">
        <v>74</v>
      </c>
      <c r="BO866" s="1" t="s">
        <v>74</v>
      </c>
      <c r="BP866" s="1" t="s">
        <v>74</v>
      </c>
      <c r="BQ866" s="1" t="s">
        <v>74</v>
      </c>
      <c r="BR866" s="1" t="s">
        <v>74</v>
      </c>
      <c r="BS866" s="1" t="s">
        <v>8425</v>
      </c>
      <c r="BT866" s="1" t="str">
        <f>HYPERLINK("https%3A%2F%2Fwww.webofscience.com%2Fwos%2Fwoscc%2Ffull-record%2FWOS:000360652700051","View Full Record in Web of Science")</f>
        <v>View Full Record in Web of Science</v>
      </c>
    </row>
    <row r="867" ht="12.75" customHeight="1">
      <c r="A867" s="1" t="s">
        <v>72</v>
      </c>
      <c r="B867" s="1" t="s">
        <v>8426</v>
      </c>
      <c r="C867" s="1" t="s">
        <v>74</v>
      </c>
      <c r="D867" s="1" t="s">
        <v>74</v>
      </c>
      <c r="E867" s="1" t="s">
        <v>74</v>
      </c>
      <c r="F867" s="1" t="s">
        <v>8427</v>
      </c>
      <c r="G867" s="1" t="s">
        <v>74</v>
      </c>
      <c r="H867" s="1" t="s">
        <v>74</v>
      </c>
      <c r="I867" s="1" t="s">
        <v>8428</v>
      </c>
      <c r="J867" s="1" t="s">
        <v>948</v>
      </c>
      <c r="K867" s="1" t="s">
        <v>74</v>
      </c>
      <c r="L867" s="1" t="s">
        <v>74</v>
      </c>
      <c r="M867" s="1" t="s">
        <v>74</v>
      </c>
      <c r="N867" s="1" t="s">
        <v>74</v>
      </c>
      <c r="O867" s="1" t="s">
        <v>74</v>
      </c>
      <c r="P867" s="1" t="s">
        <v>74</v>
      </c>
      <c r="Q867" s="1" t="s">
        <v>74</v>
      </c>
      <c r="R867" s="1" t="s">
        <v>74</v>
      </c>
      <c r="S867" s="1" t="s">
        <v>74</v>
      </c>
      <c r="T867" s="1" t="s">
        <v>74</v>
      </c>
      <c r="U867" s="1" t="s">
        <v>74</v>
      </c>
      <c r="V867" s="1" t="s">
        <v>8429</v>
      </c>
      <c r="W867" s="1" t="s">
        <v>74</v>
      </c>
      <c r="X867" s="1" t="s">
        <v>74</v>
      </c>
      <c r="Y867" s="1" t="s">
        <v>74</v>
      </c>
      <c r="Z867" s="1" t="s">
        <v>74</v>
      </c>
      <c r="AA867" s="1" t="s">
        <v>8430</v>
      </c>
      <c r="AB867" s="1" t="s">
        <v>8431</v>
      </c>
      <c r="AC867" s="1" t="s">
        <v>74</v>
      </c>
      <c r="AD867" s="1" t="s">
        <v>74</v>
      </c>
      <c r="AE867" s="1" t="s">
        <v>74</v>
      </c>
      <c r="AF867" s="1" t="s">
        <v>74</v>
      </c>
      <c r="AG867" s="1" t="s">
        <v>74</v>
      </c>
      <c r="AH867" s="1" t="s">
        <v>74</v>
      </c>
      <c r="AI867" s="1" t="s">
        <v>74</v>
      </c>
      <c r="AJ867" s="1" t="s">
        <v>74</v>
      </c>
      <c r="AK867" s="1" t="s">
        <v>74</v>
      </c>
      <c r="AL867" s="1" t="s">
        <v>74</v>
      </c>
      <c r="AM867" s="1" t="s">
        <v>74</v>
      </c>
      <c r="AN867" s="1" t="s">
        <v>74</v>
      </c>
      <c r="AO867" s="1" t="s">
        <v>951</v>
      </c>
      <c r="AP867" s="1" t="s">
        <v>952</v>
      </c>
      <c r="AQ867" s="1" t="s">
        <v>74</v>
      </c>
      <c r="AR867" s="1" t="s">
        <v>74</v>
      </c>
      <c r="AS867" s="1" t="s">
        <v>74</v>
      </c>
      <c r="AT867" s="1" t="s">
        <v>8432</v>
      </c>
      <c r="AU867" s="1">
        <v>2015.0</v>
      </c>
      <c r="AV867" s="1">
        <v>119.0</v>
      </c>
      <c r="AW867" s="1">
        <v>26.0</v>
      </c>
      <c r="AX867" s="1" t="s">
        <v>74</v>
      </c>
      <c r="AY867" s="1" t="s">
        <v>74</v>
      </c>
      <c r="AZ867" s="1" t="s">
        <v>74</v>
      </c>
      <c r="BA867" s="1" t="s">
        <v>74</v>
      </c>
      <c r="BB867" s="1">
        <v>6909.0</v>
      </c>
      <c r="BC867" s="1">
        <v>6918.0</v>
      </c>
      <c r="BD867" s="1" t="s">
        <v>74</v>
      </c>
      <c r="BE867" s="1" t="s">
        <v>8433</v>
      </c>
      <c r="BF867" s="2" t="str">
        <f>HYPERLINK("http://dx.doi.org/10.1021/acs.jpca.5b03832","http://dx.doi.org/10.1021/acs.jpca.5b03832")</f>
        <v>http://dx.doi.org/10.1021/acs.jpca.5b03832</v>
      </c>
      <c r="BG867" s="1" t="s">
        <v>74</v>
      </c>
      <c r="BH867" s="1" t="s">
        <v>74</v>
      </c>
      <c r="BI867" s="1" t="s">
        <v>74</v>
      </c>
      <c r="BJ867" s="1" t="s">
        <v>74</v>
      </c>
      <c r="BK867" s="1" t="s">
        <v>74</v>
      </c>
      <c r="BL867" s="1" t="s">
        <v>74</v>
      </c>
      <c r="BM867" s="1" t="s">
        <v>74</v>
      </c>
      <c r="BN867" s="1">
        <v>2.6061641E7</v>
      </c>
      <c r="BO867" s="1" t="s">
        <v>74</v>
      </c>
      <c r="BP867" s="1" t="s">
        <v>74</v>
      </c>
      <c r="BQ867" s="1" t="s">
        <v>74</v>
      </c>
      <c r="BR867" s="1" t="s">
        <v>74</v>
      </c>
      <c r="BS867" s="1" t="s">
        <v>8434</v>
      </c>
      <c r="BT867" s="1" t="str">
        <f>HYPERLINK("https%3A%2F%2Fwww.webofscience.com%2Fwos%2Fwoscc%2Ffull-record%2FWOS:000357623600016","View Full Record in Web of Science")</f>
        <v>View Full Record in Web of Science</v>
      </c>
    </row>
    <row r="868" ht="12.75" customHeight="1">
      <c r="A868" s="1" t="s">
        <v>72</v>
      </c>
      <c r="B868" s="1" t="s">
        <v>8435</v>
      </c>
      <c r="C868" s="1" t="s">
        <v>74</v>
      </c>
      <c r="D868" s="1" t="s">
        <v>74</v>
      </c>
      <c r="E868" s="1" t="s">
        <v>74</v>
      </c>
      <c r="F868" s="1" t="s">
        <v>8436</v>
      </c>
      <c r="G868" s="1" t="s">
        <v>74</v>
      </c>
      <c r="H868" s="1" t="s">
        <v>74</v>
      </c>
      <c r="I868" s="1" t="s">
        <v>8437</v>
      </c>
      <c r="J868" s="1" t="s">
        <v>8438</v>
      </c>
      <c r="K868" s="1" t="s">
        <v>74</v>
      </c>
      <c r="L868" s="1" t="s">
        <v>74</v>
      </c>
      <c r="M868" s="1" t="s">
        <v>74</v>
      </c>
      <c r="N868" s="1" t="s">
        <v>74</v>
      </c>
      <c r="O868" s="1" t="s">
        <v>74</v>
      </c>
      <c r="P868" s="1" t="s">
        <v>74</v>
      </c>
      <c r="Q868" s="1" t="s">
        <v>74</v>
      </c>
      <c r="R868" s="1" t="s">
        <v>74</v>
      </c>
      <c r="S868" s="1" t="s">
        <v>74</v>
      </c>
      <c r="T868" s="1" t="s">
        <v>74</v>
      </c>
      <c r="U868" s="1" t="s">
        <v>74</v>
      </c>
      <c r="V868" s="1" t="s">
        <v>8439</v>
      </c>
      <c r="W868" s="1" t="s">
        <v>74</v>
      </c>
      <c r="X868" s="1" t="s">
        <v>74</v>
      </c>
      <c r="Y868" s="1" t="s">
        <v>74</v>
      </c>
      <c r="Z868" s="1" t="s">
        <v>74</v>
      </c>
      <c r="AA868" s="1" t="s">
        <v>8440</v>
      </c>
      <c r="AB868" s="1" t="s">
        <v>8441</v>
      </c>
      <c r="AC868" s="1" t="s">
        <v>74</v>
      </c>
      <c r="AD868" s="1" t="s">
        <v>74</v>
      </c>
      <c r="AE868" s="1" t="s">
        <v>74</v>
      </c>
      <c r="AF868" s="1" t="s">
        <v>74</v>
      </c>
      <c r="AG868" s="1" t="s">
        <v>74</v>
      </c>
      <c r="AH868" s="1" t="s">
        <v>74</v>
      </c>
      <c r="AI868" s="1" t="s">
        <v>74</v>
      </c>
      <c r="AJ868" s="1" t="s">
        <v>74</v>
      </c>
      <c r="AK868" s="1" t="s">
        <v>74</v>
      </c>
      <c r="AL868" s="1" t="s">
        <v>74</v>
      </c>
      <c r="AM868" s="1" t="s">
        <v>74</v>
      </c>
      <c r="AN868" s="1" t="s">
        <v>74</v>
      </c>
      <c r="AO868" s="1" t="s">
        <v>8442</v>
      </c>
      <c r="AP868" s="1" t="s">
        <v>8443</v>
      </c>
      <c r="AQ868" s="1" t="s">
        <v>74</v>
      </c>
      <c r="AR868" s="1" t="s">
        <v>74</v>
      </c>
      <c r="AS868" s="1" t="s">
        <v>74</v>
      </c>
      <c r="AT868" s="1" t="s">
        <v>696</v>
      </c>
      <c r="AU868" s="1">
        <v>2015.0</v>
      </c>
      <c r="AV868" s="1">
        <v>29.0</v>
      </c>
      <c r="AW868" s="1">
        <v>1.0</v>
      </c>
      <c r="AX868" s="1" t="s">
        <v>74</v>
      </c>
      <c r="AY868" s="1" t="s">
        <v>74</v>
      </c>
      <c r="AZ868" s="1" t="s">
        <v>74</v>
      </c>
      <c r="BA868" s="1" t="s">
        <v>74</v>
      </c>
      <c r="BB868" s="1">
        <v>131.0</v>
      </c>
      <c r="BC868" s="1">
        <v>141.0</v>
      </c>
      <c r="BD868" s="1" t="s">
        <v>74</v>
      </c>
      <c r="BE868" s="1" t="s">
        <v>8444</v>
      </c>
      <c r="BF868" s="2" t="str">
        <f>HYPERLINK("http://dx.doi.org/10.1007/s00477-014-0888-1","http://dx.doi.org/10.1007/s00477-014-0888-1")</f>
        <v>http://dx.doi.org/10.1007/s00477-014-0888-1</v>
      </c>
      <c r="BG868" s="1" t="s">
        <v>74</v>
      </c>
      <c r="BH868" s="1" t="s">
        <v>74</v>
      </c>
      <c r="BI868" s="1" t="s">
        <v>74</v>
      </c>
      <c r="BJ868" s="1" t="s">
        <v>74</v>
      </c>
      <c r="BK868" s="1" t="s">
        <v>74</v>
      </c>
      <c r="BL868" s="1" t="s">
        <v>74</v>
      </c>
      <c r="BM868" s="1" t="s">
        <v>74</v>
      </c>
      <c r="BN868" s="1" t="s">
        <v>74</v>
      </c>
      <c r="BO868" s="1" t="s">
        <v>74</v>
      </c>
      <c r="BP868" s="1" t="s">
        <v>74</v>
      </c>
      <c r="BQ868" s="1" t="s">
        <v>74</v>
      </c>
      <c r="BR868" s="1" t="s">
        <v>74</v>
      </c>
      <c r="BS868" s="1" t="s">
        <v>8445</v>
      </c>
      <c r="BT868" s="1" t="str">
        <f>HYPERLINK("https%3A%2F%2Fwww.webofscience.com%2Fwos%2Fwoscc%2Ffull-record%2FWOS:000345335400011","View Full Record in Web of Science")</f>
        <v>View Full Record in Web of Science</v>
      </c>
    </row>
    <row r="869" ht="12.75" customHeight="1">
      <c r="A869" s="1" t="s">
        <v>72</v>
      </c>
      <c r="B869" s="1" t="s">
        <v>8446</v>
      </c>
      <c r="C869" s="1" t="s">
        <v>74</v>
      </c>
      <c r="D869" s="1" t="s">
        <v>74</v>
      </c>
      <c r="E869" s="1" t="s">
        <v>74</v>
      </c>
      <c r="F869" s="1" t="s">
        <v>8447</v>
      </c>
      <c r="G869" s="1" t="s">
        <v>74</v>
      </c>
      <c r="H869" s="1" t="s">
        <v>74</v>
      </c>
      <c r="I869" s="1" t="s">
        <v>8448</v>
      </c>
      <c r="J869" s="1" t="s">
        <v>4401</v>
      </c>
      <c r="K869" s="1" t="s">
        <v>74</v>
      </c>
      <c r="L869" s="1" t="s">
        <v>74</v>
      </c>
      <c r="M869" s="1" t="s">
        <v>74</v>
      </c>
      <c r="N869" s="1" t="s">
        <v>74</v>
      </c>
      <c r="O869" s="1" t="s">
        <v>74</v>
      </c>
      <c r="P869" s="1" t="s">
        <v>74</v>
      </c>
      <c r="Q869" s="1" t="s">
        <v>74</v>
      </c>
      <c r="R869" s="1" t="s">
        <v>74</v>
      </c>
      <c r="S869" s="1" t="s">
        <v>74</v>
      </c>
      <c r="T869" s="1" t="s">
        <v>74</v>
      </c>
      <c r="U869" s="1" t="s">
        <v>74</v>
      </c>
      <c r="V869" s="1" t="s">
        <v>8449</v>
      </c>
      <c r="W869" s="1" t="s">
        <v>74</v>
      </c>
      <c r="X869" s="1" t="s">
        <v>74</v>
      </c>
      <c r="Y869" s="1" t="s">
        <v>74</v>
      </c>
      <c r="Z869" s="1" t="s">
        <v>74</v>
      </c>
      <c r="AA869" s="1" t="s">
        <v>8450</v>
      </c>
      <c r="AB869" s="1" t="s">
        <v>8451</v>
      </c>
      <c r="AC869" s="1" t="s">
        <v>74</v>
      </c>
      <c r="AD869" s="1" t="s">
        <v>74</v>
      </c>
      <c r="AE869" s="1" t="s">
        <v>74</v>
      </c>
      <c r="AF869" s="1" t="s">
        <v>74</v>
      </c>
      <c r="AG869" s="1" t="s">
        <v>74</v>
      </c>
      <c r="AH869" s="1" t="s">
        <v>74</v>
      </c>
      <c r="AI869" s="1" t="s">
        <v>74</v>
      </c>
      <c r="AJ869" s="1" t="s">
        <v>74</v>
      </c>
      <c r="AK869" s="1" t="s">
        <v>74</v>
      </c>
      <c r="AL869" s="1" t="s">
        <v>74</v>
      </c>
      <c r="AM869" s="1" t="s">
        <v>74</v>
      </c>
      <c r="AN869" s="1" t="s">
        <v>74</v>
      </c>
      <c r="AO869" s="1" t="s">
        <v>4405</v>
      </c>
      <c r="AP869" s="1" t="s">
        <v>4406</v>
      </c>
      <c r="AQ869" s="1" t="s">
        <v>74</v>
      </c>
      <c r="AR869" s="1" t="s">
        <v>74</v>
      </c>
      <c r="AS869" s="1" t="s">
        <v>74</v>
      </c>
      <c r="AT869" s="1" t="s">
        <v>5745</v>
      </c>
      <c r="AU869" s="1">
        <v>2014.0</v>
      </c>
      <c r="AV869" s="1">
        <v>614.0</v>
      </c>
      <c r="AW869" s="1" t="s">
        <v>74</v>
      </c>
      <c r="AX869" s="1" t="s">
        <v>74</v>
      </c>
      <c r="AY869" s="1" t="s">
        <v>74</v>
      </c>
      <c r="AZ869" s="1" t="s">
        <v>74</v>
      </c>
      <c r="BA869" s="1" t="s">
        <v>74</v>
      </c>
      <c r="BB869" s="1">
        <v>176.0</v>
      </c>
      <c r="BC869" s="1">
        <v>180.0</v>
      </c>
      <c r="BD869" s="1" t="s">
        <v>74</v>
      </c>
      <c r="BE869" s="1" t="s">
        <v>8452</v>
      </c>
      <c r="BF869" s="2" t="str">
        <f>HYPERLINK("http://dx.doi.org/10.1016/j.cplett.2014.09.033","http://dx.doi.org/10.1016/j.cplett.2014.09.033")</f>
        <v>http://dx.doi.org/10.1016/j.cplett.2014.09.033</v>
      </c>
      <c r="BG869" s="1" t="s">
        <v>74</v>
      </c>
      <c r="BH869" s="1" t="s">
        <v>74</v>
      </c>
      <c r="BI869" s="1" t="s">
        <v>74</v>
      </c>
      <c r="BJ869" s="1" t="s">
        <v>74</v>
      </c>
      <c r="BK869" s="1" t="s">
        <v>74</v>
      </c>
      <c r="BL869" s="1" t="s">
        <v>74</v>
      </c>
      <c r="BM869" s="1" t="s">
        <v>74</v>
      </c>
      <c r="BN869" s="1" t="s">
        <v>74</v>
      </c>
      <c r="BO869" s="1" t="s">
        <v>74</v>
      </c>
      <c r="BP869" s="1" t="s">
        <v>74</v>
      </c>
      <c r="BQ869" s="1" t="s">
        <v>74</v>
      </c>
      <c r="BR869" s="1" t="s">
        <v>74</v>
      </c>
      <c r="BS869" s="1" t="s">
        <v>8453</v>
      </c>
      <c r="BT869" s="1" t="str">
        <f>HYPERLINK("https%3A%2F%2Fwww.webofscience.com%2Fwos%2Fwoscc%2Ffull-record%2FWOS:000344429200035","View Full Record in Web of Science")</f>
        <v>View Full Record in Web of Science</v>
      </c>
    </row>
    <row r="870" ht="12.75" customHeight="1">
      <c r="A870" s="1" t="s">
        <v>72</v>
      </c>
      <c r="B870" s="1" t="s">
        <v>8454</v>
      </c>
      <c r="C870" s="1" t="s">
        <v>74</v>
      </c>
      <c r="D870" s="1" t="s">
        <v>74</v>
      </c>
      <c r="E870" s="1" t="s">
        <v>74</v>
      </c>
      <c r="F870" s="1" t="s">
        <v>8455</v>
      </c>
      <c r="G870" s="1" t="s">
        <v>74</v>
      </c>
      <c r="H870" s="1" t="s">
        <v>74</v>
      </c>
      <c r="I870" s="1" t="s">
        <v>8456</v>
      </c>
      <c r="J870" s="1" t="s">
        <v>8457</v>
      </c>
      <c r="K870" s="1" t="s">
        <v>74</v>
      </c>
      <c r="L870" s="1" t="s">
        <v>74</v>
      </c>
      <c r="M870" s="1" t="s">
        <v>74</v>
      </c>
      <c r="N870" s="1" t="s">
        <v>74</v>
      </c>
      <c r="O870" s="1" t="s">
        <v>74</v>
      </c>
      <c r="P870" s="1" t="s">
        <v>74</v>
      </c>
      <c r="Q870" s="1" t="s">
        <v>74</v>
      </c>
      <c r="R870" s="1" t="s">
        <v>74</v>
      </c>
      <c r="S870" s="1" t="s">
        <v>74</v>
      </c>
      <c r="T870" s="1" t="s">
        <v>74</v>
      </c>
      <c r="U870" s="1" t="s">
        <v>74</v>
      </c>
      <c r="V870" s="1" t="s">
        <v>74</v>
      </c>
      <c r="W870" s="1" t="s">
        <v>74</v>
      </c>
      <c r="X870" s="1" t="s">
        <v>74</v>
      </c>
      <c r="Y870" s="1" t="s">
        <v>74</v>
      </c>
      <c r="Z870" s="1" t="s">
        <v>74</v>
      </c>
      <c r="AA870" s="1" t="s">
        <v>8458</v>
      </c>
      <c r="AB870" s="1" t="s">
        <v>8459</v>
      </c>
      <c r="AC870" s="1" t="s">
        <v>74</v>
      </c>
      <c r="AD870" s="1" t="s">
        <v>74</v>
      </c>
      <c r="AE870" s="1" t="s">
        <v>74</v>
      </c>
      <c r="AF870" s="1" t="s">
        <v>74</v>
      </c>
      <c r="AG870" s="1" t="s">
        <v>74</v>
      </c>
      <c r="AH870" s="1" t="s">
        <v>74</v>
      </c>
      <c r="AI870" s="1" t="s">
        <v>74</v>
      </c>
      <c r="AJ870" s="1" t="s">
        <v>74</v>
      </c>
      <c r="AK870" s="1" t="s">
        <v>74</v>
      </c>
      <c r="AL870" s="1" t="s">
        <v>74</v>
      </c>
      <c r="AM870" s="1" t="s">
        <v>74</v>
      </c>
      <c r="AN870" s="1" t="s">
        <v>74</v>
      </c>
      <c r="AO870" s="1" t="s">
        <v>8460</v>
      </c>
      <c r="AP870" s="1" t="s">
        <v>8461</v>
      </c>
      <c r="AQ870" s="1" t="s">
        <v>74</v>
      </c>
      <c r="AR870" s="1" t="s">
        <v>74</v>
      </c>
      <c r="AS870" s="1" t="s">
        <v>74</v>
      </c>
      <c r="AT870" s="1" t="s">
        <v>339</v>
      </c>
      <c r="AU870" s="1">
        <v>2014.0</v>
      </c>
      <c r="AV870" s="1">
        <v>212.0</v>
      </c>
      <c r="AW870" s="1" t="s">
        <v>74</v>
      </c>
      <c r="AX870" s="1" t="s">
        <v>74</v>
      </c>
      <c r="AY870" s="1">
        <v>698.0</v>
      </c>
      <c r="AZ870" s="1" t="s">
        <v>445</v>
      </c>
      <c r="BA870" s="1" t="s">
        <v>8462</v>
      </c>
      <c r="BB870" s="1">
        <v>31.0</v>
      </c>
      <c r="BC870" s="1">
        <v>32.0</v>
      </c>
      <c r="BD870" s="1" t="s">
        <v>74</v>
      </c>
      <c r="BE870" s="1" t="s">
        <v>74</v>
      </c>
      <c r="BF870" s="1" t="s">
        <v>74</v>
      </c>
      <c r="BG870" s="1" t="s">
        <v>74</v>
      </c>
      <c r="BH870" s="1" t="s">
        <v>74</v>
      </c>
      <c r="BI870" s="1" t="s">
        <v>74</v>
      </c>
      <c r="BJ870" s="1" t="s">
        <v>74</v>
      </c>
      <c r="BK870" s="1" t="s">
        <v>74</v>
      </c>
      <c r="BL870" s="1" t="s">
        <v>74</v>
      </c>
      <c r="BM870" s="1" t="s">
        <v>74</v>
      </c>
      <c r="BN870" s="1" t="s">
        <v>74</v>
      </c>
      <c r="BO870" s="1" t="s">
        <v>74</v>
      </c>
      <c r="BP870" s="1" t="s">
        <v>74</v>
      </c>
      <c r="BQ870" s="1" t="s">
        <v>74</v>
      </c>
      <c r="BR870" s="1" t="s">
        <v>74</v>
      </c>
      <c r="BS870" s="1" t="s">
        <v>8463</v>
      </c>
      <c r="BT870" s="1" t="str">
        <f>HYPERLINK("https%3A%2F%2Fwww.webofscience.com%2Fwos%2Fwoscc%2Ffull-record%2FWOS:000342750000063","View Full Record in Web of Science")</f>
        <v>View Full Record in Web of Science</v>
      </c>
    </row>
    <row r="871" ht="12.75" customHeight="1">
      <c r="A871" s="1" t="s">
        <v>72</v>
      </c>
      <c r="B871" s="1" t="s">
        <v>8464</v>
      </c>
      <c r="C871" s="1" t="s">
        <v>74</v>
      </c>
      <c r="D871" s="1" t="s">
        <v>74</v>
      </c>
      <c r="E871" s="1" t="s">
        <v>74</v>
      </c>
      <c r="F871" s="1" t="s">
        <v>8465</v>
      </c>
      <c r="G871" s="1" t="s">
        <v>74</v>
      </c>
      <c r="H871" s="1" t="s">
        <v>74</v>
      </c>
      <c r="I871" s="1" t="s">
        <v>8466</v>
      </c>
      <c r="J871" s="1" t="s">
        <v>8467</v>
      </c>
      <c r="K871" s="1" t="s">
        <v>74</v>
      </c>
      <c r="L871" s="1" t="s">
        <v>74</v>
      </c>
      <c r="M871" s="1" t="s">
        <v>74</v>
      </c>
      <c r="N871" s="1" t="s">
        <v>74</v>
      </c>
      <c r="O871" s="1" t="s">
        <v>74</v>
      </c>
      <c r="P871" s="1" t="s">
        <v>74</v>
      </c>
      <c r="Q871" s="1" t="s">
        <v>74</v>
      </c>
      <c r="R871" s="1" t="s">
        <v>74</v>
      </c>
      <c r="S871" s="1" t="s">
        <v>74</v>
      </c>
      <c r="T871" s="1" t="s">
        <v>74</v>
      </c>
      <c r="U871" s="1" t="s">
        <v>74</v>
      </c>
      <c r="V871" s="1" t="s">
        <v>8468</v>
      </c>
      <c r="W871" s="1" t="s">
        <v>74</v>
      </c>
      <c r="X871" s="1" t="s">
        <v>74</v>
      </c>
      <c r="Y871" s="1" t="s">
        <v>74</v>
      </c>
      <c r="Z871" s="1" t="s">
        <v>74</v>
      </c>
      <c r="AA871" s="1" t="s">
        <v>8469</v>
      </c>
      <c r="AB871" s="1" t="s">
        <v>8470</v>
      </c>
      <c r="AC871" s="1" t="s">
        <v>74</v>
      </c>
      <c r="AD871" s="1" t="s">
        <v>74</v>
      </c>
      <c r="AE871" s="1" t="s">
        <v>74</v>
      </c>
      <c r="AF871" s="1" t="s">
        <v>74</v>
      </c>
      <c r="AG871" s="1" t="s">
        <v>74</v>
      </c>
      <c r="AH871" s="1" t="s">
        <v>74</v>
      </c>
      <c r="AI871" s="1" t="s">
        <v>74</v>
      </c>
      <c r="AJ871" s="1" t="s">
        <v>74</v>
      </c>
      <c r="AK871" s="1" t="s">
        <v>74</v>
      </c>
      <c r="AL871" s="1" t="s">
        <v>74</v>
      </c>
      <c r="AM871" s="1" t="s">
        <v>74</v>
      </c>
      <c r="AN871" s="1" t="s">
        <v>74</v>
      </c>
      <c r="AO871" s="1" t="s">
        <v>8471</v>
      </c>
      <c r="AP871" s="1" t="s">
        <v>8472</v>
      </c>
      <c r="AQ871" s="1" t="s">
        <v>74</v>
      </c>
      <c r="AR871" s="1" t="s">
        <v>74</v>
      </c>
      <c r="AS871" s="1" t="s">
        <v>74</v>
      </c>
      <c r="AT871" s="1" t="s">
        <v>652</v>
      </c>
      <c r="AU871" s="1">
        <v>2012.0</v>
      </c>
      <c r="AV871" s="1">
        <v>49.0</v>
      </c>
      <c r="AW871" s="1">
        <v>6.0</v>
      </c>
      <c r="AX871" s="1" t="s">
        <v>74</v>
      </c>
      <c r="AY871" s="1" t="s">
        <v>74</v>
      </c>
      <c r="AZ871" s="1" t="s">
        <v>74</v>
      </c>
      <c r="BA871" s="1" t="s">
        <v>74</v>
      </c>
      <c r="BB871" s="1">
        <v>745.0</v>
      </c>
      <c r="BC871" s="1">
        <v>755.0</v>
      </c>
      <c r="BD871" s="1" t="s">
        <v>74</v>
      </c>
      <c r="BE871" s="1" t="s">
        <v>8473</v>
      </c>
      <c r="BF871" s="2" t="str">
        <f>HYPERLINK("http://dx.doi.org/10.1088/0026-1394/49/6/745","http://dx.doi.org/10.1088/0026-1394/49/6/745")</f>
        <v>http://dx.doi.org/10.1088/0026-1394/49/6/745</v>
      </c>
      <c r="BG871" s="1" t="s">
        <v>74</v>
      </c>
      <c r="BH871" s="1" t="s">
        <v>74</v>
      </c>
      <c r="BI871" s="1" t="s">
        <v>74</v>
      </c>
      <c r="BJ871" s="1" t="s">
        <v>74</v>
      </c>
      <c r="BK871" s="1" t="s">
        <v>74</v>
      </c>
      <c r="BL871" s="1" t="s">
        <v>74</v>
      </c>
      <c r="BM871" s="1" t="s">
        <v>74</v>
      </c>
      <c r="BN871" s="1" t="s">
        <v>74</v>
      </c>
      <c r="BO871" s="1" t="s">
        <v>74</v>
      </c>
      <c r="BP871" s="1" t="s">
        <v>74</v>
      </c>
      <c r="BQ871" s="1" t="s">
        <v>74</v>
      </c>
      <c r="BR871" s="1" t="s">
        <v>74</v>
      </c>
      <c r="BS871" s="1" t="s">
        <v>8474</v>
      </c>
      <c r="BT871" s="1" t="str">
        <f>HYPERLINK("https%3A%2F%2Fwww.webofscience.com%2Fwos%2Fwoscc%2Ffull-record%2FWOS:000311439100016","View Full Record in Web of Science")</f>
        <v>View Full Record in Web of Science</v>
      </c>
    </row>
    <row r="872" ht="12.75" customHeight="1">
      <c r="A872" s="1" t="s">
        <v>72</v>
      </c>
      <c r="B872" s="1" t="s">
        <v>8475</v>
      </c>
      <c r="C872" s="1" t="s">
        <v>74</v>
      </c>
      <c r="D872" s="1" t="s">
        <v>74</v>
      </c>
      <c r="E872" s="1" t="s">
        <v>74</v>
      </c>
      <c r="F872" s="1" t="s">
        <v>8476</v>
      </c>
      <c r="G872" s="1" t="s">
        <v>74</v>
      </c>
      <c r="H872" s="1" t="s">
        <v>74</v>
      </c>
      <c r="I872" s="1" t="s">
        <v>8477</v>
      </c>
      <c r="J872" s="1" t="s">
        <v>8478</v>
      </c>
      <c r="K872" s="1" t="s">
        <v>74</v>
      </c>
      <c r="L872" s="1" t="s">
        <v>74</v>
      </c>
      <c r="M872" s="1" t="s">
        <v>74</v>
      </c>
      <c r="N872" s="1" t="s">
        <v>74</v>
      </c>
      <c r="O872" s="1" t="s">
        <v>74</v>
      </c>
      <c r="P872" s="1" t="s">
        <v>74</v>
      </c>
      <c r="Q872" s="1" t="s">
        <v>74</v>
      </c>
      <c r="R872" s="1" t="s">
        <v>74</v>
      </c>
      <c r="S872" s="1" t="s">
        <v>74</v>
      </c>
      <c r="T872" s="1" t="s">
        <v>74</v>
      </c>
      <c r="U872" s="1" t="s">
        <v>74</v>
      </c>
      <c r="V872" s="1" t="s">
        <v>8479</v>
      </c>
      <c r="W872" s="1" t="s">
        <v>74</v>
      </c>
      <c r="X872" s="1" t="s">
        <v>74</v>
      </c>
      <c r="Y872" s="1" t="s">
        <v>74</v>
      </c>
      <c r="Z872" s="1" t="s">
        <v>74</v>
      </c>
      <c r="AA872" s="1" t="s">
        <v>8480</v>
      </c>
      <c r="AB872" s="1" t="s">
        <v>1638</v>
      </c>
      <c r="AC872" s="1" t="s">
        <v>74</v>
      </c>
      <c r="AD872" s="1" t="s">
        <v>74</v>
      </c>
      <c r="AE872" s="1" t="s">
        <v>74</v>
      </c>
      <c r="AF872" s="1" t="s">
        <v>74</v>
      </c>
      <c r="AG872" s="1" t="s">
        <v>74</v>
      </c>
      <c r="AH872" s="1" t="s">
        <v>74</v>
      </c>
      <c r="AI872" s="1" t="s">
        <v>74</v>
      </c>
      <c r="AJ872" s="1" t="s">
        <v>74</v>
      </c>
      <c r="AK872" s="1" t="s">
        <v>74</v>
      </c>
      <c r="AL872" s="1" t="s">
        <v>74</v>
      </c>
      <c r="AM872" s="1" t="s">
        <v>74</v>
      </c>
      <c r="AN872" s="1" t="s">
        <v>74</v>
      </c>
      <c r="AO872" s="1" t="s">
        <v>8481</v>
      </c>
      <c r="AP872" s="1" t="s">
        <v>74</v>
      </c>
      <c r="AQ872" s="1" t="s">
        <v>74</v>
      </c>
      <c r="AR872" s="1" t="s">
        <v>74</v>
      </c>
      <c r="AS872" s="1" t="s">
        <v>74</v>
      </c>
      <c r="AT872" s="1" t="s">
        <v>8482</v>
      </c>
      <c r="AU872" s="1">
        <v>2012.0</v>
      </c>
      <c r="AV872" s="1">
        <v>421.0</v>
      </c>
      <c r="AW872" s="1">
        <v>4.0</v>
      </c>
      <c r="AX872" s="1" t="s">
        <v>74</v>
      </c>
      <c r="AY872" s="1" t="s">
        <v>74</v>
      </c>
      <c r="AZ872" s="1" t="s">
        <v>74</v>
      </c>
      <c r="BA872" s="1" t="s">
        <v>74</v>
      </c>
      <c r="BB872" s="1">
        <v>721.0</v>
      </c>
      <c r="BC872" s="1">
        <v>726.0</v>
      </c>
      <c r="BD872" s="1" t="s">
        <v>74</v>
      </c>
      <c r="BE872" s="1" t="s">
        <v>8483</v>
      </c>
      <c r="BF872" s="2" t="str">
        <f>HYPERLINK("http://dx.doi.org/10.1016/j.bbrc.2012.04.069","http://dx.doi.org/10.1016/j.bbrc.2012.04.069")</f>
        <v>http://dx.doi.org/10.1016/j.bbrc.2012.04.069</v>
      </c>
      <c r="BG872" s="1" t="s">
        <v>74</v>
      </c>
      <c r="BH872" s="1" t="s">
        <v>74</v>
      </c>
      <c r="BI872" s="1" t="s">
        <v>74</v>
      </c>
      <c r="BJ872" s="1" t="s">
        <v>74</v>
      </c>
      <c r="BK872" s="1" t="s">
        <v>74</v>
      </c>
      <c r="BL872" s="1" t="s">
        <v>74</v>
      </c>
      <c r="BM872" s="1" t="s">
        <v>74</v>
      </c>
      <c r="BN872" s="1">
        <v>2.2542626E7</v>
      </c>
      <c r="BO872" s="1" t="s">
        <v>74</v>
      </c>
      <c r="BP872" s="1" t="s">
        <v>74</v>
      </c>
      <c r="BQ872" s="1" t="s">
        <v>74</v>
      </c>
      <c r="BR872" s="1" t="s">
        <v>74</v>
      </c>
      <c r="BS872" s="1" t="s">
        <v>8484</v>
      </c>
      <c r="BT872" s="1" t="str">
        <f>HYPERLINK("https%3A%2F%2Fwww.webofscience.com%2Fwos%2Fwoscc%2Ffull-record%2FWOS:000305168600015","View Full Record in Web of Science")</f>
        <v>View Full Record in Web of Science</v>
      </c>
    </row>
    <row r="873" ht="12.75" customHeight="1">
      <c r="A873" s="1" t="s">
        <v>72</v>
      </c>
      <c r="B873" s="1" t="s">
        <v>8485</v>
      </c>
      <c r="C873" s="1" t="s">
        <v>74</v>
      </c>
      <c r="D873" s="1" t="s">
        <v>74</v>
      </c>
      <c r="E873" s="1" t="s">
        <v>74</v>
      </c>
      <c r="F873" s="1" t="s">
        <v>8486</v>
      </c>
      <c r="G873" s="1" t="s">
        <v>74</v>
      </c>
      <c r="H873" s="1" t="s">
        <v>74</v>
      </c>
      <c r="I873" s="1" t="s">
        <v>8487</v>
      </c>
      <c r="J873" s="1" t="s">
        <v>8488</v>
      </c>
      <c r="K873" s="1" t="s">
        <v>74</v>
      </c>
      <c r="L873" s="1" t="s">
        <v>74</v>
      </c>
      <c r="M873" s="1" t="s">
        <v>74</v>
      </c>
      <c r="N873" s="1" t="s">
        <v>74</v>
      </c>
      <c r="O873" s="1" t="s">
        <v>74</v>
      </c>
      <c r="P873" s="1" t="s">
        <v>74</v>
      </c>
      <c r="Q873" s="1" t="s">
        <v>74</v>
      </c>
      <c r="R873" s="1" t="s">
        <v>74</v>
      </c>
      <c r="S873" s="1" t="s">
        <v>74</v>
      </c>
      <c r="T873" s="1" t="s">
        <v>74</v>
      </c>
      <c r="U873" s="1" t="s">
        <v>74</v>
      </c>
      <c r="V873" s="1" t="s">
        <v>8489</v>
      </c>
      <c r="W873" s="1" t="s">
        <v>74</v>
      </c>
      <c r="X873" s="1" t="s">
        <v>74</v>
      </c>
      <c r="Y873" s="1" t="s">
        <v>74</v>
      </c>
      <c r="Z873" s="1" t="s">
        <v>74</v>
      </c>
      <c r="AA873" s="1" t="s">
        <v>74</v>
      </c>
      <c r="AB873" s="1" t="s">
        <v>74</v>
      </c>
      <c r="AC873" s="1" t="s">
        <v>74</v>
      </c>
      <c r="AD873" s="1" t="s">
        <v>74</v>
      </c>
      <c r="AE873" s="1" t="s">
        <v>74</v>
      </c>
      <c r="AF873" s="1" t="s">
        <v>74</v>
      </c>
      <c r="AG873" s="1" t="s">
        <v>74</v>
      </c>
      <c r="AH873" s="1" t="s">
        <v>74</v>
      </c>
      <c r="AI873" s="1" t="s">
        <v>74</v>
      </c>
      <c r="AJ873" s="1" t="s">
        <v>74</v>
      </c>
      <c r="AK873" s="1" t="s">
        <v>74</v>
      </c>
      <c r="AL873" s="1" t="s">
        <v>74</v>
      </c>
      <c r="AM873" s="1" t="s">
        <v>74</v>
      </c>
      <c r="AN873" s="1" t="s">
        <v>74</v>
      </c>
      <c r="AO873" s="1" t="s">
        <v>8490</v>
      </c>
      <c r="AP873" s="1" t="s">
        <v>74</v>
      </c>
      <c r="AQ873" s="1" t="s">
        <v>74</v>
      </c>
      <c r="AR873" s="1" t="s">
        <v>74</v>
      </c>
      <c r="AS873" s="1" t="s">
        <v>74</v>
      </c>
      <c r="AT873" s="1" t="s">
        <v>339</v>
      </c>
      <c r="AU873" s="1">
        <v>2011.0</v>
      </c>
      <c r="AV873" s="1">
        <v>87.0</v>
      </c>
      <c r="AW873" s="1">
        <v>278.0</v>
      </c>
      <c r="AX873" s="1" t="s">
        <v>74</v>
      </c>
      <c r="AY873" s="1" t="s">
        <v>74</v>
      </c>
      <c r="AZ873" s="1" t="s">
        <v>74</v>
      </c>
      <c r="BA873" s="1" t="s">
        <v>74</v>
      </c>
      <c r="BB873" s="1">
        <v>438.0</v>
      </c>
      <c r="BC873" s="1">
        <v>448.0</v>
      </c>
      <c r="BD873" s="1" t="s">
        <v>74</v>
      </c>
      <c r="BE873" s="1" t="s">
        <v>8491</v>
      </c>
      <c r="BF873" s="2" t="str">
        <f>HYPERLINK("http://dx.doi.org/10.1111/j.1475-4932.2010.00693.x","http://dx.doi.org/10.1111/j.1475-4932.2010.00693.x")</f>
        <v>http://dx.doi.org/10.1111/j.1475-4932.2010.00693.x</v>
      </c>
      <c r="BG873" s="1" t="s">
        <v>74</v>
      </c>
      <c r="BH873" s="1" t="s">
        <v>74</v>
      </c>
      <c r="BI873" s="1" t="s">
        <v>74</v>
      </c>
      <c r="BJ873" s="1" t="s">
        <v>74</v>
      </c>
      <c r="BK873" s="1" t="s">
        <v>74</v>
      </c>
      <c r="BL873" s="1" t="s">
        <v>74</v>
      </c>
      <c r="BM873" s="1" t="s">
        <v>74</v>
      </c>
      <c r="BN873" s="1" t="s">
        <v>74</v>
      </c>
      <c r="BO873" s="1" t="s">
        <v>74</v>
      </c>
      <c r="BP873" s="1" t="s">
        <v>74</v>
      </c>
      <c r="BQ873" s="1" t="s">
        <v>74</v>
      </c>
      <c r="BR873" s="1" t="s">
        <v>74</v>
      </c>
      <c r="BS873" s="1" t="s">
        <v>8492</v>
      </c>
      <c r="BT873" s="1" t="str">
        <f>HYPERLINK("https%3A%2F%2Fwww.webofscience.com%2Fwos%2Fwoscc%2Ffull-record%2FWOS:000294108500007","View Full Record in Web of Science")</f>
        <v>View Full Record in Web of Science</v>
      </c>
    </row>
    <row r="874" ht="12.75" customHeight="1">
      <c r="A874" s="1" t="s">
        <v>72</v>
      </c>
      <c r="B874" s="1" t="s">
        <v>8493</v>
      </c>
      <c r="C874" s="1" t="s">
        <v>74</v>
      </c>
      <c r="D874" s="1" t="s">
        <v>74</v>
      </c>
      <c r="E874" s="1" t="s">
        <v>74</v>
      </c>
      <c r="F874" s="1" t="s">
        <v>8494</v>
      </c>
      <c r="G874" s="1" t="s">
        <v>74</v>
      </c>
      <c r="H874" s="1" t="s">
        <v>74</v>
      </c>
      <c r="I874" s="1" t="s">
        <v>8495</v>
      </c>
      <c r="J874" s="1" t="s">
        <v>8496</v>
      </c>
      <c r="K874" s="1" t="s">
        <v>74</v>
      </c>
      <c r="L874" s="1" t="s">
        <v>74</v>
      </c>
      <c r="M874" s="1" t="s">
        <v>74</v>
      </c>
      <c r="N874" s="1" t="s">
        <v>74</v>
      </c>
      <c r="O874" s="1" t="s">
        <v>74</v>
      </c>
      <c r="P874" s="1" t="s">
        <v>74</v>
      </c>
      <c r="Q874" s="1" t="s">
        <v>74</v>
      </c>
      <c r="R874" s="1" t="s">
        <v>74</v>
      </c>
      <c r="S874" s="1" t="s">
        <v>74</v>
      </c>
      <c r="T874" s="1" t="s">
        <v>74</v>
      </c>
      <c r="U874" s="1" t="s">
        <v>74</v>
      </c>
      <c r="V874" s="1" t="s">
        <v>8497</v>
      </c>
      <c r="W874" s="1" t="s">
        <v>74</v>
      </c>
      <c r="X874" s="1" t="s">
        <v>74</v>
      </c>
      <c r="Y874" s="1" t="s">
        <v>74</v>
      </c>
      <c r="Z874" s="1" t="s">
        <v>74</v>
      </c>
      <c r="AA874" s="1" t="s">
        <v>3145</v>
      </c>
      <c r="AB874" s="1" t="s">
        <v>3146</v>
      </c>
      <c r="AC874" s="1" t="s">
        <v>74</v>
      </c>
      <c r="AD874" s="1" t="s">
        <v>74</v>
      </c>
      <c r="AE874" s="1" t="s">
        <v>74</v>
      </c>
      <c r="AF874" s="1" t="s">
        <v>74</v>
      </c>
      <c r="AG874" s="1" t="s">
        <v>74</v>
      </c>
      <c r="AH874" s="1" t="s">
        <v>74</v>
      </c>
      <c r="AI874" s="1" t="s">
        <v>74</v>
      </c>
      <c r="AJ874" s="1" t="s">
        <v>74</v>
      </c>
      <c r="AK874" s="1" t="s">
        <v>74</v>
      </c>
      <c r="AL874" s="1" t="s">
        <v>74</v>
      </c>
      <c r="AM874" s="1" t="s">
        <v>74</v>
      </c>
      <c r="AN874" s="1" t="s">
        <v>74</v>
      </c>
      <c r="AO874" s="1" t="s">
        <v>8498</v>
      </c>
      <c r="AP874" s="1" t="s">
        <v>8499</v>
      </c>
      <c r="AQ874" s="1" t="s">
        <v>74</v>
      </c>
      <c r="AR874" s="1" t="s">
        <v>74</v>
      </c>
      <c r="AS874" s="1" t="s">
        <v>74</v>
      </c>
      <c r="AT874" s="1" t="s">
        <v>257</v>
      </c>
      <c r="AU874" s="1">
        <v>2011.0</v>
      </c>
      <c r="AV874" s="1">
        <v>5.0</v>
      </c>
      <c r="AW874" s="1">
        <v>1.0</v>
      </c>
      <c r="AX874" s="1" t="s">
        <v>74</v>
      </c>
      <c r="AY874" s="1" t="s">
        <v>74</v>
      </c>
      <c r="AZ874" s="1" t="s">
        <v>74</v>
      </c>
      <c r="BA874" s="1" t="s">
        <v>74</v>
      </c>
      <c r="BB874" s="1">
        <v>313.0</v>
      </c>
      <c r="BC874" s="1">
        <v>323.0</v>
      </c>
      <c r="BD874" s="1" t="s">
        <v>74</v>
      </c>
      <c r="BE874" s="1" t="s">
        <v>8500</v>
      </c>
      <c r="BF874" s="2" t="str">
        <f>HYPERLINK("http://dx.doi.org/10.1007/s11785-009-0043-z","http://dx.doi.org/10.1007/s11785-009-0043-z")</f>
        <v>http://dx.doi.org/10.1007/s11785-009-0043-z</v>
      </c>
      <c r="BG874" s="1" t="s">
        <v>74</v>
      </c>
      <c r="BH874" s="1" t="s">
        <v>74</v>
      </c>
      <c r="BI874" s="1" t="s">
        <v>74</v>
      </c>
      <c r="BJ874" s="1" t="s">
        <v>74</v>
      </c>
      <c r="BK874" s="1" t="s">
        <v>74</v>
      </c>
      <c r="BL874" s="1" t="s">
        <v>74</v>
      </c>
      <c r="BM874" s="1" t="s">
        <v>74</v>
      </c>
      <c r="BN874" s="1" t="s">
        <v>74</v>
      </c>
      <c r="BO874" s="1" t="s">
        <v>74</v>
      </c>
      <c r="BP874" s="1" t="s">
        <v>74</v>
      </c>
      <c r="BQ874" s="1" t="s">
        <v>74</v>
      </c>
      <c r="BR874" s="1" t="s">
        <v>74</v>
      </c>
      <c r="BS874" s="1" t="s">
        <v>8501</v>
      </c>
      <c r="BT874" s="1" t="str">
        <f>HYPERLINK("https%3A%2F%2Fwww.webofscience.com%2Fwos%2Fwoscc%2Ffull-record%2FWOS:000287509500015","View Full Record in Web of Science")</f>
        <v>View Full Record in Web of Science</v>
      </c>
    </row>
    <row r="875" ht="12.75" customHeight="1">
      <c r="A875" s="1" t="s">
        <v>72</v>
      </c>
      <c r="B875" s="1" t="s">
        <v>8493</v>
      </c>
      <c r="C875" s="1" t="s">
        <v>74</v>
      </c>
      <c r="D875" s="1" t="s">
        <v>74</v>
      </c>
      <c r="E875" s="1" t="s">
        <v>74</v>
      </c>
      <c r="F875" s="1" t="s">
        <v>8494</v>
      </c>
      <c r="G875" s="1" t="s">
        <v>74</v>
      </c>
      <c r="H875" s="1" t="s">
        <v>74</v>
      </c>
      <c r="I875" s="1" t="s">
        <v>8502</v>
      </c>
      <c r="J875" s="1" t="s">
        <v>938</v>
      </c>
      <c r="K875" s="1" t="s">
        <v>74</v>
      </c>
      <c r="L875" s="1" t="s">
        <v>74</v>
      </c>
      <c r="M875" s="1" t="s">
        <v>74</v>
      </c>
      <c r="N875" s="1" t="s">
        <v>74</v>
      </c>
      <c r="O875" s="1" t="s">
        <v>74</v>
      </c>
      <c r="P875" s="1" t="s">
        <v>74</v>
      </c>
      <c r="Q875" s="1" t="s">
        <v>74</v>
      </c>
      <c r="R875" s="1" t="s">
        <v>74</v>
      </c>
      <c r="S875" s="1" t="s">
        <v>74</v>
      </c>
      <c r="T875" s="1" t="s">
        <v>74</v>
      </c>
      <c r="U875" s="1" t="s">
        <v>74</v>
      </c>
      <c r="V875" s="1" t="s">
        <v>8503</v>
      </c>
      <c r="W875" s="1" t="s">
        <v>74</v>
      </c>
      <c r="X875" s="1" t="s">
        <v>74</v>
      </c>
      <c r="Y875" s="1" t="s">
        <v>74</v>
      </c>
      <c r="Z875" s="1" t="s">
        <v>74</v>
      </c>
      <c r="AA875" s="1" t="s">
        <v>3145</v>
      </c>
      <c r="AB875" s="1" t="s">
        <v>8504</v>
      </c>
      <c r="AC875" s="1" t="s">
        <v>74</v>
      </c>
      <c r="AD875" s="1" t="s">
        <v>74</v>
      </c>
      <c r="AE875" s="1" t="s">
        <v>74</v>
      </c>
      <c r="AF875" s="1" t="s">
        <v>74</v>
      </c>
      <c r="AG875" s="1" t="s">
        <v>74</v>
      </c>
      <c r="AH875" s="1" t="s">
        <v>74</v>
      </c>
      <c r="AI875" s="1" t="s">
        <v>74</v>
      </c>
      <c r="AJ875" s="1" t="s">
        <v>74</v>
      </c>
      <c r="AK875" s="1" t="s">
        <v>74</v>
      </c>
      <c r="AL875" s="1" t="s">
        <v>74</v>
      </c>
      <c r="AM875" s="1" t="s">
        <v>74</v>
      </c>
      <c r="AN875" s="1" t="s">
        <v>74</v>
      </c>
      <c r="AO875" s="1" t="s">
        <v>941</v>
      </c>
      <c r="AP875" s="1" t="s">
        <v>942</v>
      </c>
      <c r="AQ875" s="1" t="s">
        <v>74</v>
      </c>
      <c r="AR875" s="1" t="s">
        <v>74</v>
      </c>
      <c r="AS875" s="1" t="s">
        <v>74</v>
      </c>
      <c r="AT875" s="1" t="s">
        <v>606</v>
      </c>
      <c r="AU875" s="1">
        <v>2010.0</v>
      </c>
      <c r="AV875" s="1">
        <v>51.0</v>
      </c>
      <c r="AW875" s="1">
        <v>10.0</v>
      </c>
      <c r="AX875" s="1" t="s">
        <v>74</v>
      </c>
      <c r="AY875" s="1" t="s">
        <v>74</v>
      </c>
      <c r="AZ875" s="1" t="s">
        <v>74</v>
      </c>
      <c r="BA875" s="1" t="s">
        <v>74</v>
      </c>
      <c r="BB875" s="1" t="s">
        <v>74</v>
      </c>
      <c r="BC875" s="1" t="s">
        <v>74</v>
      </c>
      <c r="BD875" s="1">
        <v>103512.0</v>
      </c>
      <c r="BE875" s="1" t="s">
        <v>8505</v>
      </c>
      <c r="BF875" s="2" t="str">
        <f>HYPERLINK("http://dx.doi.org/10.1063/1.3496396","http://dx.doi.org/10.1063/1.3496396")</f>
        <v>http://dx.doi.org/10.1063/1.3496396</v>
      </c>
      <c r="BG875" s="1" t="s">
        <v>74</v>
      </c>
      <c r="BH875" s="1" t="s">
        <v>74</v>
      </c>
      <c r="BI875" s="1" t="s">
        <v>74</v>
      </c>
      <c r="BJ875" s="1" t="s">
        <v>74</v>
      </c>
      <c r="BK875" s="1" t="s">
        <v>74</v>
      </c>
      <c r="BL875" s="1" t="s">
        <v>74</v>
      </c>
      <c r="BM875" s="1" t="s">
        <v>74</v>
      </c>
      <c r="BN875" s="1" t="s">
        <v>74</v>
      </c>
      <c r="BO875" s="1" t="s">
        <v>74</v>
      </c>
      <c r="BP875" s="1" t="s">
        <v>74</v>
      </c>
      <c r="BQ875" s="1" t="s">
        <v>74</v>
      </c>
      <c r="BR875" s="1" t="s">
        <v>74</v>
      </c>
      <c r="BS875" s="1" t="s">
        <v>8506</v>
      </c>
      <c r="BT875" s="1" t="str">
        <f>HYPERLINK("https%3A%2F%2Fwww.webofscience.com%2Fwos%2Fwoscc%2Ffull-record%2FWOS:000283750800041","View Full Record in Web of Science")</f>
        <v>View Full Record in Web of Science</v>
      </c>
    </row>
    <row r="876" ht="12.75" customHeight="1">
      <c r="A876" s="1" t="s">
        <v>72</v>
      </c>
      <c r="B876" s="1" t="s">
        <v>8507</v>
      </c>
      <c r="C876" s="1" t="s">
        <v>74</v>
      </c>
      <c r="D876" s="1" t="s">
        <v>74</v>
      </c>
      <c r="E876" s="1" t="s">
        <v>74</v>
      </c>
      <c r="F876" s="1" t="s">
        <v>8508</v>
      </c>
      <c r="G876" s="1" t="s">
        <v>74</v>
      </c>
      <c r="H876" s="1" t="s">
        <v>74</v>
      </c>
      <c r="I876" s="1" t="s">
        <v>8509</v>
      </c>
      <c r="J876" s="1" t="s">
        <v>1850</v>
      </c>
      <c r="K876" s="1" t="s">
        <v>74</v>
      </c>
      <c r="L876" s="1" t="s">
        <v>74</v>
      </c>
      <c r="M876" s="1" t="s">
        <v>74</v>
      </c>
      <c r="N876" s="1" t="s">
        <v>74</v>
      </c>
      <c r="O876" s="1" t="s">
        <v>74</v>
      </c>
      <c r="P876" s="1" t="s">
        <v>74</v>
      </c>
      <c r="Q876" s="1" t="s">
        <v>74</v>
      </c>
      <c r="R876" s="1" t="s">
        <v>74</v>
      </c>
      <c r="S876" s="1" t="s">
        <v>74</v>
      </c>
      <c r="T876" s="1" t="s">
        <v>74</v>
      </c>
      <c r="U876" s="1" t="s">
        <v>74</v>
      </c>
      <c r="V876" s="1" t="s">
        <v>8510</v>
      </c>
      <c r="W876" s="1" t="s">
        <v>74</v>
      </c>
      <c r="X876" s="1" t="s">
        <v>74</v>
      </c>
      <c r="Y876" s="1" t="s">
        <v>74</v>
      </c>
      <c r="Z876" s="1" t="s">
        <v>74</v>
      </c>
      <c r="AA876" s="1" t="s">
        <v>8511</v>
      </c>
      <c r="AB876" s="1" t="s">
        <v>8512</v>
      </c>
      <c r="AC876" s="1" t="s">
        <v>74</v>
      </c>
      <c r="AD876" s="1" t="s">
        <v>74</v>
      </c>
      <c r="AE876" s="1" t="s">
        <v>74</v>
      </c>
      <c r="AF876" s="1" t="s">
        <v>74</v>
      </c>
      <c r="AG876" s="1" t="s">
        <v>74</v>
      </c>
      <c r="AH876" s="1" t="s">
        <v>74</v>
      </c>
      <c r="AI876" s="1" t="s">
        <v>74</v>
      </c>
      <c r="AJ876" s="1" t="s">
        <v>74</v>
      </c>
      <c r="AK876" s="1" t="s">
        <v>74</v>
      </c>
      <c r="AL876" s="1" t="s">
        <v>74</v>
      </c>
      <c r="AM876" s="1" t="s">
        <v>74</v>
      </c>
      <c r="AN876" s="1" t="s">
        <v>74</v>
      </c>
      <c r="AO876" s="1" t="s">
        <v>1854</v>
      </c>
      <c r="AP876" s="1" t="s">
        <v>1855</v>
      </c>
      <c r="AQ876" s="1" t="s">
        <v>74</v>
      </c>
      <c r="AR876" s="1" t="s">
        <v>74</v>
      </c>
      <c r="AS876" s="1" t="s">
        <v>74</v>
      </c>
      <c r="AT876" s="1" t="s">
        <v>606</v>
      </c>
      <c r="AU876" s="1">
        <v>2009.0</v>
      </c>
      <c r="AV876" s="1">
        <v>42.0</v>
      </c>
      <c r="AW876" s="1">
        <v>8.0</v>
      </c>
      <c r="AX876" s="1" t="s">
        <v>74</v>
      </c>
      <c r="AY876" s="1" t="s">
        <v>74</v>
      </c>
      <c r="AZ876" s="1" t="s">
        <v>74</v>
      </c>
      <c r="BA876" s="1" t="s">
        <v>74</v>
      </c>
      <c r="BB876" s="1">
        <v>1444.0</v>
      </c>
      <c r="BC876" s="1">
        <v>1449.0</v>
      </c>
      <c r="BD876" s="1" t="s">
        <v>74</v>
      </c>
      <c r="BE876" s="1" t="s">
        <v>8513</v>
      </c>
      <c r="BF876" s="2" t="str">
        <f>HYPERLINK("http://dx.doi.org/10.1016/j.lwt.2009.03.013","http://dx.doi.org/10.1016/j.lwt.2009.03.013")</f>
        <v>http://dx.doi.org/10.1016/j.lwt.2009.03.013</v>
      </c>
      <c r="BG876" s="1" t="s">
        <v>74</v>
      </c>
      <c r="BH876" s="1" t="s">
        <v>74</v>
      </c>
      <c r="BI876" s="1" t="s">
        <v>74</v>
      </c>
      <c r="BJ876" s="1" t="s">
        <v>74</v>
      </c>
      <c r="BK876" s="1" t="s">
        <v>74</v>
      </c>
      <c r="BL876" s="1" t="s">
        <v>74</v>
      </c>
      <c r="BM876" s="1" t="s">
        <v>74</v>
      </c>
      <c r="BN876" s="1" t="s">
        <v>74</v>
      </c>
      <c r="BO876" s="1" t="s">
        <v>74</v>
      </c>
      <c r="BP876" s="1" t="s">
        <v>74</v>
      </c>
      <c r="BQ876" s="1" t="s">
        <v>74</v>
      </c>
      <c r="BR876" s="1" t="s">
        <v>74</v>
      </c>
      <c r="BS876" s="1" t="s">
        <v>8514</v>
      </c>
      <c r="BT876" s="1" t="str">
        <f>HYPERLINK("https%3A%2F%2Fwww.webofscience.com%2Fwos%2Fwoscc%2Ffull-record%2FWOS:000266964000019","View Full Record in Web of Science")</f>
        <v>View Full Record in Web of Science</v>
      </c>
    </row>
    <row r="877" ht="12.75" customHeight="1">
      <c r="A877" s="1" t="s">
        <v>72</v>
      </c>
      <c r="B877" s="1" t="s">
        <v>8515</v>
      </c>
      <c r="C877" s="1" t="s">
        <v>74</v>
      </c>
      <c r="D877" s="1" t="s">
        <v>74</v>
      </c>
      <c r="E877" s="1" t="s">
        <v>74</v>
      </c>
      <c r="F877" s="1" t="s">
        <v>8516</v>
      </c>
      <c r="G877" s="1" t="s">
        <v>74</v>
      </c>
      <c r="H877" s="1" t="s">
        <v>74</v>
      </c>
      <c r="I877" s="1" t="s">
        <v>8517</v>
      </c>
      <c r="J877" s="1" t="s">
        <v>312</v>
      </c>
      <c r="K877" s="1" t="s">
        <v>74</v>
      </c>
      <c r="L877" s="1" t="s">
        <v>74</v>
      </c>
      <c r="M877" s="1" t="s">
        <v>74</v>
      </c>
      <c r="N877" s="1" t="s">
        <v>74</v>
      </c>
      <c r="O877" s="1" t="s">
        <v>74</v>
      </c>
      <c r="P877" s="1" t="s">
        <v>74</v>
      </c>
      <c r="Q877" s="1" t="s">
        <v>74</v>
      </c>
      <c r="R877" s="1" t="s">
        <v>74</v>
      </c>
      <c r="S877" s="1" t="s">
        <v>74</v>
      </c>
      <c r="T877" s="1" t="s">
        <v>74</v>
      </c>
      <c r="U877" s="1" t="s">
        <v>74</v>
      </c>
      <c r="V877" s="1" t="s">
        <v>8518</v>
      </c>
      <c r="W877" s="1" t="s">
        <v>74</v>
      </c>
      <c r="X877" s="1" t="s">
        <v>74</v>
      </c>
      <c r="Y877" s="1" t="s">
        <v>74</v>
      </c>
      <c r="Z877" s="1" t="s">
        <v>74</v>
      </c>
      <c r="AA877" s="1" t="s">
        <v>8519</v>
      </c>
      <c r="AB877" s="1" t="s">
        <v>667</v>
      </c>
      <c r="AC877" s="1" t="s">
        <v>74</v>
      </c>
      <c r="AD877" s="1" t="s">
        <v>74</v>
      </c>
      <c r="AE877" s="1" t="s">
        <v>74</v>
      </c>
      <c r="AF877" s="1" t="s">
        <v>74</v>
      </c>
      <c r="AG877" s="1" t="s">
        <v>74</v>
      </c>
      <c r="AH877" s="1" t="s">
        <v>74</v>
      </c>
      <c r="AI877" s="1" t="s">
        <v>74</v>
      </c>
      <c r="AJ877" s="1" t="s">
        <v>74</v>
      </c>
      <c r="AK877" s="1" t="s">
        <v>74</v>
      </c>
      <c r="AL877" s="1" t="s">
        <v>74</v>
      </c>
      <c r="AM877" s="1" t="s">
        <v>74</v>
      </c>
      <c r="AN877" s="1" t="s">
        <v>74</v>
      </c>
      <c r="AO877" s="1" t="s">
        <v>315</v>
      </c>
      <c r="AP877" s="1" t="s">
        <v>316</v>
      </c>
      <c r="AQ877" s="1" t="s">
        <v>74</v>
      </c>
      <c r="AR877" s="1" t="s">
        <v>74</v>
      </c>
      <c r="AS877" s="1" t="s">
        <v>74</v>
      </c>
      <c r="AT877" s="1" t="s">
        <v>294</v>
      </c>
      <c r="AU877" s="1">
        <v>2009.0</v>
      </c>
      <c r="AV877" s="1">
        <v>137.0</v>
      </c>
      <c r="AW877" s="1">
        <v>6.0</v>
      </c>
      <c r="AX877" s="1" t="s">
        <v>74</v>
      </c>
      <c r="AY877" s="1" t="s">
        <v>74</v>
      </c>
      <c r="AZ877" s="1" t="s">
        <v>74</v>
      </c>
      <c r="BA877" s="1" t="s">
        <v>74</v>
      </c>
      <c r="BB877" s="1">
        <v>774.0</v>
      </c>
      <c r="BC877" s="1">
        <v>784.0</v>
      </c>
      <c r="BD877" s="1" t="s">
        <v>74</v>
      </c>
      <c r="BE877" s="1" t="s">
        <v>74</v>
      </c>
      <c r="BF877" s="1" t="s">
        <v>74</v>
      </c>
      <c r="BG877" s="1" t="s">
        <v>74</v>
      </c>
      <c r="BH877" s="1" t="s">
        <v>74</v>
      </c>
      <c r="BI877" s="1" t="s">
        <v>74</v>
      </c>
      <c r="BJ877" s="1" t="s">
        <v>74</v>
      </c>
      <c r="BK877" s="1" t="s">
        <v>74</v>
      </c>
      <c r="BL877" s="1" t="s">
        <v>74</v>
      </c>
      <c r="BM877" s="1" t="s">
        <v>74</v>
      </c>
      <c r="BN877" s="1">
        <v>1.9746279E7</v>
      </c>
      <c r="BO877" s="1" t="s">
        <v>74</v>
      </c>
      <c r="BP877" s="1" t="s">
        <v>74</v>
      </c>
      <c r="BQ877" s="1" t="s">
        <v>74</v>
      </c>
      <c r="BR877" s="1" t="s">
        <v>74</v>
      </c>
      <c r="BS877" s="1" t="s">
        <v>8520</v>
      </c>
      <c r="BT877" s="1" t="str">
        <f>HYPERLINK("https%3A%2F%2Fwww.webofscience.com%2Fwos%2Fwoscc%2Ffull-record%2FWOS:000268501400007","View Full Record in Web of Science")</f>
        <v>View Full Record in Web of Science</v>
      </c>
    </row>
    <row r="878" ht="12.75" customHeight="1">
      <c r="A878" s="1" t="s">
        <v>72</v>
      </c>
      <c r="B878" s="1" t="s">
        <v>8521</v>
      </c>
      <c r="C878" s="1" t="s">
        <v>74</v>
      </c>
      <c r="D878" s="1" t="s">
        <v>74</v>
      </c>
      <c r="E878" s="1" t="s">
        <v>74</v>
      </c>
      <c r="F878" s="1" t="s">
        <v>8522</v>
      </c>
      <c r="G878" s="1" t="s">
        <v>74</v>
      </c>
      <c r="H878" s="1" t="s">
        <v>74</v>
      </c>
      <c r="I878" s="1" t="s">
        <v>8523</v>
      </c>
      <c r="J878" s="1" t="s">
        <v>1189</v>
      </c>
      <c r="K878" s="1" t="s">
        <v>74</v>
      </c>
      <c r="L878" s="1" t="s">
        <v>74</v>
      </c>
      <c r="M878" s="1" t="s">
        <v>74</v>
      </c>
      <c r="N878" s="1" t="s">
        <v>74</v>
      </c>
      <c r="O878" s="1" t="s">
        <v>74</v>
      </c>
      <c r="P878" s="1" t="s">
        <v>74</v>
      </c>
      <c r="Q878" s="1" t="s">
        <v>74</v>
      </c>
      <c r="R878" s="1" t="s">
        <v>74</v>
      </c>
      <c r="S878" s="1" t="s">
        <v>74</v>
      </c>
      <c r="T878" s="1" t="s">
        <v>74</v>
      </c>
      <c r="U878" s="1" t="s">
        <v>74</v>
      </c>
      <c r="V878" s="1" t="s">
        <v>8524</v>
      </c>
      <c r="W878" s="1" t="s">
        <v>74</v>
      </c>
      <c r="X878" s="1" t="s">
        <v>74</v>
      </c>
      <c r="Y878" s="1" t="s">
        <v>74</v>
      </c>
      <c r="Z878" s="1" t="s">
        <v>74</v>
      </c>
      <c r="AA878" s="1" t="s">
        <v>74</v>
      </c>
      <c r="AB878" s="1" t="s">
        <v>8525</v>
      </c>
      <c r="AC878" s="1" t="s">
        <v>74</v>
      </c>
      <c r="AD878" s="1" t="s">
        <v>74</v>
      </c>
      <c r="AE878" s="1" t="s">
        <v>74</v>
      </c>
      <c r="AF878" s="1" t="s">
        <v>74</v>
      </c>
      <c r="AG878" s="1" t="s">
        <v>74</v>
      </c>
      <c r="AH878" s="1" t="s">
        <v>74</v>
      </c>
      <c r="AI878" s="1" t="s">
        <v>74</v>
      </c>
      <c r="AJ878" s="1" t="s">
        <v>74</v>
      </c>
      <c r="AK878" s="1" t="s">
        <v>74</v>
      </c>
      <c r="AL878" s="1" t="s">
        <v>74</v>
      </c>
      <c r="AM878" s="1" t="s">
        <v>74</v>
      </c>
      <c r="AN878" s="1" t="s">
        <v>74</v>
      </c>
      <c r="AO878" s="1" t="s">
        <v>1192</v>
      </c>
      <c r="AP878" s="1" t="s">
        <v>1193</v>
      </c>
      <c r="AQ878" s="1" t="s">
        <v>74</v>
      </c>
      <c r="AR878" s="1" t="s">
        <v>74</v>
      </c>
      <c r="AS878" s="1" t="s">
        <v>74</v>
      </c>
      <c r="AT878" s="1" t="s">
        <v>74</v>
      </c>
      <c r="AU878" s="1">
        <v>2009.0</v>
      </c>
      <c r="AV878" s="1">
        <v>42.0</v>
      </c>
      <c r="AW878" s="1">
        <v>2.0</v>
      </c>
      <c r="AX878" s="1" t="s">
        <v>74</v>
      </c>
      <c r="AY878" s="1" t="s">
        <v>74</v>
      </c>
      <c r="AZ878" s="1" t="s">
        <v>74</v>
      </c>
      <c r="BA878" s="1" t="s">
        <v>74</v>
      </c>
      <c r="BB878" s="1">
        <v>163.0</v>
      </c>
      <c r="BC878" s="1">
        <v>173.0</v>
      </c>
      <c r="BD878" s="1" t="s">
        <v>74</v>
      </c>
      <c r="BE878" s="1" t="s">
        <v>74</v>
      </c>
      <c r="BF878" s="1" t="s">
        <v>74</v>
      </c>
      <c r="BG878" s="1" t="s">
        <v>74</v>
      </c>
      <c r="BH878" s="1" t="s">
        <v>74</v>
      </c>
      <c r="BI878" s="1" t="s">
        <v>74</v>
      </c>
      <c r="BJ878" s="1" t="s">
        <v>74</v>
      </c>
      <c r="BK878" s="1" t="s">
        <v>74</v>
      </c>
      <c r="BL878" s="1" t="s">
        <v>74</v>
      </c>
      <c r="BM878" s="1" t="s">
        <v>74</v>
      </c>
      <c r="BN878" s="1">
        <v>1.9746261E7</v>
      </c>
      <c r="BO878" s="1" t="s">
        <v>74</v>
      </c>
      <c r="BP878" s="1" t="s">
        <v>74</v>
      </c>
      <c r="BQ878" s="1" t="s">
        <v>74</v>
      </c>
      <c r="BR878" s="1" t="s">
        <v>74</v>
      </c>
      <c r="BS878" s="1" t="s">
        <v>8526</v>
      </c>
      <c r="BT878" s="1" t="str">
        <f>HYPERLINK("https%3A%2F%2Fwww.webofscience.com%2Fwos%2Fwoscc%2Ffull-record%2FWOS:000268130600004","View Full Record in Web of Science")</f>
        <v>View Full Record in Web of Science</v>
      </c>
    </row>
    <row r="879" ht="12.75" customHeight="1">
      <c r="A879" s="1" t="s">
        <v>72</v>
      </c>
      <c r="B879" s="1" t="s">
        <v>8527</v>
      </c>
      <c r="C879" s="1" t="s">
        <v>74</v>
      </c>
      <c r="D879" s="1" t="s">
        <v>74</v>
      </c>
      <c r="E879" s="1" t="s">
        <v>74</v>
      </c>
      <c r="F879" s="1" t="s">
        <v>8528</v>
      </c>
      <c r="G879" s="1" t="s">
        <v>74</v>
      </c>
      <c r="H879" s="1" t="s">
        <v>74</v>
      </c>
      <c r="I879" s="1" t="s">
        <v>8529</v>
      </c>
      <c r="J879" s="1" t="s">
        <v>6394</v>
      </c>
      <c r="K879" s="1" t="s">
        <v>74</v>
      </c>
      <c r="L879" s="1" t="s">
        <v>74</v>
      </c>
      <c r="M879" s="1" t="s">
        <v>74</v>
      </c>
      <c r="N879" s="1" t="s">
        <v>74</v>
      </c>
      <c r="O879" s="1" t="s">
        <v>8530</v>
      </c>
      <c r="P879" s="1" t="s">
        <v>8531</v>
      </c>
      <c r="Q879" s="1" t="s">
        <v>501</v>
      </c>
      <c r="R879" s="1" t="s">
        <v>74</v>
      </c>
      <c r="S879" s="1" t="s">
        <v>74</v>
      </c>
      <c r="T879" s="1" t="s">
        <v>74</v>
      </c>
      <c r="U879" s="1" t="s">
        <v>74</v>
      </c>
      <c r="V879" s="1" t="s">
        <v>8532</v>
      </c>
      <c r="W879" s="1" t="s">
        <v>74</v>
      </c>
      <c r="X879" s="1" t="s">
        <v>74</v>
      </c>
      <c r="Y879" s="1" t="s">
        <v>74</v>
      </c>
      <c r="Z879" s="1" t="s">
        <v>74</v>
      </c>
      <c r="AA879" s="1" t="s">
        <v>8533</v>
      </c>
      <c r="AB879" s="1" t="s">
        <v>8534</v>
      </c>
      <c r="AC879" s="1" t="s">
        <v>74</v>
      </c>
      <c r="AD879" s="1" t="s">
        <v>74</v>
      </c>
      <c r="AE879" s="1" t="s">
        <v>74</v>
      </c>
      <c r="AF879" s="1" t="s">
        <v>74</v>
      </c>
      <c r="AG879" s="1" t="s">
        <v>74</v>
      </c>
      <c r="AH879" s="1" t="s">
        <v>74</v>
      </c>
      <c r="AI879" s="1" t="s">
        <v>74</v>
      </c>
      <c r="AJ879" s="1" t="s">
        <v>74</v>
      </c>
      <c r="AK879" s="1" t="s">
        <v>74</v>
      </c>
      <c r="AL879" s="1" t="s">
        <v>74</v>
      </c>
      <c r="AM879" s="1" t="s">
        <v>74</v>
      </c>
      <c r="AN879" s="1" t="s">
        <v>74</v>
      </c>
      <c r="AO879" s="1" t="s">
        <v>6397</v>
      </c>
      <c r="AP879" s="1" t="s">
        <v>74</v>
      </c>
      <c r="AQ879" s="1" t="s">
        <v>74</v>
      </c>
      <c r="AR879" s="1" t="s">
        <v>74</v>
      </c>
      <c r="AS879" s="1" t="s">
        <v>74</v>
      </c>
      <c r="AT879" s="1" t="s">
        <v>5630</v>
      </c>
      <c r="AU879" s="1">
        <v>2007.0</v>
      </c>
      <c r="AV879" s="1">
        <v>54.0</v>
      </c>
      <c r="AW879" s="1" t="s">
        <v>8535</v>
      </c>
      <c r="AX879" s="1" t="s">
        <v>74</v>
      </c>
      <c r="AY879" s="1" t="s">
        <v>74</v>
      </c>
      <c r="AZ879" s="1" t="s">
        <v>74</v>
      </c>
      <c r="BA879" s="1" t="s">
        <v>74</v>
      </c>
      <c r="BB879" s="1">
        <v>1021.0</v>
      </c>
      <c r="BC879" s="1">
        <v>1030.0</v>
      </c>
      <c r="BD879" s="1" t="s">
        <v>74</v>
      </c>
      <c r="BE879" s="1" t="s">
        <v>8536</v>
      </c>
      <c r="BF879" s="2" t="str">
        <f>HYPERLINK("http://dx.doi.org/10.1002/fld.1498","http://dx.doi.org/10.1002/fld.1498")</f>
        <v>http://dx.doi.org/10.1002/fld.1498</v>
      </c>
      <c r="BG879" s="1" t="s">
        <v>74</v>
      </c>
      <c r="BH879" s="1" t="s">
        <v>74</v>
      </c>
      <c r="BI879" s="1" t="s">
        <v>74</v>
      </c>
      <c r="BJ879" s="1" t="s">
        <v>74</v>
      </c>
      <c r="BK879" s="1" t="s">
        <v>74</v>
      </c>
      <c r="BL879" s="1" t="s">
        <v>74</v>
      </c>
      <c r="BM879" s="1" t="s">
        <v>74</v>
      </c>
      <c r="BN879" s="1" t="s">
        <v>74</v>
      </c>
      <c r="BO879" s="1" t="s">
        <v>74</v>
      </c>
      <c r="BP879" s="1" t="s">
        <v>74</v>
      </c>
      <c r="BQ879" s="1" t="s">
        <v>74</v>
      </c>
      <c r="BR879" s="1" t="s">
        <v>74</v>
      </c>
      <c r="BS879" s="1" t="s">
        <v>8537</v>
      </c>
      <c r="BT879" s="1" t="str">
        <f>HYPERLINK("https%3A%2F%2Fwww.webofscience.com%2Fwos%2Fwoscc%2Ffull-record%2FWOS:000247639000023","View Full Record in Web of Science")</f>
        <v>View Full Record in Web of Science</v>
      </c>
    </row>
    <row r="880" ht="12.75" customHeight="1">
      <c r="A880" s="1" t="s">
        <v>72</v>
      </c>
      <c r="B880" s="1" t="s">
        <v>8538</v>
      </c>
      <c r="C880" s="1" t="s">
        <v>74</v>
      </c>
      <c r="D880" s="1" t="s">
        <v>74</v>
      </c>
      <c r="E880" s="1" t="s">
        <v>74</v>
      </c>
      <c r="F880" s="1" t="s">
        <v>8539</v>
      </c>
      <c r="G880" s="1" t="s">
        <v>74</v>
      </c>
      <c r="H880" s="1" t="s">
        <v>74</v>
      </c>
      <c r="I880" s="1" t="s">
        <v>8540</v>
      </c>
      <c r="J880" s="1" t="s">
        <v>8094</v>
      </c>
      <c r="K880" s="1" t="s">
        <v>74</v>
      </c>
      <c r="L880" s="1" t="s">
        <v>74</v>
      </c>
      <c r="M880" s="1" t="s">
        <v>74</v>
      </c>
      <c r="N880" s="1" t="s">
        <v>74</v>
      </c>
      <c r="O880" s="1" t="s">
        <v>74</v>
      </c>
      <c r="P880" s="1" t="s">
        <v>74</v>
      </c>
      <c r="Q880" s="1" t="s">
        <v>74</v>
      </c>
      <c r="R880" s="1" t="s">
        <v>74</v>
      </c>
      <c r="S880" s="1" t="s">
        <v>74</v>
      </c>
      <c r="T880" s="1" t="s">
        <v>74</v>
      </c>
      <c r="U880" s="1" t="s">
        <v>74</v>
      </c>
      <c r="V880" s="1" t="s">
        <v>8541</v>
      </c>
      <c r="W880" s="1" t="s">
        <v>74</v>
      </c>
      <c r="X880" s="1" t="s">
        <v>74</v>
      </c>
      <c r="Y880" s="1" t="s">
        <v>74</v>
      </c>
      <c r="Z880" s="1" t="s">
        <v>74</v>
      </c>
      <c r="AA880" s="1" t="s">
        <v>8542</v>
      </c>
      <c r="AB880" s="1" t="s">
        <v>8543</v>
      </c>
      <c r="AC880" s="1" t="s">
        <v>74</v>
      </c>
      <c r="AD880" s="1" t="s">
        <v>74</v>
      </c>
      <c r="AE880" s="1" t="s">
        <v>74</v>
      </c>
      <c r="AF880" s="1" t="s">
        <v>74</v>
      </c>
      <c r="AG880" s="1" t="s">
        <v>74</v>
      </c>
      <c r="AH880" s="1" t="s">
        <v>74</v>
      </c>
      <c r="AI880" s="1" t="s">
        <v>74</v>
      </c>
      <c r="AJ880" s="1" t="s">
        <v>74</v>
      </c>
      <c r="AK880" s="1" t="s">
        <v>74</v>
      </c>
      <c r="AL880" s="1" t="s">
        <v>74</v>
      </c>
      <c r="AM880" s="1" t="s">
        <v>74</v>
      </c>
      <c r="AN880" s="1" t="s">
        <v>74</v>
      </c>
      <c r="AO880" s="1" t="s">
        <v>8544</v>
      </c>
      <c r="AP880" s="1" t="s">
        <v>8545</v>
      </c>
      <c r="AQ880" s="1" t="s">
        <v>74</v>
      </c>
      <c r="AR880" s="1" t="s">
        <v>74</v>
      </c>
      <c r="AS880" s="1" t="s">
        <v>74</v>
      </c>
      <c r="AT880" s="1" t="s">
        <v>678</v>
      </c>
      <c r="AU880" s="1">
        <v>2006.0</v>
      </c>
      <c r="AV880" s="1">
        <v>74.0</v>
      </c>
      <c r="AW880" s="1">
        <v>17.0</v>
      </c>
      <c r="AX880" s="1" t="s">
        <v>74</v>
      </c>
      <c r="AY880" s="1" t="s">
        <v>74</v>
      </c>
      <c r="AZ880" s="1" t="s">
        <v>74</v>
      </c>
      <c r="BA880" s="1" t="s">
        <v>74</v>
      </c>
      <c r="BB880" s="1" t="s">
        <v>74</v>
      </c>
      <c r="BC880" s="1" t="s">
        <v>74</v>
      </c>
      <c r="BD880" s="1">
        <v>174412.0</v>
      </c>
      <c r="BE880" s="1" t="s">
        <v>8546</v>
      </c>
      <c r="BF880" s="2" t="str">
        <f>HYPERLINK("http://dx.doi.org/10.1103/PhysRevB.74.174412","http://dx.doi.org/10.1103/PhysRevB.74.174412")</f>
        <v>http://dx.doi.org/10.1103/PhysRevB.74.174412</v>
      </c>
      <c r="BG880" s="1" t="s">
        <v>74</v>
      </c>
      <c r="BH880" s="1" t="s">
        <v>74</v>
      </c>
      <c r="BI880" s="1" t="s">
        <v>74</v>
      </c>
      <c r="BJ880" s="1" t="s">
        <v>74</v>
      </c>
      <c r="BK880" s="1" t="s">
        <v>74</v>
      </c>
      <c r="BL880" s="1" t="s">
        <v>74</v>
      </c>
      <c r="BM880" s="1" t="s">
        <v>74</v>
      </c>
      <c r="BN880" s="1" t="s">
        <v>74</v>
      </c>
      <c r="BO880" s="1" t="s">
        <v>74</v>
      </c>
      <c r="BP880" s="1" t="s">
        <v>74</v>
      </c>
      <c r="BQ880" s="1" t="s">
        <v>74</v>
      </c>
      <c r="BR880" s="1" t="s">
        <v>74</v>
      </c>
      <c r="BS880" s="1" t="s">
        <v>8547</v>
      </c>
      <c r="BT880" s="1" t="str">
        <f>HYPERLINK("https%3A%2F%2Fwww.webofscience.com%2Fwos%2Fwoscc%2Ffull-record%2FWOS:000242409000083","View Full Record in Web of Science")</f>
        <v>View Full Record in Web of Science</v>
      </c>
    </row>
    <row r="881" ht="12.75" customHeight="1">
      <c r="A881" s="1" t="s">
        <v>72</v>
      </c>
      <c r="B881" s="1" t="s">
        <v>8548</v>
      </c>
      <c r="C881" s="1" t="s">
        <v>74</v>
      </c>
      <c r="D881" s="1" t="s">
        <v>74</v>
      </c>
      <c r="E881" s="1" t="s">
        <v>74</v>
      </c>
      <c r="F881" s="1" t="s">
        <v>8548</v>
      </c>
      <c r="G881" s="1" t="s">
        <v>74</v>
      </c>
      <c r="H881" s="1" t="s">
        <v>74</v>
      </c>
      <c r="I881" s="1" t="s">
        <v>8549</v>
      </c>
      <c r="J881" s="1" t="s">
        <v>1727</v>
      </c>
      <c r="K881" s="1" t="s">
        <v>74</v>
      </c>
      <c r="L881" s="1" t="s">
        <v>74</v>
      </c>
      <c r="M881" s="1" t="s">
        <v>74</v>
      </c>
      <c r="N881" s="1" t="s">
        <v>74</v>
      </c>
      <c r="O881" s="1" t="s">
        <v>74</v>
      </c>
      <c r="P881" s="1" t="s">
        <v>74</v>
      </c>
      <c r="Q881" s="1" t="s">
        <v>74</v>
      </c>
      <c r="R881" s="1" t="s">
        <v>74</v>
      </c>
      <c r="S881" s="1" t="s">
        <v>74</v>
      </c>
      <c r="T881" s="1" t="s">
        <v>74</v>
      </c>
      <c r="U881" s="1" t="s">
        <v>74</v>
      </c>
      <c r="V881" s="1" t="s">
        <v>8550</v>
      </c>
      <c r="W881" s="1" t="s">
        <v>74</v>
      </c>
      <c r="X881" s="1" t="s">
        <v>74</v>
      </c>
      <c r="Y881" s="1" t="s">
        <v>74</v>
      </c>
      <c r="Z881" s="1" t="s">
        <v>74</v>
      </c>
      <c r="AA881" s="1" t="s">
        <v>8551</v>
      </c>
      <c r="AB881" s="1" t="s">
        <v>8552</v>
      </c>
      <c r="AC881" s="1" t="s">
        <v>74</v>
      </c>
      <c r="AD881" s="1" t="s">
        <v>74</v>
      </c>
      <c r="AE881" s="1" t="s">
        <v>74</v>
      </c>
      <c r="AF881" s="1" t="s">
        <v>74</v>
      </c>
      <c r="AG881" s="1" t="s">
        <v>74</v>
      </c>
      <c r="AH881" s="1" t="s">
        <v>74</v>
      </c>
      <c r="AI881" s="1" t="s">
        <v>74</v>
      </c>
      <c r="AJ881" s="1" t="s">
        <v>74</v>
      </c>
      <c r="AK881" s="1" t="s">
        <v>74</v>
      </c>
      <c r="AL881" s="1" t="s">
        <v>74</v>
      </c>
      <c r="AM881" s="1" t="s">
        <v>74</v>
      </c>
      <c r="AN881" s="1" t="s">
        <v>74</v>
      </c>
      <c r="AO881" s="1" t="s">
        <v>1730</v>
      </c>
      <c r="AP881" s="1" t="s">
        <v>1731</v>
      </c>
      <c r="AQ881" s="1" t="s">
        <v>74</v>
      </c>
      <c r="AR881" s="1" t="s">
        <v>74</v>
      </c>
      <c r="AS881" s="1" t="s">
        <v>74</v>
      </c>
      <c r="AT881" s="1" t="s">
        <v>8553</v>
      </c>
      <c r="AU881" s="1">
        <v>2006.0</v>
      </c>
      <c r="AV881" s="1">
        <v>359.0</v>
      </c>
      <c r="AW881" s="1">
        <v>7.0</v>
      </c>
      <c r="AX881" s="1" t="s">
        <v>74</v>
      </c>
      <c r="AY881" s="1" t="s">
        <v>74</v>
      </c>
      <c r="AZ881" s="1" t="s">
        <v>74</v>
      </c>
      <c r="BA881" s="1" t="s">
        <v>74</v>
      </c>
      <c r="BB881" s="1">
        <v>2281.0</v>
      </c>
      <c r="BC881" s="1">
        <v>2284.0</v>
      </c>
      <c r="BD881" s="1" t="s">
        <v>74</v>
      </c>
      <c r="BE881" s="1" t="s">
        <v>8554</v>
      </c>
      <c r="BF881" s="2" t="str">
        <f>HYPERLINK("http://dx.doi.org/10.1016/j.ica.2005.08.036","http://dx.doi.org/10.1016/j.ica.2005.08.036")</f>
        <v>http://dx.doi.org/10.1016/j.ica.2005.08.036</v>
      </c>
      <c r="BG881" s="1" t="s">
        <v>74</v>
      </c>
      <c r="BH881" s="1" t="s">
        <v>74</v>
      </c>
      <c r="BI881" s="1" t="s">
        <v>74</v>
      </c>
      <c r="BJ881" s="1" t="s">
        <v>74</v>
      </c>
      <c r="BK881" s="1" t="s">
        <v>74</v>
      </c>
      <c r="BL881" s="1" t="s">
        <v>74</v>
      </c>
      <c r="BM881" s="1" t="s">
        <v>74</v>
      </c>
      <c r="BN881" s="1" t="s">
        <v>74</v>
      </c>
      <c r="BO881" s="1" t="s">
        <v>74</v>
      </c>
      <c r="BP881" s="1" t="s">
        <v>74</v>
      </c>
      <c r="BQ881" s="1" t="s">
        <v>74</v>
      </c>
      <c r="BR881" s="1" t="s">
        <v>74</v>
      </c>
      <c r="BS881" s="1" t="s">
        <v>8555</v>
      </c>
      <c r="BT881" s="1" t="str">
        <f>HYPERLINK("https%3A%2F%2Fwww.webofscience.com%2Fwos%2Fwoscc%2Ffull-record%2FWOS:000236960800041","View Full Record in Web of Science")</f>
        <v>View Full Record in Web of Science</v>
      </c>
    </row>
    <row r="882" ht="12.75" customHeight="1">
      <c r="A882" s="1" t="s">
        <v>72</v>
      </c>
      <c r="B882" s="1" t="s">
        <v>2003</v>
      </c>
      <c r="C882" s="1" t="s">
        <v>74</v>
      </c>
      <c r="D882" s="1" t="s">
        <v>74</v>
      </c>
      <c r="E882" s="1" t="s">
        <v>74</v>
      </c>
      <c r="F882" s="1" t="s">
        <v>2003</v>
      </c>
      <c r="G882" s="1" t="s">
        <v>74</v>
      </c>
      <c r="H882" s="1" t="s">
        <v>74</v>
      </c>
      <c r="I882" s="1" t="s">
        <v>8556</v>
      </c>
      <c r="J882" s="1" t="s">
        <v>8557</v>
      </c>
      <c r="K882" s="1" t="s">
        <v>74</v>
      </c>
      <c r="L882" s="1" t="s">
        <v>74</v>
      </c>
      <c r="M882" s="1" t="s">
        <v>74</v>
      </c>
      <c r="N882" s="1" t="s">
        <v>74</v>
      </c>
      <c r="O882" s="1" t="s">
        <v>74</v>
      </c>
      <c r="P882" s="1" t="s">
        <v>74</v>
      </c>
      <c r="Q882" s="1" t="s">
        <v>74</v>
      </c>
      <c r="R882" s="1" t="s">
        <v>74</v>
      </c>
      <c r="S882" s="1" t="s">
        <v>74</v>
      </c>
      <c r="T882" s="1" t="s">
        <v>74</v>
      </c>
      <c r="U882" s="1" t="s">
        <v>74</v>
      </c>
      <c r="V882" s="1" t="s">
        <v>8558</v>
      </c>
      <c r="W882" s="1" t="s">
        <v>74</v>
      </c>
      <c r="X882" s="1" t="s">
        <v>74</v>
      </c>
      <c r="Y882" s="1" t="s">
        <v>74</v>
      </c>
      <c r="Z882" s="1" t="s">
        <v>74</v>
      </c>
      <c r="AA882" s="1" t="s">
        <v>74</v>
      </c>
      <c r="AB882" s="1" t="s">
        <v>74</v>
      </c>
      <c r="AC882" s="1" t="s">
        <v>74</v>
      </c>
      <c r="AD882" s="1" t="s">
        <v>74</v>
      </c>
      <c r="AE882" s="1" t="s">
        <v>74</v>
      </c>
      <c r="AF882" s="1" t="s">
        <v>74</v>
      </c>
      <c r="AG882" s="1" t="s">
        <v>74</v>
      </c>
      <c r="AH882" s="1" t="s">
        <v>74</v>
      </c>
      <c r="AI882" s="1" t="s">
        <v>74</v>
      </c>
      <c r="AJ882" s="1" t="s">
        <v>74</v>
      </c>
      <c r="AK882" s="1" t="s">
        <v>74</v>
      </c>
      <c r="AL882" s="1" t="s">
        <v>74</v>
      </c>
      <c r="AM882" s="1" t="s">
        <v>74</v>
      </c>
      <c r="AN882" s="1" t="s">
        <v>74</v>
      </c>
      <c r="AO882" s="1" t="s">
        <v>8559</v>
      </c>
      <c r="AP882" s="1" t="s">
        <v>74</v>
      </c>
      <c r="AQ882" s="1" t="s">
        <v>74</v>
      </c>
      <c r="AR882" s="1" t="s">
        <v>74</v>
      </c>
      <c r="AS882" s="1" t="s">
        <v>74</v>
      </c>
      <c r="AT882" s="1" t="s">
        <v>652</v>
      </c>
      <c r="AU882" s="1">
        <v>2003.0</v>
      </c>
      <c r="AV882" s="1">
        <v>36.0</v>
      </c>
      <c r="AW882" s="1" t="s">
        <v>594</v>
      </c>
      <c r="AX882" s="1" t="s">
        <v>74</v>
      </c>
      <c r="AY882" s="1" t="s">
        <v>74</v>
      </c>
      <c r="AZ882" s="1" t="s">
        <v>74</v>
      </c>
      <c r="BA882" s="1" t="s">
        <v>74</v>
      </c>
      <c r="BB882" s="1">
        <v>241.0</v>
      </c>
      <c r="BC882" s="1">
        <v>283.0</v>
      </c>
      <c r="BD882" s="1" t="s">
        <v>74</v>
      </c>
      <c r="BE882" s="1" t="s">
        <v>74</v>
      </c>
      <c r="BF882" s="1" t="s">
        <v>74</v>
      </c>
      <c r="BG882" s="1" t="s">
        <v>74</v>
      </c>
      <c r="BH882" s="1" t="s">
        <v>74</v>
      </c>
      <c r="BI882" s="1" t="s">
        <v>74</v>
      </c>
      <c r="BJ882" s="1" t="s">
        <v>74</v>
      </c>
      <c r="BK882" s="1" t="s">
        <v>74</v>
      </c>
      <c r="BL882" s="1" t="s">
        <v>74</v>
      </c>
      <c r="BM882" s="1" t="s">
        <v>74</v>
      </c>
      <c r="BN882" s="1" t="s">
        <v>74</v>
      </c>
      <c r="BO882" s="1" t="s">
        <v>74</v>
      </c>
      <c r="BP882" s="1" t="s">
        <v>74</v>
      </c>
      <c r="BQ882" s="1" t="s">
        <v>74</v>
      </c>
      <c r="BR882" s="1" t="s">
        <v>74</v>
      </c>
      <c r="BS882" s="1" t="s">
        <v>8560</v>
      </c>
      <c r="BT882" s="1" t="str">
        <f>HYPERLINK("https%3A%2F%2Fwww.webofscience.com%2Fwos%2Fwoscc%2Ffull-record%2FWOS:000186449500003","View Full Record in Web of Science")</f>
        <v>View Full Record in Web of Science</v>
      </c>
    </row>
    <row r="883" ht="12.75" customHeight="1">
      <c r="A883" s="1" t="s">
        <v>506</v>
      </c>
      <c r="B883" s="1" t="s">
        <v>8561</v>
      </c>
      <c r="C883" s="1" t="s">
        <v>74</v>
      </c>
      <c r="D883" s="1" t="s">
        <v>8562</v>
      </c>
      <c r="E883" s="1" t="s">
        <v>74</v>
      </c>
      <c r="F883" s="1" t="s">
        <v>8561</v>
      </c>
      <c r="G883" s="1" t="s">
        <v>74</v>
      </c>
      <c r="H883" s="1" t="s">
        <v>74</v>
      </c>
      <c r="I883" s="1" t="s">
        <v>8563</v>
      </c>
      <c r="J883" s="1" t="s">
        <v>8564</v>
      </c>
      <c r="K883" s="1" t="s">
        <v>6435</v>
      </c>
      <c r="L883" s="1" t="s">
        <v>74</v>
      </c>
      <c r="M883" s="1" t="s">
        <v>74</v>
      </c>
      <c r="N883" s="1" t="s">
        <v>74</v>
      </c>
      <c r="O883" s="1" t="s">
        <v>8565</v>
      </c>
      <c r="P883" s="1" t="s">
        <v>8566</v>
      </c>
      <c r="Q883" s="1" t="s">
        <v>8567</v>
      </c>
      <c r="R883" s="1" t="s">
        <v>8568</v>
      </c>
      <c r="S883" s="1" t="s">
        <v>74</v>
      </c>
      <c r="T883" s="1" t="s">
        <v>74</v>
      </c>
      <c r="U883" s="1" t="s">
        <v>74</v>
      </c>
      <c r="V883" s="1" t="s">
        <v>8569</v>
      </c>
      <c r="W883" s="1" t="s">
        <v>74</v>
      </c>
      <c r="X883" s="1" t="s">
        <v>74</v>
      </c>
      <c r="Y883" s="1" t="s">
        <v>74</v>
      </c>
      <c r="Z883" s="1" t="s">
        <v>74</v>
      </c>
      <c r="AA883" s="1" t="s">
        <v>5667</v>
      </c>
      <c r="AB883" s="1" t="s">
        <v>5668</v>
      </c>
      <c r="AC883" s="1" t="s">
        <v>74</v>
      </c>
      <c r="AD883" s="1" t="s">
        <v>74</v>
      </c>
      <c r="AE883" s="1" t="s">
        <v>74</v>
      </c>
      <c r="AF883" s="1" t="s">
        <v>74</v>
      </c>
      <c r="AG883" s="1" t="s">
        <v>74</v>
      </c>
      <c r="AH883" s="1" t="s">
        <v>74</v>
      </c>
      <c r="AI883" s="1" t="s">
        <v>74</v>
      </c>
      <c r="AJ883" s="1" t="s">
        <v>74</v>
      </c>
      <c r="AK883" s="1" t="s">
        <v>74</v>
      </c>
      <c r="AL883" s="1" t="s">
        <v>74</v>
      </c>
      <c r="AM883" s="1" t="s">
        <v>74</v>
      </c>
      <c r="AN883" s="1" t="s">
        <v>74</v>
      </c>
      <c r="AO883" s="1" t="s">
        <v>6439</v>
      </c>
      <c r="AP883" s="1" t="s">
        <v>74</v>
      </c>
      <c r="AQ883" s="1" t="s">
        <v>74</v>
      </c>
      <c r="AR883" s="1" t="s">
        <v>74</v>
      </c>
      <c r="AS883" s="1" t="s">
        <v>74</v>
      </c>
      <c r="AT883" s="1" t="s">
        <v>74</v>
      </c>
      <c r="AU883" s="1">
        <v>2003.0</v>
      </c>
      <c r="AV883" s="1">
        <v>31.0</v>
      </c>
      <c r="AW883" s="1">
        <v>5.0</v>
      </c>
      <c r="AX883" s="1" t="s">
        <v>74</v>
      </c>
      <c r="AY883" s="1" t="s">
        <v>74</v>
      </c>
      <c r="AZ883" s="1" t="s">
        <v>74</v>
      </c>
      <c r="BA883" s="1" t="s">
        <v>74</v>
      </c>
      <c r="BB883" s="1">
        <v>1229.0</v>
      </c>
      <c r="BC883" s="1">
        <v>1234.0</v>
      </c>
      <c r="BD883" s="1" t="s">
        <v>74</v>
      </c>
      <c r="BE883" s="1" t="s">
        <v>8570</v>
      </c>
      <c r="BF883" s="2" t="str">
        <f>HYPERLINK("http://dx.doi.org/10.1016/S0273-1177(02)00935-3","http://dx.doi.org/10.1016/S0273-1177(02)00935-3")</f>
        <v>http://dx.doi.org/10.1016/S0273-1177(02)00935-3</v>
      </c>
      <c r="BG883" s="1" t="s">
        <v>74</v>
      </c>
      <c r="BH883" s="1" t="s">
        <v>74</v>
      </c>
      <c r="BI883" s="1" t="s">
        <v>74</v>
      </c>
      <c r="BJ883" s="1" t="s">
        <v>74</v>
      </c>
      <c r="BK883" s="1" t="s">
        <v>74</v>
      </c>
      <c r="BL883" s="1" t="s">
        <v>74</v>
      </c>
      <c r="BM883" s="1" t="s">
        <v>74</v>
      </c>
      <c r="BN883" s="1" t="s">
        <v>74</v>
      </c>
      <c r="BO883" s="1" t="s">
        <v>74</v>
      </c>
      <c r="BP883" s="1" t="s">
        <v>74</v>
      </c>
      <c r="BQ883" s="1" t="s">
        <v>74</v>
      </c>
      <c r="BR883" s="1" t="s">
        <v>74</v>
      </c>
      <c r="BS883" s="1" t="s">
        <v>8571</v>
      </c>
      <c r="BT883" s="1" t="str">
        <f>HYPERLINK("https%3A%2F%2Fwww.webofscience.com%2Fwos%2Fwoscc%2Ffull-record%2FWOS:000184540900010","View Full Record in Web of Science")</f>
        <v>View Full Record in Web of Science</v>
      </c>
    </row>
    <row r="884" ht="12.75" customHeight="1">
      <c r="A884" s="1" t="s">
        <v>72</v>
      </c>
      <c r="B884" s="1" t="s">
        <v>8572</v>
      </c>
      <c r="C884" s="1" t="s">
        <v>74</v>
      </c>
      <c r="D884" s="1" t="s">
        <v>74</v>
      </c>
      <c r="E884" s="1" t="s">
        <v>74</v>
      </c>
      <c r="F884" s="1" t="s">
        <v>8572</v>
      </c>
      <c r="G884" s="1" t="s">
        <v>74</v>
      </c>
      <c r="H884" s="1" t="s">
        <v>74</v>
      </c>
      <c r="I884" s="1" t="s">
        <v>8573</v>
      </c>
      <c r="J884" s="1" t="s">
        <v>8574</v>
      </c>
      <c r="K884" s="1" t="s">
        <v>74</v>
      </c>
      <c r="L884" s="1" t="s">
        <v>74</v>
      </c>
      <c r="M884" s="1" t="s">
        <v>74</v>
      </c>
      <c r="N884" s="1" t="s">
        <v>74</v>
      </c>
      <c r="O884" s="1" t="s">
        <v>74</v>
      </c>
      <c r="P884" s="1" t="s">
        <v>74</v>
      </c>
      <c r="Q884" s="1" t="s">
        <v>74</v>
      </c>
      <c r="R884" s="1" t="s">
        <v>74</v>
      </c>
      <c r="S884" s="1" t="s">
        <v>74</v>
      </c>
      <c r="T884" s="1" t="s">
        <v>74</v>
      </c>
      <c r="U884" s="1" t="s">
        <v>74</v>
      </c>
      <c r="V884" s="1" t="s">
        <v>8575</v>
      </c>
      <c r="W884" s="1" t="s">
        <v>74</v>
      </c>
      <c r="X884" s="1" t="s">
        <v>74</v>
      </c>
      <c r="Y884" s="1" t="s">
        <v>74</v>
      </c>
      <c r="Z884" s="1" t="s">
        <v>74</v>
      </c>
      <c r="AA884" s="1" t="s">
        <v>8576</v>
      </c>
      <c r="AB884" s="1" t="s">
        <v>8577</v>
      </c>
      <c r="AC884" s="1" t="s">
        <v>74</v>
      </c>
      <c r="AD884" s="1" t="s">
        <v>74</v>
      </c>
      <c r="AE884" s="1" t="s">
        <v>74</v>
      </c>
      <c r="AF884" s="1" t="s">
        <v>74</v>
      </c>
      <c r="AG884" s="1" t="s">
        <v>74</v>
      </c>
      <c r="AH884" s="1" t="s">
        <v>74</v>
      </c>
      <c r="AI884" s="1" t="s">
        <v>74</v>
      </c>
      <c r="AJ884" s="1" t="s">
        <v>74</v>
      </c>
      <c r="AK884" s="1" t="s">
        <v>74</v>
      </c>
      <c r="AL884" s="1" t="s">
        <v>74</v>
      </c>
      <c r="AM884" s="1" t="s">
        <v>74</v>
      </c>
      <c r="AN884" s="1" t="s">
        <v>74</v>
      </c>
      <c r="AO884" s="1" t="s">
        <v>8578</v>
      </c>
      <c r="AP884" s="1" t="s">
        <v>8579</v>
      </c>
      <c r="AQ884" s="1" t="s">
        <v>74</v>
      </c>
      <c r="AR884" s="1" t="s">
        <v>74</v>
      </c>
      <c r="AS884" s="1" t="s">
        <v>74</v>
      </c>
      <c r="AT884" s="1" t="s">
        <v>3671</v>
      </c>
      <c r="AU884" s="1">
        <v>2001.0</v>
      </c>
      <c r="AV884" s="1">
        <v>16.0</v>
      </c>
      <c r="AW884" s="1">
        <v>5.0</v>
      </c>
      <c r="AX884" s="1" t="s">
        <v>74</v>
      </c>
      <c r="AY884" s="1" t="s">
        <v>74</v>
      </c>
      <c r="AZ884" s="1" t="s">
        <v>74</v>
      </c>
      <c r="BA884" s="1" t="s">
        <v>74</v>
      </c>
      <c r="BB884" s="1">
        <v>321.0</v>
      </c>
      <c r="BC884" s="1">
        <v>325.0</v>
      </c>
      <c r="BD884" s="1" t="s">
        <v>74</v>
      </c>
      <c r="BE884" s="1" t="s">
        <v>8580</v>
      </c>
      <c r="BF884" s="2" t="str">
        <f>HYPERLINK("http://dx.doi.org/10.1002/bio.662","http://dx.doi.org/10.1002/bio.662")</f>
        <v>http://dx.doi.org/10.1002/bio.662</v>
      </c>
      <c r="BG884" s="1" t="s">
        <v>74</v>
      </c>
      <c r="BH884" s="1" t="s">
        <v>74</v>
      </c>
      <c r="BI884" s="1" t="s">
        <v>74</v>
      </c>
      <c r="BJ884" s="1" t="s">
        <v>74</v>
      </c>
      <c r="BK884" s="1" t="s">
        <v>74</v>
      </c>
      <c r="BL884" s="1" t="s">
        <v>74</v>
      </c>
      <c r="BM884" s="1" t="s">
        <v>74</v>
      </c>
      <c r="BN884" s="1">
        <v>1.1590704E7</v>
      </c>
      <c r="BO884" s="1" t="s">
        <v>74</v>
      </c>
      <c r="BP884" s="1" t="s">
        <v>74</v>
      </c>
      <c r="BQ884" s="1" t="s">
        <v>74</v>
      </c>
      <c r="BR884" s="1" t="s">
        <v>74</v>
      </c>
      <c r="BS884" s="1" t="s">
        <v>8581</v>
      </c>
      <c r="BT884" s="1" t="str">
        <f>HYPERLINK("https%3A%2F%2Fwww.webofscience.com%2Fwos%2Fwoscc%2Ffull-record%2FWOS:000171848100005","View Full Record in Web of Science")</f>
        <v>View Full Record in Web of Science</v>
      </c>
    </row>
    <row r="885" ht="12.75" customHeight="1">
      <c r="A885" s="1" t="s">
        <v>72</v>
      </c>
      <c r="B885" s="1" t="s">
        <v>8582</v>
      </c>
      <c r="C885" s="1" t="s">
        <v>74</v>
      </c>
      <c r="D885" s="1" t="s">
        <v>74</v>
      </c>
      <c r="E885" s="1" t="s">
        <v>74</v>
      </c>
      <c r="F885" s="1" t="s">
        <v>8582</v>
      </c>
      <c r="G885" s="1" t="s">
        <v>74</v>
      </c>
      <c r="H885" s="1" t="s">
        <v>74</v>
      </c>
      <c r="I885" s="1" t="s">
        <v>8583</v>
      </c>
      <c r="J885" s="1" t="s">
        <v>690</v>
      </c>
      <c r="K885" s="1" t="s">
        <v>74</v>
      </c>
      <c r="L885" s="1" t="s">
        <v>74</v>
      </c>
      <c r="M885" s="1" t="s">
        <v>74</v>
      </c>
      <c r="N885" s="1" t="s">
        <v>74</v>
      </c>
      <c r="O885" s="1" t="s">
        <v>74</v>
      </c>
      <c r="P885" s="1" t="s">
        <v>74</v>
      </c>
      <c r="Q885" s="1" t="s">
        <v>74</v>
      </c>
      <c r="R885" s="1" t="s">
        <v>74</v>
      </c>
      <c r="S885" s="1" t="s">
        <v>74</v>
      </c>
      <c r="T885" s="1" t="s">
        <v>74</v>
      </c>
      <c r="U885" s="1" t="s">
        <v>74</v>
      </c>
      <c r="V885" s="1" t="s">
        <v>8584</v>
      </c>
      <c r="W885" s="1" t="s">
        <v>74</v>
      </c>
      <c r="X885" s="1" t="s">
        <v>74</v>
      </c>
      <c r="Y885" s="1" t="s">
        <v>74</v>
      </c>
      <c r="Z885" s="1" t="s">
        <v>74</v>
      </c>
      <c r="AA885" s="1" t="s">
        <v>8585</v>
      </c>
      <c r="AB885" s="1" t="s">
        <v>8586</v>
      </c>
      <c r="AC885" s="1" t="s">
        <v>74</v>
      </c>
      <c r="AD885" s="1" t="s">
        <v>74</v>
      </c>
      <c r="AE885" s="1" t="s">
        <v>74</v>
      </c>
      <c r="AF885" s="1" t="s">
        <v>74</v>
      </c>
      <c r="AG885" s="1" t="s">
        <v>74</v>
      </c>
      <c r="AH885" s="1" t="s">
        <v>74</v>
      </c>
      <c r="AI885" s="1" t="s">
        <v>74</v>
      </c>
      <c r="AJ885" s="1" t="s">
        <v>74</v>
      </c>
      <c r="AK885" s="1" t="s">
        <v>74</v>
      </c>
      <c r="AL885" s="1" t="s">
        <v>74</v>
      </c>
      <c r="AM885" s="1" t="s">
        <v>74</v>
      </c>
      <c r="AN885" s="1" t="s">
        <v>74</v>
      </c>
      <c r="AO885" s="1" t="s">
        <v>694</v>
      </c>
      <c r="AP885" s="1" t="s">
        <v>695</v>
      </c>
      <c r="AQ885" s="1" t="s">
        <v>74</v>
      </c>
      <c r="AR885" s="1" t="s">
        <v>74</v>
      </c>
      <c r="AS885" s="1" t="s">
        <v>74</v>
      </c>
      <c r="AT885" s="1" t="s">
        <v>158</v>
      </c>
      <c r="AU885" s="1">
        <v>1998.0</v>
      </c>
      <c r="AV885" s="1">
        <v>58.0</v>
      </c>
      <c r="AW885" s="1">
        <v>1.0</v>
      </c>
      <c r="AX885" s="1" t="s">
        <v>74</v>
      </c>
      <c r="AY885" s="1" t="s">
        <v>74</v>
      </c>
      <c r="AZ885" s="1" t="s">
        <v>74</v>
      </c>
      <c r="BA885" s="1" t="s">
        <v>74</v>
      </c>
      <c r="BB885" s="1">
        <v>655.0</v>
      </c>
      <c r="BC885" s="1">
        <v>662.0</v>
      </c>
      <c r="BD885" s="1" t="s">
        <v>74</v>
      </c>
      <c r="BE885" s="1" t="s">
        <v>8587</v>
      </c>
      <c r="BF885" s="2" t="str">
        <f>HYPERLINK("http://dx.doi.org/10.1103/PhysRevA.58.655","http://dx.doi.org/10.1103/PhysRevA.58.655")</f>
        <v>http://dx.doi.org/10.1103/PhysRevA.58.655</v>
      </c>
      <c r="BG885" s="1" t="s">
        <v>74</v>
      </c>
      <c r="BH885" s="1" t="s">
        <v>74</v>
      </c>
      <c r="BI885" s="1" t="s">
        <v>74</v>
      </c>
      <c r="BJ885" s="1" t="s">
        <v>74</v>
      </c>
      <c r="BK885" s="1" t="s">
        <v>74</v>
      </c>
      <c r="BL885" s="1" t="s">
        <v>74</v>
      </c>
      <c r="BM885" s="1" t="s">
        <v>74</v>
      </c>
      <c r="BN885" s="1" t="s">
        <v>74</v>
      </c>
      <c r="BO885" s="1" t="s">
        <v>74</v>
      </c>
      <c r="BP885" s="1" t="s">
        <v>74</v>
      </c>
      <c r="BQ885" s="1" t="s">
        <v>74</v>
      </c>
      <c r="BR885" s="1" t="s">
        <v>74</v>
      </c>
      <c r="BS885" s="1" t="s">
        <v>8588</v>
      </c>
      <c r="BT885" s="1" t="str">
        <f>HYPERLINK("https%3A%2F%2Fwww.webofscience.com%2Fwos%2Fwoscc%2Ffull-record%2FWOS:000074790500084","View Full Record in Web of Science")</f>
        <v>View Full Record in Web of Science</v>
      </c>
    </row>
    <row r="886" ht="12.75" customHeight="1">
      <c r="A886" s="1" t="s">
        <v>72</v>
      </c>
      <c r="B886" s="1" t="s">
        <v>8589</v>
      </c>
      <c r="C886" s="1" t="s">
        <v>74</v>
      </c>
      <c r="D886" s="1" t="s">
        <v>74</v>
      </c>
      <c r="E886" s="1" t="s">
        <v>74</v>
      </c>
      <c r="F886" s="1" t="s">
        <v>8589</v>
      </c>
      <c r="G886" s="1" t="s">
        <v>74</v>
      </c>
      <c r="H886" s="1" t="s">
        <v>74</v>
      </c>
      <c r="I886" s="1" t="s">
        <v>8590</v>
      </c>
      <c r="J886" s="1" t="s">
        <v>1626</v>
      </c>
      <c r="K886" s="1" t="s">
        <v>74</v>
      </c>
      <c r="L886" s="1" t="s">
        <v>74</v>
      </c>
      <c r="M886" s="1" t="s">
        <v>74</v>
      </c>
      <c r="N886" s="1" t="s">
        <v>74</v>
      </c>
      <c r="O886" s="1" t="s">
        <v>74</v>
      </c>
      <c r="P886" s="1" t="s">
        <v>74</v>
      </c>
      <c r="Q886" s="1" t="s">
        <v>74</v>
      </c>
      <c r="R886" s="1" t="s">
        <v>74</v>
      </c>
      <c r="S886" s="1" t="s">
        <v>74</v>
      </c>
      <c r="T886" s="1" t="s">
        <v>74</v>
      </c>
      <c r="U886" s="1" t="s">
        <v>74</v>
      </c>
      <c r="V886" s="1" t="s">
        <v>8591</v>
      </c>
      <c r="W886" s="1" t="s">
        <v>74</v>
      </c>
      <c r="X886" s="1" t="s">
        <v>74</v>
      </c>
      <c r="Y886" s="1" t="s">
        <v>74</v>
      </c>
      <c r="Z886" s="1" t="s">
        <v>74</v>
      </c>
      <c r="AA886" s="1" t="s">
        <v>8592</v>
      </c>
      <c r="AB886" s="1" t="s">
        <v>8593</v>
      </c>
      <c r="AC886" s="1" t="s">
        <v>74</v>
      </c>
      <c r="AD886" s="1" t="s">
        <v>74</v>
      </c>
      <c r="AE886" s="1" t="s">
        <v>74</v>
      </c>
      <c r="AF886" s="1" t="s">
        <v>74</v>
      </c>
      <c r="AG886" s="1" t="s">
        <v>74</v>
      </c>
      <c r="AH886" s="1" t="s">
        <v>74</v>
      </c>
      <c r="AI886" s="1" t="s">
        <v>74</v>
      </c>
      <c r="AJ886" s="1" t="s">
        <v>74</v>
      </c>
      <c r="AK886" s="1" t="s">
        <v>74</v>
      </c>
      <c r="AL886" s="1" t="s">
        <v>74</v>
      </c>
      <c r="AM886" s="1" t="s">
        <v>74</v>
      </c>
      <c r="AN886" s="1" t="s">
        <v>74</v>
      </c>
      <c r="AO886" s="1" t="s">
        <v>1630</v>
      </c>
      <c r="AP886" s="1" t="s">
        <v>74</v>
      </c>
      <c r="AQ886" s="1" t="s">
        <v>74</v>
      </c>
      <c r="AR886" s="1" t="s">
        <v>74</v>
      </c>
      <c r="AS886" s="1" t="s">
        <v>74</v>
      </c>
      <c r="AT886" s="1" t="s">
        <v>1470</v>
      </c>
      <c r="AU886" s="1">
        <v>1998.0</v>
      </c>
      <c r="AV886" s="1">
        <v>80.0</v>
      </c>
      <c r="AW886" s="1">
        <v>23.0</v>
      </c>
      <c r="AX886" s="1" t="s">
        <v>74</v>
      </c>
      <c r="AY886" s="1" t="s">
        <v>74</v>
      </c>
      <c r="AZ886" s="1" t="s">
        <v>74</v>
      </c>
      <c r="BA886" s="1" t="s">
        <v>74</v>
      </c>
      <c r="BB886" s="1">
        <v>5121.0</v>
      </c>
      <c r="BC886" s="1">
        <v>5124.0</v>
      </c>
      <c r="BD886" s="1" t="s">
        <v>74</v>
      </c>
      <c r="BE886" s="1" t="s">
        <v>8594</v>
      </c>
      <c r="BF886" s="2" t="str">
        <f>HYPERLINK("http://dx.doi.org/10.1103/PhysRevLett.80.5121","http://dx.doi.org/10.1103/PhysRevLett.80.5121")</f>
        <v>http://dx.doi.org/10.1103/PhysRevLett.80.5121</v>
      </c>
      <c r="BG886" s="1" t="s">
        <v>74</v>
      </c>
      <c r="BH886" s="1" t="s">
        <v>74</v>
      </c>
      <c r="BI886" s="1" t="s">
        <v>74</v>
      </c>
      <c r="BJ886" s="1" t="s">
        <v>74</v>
      </c>
      <c r="BK886" s="1" t="s">
        <v>74</v>
      </c>
      <c r="BL886" s="1" t="s">
        <v>74</v>
      </c>
      <c r="BM886" s="1" t="s">
        <v>74</v>
      </c>
      <c r="BN886" s="1" t="s">
        <v>74</v>
      </c>
      <c r="BO886" s="1" t="s">
        <v>74</v>
      </c>
      <c r="BP886" s="1" t="s">
        <v>74</v>
      </c>
      <c r="BQ886" s="1" t="s">
        <v>74</v>
      </c>
      <c r="BR886" s="1" t="s">
        <v>74</v>
      </c>
      <c r="BS886" s="1" t="s">
        <v>8595</v>
      </c>
      <c r="BT886" s="1" t="str">
        <f>HYPERLINK("https%3A%2F%2Fwww.webofscience.com%2Fwos%2Fwoscc%2Ffull-record%2FWOS:000074011900024","View Full Record in Web of Science")</f>
        <v>View Full Record in Web of Science</v>
      </c>
    </row>
    <row r="887" ht="12.75" customHeight="1">
      <c r="A887" s="1" t="s">
        <v>72</v>
      </c>
      <c r="B887" s="1" t="s">
        <v>8596</v>
      </c>
      <c r="C887" s="1" t="s">
        <v>74</v>
      </c>
      <c r="D887" s="1" t="s">
        <v>74</v>
      </c>
      <c r="E887" s="1" t="s">
        <v>74</v>
      </c>
      <c r="F887" s="1" t="s">
        <v>8596</v>
      </c>
      <c r="G887" s="1" t="s">
        <v>74</v>
      </c>
      <c r="H887" s="1" t="s">
        <v>74</v>
      </c>
      <c r="I887" s="1" t="s">
        <v>8597</v>
      </c>
      <c r="J887" s="1" t="s">
        <v>8598</v>
      </c>
      <c r="K887" s="1" t="s">
        <v>74</v>
      </c>
      <c r="L887" s="1" t="s">
        <v>74</v>
      </c>
      <c r="M887" s="1" t="s">
        <v>74</v>
      </c>
      <c r="N887" s="1" t="s">
        <v>74</v>
      </c>
      <c r="O887" s="1" t="s">
        <v>74</v>
      </c>
      <c r="P887" s="1" t="s">
        <v>74</v>
      </c>
      <c r="Q887" s="1" t="s">
        <v>74</v>
      </c>
      <c r="R887" s="1" t="s">
        <v>74</v>
      </c>
      <c r="S887" s="1" t="s">
        <v>74</v>
      </c>
      <c r="T887" s="1" t="s">
        <v>74</v>
      </c>
      <c r="U887" s="1" t="s">
        <v>74</v>
      </c>
      <c r="V887" s="1" t="s">
        <v>8599</v>
      </c>
      <c r="W887" s="1" t="s">
        <v>74</v>
      </c>
      <c r="X887" s="1" t="s">
        <v>74</v>
      </c>
      <c r="Y887" s="1" t="s">
        <v>74</v>
      </c>
      <c r="Z887" s="1" t="s">
        <v>74</v>
      </c>
      <c r="AA887" s="1" t="s">
        <v>8600</v>
      </c>
      <c r="AB887" s="1" t="s">
        <v>8601</v>
      </c>
      <c r="AC887" s="1" t="s">
        <v>74</v>
      </c>
      <c r="AD887" s="1" t="s">
        <v>74</v>
      </c>
      <c r="AE887" s="1" t="s">
        <v>74</v>
      </c>
      <c r="AF887" s="1" t="s">
        <v>74</v>
      </c>
      <c r="AG887" s="1" t="s">
        <v>74</v>
      </c>
      <c r="AH887" s="1" t="s">
        <v>74</v>
      </c>
      <c r="AI887" s="1" t="s">
        <v>74</v>
      </c>
      <c r="AJ887" s="1" t="s">
        <v>74</v>
      </c>
      <c r="AK887" s="1" t="s">
        <v>74</v>
      </c>
      <c r="AL887" s="1" t="s">
        <v>74</v>
      </c>
      <c r="AM887" s="1" t="s">
        <v>74</v>
      </c>
      <c r="AN887" s="1" t="s">
        <v>74</v>
      </c>
      <c r="AO887" s="1" t="s">
        <v>8602</v>
      </c>
      <c r="AP887" s="1" t="s">
        <v>74</v>
      </c>
      <c r="AQ887" s="1" t="s">
        <v>74</v>
      </c>
      <c r="AR887" s="1" t="s">
        <v>74</v>
      </c>
      <c r="AS887" s="1" t="s">
        <v>74</v>
      </c>
      <c r="AT887" s="1" t="s">
        <v>8603</v>
      </c>
      <c r="AU887" s="1">
        <v>1996.0</v>
      </c>
      <c r="AV887" s="1">
        <v>94.0</v>
      </c>
      <c r="AW887" s="1" t="s">
        <v>4845</v>
      </c>
      <c r="AX887" s="1" t="s">
        <v>74</v>
      </c>
      <c r="AY887" s="1" t="s">
        <v>74</v>
      </c>
      <c r="AZ887" s="1" t="s">
        <v>74</v>
      </c>
      <c r="BA887" s="1" t="s">
        <v>74</v>
      </c>
      <c r="BB887" s="1">
        <v>237.0</v>
      </c>
      <c r="BC887" s="1">
        <v>241.0</v>
      </c>
      <c r="BD887" s="1" t="s">
        <v>74</v>
      </c>
      <c r="BE887" s="1" t="s">
        <v>8604</v>
      </c>
      <c r="BF887" s="2" t="str">
        <f>HYPERLINK("http://dx.doi.org/10.1016/1010-6030(95)04218-0","http://dx.doi.org/10.1016/1010-6030(95)04218-0")</f>
        <v>http://dx.doi.org/10.1016/1010-6030(95)04218-0</v>
      </c>
      <c r="BG887" s="1" t="s">
        <v>74</v>
      </c>
      <c r="BH887" s="1" t="s">
        <v>74</v>
      </c>
      <c r="BI887" s="1" t="s">
        <v>74</v>
      </c>
      <c r="BJ887" s="1" t="s">
        <v>74</v>
      </c>
      <c r="BK887" s="1" t="s">
        <v>74</v>
      </c>
      <c r="BL887" s="1" t="s">
        <v>74</v>
      </c>
      <c r="BM887" s="1" t="s">
        <v>74</v>
      </c>
      <c r="BN887" s="1" t="s">
        <v>74</v>
      </c>
      <c r="BO887" s="1" t="s">
        <v>74</v>
      </c>
      <c r="BP887" s="1" t="s">
        <v>74</v>
      </c>
      <c r="BQ887" s="1" t="s">
        <v>74</v>
      </c>
      <c r="BR887" s="1" t="s">
        <v>74</v>
      </c>
      <c r="BS887" s="1" t="s">
        <v>8605</v>
      </c>
      <c r="BT887" s="1" t="str">
        <f>HYPERLINK("https%3A%2F%2Fwww.webofscience.com%2Fwos%2Fwoscc%2Ffull-record%2FWOS:A1996UE06400022","View Full Record in Web of Science")</f>
        <v>View Full Record in Web of Science</v>
      </c>
    </row>
    <row r="888" ht="12.75" customHeight="1">
      <c r="A888" s="1" t="s">
        <v>72</v>
      </c>
      <c r="B888" s="1" t="s">
        <v>8606</v>
      </c>
      <c r="C888" s="1" t="s">
        <v>74</v>
      </c>
      <c r="D888" s="1" t="s">
        <v>74</v>
      </c>
      <c r="E888" s="1" t="s">
        <v>74</v>
      </c>
      <c r="F888" s="1" t="s">
        <v>8606</v>
      </c>
      <c r="G888" s="1" t="s">
        <v>74</v>
      </c>
      <c r="H888" s="1" t="s">
        <v>74</v>
      </c>
      <c r="I888" s="1" t="s">
        <v>8607</v>
      </c>
      <c r="J888" s="1" t="s">
        <v>8608</v>
      </c>
      <c r="K888" s="1" t="s">
        <v>74</v>
      </c>
      <c r="L888" s="1" t="s">
        <v>74</v>
      </c>
      <c r="M888" s="1" t="s">
        <v>74</v>
      </c>
      <c r="N888" s="1" t="s">
        <v>74</v>
      </c>
      <c r="O888" s="1" t="s">
        <v>74</v>
      </c>
      <c r="P888" s="1" t="s">
        <v>74</v>
      </c>
      <c r="Q888" s="1" t="s">
        <v>74</v>
      </c>
      <c r="R888" s="1" t="s">
        <v>74</v>
      </c>
      <c r="S888" s="1" t="s">
        <v>74</v>
      </c>
      <c r="T888" s="1" t="s">
        <v>74</v>
      </c>
      <c r="U888" s="1" t="s">
        <v>74</v>
      </c>
      <c r="V888" s="1" t="s">
        <v>8609</v>
      </c>
      <c r="W888" s="1" t="s">
        <v>74</v>
      </c>
      <c r="X888" s="1" t="s">
        <v>74</v>
      </c>
      <c r="Y888" s="1" t="s">
        <v>74</v>
      </c>
      <c r="Z888" s="1" t="s">
        <v>74</v>
      </c>
      <c r="AA888" s="1" t="s">
        <v>74</v>
      </c>
      <c r="AB888" s="1" t="s">
        <v>74</v>
      </c>
      <c r="AC888" s="1" t="s">
        <v>74</v>
      </c>
      <c r="AD888" s="1" t="s">
        <v>74</v>
      </c>
      <c r="AE888" s="1" t="s">
        <v>74</v>
      </c>
      <c r="AF888" s="1" t="s">
        <v>74</v>
      </c>
      <c r="AG888" s="1" t="s">
        <v>74</v>
      </c>
      <c r="AH888" s="1" t="s">
        <v>74</v>
      </c>
      <c r="AI888" s="1" t="s">
        <v>74</v>
      </c>
      <c r="AJ888" s="1" t="s">
        <v>74</v>
      </c>
      <c r="AK888" s="1" t="s">
        <v>74</v>
      </c>
      <c r="AL888" s="1" t="s">
        <v>74</v>
      </c>
      <c r="AM888" s="1" t="s">
        <v>74</v>
      </c>
      <c r="AN888" s="1" t="s">
        <v>74</v>
      </c>
      <c r="AO888" s="1" t="s">
        <v>8610</v>
      </c>
      <c r="AP888" s="1" t="s">
        <v>8611</v>
      </c>
      <c r="AQ888" s="1" t="s">
        <v>74</v>
      </c>
      <c r="AR888" s="1" t="s">
        <v>74</v>
      </c>
      <c r="AS888" s="1" t="s">
        <v>74</v>
      </c>
      <c r="AT888" s="1" t="s">
        <v>8612</v>
      </c>
      <c r="AU888" s="1">
        <v>1995.0</v>
      </c>
      <c r="AV888" s="1">
        <v>360.0</v>
      </c>
      <c r="AW888" s="1">
        <v>2.0</v>
      </c>
      <c r="AX888" s="1" t="s">
        <v>74</v>
      </c>
      <c r="AY888" s="1" t="s">
        <v>74</v>
      </c>
      <c r="AZ888" s="1" t="s">
        <v>74</v>
      </c>
      <c r="BA888" s="1" t="s">
        <v>74</v>
      </c>
      <c r="BB888" s="1">
        <v>207.0</v>
      </c>
      <c r="BC888" s="1">
        <v>210.0</v>
      </c>
      <c r="BD888" s="1" t="s">
        <v>74</v>
      </c>
      <c r="BE888" s="1" t="s">
        <v>8613</v>
      </c>
      <c r="BF888" s="2" t="str">
        <f>HYPERLINK("http://dx.doi.org/10.1016/0014-5793(95)00107-K","http://dx.doi.org/10.1016/0014-5793(95)00107-K")</f>
        <v>http://dx.doi.org/10.1016/0014-5793(95)00107-K</v>
      </c>
      <c r="BG888" s="1" t="s">
        <v>74</v>
      </c>
      <c r="BH888" s="1" t="s">
        <v>74</v>
      </c>
      <c r="BI888" s="1" t="s">
        <v>74</v>
      </c>
      <c r="BJ888" s="1" t="s">
        <v>74</v>
      </c>
      <c r="BK888" s="1" t="s">
        <v>74</v>
      </c>
      <c r="BL888" s="1" t="s">
        <v>74</v>
      </c>
      <c r="BM888" s="1" t="s">
        <v>74</v>
      </c>
      <c r="BN888" s="1">
        <v>7875332.0</v>
      </c>
      <c r="BO888" s="1" t="s">
        <v>74</v>
      </c>
      <c r="BP888" s="1" t="s">
        <v>74</v>
      </c>
      <c r="BQ888" s="1" t="s">
        <v>74</v>
      </c>
      <c r="BR888" s="1" t="s">
        <v>74</v>
      </c>
      <c r="BS888" s="1" t="s">
        <v>8614</v>
      </c>
      <c r="BT888" s="1" t="str">
        <f>HYPERLINK("https%3A%2F%2Fwww.webofscience.com%2Fwos%2Fwoscc%2Ffull-record%2FWOS:A1995QK56700023","View Full Record in Web of Science")</f>
        <v>View Full Record in Web of Science</v>
      </c>
    </row>
    <row r="889" ht="12.75" customHeight="1">
      <c r="A889" s="1" t="s">
        <v>72</v>
      </c>
      <c r="B889" s="1" t="s">
        <v>8615</v>
      </c>
      <c r="C889" s="1" t="s">
        <v>74</v>
      </c>
      <c r="D889" s="1" t="s">
        <v>74</v>
      </c>
      <c r="E889" s="1" t="s">
        <v>74</v>
      </c>
      <c r="F889" s="1" t="s">
        <v>8615</v>
      </c>
      <c r="G889" s="1" t="s">
        <v>74</v>
      </c>
      <c r="H889" s="1" t="s">
        <v>74</v>
      </c>
      <c r="I889" s="1" t="s">
        <v>8616</v>
      </c>
      <c r="J889" s="1" t="s">
        <v>635</v>
      </c>
      <c r="K889" s="1" t="s">
        <v>74</v>
      </c>
      <c r="L889" s="1" t="s">
        <v>74</v>
      </c>
      <c r="M889" s="1" t="s">
        <v>74</v>
      </c>
      <c r="N889" s="1" t="s">
        <v>74</v>
      </c>
      <c r="O889" s="1" t="s">
        <v>8617</v>
      </c>
      <c r="P889" s="1" t="s">
        <v>8618</v>
      </c>
      <c r="Q889" s="1" t="s">
        <v>8619</v>
      </c>
      <c r="R889" s="1" t="s">
        <v>74</v>
      </c>
      <c r="S889" s="1" t="s">
        <v>74</v>
      </c>
      <c r="T889" s="1" t="s">
        <v>74</v>
      </c>
      <c r="U889" s="1" t="s">
        <v>74</v>
      </c>
      <c r="V889" s="1" t="s">
        <v>8620</v>
      </c>
      <c r="W889" s="1" t="s">
        <v>74</v>
      </c>
      <c r="X889" s="1" t="s">
        <v>74</v>
      </c>
      <c r="Y889" s="1" t="s">
        <v>74</v>
      </c>
      <c r="Z889" s="1" t="s">
        <v>74</v>
      </c>
      <c r="AA889" s="1" t="s">
        <v>8621</v>
      </c>
      <c r="AB889" s="1" t="s">
        <v>74</v>
      </c>
      <c r="AC889" s="1" t="s">
        <v>74</v>
      </c>
      <c r="AD889" s="1" t="s">
        <v>74</v>
      </c>
      <c r="AE889" s="1" t="s">
        <v>74</v>
      </c>
      <c r="AF889" s="1" t="s">
        <v>74</v>
      </c>
      <c r="AG889" s="1" t="s">
        <v>74</v>
      </c>
      <c r="AH889" s="1" t="s">
        <v>74</v>
      </c>
      <c r="AI889" s="1" t="s">
        <v>74</v>
      </c>
      <c r="AJ889" s="1" t="s">
        <v>74</v>
      </c>
      <c r="AK889" s="1" t="s">
        <v>74</v>
      </c>
      <c r="AL889" s="1" t="s">
        <v>74</v>
      </c>
      <c r="AM889" s="1" t="s">
        <v>74</v>
      </c>
      <c r="AN889" s="1" t="s">
        <v>74</v>
      </c>
      <c r="AO889" s="1" t="s">
        <v>639</v>
      </c>
      <c r="AP889" s="1" t="s">
        <v>74</v>
      </c>
      <c r="AQ889" s="1" t="s">
        <v>74</v>
      </c>
      <c r="AR889" s="1" t="s">
        <v>74</v>
      </c>
      <c r="AS889" s="1" t="s">
        <v>74</v>
      </c>
      <c r="AT889" s="1" t="s">
        <v>350</v>
      </c>
      <c r="AU889" s="1">
        <v>1994.0</v>
      </c>
      <c r="AV889" s="1">
        <v>39.0</v>
      </c>
      <c r="AW889" s="1" t="s">
        <v>8622</v>
      </c>
      <c r="AX889" s="1" t="s">
        <v>74</v>
      </c>
      <c r="AY889" s="1" t="s">
        <v>74</v>
      </c>
      <c r="AZ889" s="1" t="s">
        <v>74</v>
      </c>
      <c r="BA889" s="1" t="s">
        <v>74</v>
      </c>
      <c r="BB889" s="1">
        <v>1669.0</v>
      </c>
      <c r="BC889" s="1">
        <v>1674.0</v>
      </c>
      <c r="BD889" s="1" t="s">
        <v>74</v>
      </c>
      <c r="BE889" s="1" t="s">
        <v>8623</v>
      </c>
      <c r="BF889" s="2" t="str">
        <f>HYPERLINK("http://dx.doi.org/10.1016/0013-4686(94)85152-2","http://dx.doi.org/10.1016/0013-4686(94)85152-2")</f>
        <v>http://dx.doi.org/10.1016/0013-4686(94)85152-2</v>
      </c>
      <c r="BG889" s="1" t="s">
        <v>74</v>
      </c>
      <c r="BH889" s="1" t="s">
        <v>74</v>
      </c>
      <c r="BI889" s="1" t="s">
        <v>74</v>
      </c>
      <c r="BJ889" s="1" t="s">
        <v>74</v>
      </c>
      <c r="BK889" s="1" t="s">
        <v>74</v>
      </c>
      <c r="BL889" s="1" t="s">
        <v>74</v>
      </c>
      <c r="BM889" s="1" t="s">
        <v>74</v>
      </c>
      <c r="BN889" s="1" t="s">
        <v>74</v>
      </c>
      <c r="BO889" s="1" t="s">
        <v>74</v>
      </c>
      <c r="BP889" s="1" t="s">
        <v>74</v>
      </c>
      <c r="BQ889" s="1" t="s">
        <v>74</v>
      </c>
      <c r="BR889" s="1" t="s">
        <v>74</v>
      </c>
      <c r="BS889" s="1" t="s">
        <v>8624</v>
      </c>
      <c r="BT889" s="1" t="str">
        <f>HYPERLINK("https%3A%2F%2Fwww.webofscience.com%2Fwos%2Fwoscc%2Ffull-record%2FWOS:A1994PC03400031","View Full Record in Web of Science")</f>
        <v>View Full Record in Web of Science</v>
      </c>
    </row>
    <row r="890" ht="12.75" customHeight="1">
      <c r="A890" s="1" t="s">
        <v>72</v>
      </c>
      <c r="B890" s="1" t="s">
        <v>8625</v>
      </c>
      <c r="C890" s="1" t="s">
        <v>74</v>
      </c>
      <c r="D890" s="1" t="s">
        <v>74</v>
      </c>
      <c r="E890" s="1" t="s">
        <v>74</v>
      </c>
      <c r="F890" s="1" t="s">
        <v>8625</v>
      </c>
      <c r="G890" s="1" t="s">
        <v>74</v>
      </c>
      <c r="H890" s="1" t="s">
        <v>74</v>
      </c>
      <c r="I890" s="1" t="s">
        <v>8626</v>
      </c>
      <c r="J890" s="1" t="s">
        <v>8627</v>
      </c>
      <c r="K890" s="1" t="s">
        <v>74</v>
      </c>
      <c r="L890" s="1" t="s">
        <v>74</v>
      </c>
      <c r="M890" s="1" t="s">
        <v>74</v>
      </c>
      <c r="N890" s="1" t="s">
        <v>74</v>
      </c>
      <c r="O890" s="1" t="s">
        <v>74</v>
      </c>
      <c r="P890" s="1" t="s">
        <v>74</v>
      </c>
      <c r="Q890" s="1" t="s">
        <v>74</v>
      </c>
      <c r="R890" s="1" t="s">
        <v>74</v>
      </c>
      <c r="S890" s="1" t="s">
        <v>74</v>
      </c>
      <c r="T890" s="1" t="s">
        <v>74</v>
      </c>
      <c r="U890" s="1" t="s">
        <v>74</v>
      </c>
      <c r="V890" s="1" t="s">
        <v>74</v>
      </c>
      <c r="W890" s="1" t="s">
        <v>74</v>
      </c>
      <c r="X890" s="1" t="s">
        <v>74</v>
      </c>
      <c r="Y890" s="1" t="s">
        <v>74</v>
      </c>
      <c r="Z890" s="1" t="s">
        <v>74</v>
      </c>
      <c r="AA890" s="1" t="s">
        <v>74</v>
      </c>
      <c r="AB890" s="1" t="s">
        <v>74</v>
      </c>
      <c r="AC890" s="1" t="s">
        <v>74</v>
      </c>
      <c r="AD890" s="1" t="s">
        <v>74</v>
      </c>
      <c r="AE890" s="1" t="s">
        <v>74</v>
      </c>
      <c r="AF890" s="1" t="s">
        <v>74</v>
      </c>
      <c r="AG890" s="1" t="s">
        <v>74</v>
      </c>
      <c r="AH890" s="1" t="s">
        <v>74</v>
      </c>
      <c r="AI890" s="1" t="s">
        <v>74</v>
      </c>
      <c r="AJ890" s="1" t="s">
        <v>74</v>
      </c>
      <c r="AK890" s="1" t="s">
        <v>74</v>
      </c>
      <c r="AL890" s="1" t="s">
        <v>74</v>
      </c>
      <c r="AM890" s="1" t="s">
        <v>74</v>
      </c>
      <c r="AN890" s="1" t="s">
        <v>74</v>
      </c>
      <c r="AO890" s="1" t="s">
        <v>8628</v>
      </c>
      <c r="AP890" s="1" t="s">
        <v>74</v>
      </c>
      <c r="AQ890" s="1" t="s">
        <v>74</v>
      </c>
      <c r="AR890" s="1" t="s">
        <v>74</v>
      </c>
      <c r="AS890" s="1" t="s">
        <v>74</v>
      </c>
      <c r="AT890" s="1" t="s">
        <v>3625</v>
      </c>
      <c r="AU890" s="1">
        <v>1992.0</v>
      </c>
      <c r="AV890" s="1">
        <v>119.0</v>
      </c>
      <c r="AW890" s="1" t="s">
        <v>74</v>
      </c>
      <c r="AX890" s="1" t="s">
        <v>74</v>
      </c>
      <c r="AY890" s="1" t="s">
        <v>74</v>
      </c>
      <c r="AZ890" s="1" t="s">
        <v>74</v>
      </c>
      <c r="BA890" s="1" t="s">
        <v>74</v>
      </c>
      <c r="BB890" s="1">
        <v>67.0</v>
      </c>
      <c r="BC890" s="1">
        <v>88.0</v>
      </c>
      <c r="BD890" s="1" t="s">
        <v>74</v>
      </c>
      <c r="BE890" s="1" t="s">
        <v>8629</v>
      </c>
      <c r="BF890" s="2" t="str">
        <f>HYPERLINK("http://dx.doi.org/10.1016/0010-8545(92)80030-U","http://dx.doi.org/10.1016/0010-8545(92)80030-U")</f>
        <v>http://dx.doi.org/10.1016/0010-8545(92)80030-U</v>
      </c>
      <c r="BG890" s="1" t="s">
        <v>74</v>
      </c>
      <c r="BH890" s="1" t="s">
        <v>74</v>
      </c>
      <c r="BI890" s="1" t="s">
        <v>74</v>
      </c>
      <c r="BJ890" s="1" t="s">
        <v>74</v>
      </c>
      <c r="BK890" s="1" t="s">
        <v>74</v>
      </c>
      <c r="BL890" s="1" t="s">
        <v>74</v>
      </c>
      <c r="BM890" s="1" t="s">
        <v>74</v>
      </c>
      <c r="BN890" s="1" t="s">
        <v>74</v>
      </c>
      <c r="BO890" s="1" t="s">
        <v>74</v>
      </c>
      <c r="BP890" s="1" t="s">
        <v>74</v>
      </c>
      <c r="BQ890" s="1" t="s">
        <v>74</v>
      </c>
      <c r="BR890" s="1" t="s">
        <v>74</v>
      </c>
      <c r="BS890" s="1" t="s">
        <v>8630</v>
      </c>
      <c r="BT890" s="1" t="str">
        <f>HYPERLINK("https%3A%2F%2Fwww.webofscience.com%2Fwos%2Fwoscc%2Ffull-record%2FWOS:A1992JU43200003","View Full Record in Web of Science")</f>
        <v>View Full Record in Web of Science</v>
      </c>
    </row>
    <row r="891" ht="12.75" customHeight="1">
      <c r="A891" s="1" t="s">
        <v>72</v>
      </c>
      <c r="B891" s="1" t="s">
        <v>8631</v>
      </c>
      <c r="C891" s="1" t="s">
        <v>74</v>
      </c>
      <c r="D891" s="1" t="s">
        <v>74</v>
      </c>
      <c r="E891" s="1" t="s">
        <v>74</v>
      </c>
      <c r="F891" s="1" t="s">
        <v>8632</v>
      </c>
      <c r="G891" s="1" t="s">
        <v>74</v>
      </c>
      <c r="H891" s="1" t="s">
        <v>74</v>
      </c>
      <c r="I891" s="1" t="s">
        <v>8633</v>
      </c>
      <c r="J891" s="1" t="s">
        <v>8634</v>
      </c>
      <c r="K891" s="1" t="s">
        <v>74</v>
      </c>
      <c r="L891" s="1" t="s">
        <v>74</v>
      </c>
      <c r="M891" s="1" t="s">
        <v>74</v>
      </c>
      <c r="N891" s="1" t="s">
        <v>74</v>
      </c>
      <c r="O891" s="1" t="s">
        <v>74</v>
      </c>
      <c r="P891" s="1" t="s">
        <v>74</v>
      </c>
      <c r="Q891" s="1" t="s">
        <v>74</v>
      </c>
      <c r="R891" s="1" t="s">
        <v>74</v>
      </c>
      <c r="S891" s="1" t="s">
        <v>74</v>
      </c>
      <c r="T891" s="1" t="s">
        <v>74</v>
      </c>
      <c r="U891" s="1" t="s">
        <v>74</v>
      </c>
      <c r="V891" s="1" t="s">
        <v>8635</v>
      </c>
      <c r="W891" s="1" t="s">
        <v>74</v>
      </c>
      <c r="X891" s="1" t="s">
        <v>74</v>
      </c>
      <c r="Y891" s="1" t="s">
        <v>74</v>
      </c>
      <c r="Z891" s="1" t="s">
        <v>74</v>
      </c>
      <c r="AA891" s="1" t="s">
        <v>8636</v>
      </c>
      <c r="AB891" s="1" t="s">
        <v>8637</v>
      </c>
      <c r="AC891" s="1" t="s">
        <v>74</v>
      </c>
      <c r="AD891" s="1" t="s">
        <v>74</v>
      </c>
      <c r="AE891" s="1" t="s">
        <v>74</v>
      </c>
      <c r="AF891" s="1" t="s">
        <v>74</v>
      </c>
      <c r="AG891" s="1" t="s">
        <v>74</v>
      </c>
      <c r="AH891" s="1" t="s">
        <v>74</v>
      </c>
      <c r="AI891" s="1" t="s">
        <v>74</v>
      </c>
      <c r="AJ891" s="1" t="s">
        <v>74</v>
      </c>
      <c r="AK891" s="1" t="s">
        <v>74</v>
      </c>
      <c r="AL891" s="1" t="s">
        <v>74</v>
      </c>
      <c r="AM891" s="1" t="s">
        <v>74</v>
      </c>
      <c r="AN891" s="1" t="s">
        <v>74</v>
      </c>
      <c r="AO891" s="1" t="s">
        <v>8638</v>
      </c>
      <c r="AP891" s="1" t="s">
        <v>8639</v>
      </c>
      <c r="AQ891" s="1" t="s">
        <v>74</v>
      </c>
      <c r="AR891" s="1" t="s">
        <v>74</v>
      </c>
      <c r="AS891" s="1" t="s">
        <v>74</v>
      </c>
      <c r="AT891" s="1" t="s">
        <v>8117</v>
      </c>
      <c r="AU891" s="1">
        <v>2025.0</v>
      </c>
      <c r="AV891" s="1" t="s">
        <v>74</v>
      </c>
      <c r="AW891" s="1" t="s">
        <v>74</v>
      </c>
      <c r="AX891" s="1" t="s">
        <v>74</v>
      </c>
      <c r="AY891" s="1" t="s">
        <v>74</v>
      </c>
      <c r="AZ891" s="1" t="s">
        <v>74</v>
      </c>
      <c r="BA891" s="1" t="s">
        <v>74</v>
      </c>
      <c r="BB891" s="1" t="s">
        <v>74</v>
      </c>
      <c r="BC891" s="1" t="s">
        <v>74</v>
      </c>
      <c r="BD891" s="1" t="s">
        <v>74</v>
      </c>
      <c r="BE891" s="1" t="s">
        <v>8640</v>
      </c>
      <c r="BF891" s="2" t="str">
        <f>HYPERLINK("http://dx.doi.org/10.1007/s10067-025-07407-x","http://dx.doi.org/10.1007/s10067-025-07407-x")</f>
        <v>http://dx.doi.org/10.1007/s10067-025-07407-x</v>
      </c>
      <c r="BG891" s="1" t="s">
        <v>74</v>
      </c>
      <c r="BH891" s="1" t="s">
        <v>113</v>
      </c>
      <c r="BI891" s="1" t="s">
        <v>74</v>
      </c>
      <c r="BJ891" s="1" t="s">
        <v>74</v>
      </c>
      <c r="BK891" s="1" t="s">
        <v>74</v>
      </c>
      <c r="BL891" s="1" t="s">
        <v>74</v>
      </c>
      <c r="BM891" s="1" t="s">
        <v>74</v>
      </c>
      <c r="BN891" s="1">
        <v>4.0131596E7</v>
      </c>
      <c r="BO891" s="1" t="s">
        <v>74</v>
      </c>
      <c r="BP891" s="1" t="s">
        <v>74</v>
      </c>
      <c r="BQ891" s="1" t="s">
        <v>74</v>
      </c>
      <c r="BR891" s="1" t="s">
        <v>74</v>
      </c>
      <c r="BS891" s="1" t="s">
        <v>8641</v>
      </c>
      <c r="BT891" s="1" t="str">
        <f>HYPERLINK("https%3A%2F%2Fwww.webofscience.com%2Fwos%2Fwoscc%2Ffull-record%2FWOS:001451399200001","View Full Record in Web of Science")</f>
        <v>View Full Record in Web of Science</v>
      </c>
    </row>
    <row r="892" ht="12.75" customHeight="1">
      <c r="A892" s="1" t="s">
        <v>72</v>
      </c>
      <c r="B892" s="1" t="s">
        <v>8642</v>
      </c>
      <c r="C892" s="1" t="s">
        <v>74</v>
      </c>
      <c r="D892" s="1" t="s">
        <v>74</v>
      </c>
      <c r="E892" s="1" t="s">
        <v>74</v>
      </c>
      <c r="F892" s="1" t="s">
        <v>8643</v>
      </c>
      <c r="G892" s="1" t="s">
        <v>74</v>
      </c>
      <c r="H892" s="1" t="s">
        <v>74</v>
      </c>
      <c r="I892" s="1" t="s">
        <v>8644</v>
      </c>
      <c r="J892" s="1" t="s">
        <v>1779</v>
      </c>
      <c r="K892" s="1" t="s">
        <v>74</v>
      </c>
      <c r="L892" s="1" t="s">
        <v>74</v>
      </c>
      <c r="M892" s="1" t="s">
        <v>74</v>
      </c>
      <c r="N892" s="1" t="s">
        <v>74</v>
      </c>
      <c r="O892" s="1" t="s">
        <v>74</v>
      </c>
      <c r="P892" s="1" t="s">
        <v>74</v>
      </c>
      <c r="Q892" s="1" t="s">
        <v>74</v>
      </c>
      <c r="R892" s="1" t="s">
        <v>74</v>
      </c>
      <c r="S892" s="1" t="s">
        <v>74</v>
      </c>
      <c r="T892" s="1" t="s">
        <v>74</v>
      </c>
      <c r="U892" s="1" t="s">
        <v>74</v>
      </c>
      <c r="V892" s="1" t="s">
        <v>8645</v>
      </c>
      <c r="W892" s="1" t="s">
        <v>74</v>
      </c>
      <c r="X892" s="1" t="s">
        <v>74</v>
      </c>
      <c r="Y892" s="1" t="s">
        <v>74</v>
      </c>
      <c r="Z892" s="1" t="s">
        <v>74</v>
      </c>
      <c r="AA892" s="1" t="s">
        <v>8646</v>
      </c>
      <c r="AB892" s="1" t="s">
        <v>8647</v>
      </c>
      <c r="AC892" s="1" t="s">
        <v>74</v>
      </c>
      <c r="AD892" s="1" t="s">
        <v>74</v>
      </c>
      <c r="AE892" s="1" t="s">
        <v>74</v>
      </c>
      <c r="AF892" s="1" t="s">
        <v>74</v>
      </c>
      <c r="AG892" s="1" t="s">
        <v>74</v>
      </c>
      <c r="AH892" s="1" t="s">
        <v>74</v>
      </c>
      <c r="AI892" s="1" t="s">
        <v>74</v>
      </c>
      <c r="AJ892" s="1" t="s">
        <v>74</v>
      </c>
      <c r="AK892" s="1" t="s">
        <v>74</v>
      </c>
      <c r="AL892" s="1" t="s">
        <v>74</v>
      </c>
      <c r="AM892" s="1" t="s">
        <v>74</v>
      </c>
      <c r="AN892" s="1" t="s">
        <v>74</v>
      </c>
      <c r="AO892" s="1" t="s">
        <v>74</v>
      </c>
      <c r="AP892" s="1" t="s">
        <v>1783</v>
      </c>
      <c r="AQ892" s="1" t="s">
        <v>74</v>
      </c>
      <c r="AR892" s="1" t="s">
        <v>74</v>
      </c>
      <c r="AS892" s="1" t="s">
        <v>74</v>
      </c>
      <c r="AT892" s="1" t="s">
        <v>8648</v>
      </c>
      <c r="AU892" s="1">
        <v>2025.0</v>
      </c>
      <c r="AV892" s="1">
        <v>17.0</v>
      </c>
      <c r="AW892" s="1">
        <v>6.0</v>
      </c>
      <c r="AX892" s="1" t="s">
        <v>74</v>
      </c>
      <c r="AY892" s="1" t="s">
        <v>74</v>
      </c>
      <c r="AZ892" s="1" t="s">
        <v>74</v>
      </c>
      <c r="BA892" s="1" t="s">
        <v>74</v>
      </c>
      <c r="BB892" s="1" t="s">
        <v>74</v>
      </c>
      <c r="BC892" s="1" t="s">
        <v>74</v>
      </c>
      <c r="BD892" s="1">
        <v>803.0</v>
      </c>
      <c r="BE892" s="1" t="s">
        <v>8649</v>
      </c>
      <c r="BF892" s="2" t="str">
        <f>HYPERLINK("http://dx.doi.org/10.3390/polym17060803","http://dx.doi.org/10.3390/polym17060803")</f>
        <v>http://dx.doi.org/10.3390/polym17060803</v>
      </c>
      <c r="BG892" s="1" t="s">
        <v>74</v>
      </c>
      <c r="BH892" s="1" t="s">
        <v>74</v>
      </c>
      <c r="BI892" s="1" t="s">
        <v>74</v>
      </c>
      <c r="BJ892" s="1" t="s">
        <v>74</v>
      </c>
      <c r="BK892" s="1" t="s">
        <v>74</v>
      </c>
      <c r="BL892" s="1" t="s">
        <v>74</v>
      </c>
      <c r="BM892" s="1" t="s">
        <v>74</v>
      </c>
      <c r="BN892" s="1">
        <v>4.0292679E7</v>
      </c>
      <c r="BO892" s="1" t="s">
        <v>74</v>
      </c>
      <c r="BP892" s="1" t="s">
        <v>74</v>
      </c>
      <c r="BQ892" s="1" t="s">
        <v>74</v>
      </c>
      <c r="BR892" s="1" t="s">
        <v>74</v>
      </c>
      <c r="BS892" s="1" t="s">
        <v>8650</v>
      </c>
      <c r="BT892" s="1" t="str">
        <f>HYPERLINK("https%3A%2F%2Fwww.webofscience.com%2Fwos%2Fwoscc%2Ffull-record%2FWOS:001452258500001","View Full Record in Web of Science")</f>
        <v>View Full Record in Web of Science</v>
      </c>
    </row>
    <row r="893" ht="12.75" customHeight="1">
      <c r="A893" s="1" t="s">
        <v>72</v>
      </c>
      <c r="B893" s="1" t="s">
        <v>8651</v>
      </c>
      <c r="C893" s="1" t="s">
        <v>74</v>
      </c>
      <c r="D893" s="1" t="s">
        <v>74</v>
      </c>
      <c r="E893" s="1" t="s">
        <v>74</v>
      </c>
      <c r="F893" s="1" t="s">
        <v>8652</v>
      </c>
      <c r="G893" s="1" t="s">
        <v>74</v>
      </c>
      <c r="H893" s="1" t="s">
        <v>74</v>
      </c>
      <c r="I893" s="1" t="s">
        <v>8653</v>
      </c>
      <c r="J893" s="1" t="s">
        <v>8654</v>
      </c>
      <c r="K893" s="1" t="s">
        <v>74</v>
      </c>
      <c r="L893" s="1" t="s">
        <v>74</v>
      </c>
      <c r="M893" s="1" t="s">
        <v>74</v>
      </c>
      <c r="N893" s="1" t="s">
        <v>74</v>
      </c>
      <c r="O893" s="1" t="s">
        <v>74</v>
      </c>
      <c r="P893" s="1" t="s">
        <v>74</v>
      </c>
      <c r="Q893" s="1" t="s">
        <v>74</v>
      </c>
      <c r="R893" s="1" t="s">
        <v>74</v>
      </c>
      <c r="S893" s="1" t="s">
        <v>74</v>
      </c>
      <c r="T893" s="1" t="s">
        <v>74</v>
      </c>
      <c r="U893" s="1" t="s">
        <v>74</v>
      </c>
      <c r="V893" s="1" t="s">
        <v>8655</v>
      </c>
      <c r="W893" s="1" t="s">
        <v>74</v>
      </c>
      <c r="X893" s="1" t="s">
        <v>74</v>
      </c>
      <c r="Y893" s="1" t="s">
        <v>74</v>
      </c>
      <c r="Z893" s="1" t="s">
        <v>74</v>
      </c>
      <c r="AA893" s="1" t="s">
        <v>8656</v>
      </c>
      <c r="AB893" s="1" t="s">
        <v>8657</v>
      </c>
      <c r="AC893" s="1" t="s">
        <v>74</v>
      </c>
      <c r="AD893" s="1" t="s">
        <v>74</v>
      </c>
      <c r="AE893" s="1" t="s">
        <v>74</v>
      </c>
      <c r="AF893" s="1" t="s">
        <v>74</v>
      </c>
      <c r="AG893" s="1" t="s">
        <v>74</v>
      </c>
      <c r="AH893" s="1" t="s">
        <v>74</v>
      </c>
      <c r="AI893" s="1" t="s">
        <v>74</v>
      </c>
      <c r="AJ893" s="1" t="s">
        <v>74</v>
      </c>
      <c r="AK893" s="1" t="s">
        <v>74</v>
      </c>
      <c r="AL893" s="1" t="s">
        <v>74</v>
      </c>
      <c r="AM893" s="1" t="s">
        <v>74</v>
      </c>
      <c r="AN893" s="1" t="s">
        <v>74</v>
      </c>
      <c r="AO893" s="1" t="s">
        <v>8658</v>
      </c>
      <c r="AP893" s="1" t="s">
        <v>8659</v>
      </c>
      <c r="AQ893" s="1" t="s">
        <v>74</v>
      </c>
      <c r="AR893" s="1" t="s">
        <v>74</v>
      </c>
      <c r="AS893" s="1" t="s">
        <v>74</v>
      </c>
      <c r="AT893" s="1" t="s">
        <v>8660</v>
      </c>
      <c r="AU893" s="1">
        <v>2025.0</v>
      </c>
      <c r="AV893" s="1" t="s">
        <v>74</v>
      </c>
      <c r="AW893" s="1" t="s">
        <v>74</v>
      </c>
      <c r="AX893" s="1" t="s">
        <v>74</v>
      </c>
      <c r="AY893" s="1" t="s">
        <v>74</v>
      </c>
      <c r="AZ893" s="1" t="s">
        <v>74</v>
      </c>
      <c r="BA893" s="1" t="s">
        <v>74</v>
      </c>
      <c r="BB893" s="1" t="s">
        <v>74</v>
      </c>
      <c r="BC893" s="1" t="s">
        <v>74</v>
      </c>
      <c r="BD893" s="1" t="s">
        <v>74</v>
      </c>
      <c r="BE893" s="1" t="s">
        <v>8661</v>
      </c>
      <c r="BF893" s="2" t="str">
        <f>HYPERLINK("http://dx.doi.org/10.1108/ARLA-04-2024-0056","http://dx.doi.org/10.1108/ARLA-04-2024-0056")</f>
        <v>http://dx.doi.org/10.1108/ARLA-04-2024-0056</v>
      </c>
      <c r="BG893" s="1" t="s">
        <v>74</v>
      </c>
      <c r="BH893" s="1" t="s">
        <v>8662</v>
      </c>
      <c r="BI893" s="1" t="s">
        <v>74</v>
      </c>
      <c r="BJ893" s="1" t="s">
        <v>74</v>
      </c>
      <c r="BK893" s="1" t="s">
        <v>74</v>
      </c>
      <c r="BL893" s="1" t="s">
        <v>74</v>
      </c>
      <c r="BM893" s="1" t="s">
        <v>74</v>
      </c>
      <c r="BN893" s="1" t="s">
        <v>74</v>
      </c>
      <c r="BO893" s="1" t="s">
        <v>74</v>
      </c>
      <c r="BP893" s="1" t="s">
        <v>74</v>
      </c>
      <c r="BQ893" s="1" t="s">
        <v>74</v>
      </c>
      <c r="BR893" s="1" t="s">
        <v>74</v>
      </c>
      <c r="BS893" s="1" t="s">
        <v>8663</v>
      </c>
      <c r="BT893" s="1" t="str">
        <f>HYPERLINK("https%3A%2F%2Fwww.webofscience.com%2Fwos%2Fwoscc%2Ffull-record%2FWOS:001390608400001","View Full Record in Web of Science")</f>
        <v>View Full Record in Web of Science</v>
      </c>
    </row>
    <row r="894" ht="12.75" customHeight="1">
      <c r="A894" s="1" t="s">
        <v>72</v>
      </c>
      <c r="B894" s="1" t="s">
        <v>8664</v>
      </c>
      <c r="C894" s="1" t="s">
        <v>74</v>
      </c>
      <c r="D894" s="1" t="s">
        <v>74</v>
      </c>
      <c r="E894" s="1" t="s">
        <v>74</v>
      </c>
      <c r="F894" s="1" t="s">
        <v>8665</v>
      </c>
      <c r="G894" s="1" t="s">
        <v>74</v>
      </c>
      <c r="H894" s="1" t="s">
        <v>74</v>
      </c>
      <c r="I894" s="1" t="s">
        <v>8666</v>
      </c>
      <c r="J894" s="1" t="s">
        <v>8667</v>
      </c>
      <c r="K894" s="1" t="s">
        <v>74</v>
      </c>
      <c r="L894" s="1" t="s">
        <v>74</v>
      </c>
      <c r="M894" s="1" t="s">
        <v>74</v>
      </c>
      <c r="N894" s="1" t="s">
        <v>74</v>
      </c>
      <c r="O894" s="1" t="s">
        <v>74</v>
      </c>
      <c r="P894" s="1" t="s">
        <v>74</v>
      </c>
      <c r="Q894" s="1" t="s">
        <v>74</v>
      </c>
      <c r="R894" s="1" t="s">
        <v>74</v>
      </c>
      <c r="S894" s="1" t="s">
        <v>74</v>
      </c>
      <c r="T894" s="1" t="s">
        <v>74</v>
      </c>
      <c r="U894" s="1" t="s">
        <v>74</v>
      </c>
      <c r="V894" s="1" t="s">
        <v>8668</v>
      </c>
      <c r="W894" s="1" t="s">
        <v>74</v>
      </c>
      <c r="X894" s="1" t="s">
        <v>74</v>
      </c>
      <c r="Y894" s="1" t="s">
        <v>74</v>
      </c>
      <c r="Z894" s="1" t="s">
        <v>74</v>
      </c>
      <c r="AA894" s="1" t="s">
        <v>74</v>
      </c>
      <c r="AB894" s="1" t="s">
        <v>74</v>
      </c>
      <c r="AC894" s="1" t="s">
        <v>74</v>
      </c>
      <c r="AD894" s="1" t="s">
        <v>74</v>
      </c>
      <c r="AE894" s="1" t="s">
        <v>74</v>
      </c>
      <c r="AF894" s="1" t="s">
        <v>74</v>
      </c>
      <c r="AG894" s="1" t="s">
        <v>74</v>
      </c>
      <c r="AH894" s="1" t="s">
        <v>74</v>
      </c>
      <c r="AI894" s="1" t="s">
        <v>74</v>
      </c>
      <c r="AJ894" s="1" t="s">
        <v>74</v>
      </c>
      <c r="AK894" s="1" t="s">
        <v>74</v>
      </c>
      <c r="AL894" s="1" t="s">
        <v>74</v>
      </c>
      <c r="AM894" s="1" t="s">
        <v>74</v>
      </c>
      <c r="AN894" s="1" t="s">
        <v>74</v>
      </c>
      <c r="AO894" s="1" t="s">
        <v>8669</v>
      </c>
      <c r="AP894" s="1" t="s">
        <v>74</v>
      </c>
      <c r="AQ894" s="1" t="s">
        <v>74</v>
      </c>
      <c r="AR894" s="1" t="s">
        <v>74</v>
      </c>
      <c r="AS894" s="1" t="s">
        <v>74</v>
      </c>
      <c r="AT894" s="1" t="s">
        <v>652</v>
      </c>
      <c r="AU894" s="1">
        <v>2024.0</v>
      </c>
      <c r="AV894" s="1" t="s">
        <v>74</v>
      </c>
      <c r="AW894" s="1">
        <v>22.0</v>
      </c>
      <c r="AX894" s="1" t="s">
        <v>74</v>
      </c>
      <c r="AY894" s="1" t="s">
        <v>74</v>
      </c>
      <c r="AZ894" s="1" t="s">
        <v>74</v>
      </c>
      <c r="BA894" s="1" t="s">
        <v>74</v>
      </c>
      <c r="BB894" s="1">
        <v>321.0</v>
      </c>
      <c r="BC894" s="1">
        <v>351.0</v>
      </c>
      <c r="BD894" s="1" t="s">
        <v>74</v>
      </c>
      <c r="BE894" s="1" t="s">
        <v>8670</v>
      </c>
      <c r="BF894" s="2" t="str">
        <f>HYPERLINK("http://dx.doi.org/10.5354/2735-7473.2024.77301","http://dx.doi.org/10.5354/2735-7473.2024.77301")</f>
        <v>http://dx.doi.org/10.5354/2735-7473.2024.77301</v>
      </c>
      <c r="BG894" s="1" t="s">
        <v>74</v>
      </c>
      <c r="BH894" s="1" t="s">
        <v>74</v>
      </c>
      <c r="BI894" s="1" t="s">
        <v>74</v>
      </c>
      <c r="BJ894" s="1" t="s">
        <v>74</v>
      </c>
      <c r="BK894" s="1" t="s">
        <v>74</v>
      </c>
      <c r="BL894" s="1" t="s">
        <v>74</v>
      </c>
      <c r="BM894" s="1" t="s">
        <v>74</v>
      </c>
      <c r="BN894" s="1" t="s">
        <v>74</v>
      </c>
      <c r="BO894" s="1" t="s">
        <v>74</v>
      </c>
      <c r="BP894" s="1" t="s">
        <v>74</v>
      </c>
      <c r="BQ894" s="1" t="s">
        <v>74</v>
      </c>
      <c r="BR894" s="1" t="s">
        <v>74</v>
      </c>
      <c r="BS894" s="1" t="s">
        <v>8671</v>
      </c>
      <c r="BT894" s="1" t="str">
        <f>HYPERLINK("https%3A%2F%2Fwww.webofscience.com%2Fwos%2Fwoscc%2Ffull-record%2FWOS:001395518300010","View Full Record in Web of Science")</f>
        <v>View Full Record in Web of Science</v>
      </c>
    </row>
    <row r="895" ht="12.75" customHeight="1">
      <c r="A895" s="1" t="s">
        <v>72</v>
      </c>
      <c r="B895" s="1" t="s">
        <v>8672</v>
      </c>
      <c r="C895" s="1" t="s">
        <v>74</v>
      </c>
      <c r="D895" s="1" t="s">
        <v>74</v>
      </c>
      <c r="E895" s="1" t="s">
        <v>74</v>
      </c>
      <c r="F895" s="1" t="s">
        <v>8673</v>
      </c>
      <c r="G895" s="1" t="s">
        <v>74</v>
      </c>
      <c r="H895" s="1" t="s">
        <v>74</v>
      </c>
      <c r="I895" s="1" t="s">
        <v>8674</v>
      </c>
      <c r="J895" s="1" t="s">
        <v>7447</v>
      </c>
      <c r="K895" s="1" t="s">
        <v>74</v>
      </c>
      <c r="L895" s="1" t="s">
        <v>74</v>
      </c>
      <c r="M895" s="1" t="s">
        <v>74</v>
      </c>
      <c r="N895" s="1" t="s">
        <v>74</v>
      </c>
      <c r="O895" s="1" t="s">
        <v>74</v>
      </c>
      <c r="P895" s="1" t="s">
        <v>74</v>
      </c>
      <c r="Q895" s="1" t="s">
        <v>74</v>
      </c>
      <c r="R895" s="1" t="s">
        <v>74</v>
      </c>
      <c r="S895" s="1" t="s">
        <v>74</v>
      </c>
      <c r="T895" s="1" t="s">
        <v>74</v>
      </c>
      <c r="U895" s="1" t="s">
        <v>74</v>
      </c>
      <c r="V895" s="1" t="s">
        <v>8675</v>
      </c>
      <c r="W895" s="1" t="s">
        <v>74</v>
      </c>
      <c r="X895" s="1" t="s">
        <v>74</v>
      </c>
      <c r="Y895" s="1" t="s">
        <v>74</v>
      </c>
      <c r="Z895" s="1" t="s">
        <v>74</v>
      </c>
      <c r="AA895" s="1" t="s">
        <v>74</v>
      </c>
      <c r="AB895" s="1" t="s">
        <v>74</v>
      </c>
      <c r="AC895" s="1" t="s">
        <v>74</v>
      </c>
      <c r="AD895" s="1" t="s">
        <v>74</v>
      </c>
      <c r="AE895" s="1" t="s">
        <v>74</v>
      </c>
      <c r="AF895" s="1" t="s">
        <v>74</v>
      </c>
      <c r="AG895" s="1" t="s">
        <v>74</v>
      </c>
      <c r="AH895" s="1" t="s">
        <v>74</v>
      </c>
      <c r="AI895" s="1" t="s">
        <v>74</v>
      </c>
      <c r="AJ895" s="1" t="s">
        <v>74</v>
      </c>
      <c r="AK895" s="1" t="s">
        <v>74</v>
      </c>
      <c r="AL895" s="1" t="s">
        <v>74</v>
      </c>
      <c r="AM895" s="1" t="s">
        <v>74</v>
      </c>
      <c r="AN895" s="1" t="s">
        <v>74</v>
      </c>
      <c r="AO895" s="1" t="s">
        <v>7451</v>
      </c>
      <c r="AP895" s="1" t="s">
        <v>7452</v>
      </c>
      <c r="AQ895" s="1" t="s">
        <v>74</v>
      </c>
      <c r="AR895" s="1" t="s">
        <v>74</v>
      </c>
      <c r="AS895" s="1" t="s">
        <v>74</v>
      </c>
      <c r="AT895" s="1" t="s">
        <v>652</v>
      </c>
      <c r="AU895" s="1">
        <v>2024.0</v>
      </c>
      <c r="AV895" s="1">
        <v>30.0</v>
      </c>
      <c r="AW895" s="1">
        <v>12.0</v>
      </c>
      <c r="AX895" s="1" t="s">
        <v>74</v>
      </c>
      <c r="AY895" s="1" t="s">
        <v>74</v>
      </c>
      <c r="AZ895" s="1" t="s">
        <v>74</v>
      </c>
      <c r="BA895" s="1" t="s">
        <v>74</v>
      </c>
      <c r="BB895" s="1" t="s">
        <v>74</v>
      </c>
      <c r="BC895" s="1" t="s">
        <v>74</v>
      </c>
      <c r="BD895" s="1">
        <v>403.0</v>
      </c>
      <c r="BE895" s="1" t="s">
        <v>8676</v>
      </c>
      <c r="BF895" s="2" t="str">
        <f>HYPERLINK("http://dx.doi.org/10.1007/s00894-024-06211-9","http://dx.doi.org/10.1007/s00894-024-06211-9")</f>
        <v>http://dx.doi.org/10.1007/s00894-024-06211-9</v>
      </c>
      <c r="BG895" s="1" t="s">
        <v>74</v>
      </c>
      <c r="BH895" s="1" t="s">
        <v>74</v>
      </c>
      <c r="BI895" s="1" t="s">
        <v>74</v>
      </c>
      <c r="BJ895" s="1" t="s">
        <v>74</v>
      </c>
      <c r="BK895" s="1" t="s">
        <v>74</v>
      </c>
      <c r="BL895" s="1" t="s">
        <v>74</v>
      </c>
      <c r="BM895" s="1" t="s">
        <v>74</v>
      </c>
      <c r="BN895" s="1">
        <v>3.9556129E7</v>
      </c>
      <c r="BO895" s="1" t="s">
        <v>74</v>
      </c>
      <c r="BP895" s="1" t="s">
        <v>74</v>
      </c>
      <c r="BQ895" s="1" t="s">
        <v>74</v>
      </c>
      <c r="BR895" s="1" t="s">
        <v>74</v>
      </c>
      <c r="BS895" s="1" t="s">
        <v>8677</v>
      </c>
      <c r="BT895" s="1" t="str">
        <f>HYPERLINK("https%3A%2F%2Fwww.webofscience.com%2Fwos%2Fwoscc%2Ffull-record%2FWOS:001359095100003","View Full Record in Web of Science")</f>
        <v>View Full Record in Web of Science</v>
      </c>
    </row>
    <row r="896" ht="12.75" customHeight="1">
      <c r="A896" s="1" t="s">
        <v>72</v>
      </c>
      <c r="B896" s="1" t="s">
        <v>8678</v>
      </c>
      <c r="C896" s="1" t="s">
        <v>74</v>
      </c>
      <c r="D896" s="1" t="s">
        <v>74</v>
      </c>
      <c r="E896" s="1" t="s">
        <v>74</v>
      </c>
      <c r="F896" s="1" t="s">
        <v>8679</v>
      </c>
      <c r="G896" s="1" t="s">
        <v>74</v>
      </c>
      <c r="H896" s="1" t="s">
        <v>74</v>
      </c>
      <c r="I896" s="1" t="s">
        <v>8680</v>
      </c>
      <c r="J896" s="1" t="s">
        <v>8681</v>
      </c>
      <c r="K896" s="1" t="s">
        <v>74</v>
      </c>
      <c r="L896" s="1" t="s">
        <v>74</v>
      </c>
      <c r="M896" s="1" t="s">
        <v>74</v>
      </c>
      <c r="N896" s="1" t="s">
        <v>74</v>
      </c>
      <c r="O896" s="1" t="s">
        <v>74</v>
      </c>
      <c r="P896" s="1" t="s">
        <v>74</v>
      </c>
      <c r="Q896" s="1" t="s">
        <v>74</v>
      </c>
      <c r="R896" s="1" t="s">
        <v>74</v>
      </c>
      <c r="S896" s="1" t="s">
        <v>74</v>
      </c>
      <c r="T896" s="1" t="s">
        <v>74</v>
      </c>
      <c r="U896" s="1" t="s">
        <v>74</v>
      </c>
      <c r="V896" s="1" t="s">
        <v>8682</v>
      </c>
      <c r="W896" s="1" t="s">
        <v>74</v>
      </c>
      <c r="X896" s="1" t="s">
        <v>74</v>
      </c>
      <c r="Y896" s="1" t="s">
        <v>74</v>
      </c>
      <c r="Z896" s="1" t="s">
        <v>74</v>
      </c>
      <c r="AA896" s="1" t="s">
        <v>843</v>
      </c>
      <c r="AB896" s="1" t="s">
        <v>8683</v>
      </c>
      <c r="AC896" s="1" t="s">
        <v>74</v>
      </c>
      <c r="AD896" s="1" t="s">
        <v>74</v>
      </c>
      <c r="AE896" s="1" t="s">
        <v>74</v>
      </c>
      <c r="AF896" s="1" t="s">
        <v>74</v>
      </c>
      <c r="AG896" s="1" t="s">
        <v>74</v>
      </c>
      <c r="AH896" s="1" t="s">
        <v>74</v>
      </c>
      <c r="AI896" s="1" t="s">
        <v>74</v>
      </c>
      <c r="AJ896" s="1" t="s">
        <v>74</v>
      </c>
      <c r="AK896" s="1" t="s">
        <v>74</v>
      </c>
      <c r="AL896" s="1" t="s">
        <v>74</v>
      </c>
      <c r="AM896" s="1" t="s">
        <v>74</v>
      </c>
      <c r="AN896" s="1" t="s">
        <v>74</v>
      </c>
      <c r="AO896" s="1" t="s">
        <v>74</v>
      </c>
      <c r="AP896" s="1" t="s">
        <v>8684</v>
      </c>
      <c r="AQ896" s="1" t="s">
        <v>74</v>
      </c>
      <c r="AR896" s="1" t="s">
        <v>74</v>
      </c>
      <c r="AS896" s="1" t="s">
        <v>74</v>
      </c>
      <c r="AT896" s="1" t="s">
        <v>8685</v>
      </c>
      <c r="AU896" s="1">
        <v>2024.0</v>
      </c>
      <c r="AV896" s="1">
        <v>11.0</v>
      </c>
      <c r="AW896" s="1">
        <v>1.0</v>
      </c>
      <c r="AX896" s="1" t="s">
        <v>74</v>
      </c>
      <c r="AY896" s="1" t="s">
        <v>74</v>
      </c>
      <c r="AZ896" s="1" t="s">
        <v>74</v>
      </c>
      <c r="BA896" s="1" t="s">
        <v>74</v>
      </c>
      <c r="BB896" s="1" t="s">
        <v>74</v>
      </c>
      <c r="BC896" s="1" t="s">
        <v>74</v>
      </c>
      <c r="BD896" s="1">
        <v>586.0</v>
      </c>
      <c r="BE896" s="1" t="s">
        <v>8686</v>
      </c>
      <c r="BF896" s="2" t="str">
        <f>HYPERLINK("http://dx.doi.org/10.1057/s41599-024-03074-6","http://dx.doi.org/10.1057/s41599-024-03074-6")</f>
        <v>http://dx.doi.org/10.1057/s41599-024-03074-6</v>
      </c>
      <c r="BG896" s="1" t="s">
        <v>74</v>
      </c>
      <c r="BH896" s="1" t="s">
        <v>74</v>
      </c>
      <c r="BI896" s="1" t="s">
        <v>74</v>
      </c>
      <c r="BJ896" s="1" t="s">
        <v>74</v>
      </c>
      <c r="BK896" s="1" t="s">
        <v>74</v>
      </c>
      <c r="BL896" s="1" t="s">
        <v>74</v>
      </c>
      <c r="BM896" s="1" t="s">
        <v>74</v>
      </c>
      <c r="BN896" s="1" t="s">
        <v>74</v>
      </c>
      <c r="BO896" s="1" t="s">
        <v>74</v>
      </c>
      <c r="BP896" s="1" t="s">
        <v>74</v>
      </c>
      <c r="BQ896" s="1" t="s">
        <v>74</v>
      </c>
      <c r="BR896" s="1" t="s">
        <v>74</v>
      </c>
      <c r="BS896" s="1" t="s">
        <v>8687</v>
      </c>
      <c r="BT896" s="1" t="str">
        <f>HYPERLINK("https%3A%2F%2Fwww.webofscience.com%2Fwos%2Fwoscc%2Ffull-record%2FWOS:001216163100008","View Full Record in Web of Science")</f>
        <v>View Full Record in Web of Science</v>
      </c>
    </row>
    <row r="897" ht="12.75" customHeight="1">
      <c r="A897" s="1" t="s">
        <v>72</v>
      </c>
      <c r="B897" s="1" t="s">
        <v>8688</v>
      </c>
      <c r="C897" s="1" t="s">
        <v>74</v>
      </c>
      <c r="D897" s="1" t="s">
        <v>74</v>
      </c>
      <c r="E897" s="1" t="s">
        <v>74</v>
      </c>
      <c r="F897" s="1" t="s">
        <v>8689</v>
      </c>
      <c r="G897" s="1" t="s">
        <v>74</v>
      </c>
      <c r="H897" s="1" t="s">
        <v>74</v>
      </c>
      <c r="I897" s="1" t="s">
        <v>8690</v>
      </c>
      <c r="J897" s="1" t="s">
        <v>8691</v>
      </c>
      <c r="K897" s="1" t="s">
        <v>74</v>
      </c>
      <c r="L897" s="1" t="s">
        <v>74</v>
      </c>
      <c r="M897" s="1" t="s">
        <v>74</v>
      </c>
      <c r="N897" s="1" t="s">
        <v>74</v>
      </c>
      <c r="O897" s="1" t="s">
        <v>74</v>
      </c>
      <c r="P897" s="1" t="s">
        <v>74</v>
      </c>
      <c r="Q897" s="1" t="s">
        <v>74</v>
      </c>
      <c r="R897" s="1" t="s">
        <v>74</v>
      </c>
      <c r="S897" s="1" t="s">
        <v>74</v>
      </c>
      <c r="T897" s="1" t="s">
        <v>74</v>
      </c>
      <c r="U897" s="1" t="s">
        <v>74</v>
      </c>
      <c r="V897" s="1" t="s">
        <v>8692</v>
      </c>
      <c r="W897" s="1" t="s">
        <v>74</v>
      </c>
      <c r="X897" s="1" t="s">
        <v>74</v>
      </c>
      <c r="Y897" s="1" t="s">
        <v>74</v>
      </c>
      <c r="Z897" s="1" t="s">
        <v>74</v>
      </c>
      <c r="AA897" s="1" t="s">
        <v>1314</v>
      </c>
      <c r="AB897" s="1" t="s">
        <v>8693</v>
      </c>
      <c r="AC897" s="1" t="s">
        <v>74</v>
      </c>
      <c r="AD897" s="1" t="s">
        <v>74</v>
      </c>
      <c r="AE897" s="1" t="s">
        <v>74</v>
      </c>
      <c r="AF897" s="1" t="s">
        <v>74</v>
      </c>
      <c r="AG897" s="1" t="s">
        <v>74</v>
      </c>
      <c r="AH897" s="1" t="s">
        <v>74</v>
      </c>
      <c r="AI897" s="1" t="s">
        <v>74</v>
      </c>
      <c r="AJ897" s="1" t="s">
        <v>74</v>
      </c>
      <c r="AK897" s="1" t="s">
        <v>74</v>
      </c>
      <c r="AL897" s="1" t="s">
        <v>74</v>
      </c>
      <c r="AM897" s="1" t="s">
        <v>74</v>
      </c>
      <c r="AN897" s="1" t="s">
        <v>74</v>
      </c>
      <c r="AO897" s="1" t="s">
        <v>8694</v>
      </c>
      <c r="AP897" s="1" t="s">
        <v>8695</v>
      </c>
      <c r="AQ897" s="1" t="s">
        <v>74</v>
      </c>
      <c r="AR897" s="1" t="s">
        <v>74</v>
      </c>
      <c r="AS897" s="1" t="s">
        <v>74</v>
      </c>
      <c r="AT897" s="1" t="s">
        <v>306</v>
      </c>
      <c r="AU897" s="1">
        <v>2024.0</v>
      </c>
      <c r="AV897" s="1">
        <v>118.0</v>
      </c>
      <c r="AW897" s="1">
        <v>2.0</v>
      </c>
      <c r="AX897" s="1" t="s">
        <v>74</v>
      </c>
      <c r="AY897" s="1" t="s">
        <v>74</v>
      </c>
      <c r="AZ897" s="1" t="s">
        <v>74</v>
      </c>
      <c r="BA897" s="1" t="s">
        <v>74</v>
      </c>
      <c r="BB897" s="1" t="s">
        <v>74</v>
      </c>
      <c r="BC897" s="1" t="s">
        <v>74</v>
      </c>
      <c r="BD897" s="1">
        <v>75.0</v>
      </c>
      <c r="BE897" s="1" t="s">
        <v>8696</v>
      </c>
      <c r="BF897" s="2" t="str">
        <f>HYPERLINK("http://dx.doi.org/10.1007/s13398-024-01578-z","http://dx.doi.org/10.1007/s13398-024-01578-z")</f>
        <v>http://dx.doi.org/10.1007/s13398-024-01578-z</v>
      </c>
      <c r="BG897" s="1" t="s">
        <v>74</v>
      </c>
      <c r="BH897" s="1" t="s">
        <v>74</v>
      </c>
      <c r="BI897" s="1" t="s">
        <v>74</v>
      </c>
      <c r="BJ897" s="1" t="s">
        <v>74</v>
      </c>
      <c r="BK897" s="1" t="s">
        <v>74</v>
      </c>
      <c r="BL897" s="1" t="s">
        <v>74</v>
      </c>
      <c r="BM897" s="1" t="s">
        <v>74</v>
      </c>
      <c r="BN897" s="1" t="s">
        <v>74</v>
      </c>
      <c r="BO897" s="1" t="s">
        <v>74</v>
      </c>
      <c r="BP897" s="1" t="s">
        <v>74</v>
      </c>
      <c r="BQ897" s="1" t="s">
        <v>74</v>
      </c>
      <c r="BR897" s="1" t="s">
        <v>74</v>
      </c>
      <c r="BS897" s="1" t="s">
        <v>8697</v>
      </c>
      <c r="BT897" s="1" t="str">
        <f>HYPERLINK("https%3A%2F%2Fwww.webofscience.com%2Fwos%2Fwoscc%2Ffull-record%2FWOS:001189236100002","View Full Record in Web of Science")</f>
        <v>View Full Record in Web of Science</v>
      </c>
    </row>
    <row r="898" ht="12.75" customHeight="1">
      <c r="A898" s="1" t="s">
        <v>72</v>
      </c>
      <c r="B898" s="1" t="s">
        <v>8698</v>
      </c>
      <c r="C898" s="1" t="s">
        <v>74</v>
      </c>
      <c r="D898" s="1" t="s">
        <v>74</v>
      </c>
      <c r="E898" s="1" t="s">
        <v>74</v>
      </c>
      <c r="F898" s="1" t="s">
        <v>8699</v>
      </c>
      <c r="G898" s="1" t="s">
        <v>74</v>
      </c>
      <c r="H898" s="1" t="s">
        <v>74</v>
      </c>
      <c r="I898" s="1" t="s">
        <v>8700</v>
      </c>
      <c r="J898" s="1" t="s">
        <v>8701</v>
      </c>
      <c r="K898" s="1" t="s">
        <v>74</v>
      </c>
      <c r="L898" s="1" t="s">
        <v>74</v>
      </c>
      <c r="M898" s="1" t="s">
        <v>74</v>
      </c>
      <c r="N898" s="1" t="s">
        <v>74</v>
      </c>
      <c r="O898" s="1" t="s">
        <v>74</v>
      </c>
      <c r="P898" s="1" t="s">
        <v>74</v>
      </c>
      <c r="Q898" s="1" t="s">
        <v>74</v>
      </c>
      <c r="R898" s="1" t="s">
        <v>74</v>
      </c>
      <c r="S898" s="1" t="s">
        <v>74</v>
      </c>
      <c r="T898" s="1" t="s">
        <v>74</v>
      </c>
      <c r="U898" s="1" t="s">
        <v>74</v>
      </c>
      <c r="V898" s="1" t="s">
        <v>8702</v>
      </c>
      <c r="W898" s="1" t="s">
        <v>74</v>
      </c>
      <c r="X898" s="1" t="s">
        <v>74</v>
      </c>
      <c r="Y898" s="1" t="s">
        <v>74</v>
      </c>
      <c r="Z898" s="1" t="s">
        <v>74</v>
      </c>
      <c r="AA898" s="1" t="s">
        <v>1791</v>
      </c>
      <c r="AB898" s="1" t="s">
        <v>1792</v>
      </c>
      <c r="AC898" s="1" t="s">
        <v>74</v>
      </c>
      <c r="AD898" s="1" t="s">
        <v>74</v>
      </c>
      <c r="AE898" s="1" t="s">
        <v>74</v>
      </c>
      <c r="AF898" s="1" t="s">
        <v>74</v>
      </c>
      <c r="AG898" s="1" t="s">
        <v>74</v>
      </c>
      <c r="AH898" s="1" t="s">
        <v>74</v>
      </c>
      <c r="AI898" s="1" t="s">
        <v>74</v>
      </c>
      <c r="AJ898" s="1" t="s">
        <v>74</v>
      </c>
      <c r="AK898" s="1" t="s">
        <v>74</v>
      </c>
      <c r="AL898" s="1" t="s">
        <v>74</v>
      </c>
      <c r="AM898" s="1" t="s">
        <v>74</v>
      </c>
      <c r="AN898" s="1" t="s">
        <v>74</v>
      </c>
      <c r="AO898" s="1" t="s">
        <v>8703</v>
      </c>
      <c r="AP898" s="1" t="s">
        <v>8704</v>
      </c>
      <c r="AQ898" s="1" t="s">
        <v>74</v>
      </c>
      <c r="AR898" s="1" t="s">
        <v>74</v>
      </c>
      <c r="AS898" s="1" t="s">
        <v>74</v>
      </c>
      <c r="AT898" s="1" t="s">
        <v>180</v>
      </c>
      <c r="AU898" s="1">
        <v>2024.0</v>
      </c>
      <c r="AV898" s="1">
        <v>151.0</v>
      </c>
      <c r="AW898" s="1" t="s">
        <v>74</v>
      </c>
      <c r="AX898" s="1" t="s">
        <v>74</v>
      </c>
      <c r="AY898" s="1" t="s">
        <v>74</v>
      </c>
      <c r="AZ898" s="1" t="s">
        <v>74</v>
      </c>
      <c r="BA898" s="1" t="s">
        <v>74</v>
      </c>
      <c r="BB898" s="1" t="s">
        <v>74</v>
      </c>
      <c r="BC898" s="1" t="s">
        <v>74</v>
      </c>
      <c r="BD898" s="1">
        <v>108979.0</v>
      </c>
      <c r="BE898" s="1" t="s">
        <v>8705</v>
      </c>
      <c r="BF898" s="2" t="str">
        <f>HYPERLINK("http://dx.doi.org/10.1016/j.aml.2023.108979","http://dx.doi.org/10.1016/j.aml.2023.108979")</f>
        <v>http://dx.doi.org/10.1016/j.aml.2023.108979</v>
      </c>
      <c r="BG898" s="1" t="s">
        <v>74</v>
      </c>
      <c r="BH898" s="1" t="s">
        <v>1278</v>
      </c>
      <c r="BI898" s="1" t="s">
        <v>74</v>
      </c>
      <c r="BJ898" s="1" t="s">
        <v>74</v>
      </c>
      <c r="BK898" s="1" t="s">
        <v>74</v>
      </c>
      <c r="BL898" s="1" t="s">
        <v>74</v>
      </c>
      <c r="BM898" s="1" t="s">
        <v>74</v>
      </c>
      <c r="BN898" s="1" t="s">
        <v>74</v>
      </c>
      <c r="BO898" s="1" t="s">
        <v>74</v>
      </c>
      <c r="BP898" s="1" t="s">
        <v>74</v>
      </c>
      <c r="BQ898" s="1" t="s">
        <v>74</v>
      </c>
      <c r="BR898" s="1" t="s">
        <v>74</v>
      </c>
      <c r="BS898" s="1" t="s">
        <v>8706</v>
      </c>
      <c r="BT898" s="1" t="str">
        <f>HYPERLINK("https%3A%2F%2Fwww.webofscience.com%2Fwos%2Fwoscc%2Ffull-record%2FWOS:001155853700001","View Full Record in Web of Science")</f>
        <v>View Full Record in Web of Science</v>
      </c>
    </row>
    <row r="899" ht="12.75" customHeight="1">
      <c r="A899" s="1" t="s">
        <v>72</v>
      </c>
      <c r="B899" s="1" t="s">
        <v>8707</v>
      </c>
      <c r="C899" s="1" t="s">
        <v>74</v>
      </c>
      <c r="D899" s="1" t="s">
        <v>74</v>
      </c>
      <c r="E899" s="1" t="s">
        <v>74</v>
      </c>
      <c r="F899" s="1" t="s">
        <v>8708</v>
      </c>
      <c r="G899" s="1" t="s">
        <v>74</v>
      </c>
      <c r="H899" s="1" t="s">
        <v>74</v>
      </c>
      <c r="I899" s="1" t="s">
        <v>8709</v>
      </c>
      <c r="J899" s="1" t="s">
        <v>8710</v>
      </c>
      <c r="K899" s="1" t="s">
        <v>74</v>
      </c>
      <c r="L899" s="1" t="s">
        <v>74</v>
      </c>
      <c r="M899" s="1" t="s">
        <v>74</v>
      </c>
      <c r="N899" s="1" t="s">
        <v>74</v>
      </c>
      <c r="O899" s="1" t="s">
        <v>74</v>
      </c>
      <c r="P899" s="1" t="s">
        <v>74</v>
      </c>
      <c r="Q899" s="1" t="s">
        <v>74</v>
      </c>
      <c r="R899" s="1" t="s">
        <v>74</v>
      </c>
      <c r="S899" s="1" t="s">
        <v>74</v>
      </c>
      <c r="T899" s="1" t="s">
        <v>74</v>
      </c>
      <c r="U899" s="1" t="s">
        <v>74</v>
      </c>
      <c r="V899" s="1" t="s">
        <v>8711</v>
      </c>
      <c r="W899" s="1" t="s">
        <v>74</v>
      </c>
      <c r="X899" s="1" t="s">
        <v>74</v>
      </c>
      <c r="Y899" s="1" t="s">
        <v>74</v>
      </c>
      <c r="Z899" s="1" t="s">
        <v>74</v>
      </c>
      <c r="AA899" s="1" t="s">
        <v>74</v>
      </c>
      <c r="AB899" s="1" t="s">
        <v>74</v>
      </c>
      <c r="AC899" s="1" t="s">
        <v>74</v>
      </c>
      <c r="AD899" s="1" t="s">
        <v>74</v>
      </c>
      <c r="AE899" s="1" t="s">
        <v>74</v>
      </c>
      <c r="AF899" s="1" t="s">
        <v>74</v>
      </c>
      <c r="AG899" s="1" t="s">
        <v>74</v>
      </c>
      <c r="AH899" s="1" t="s">
        <v>74</v>
      </c>
      <c r="AI899" s="1" t="s">
        <v>74</v>
      </c>
      <c r="AJ899" s="1" t="s">
        <v>74</v>
      </c>
      <c r="AK899" s="1" t="s">
        <v>74</v>
      </c>
      <c r="AL899" s="1" t="s">
        <v>74</v>
      </c>
      <c r="AM899" s="1" t="s">
        <v>74</v>
      </c>
      <c r="AN899" s="1" t="s">
        <v>74</v>
      </c>
      <c r="AO899" s="1" t="s">
        <v>8712</v>
      </c>
      <c r="AP899" s="1" t="s">
        <v>8713</v>
      </c>
      <c r="AQ899" s="1" t="s">
        <v>74</v>
      </c>
      <c r="AR899" s="1" t="s">
        <v>74</v>
      </c>
      <c r="AS899" s="1" t="s">
        <v>74</v>
      </c>
      <c r="AT899" s="1" t="s">
        <v>74</v>
      </c>
      <c r="AU899" s="1">
        <v>2023.0</v>
      </c>
      <c r="AV899" s="1" t="s">
        <v>74</v>
      </c>
      <c r="AW899" s="1">
        <v>38.0</v>
      </c>
      <c r="AX899" s="1" t="s">
        <v>74</v>
      </c>
      <c r="AY899" s="1" t="s">
        <v>74</v>
      </c>
      <c r="AZ899" s="1" t="s">
        <v>74</v>
      </c>
      <c r="BA899" s="1" t="s">
        <v>74</v>
      </c>
      <c r="BB899" s="1">
        <v>34.0</v>
      </c>
      <c r="BC899" s="1">
        <v>53.0</v>
      </c>
      <c r="BD899" s="1" t="s">
        <v>74</v>
      </c>
      <c r="BE899" s="1" t="s">
        <v>8714</v>
      </c>
      <c r="BF899" s="2" t="str">
        <f>HYPERLINK("http://dx.doi.org/10.35588/estudav.v0i38.5793","http://dx.doi.org/10.35588/estudav.v0i38.5793")</f>
        <v>http://dx.doi.org/10.35588/estudav.v0i38.5793</v>
      </c>
      <c r="BG899" s="1" t="s">
        <v>74</v>
      </c>
      <c r="BH899" s="1" t="s">
        <v>74</v>
      </c>
      <c r="BI899" s="1" t="s">
        <v>74</v>
      </c>
      <c r="BJ899" s="1" t="s">
        <v>74</v>
      </c>
      <c r="BK899" s="1" t="s">
        <v>74</v>
      </c>
      <c r="BL899" s="1" t="s">
        <v>74</v>
      </c>
      <c r="BM899" s="1" t="s">
        <v>74</v>
      </c>
      <c r="BN899" s="1" t="s">
        <v>74</v>
      </c>
      <c r="BO899" s="1" t="s">
        <v>74</v>
      </c>
      <c r="BP899" s="1" t="s">
        <v>74</v>
      </c>
      <c r="BQ899" s="1" t="s">
        <v>74</v>
      </c>
      <c r="BR899" s="1" t="s">
        <v>74</v>
      </c>
      <c r="BS899" s="1" t="s">
        <v>8715</v>
      </c>
      <c r="BT899" s="1" t="str">
        <f>HYPERLINK("https%3A%2F%2Fwww.webofscience.com%2Fwos%2Fwoscc%2Ffull-record%2FWOS:001026183000003","View Full Record in Web of Science")</f>
        <v>View Full Record in Web of Science</v>
      </c>
    </row>
    <row r="900" ht="12.75" customHeight="1">
      <c r="A900" s="1" t="s">
        <v>72</v>
      </c>
      <c r="B900" s="1" t="s">
        <v>8716</v>
      </c>
      <c r="C900" s="1" t="s">
        <v>74</v>
      </c>
      <c r="D900" s="1" t="s">
        <v>74</v>
      </c>
      <c r="E900" s="1" t="s">
        <v>74</v>
      </c>
      <c r="F900" s="1" t="s">
        <v>8717</v>
      </c>
      <c r="G900" s="1" t="s">
        <v>74</v>
      </c>
      <c r="H900" s="1" t="s">
        <v>74</v>
      </c>
      <c r="I900" s="1" t="s">
        <v>8718</v>
      </c>
      <c r="J900" s="1" t="s">
        <v>8719</v>
      </c>
      <c r="K900" s="1" t="s">
        <v>74</v>
      </c>
      <c r="L900" s="1" t="s">
        <v>74</v>
      </c>
      <c r="M900" s="1" t="s">
        <v>74</v>
      </c>
      <c r="N900" s="1" t="s">
        <v>74</v>
      </c>
      <c r="O900" s="1" t="s">
        <v>74</v>
      </c>
      <c r="P900" s="1" t="s">
        <v>74</v>
      </c>
      <c r="Q900" s="1" t="s">
        <v>74</v>
      </c>
      <c r="R900" s="1" t="s">
        <v>74</v>
      </c>
      <c r="S900" s="1" t="s">
        <v>74</v>
      </c>
      <c r="T900" s="1" t="s">
        <v>74</v>
      </c>
      <c r="U900" s="1" t="s">
        <v>74</v>
      </c>
      <c r="V900" s="1" t="s">
        <v>8720</v>
      </c>
      <c r="W900" s="1" t="s">
        <v>74</v>
      </c>
      <c r="X900" s="1" t="s">
        <v>74</v>
      </c>
      <c r="Y900" s="1" t="s">
        <v>74</v>
      </c>
      <c r="Z900" s="1" t="s">
        <v>74</v>
      </c>
      <c r="AA900" s="1" t="s">
        <v>8721</v>
      </c>
      <c r="AB900" s="1" t="s">
        <v>8722</v>
      </c>
      <c r="AC900" s="1" t="s">
        <v>74</v>
      </c>
      <c r="AD900" s="1" t="s">
        <v>74</v>
      </c>
      <c r="AE900" s="1" t="s">
        <v>74</v>
      </c>
      <c r="AF900" s="1" t="s">
        <v>74</v>
      </c>
      <c r="AG900" s="1" t="s">
        <v>74</v>
      </c>
      <c r="AH900" s="1" t="s">
        <v>74</v>
      </c>
      <c r="AI900" s="1" t="s">
        <v>74</v>
      </c>
      <c r="AJ900" s="1" t="s">
        <v>74</v>
      </c>
      <c r="AK900" s="1" t="s">
        <v>74</v>
      </c>
      <c r="AL900" s="1" t="s">
        <v>74</v>
      </c>
      <c r="AM900" s="1" t="s">
        <v>74</v>
      </c>
      <c r="AN900" s="1" t="s">
        <v>74</v>
      </c>
      <c r="AO900" s="1" t="s">
        <v>74</v>
      </c>
      <c r="AP900" s="1" t="s">
        <v>8723</v>
      </c>
      <c r="AQ900" s="1" t="s">
        <v>74</v>
      </c>
      <c r="AR900" s="1" t="s">
        <v>74</v>
      </c>
      <c r="AS900" s="1" t="s">
        <v>74</v>
      </c>
      <c r="AT900" s="1" t="s">
        <v>339</v>
      </c>
      <c r="AU900" s="1">
        <v>2022.0</v>
      </c>
      <c r="AV900" s="1">
        <v>33.0</v>
      </c>
      <c r="AW900" s="1" t="s">
        <v>74</v>
      </c>
      <c r="AX900" s="1" t="s">
        <v>74</v>
      </c>
      <c r="AY900" s="1" t="s">
        <v>74</v>
      </c>
      <c r="AZ900" s="1" t="s">
        <v>74</v>
      </c>
      <c r="BA900" s="1" t="s">
        <v>74</v>
      </c>
      <c r="BB900" s="1" t="s">
        <v>74</v>
      </c>
      <c r="BC900" s="1" t="s">
        <v>74</v>
      </c>
      <c r="BD900" s="1">
        <v>100345.0</v>
      </c>
      <c r="BE900" s="1" t="s">
        <v>8724</v>
      </c>
      <c r="BF900" s="2" t="str">
        <f>HYPERLINK("http://dx.doi.org/10.1016/j.jcpo.2022.100345","http://dx.doi.org/10.1016/j.jcpo.2022.100345")</f>
        <v>http://dx.doi.org/10.1016/j.jcpo.2022.100345</v>
      </c>
      <c r="BG900" s="1" t="s">
        <v>74</v>
      </c>
      <c r="BH900" s="1" t="s">
        <v>74</v>
      </c>
      <c r="BI900" s="1" t="s">
        <v>74</v>
      </c>
      <c r="BJ900" s="1" t="s">
        <v>74</v>
      </c>
      <c r="BK900" s="1" t="s">
        <v>74</v>
      </c>
      <c r="BL900" s="1" t="s">
        <v>74</v>
      </c>
      <c r="BM900" s="1" t="s">
        <v>74</v>
      </c>
      <c r="BN900" s="1">
        <v>3.5724958E7</v>
      </c>
      <c r="BO900" s="1" t="s">
        <v>74</v>
      </c>
      <c r="BP900" s="1" t="s">
        <v>74</v>
      </c>
      <c r="BQ900" s="1" t="s">
        <v>74</v>
      </c>
      <c r="BR900" s="1" t="s">
        <v>74</v>
      </c>
      <c r="BS900" s="1" t="s">
        <v>8725</v>
      </c>
      <c r="BT900" s="1" t="str">
        <f>HYPERLINK("https%3A%2F%2Fwww.webofscience.com%2Fwos%2Fwoscc%2Ffull-record%2FWOS:000836449400004","View Full Record in Web of Science")</f>
        <v>View Full Record in Web of Science</v>
      </c>
    </row>
    <row r="901" ht="12.75" customHeight="1">
      <c r="A901" s="1" t="s">
        <v>72</v>
      </c>
      <c r="B901" s="1" t="s">
        <v>8726</v>
      </c>
      <c r="C901" s="1" t="s">
        <v>74</v>
      </c>
      <c r="D901" s="1" t="s">
        <v>74</v>
      </c>
      <c r="E901" s="1" t="s">
        <v>74</v>
      </c>
      <c r="F901" s="1" t="s">
        <v>8727</v>
      </c>
      <c r="G901" s="1" t="s">
        <v>74</v>
      </c>
      <c r="H901" s="1" t="s">
        <v>74</v>
      </c>
      <c r="I901" s="1" t="s">
        <v>8728</v>
      </c>
      <c r="J901" s="1" t="s">
        <v>8729</v>
      </c>
      <c r="K901" s="1" t="s">
        <v>74</v>
      </c>
      <c r="L901" s="1" t="s">
        <v>74</v>
      </c>
      <c r="M901" s="1" t="s">
        <v>74</v>
      </c>
      <c r="N901" s="1" t="s">
        <v>74</v>
      </c>
      <c r="O901" s="1" t="s">
        <v>74</v>
      </c>
      <c r="P901" s="1" t="s">
        <v>74</v>
      </c>
      <c r="Q901" s="1" t="s">
        <v>74</v>
      </c>
      <c r="R901" s="1" t="s">
        <v>74</v>
      </c>
      <c r="S901" s="1" t="s">
        <v>74</v>
      </c>
      <c r="T901" s="1" t="s">
        <v>74</v>
      </c>
      <c r="U901" s="1" t="s">
        <v>74</v>
      </c>
      <c r="V901" s="1" t="s">
        <v>8730</v>
      </c>
      <c r="W901" s="1" t="s">
        <v>74</v>
      </c>
      <c r="X901" s="1" t="s">
        <v>74</v>
      </c>
      <c r="Y901" s="1" t="s">
        <v>74</v>
      </c>
      <c r="Z901" s="1" t="s">
        <v>74</v>
      </c>
      <c r="AA901" s="1" t="s">
        <v>8731</v>
      </c>
      <c r="AB901" s="1" t="s">
        <v>8732</v>
      </c>
      <c r="AC901" s="1" t="s">
        <v>74</v>
      </c>
      <c r="AD901" s="1" t="s">
        <v>74</v>
      </c>
      <c r="AE901" s="1" t="s">
        <v>74</v>
      </c>
      <c r="AF901" s="1" t="s">
        <v>74</v>
      </c>
      <c r="AG901" s="1" t="s">
        <v>74</v>
      </c>
      <c r="AH901" s="1" t="s">
        <v>74</v>
      </c>
      <c r="AI901" s="1" t="s">
        <v>74</v>
      </c>
      <c r="AJ901" s="1" t="s">
        <v>74</v>
      </c>
      <c r="AK901" s="1" t="s">
        <v>74</v>
      </c>
      <c r="AL901" s="1" t="s">
        <v>74</v>
      </c>
      <c r="AM901" s="1" t="s">
        <v>74</v>
      </c>
      <c r="AN901" s="1" t="s">
        <v>74</v>
      </c>
      <c r="AO901" s="1" t="s">
        <v>8733</v>
      </c>
      <c r="AP901" s="1" t="s">
        <v>8734</v>
      </c>
      <c r="AQ901" s="1" t="s">
        <v>74</v>
      </c>
      <c r="AR901" s="1" t="s">
        <v>74</v>
      </c>
      <c r="AS901" s="1" t="s">
        <v>74</v>
      </c>
      <c r="AT901" s="1" t="s">
        <v>8735</v>
      </c>
      <c r="AU901" s="1">
        <v>2022.0</v>
      </c>
      <c r="AV901" s="1">
        <v>28.0</v>
      </c>
      <c r="AW901" s="1">
        <v>48.0</v>
      </c>
      <c r="AX901" s="1" t="s">
        <v>74</v>
      </c>
      <c r="AY901" s="1" t="s">
        <v>74</v>
      </c>
      <c r="AZ901" s="1" t="s">
        <v>74</v>
      </c>
      <c r="BA901" s="1" t="s">
        <v>74</v>
      </c>
      <c r="BB901" s="1" t="s">
        <v>74</v>
      </c>
      <c r="BC901" s="1" t="s">
        <v>74</v>
      </c>
      <c r="BD901" s="1" t="s">
        <v>8736</v>
      </c>
      <c r="BE901" s="1" t="s">
        <v>8737</v>
      </c>
      <c r="BF901" s="2" t="str">
        <f>HYPERLINK("http://dx.doi.org/10.1002/chem.202200336","http://dx.doi.org/10.1002/chem.202200336")</f>
        <v>http://dx.doi.org/10.1002/chem.202200336</v>
      </c>
      <c r="BG901" s="1" t="s">
        <v>74</v>
      </c>
      <c r="BH901" s="1" t="s">
        <v>3978</v>
      </c>
      <c r="BI901" s="1" t="s">
        <v>74</v>
      </c>
      <c r="BJ901" s="1" t="s">
        <v>74</v>
      </c>
      <c r="BK901" s="1" t="s">
        <v>74</v>
      </c>
      <c r="BL901" s="1" t="s">
        <v>74</v>
      </c>
      <c r="BM901" s="1" t="s">
        <v>74</v>
      </c>
      <c r="BN901" s="1">
        <v>3.5648577E7</v>
      </c>
      <c r="BO901" s="1" t="s">
        <v>74</v>
      </c>
      <c r="BP901" s="1" t="s">
        <v>74</v>
      </c>
      <c r="BQ901" s="1" t="s">
        <v>74</v>
      </c>
      <c r="BR901" s="1" t="s">
        <v>74</v>
      </c>
      <c r="BS901" s="1" t="s">
        <v>8738</v>
      </c>
      <c r="BT901" s="1" t="str">
        <f>HYPERLINK("https%3A%2F%2Fwww.webofscience.com%2Fwos%2Fwoscc%2Ffull-record%2FWOS:000818303900001","View Full Record in Web of Science")</f>
        <v>View Full Record in Web of Science</v>
      </c>
    </row>
    <row r="902" ht="12.75" customHeight="1">
      <c r="A902" s="1" t="s">
        <v>72</v>
      </c>
      <c r="B902" s="1" t="s">
        <v>8739</v>
      </c>
      <c r="C902" s="1" t="s">
        <v>74</v>
      </c>
      <c r="D902" s="1" t="s">
        <v>74</v>
      </c>
      <c r="E902" s="1" t="s">
        <v>74</v>
      </c>
      <c r="F902" s="1" t="s">
        <v>8740</v>
      </c>
      <c r="G902" s="1" t="s">
        <v>74</v>
      </c>
      <c r="H902" s="1" t="s">
        <v>74</v>
      </c>
      <c r="I902" s="1" t="s">
        <v>8741</v>
      </c>
      <c r="J902" s="1" t="s">
        <v>765</v>
      </c>
      <c r="K902" s="1" t="s">
        <v>74</v>
      </c>
      <c r="L902" s="1" t="s">
        <v>74</v>
      </c>
      <c r="M902" s="1" t="s">
        <v>74</v>
      </c>
      <c r="N902" s="1" t="s">
        <v>74</v>
      </c>
      <c r="O902" s="1" t="s">
        <v>74</v>
      </c>
      <c r="P902" s="1" t="s">
        <v>74</v>
      </c>
      <c r="Q902" s="1" t="s">
        <v>74</v>
      </c>
      <c r="R902" s="1" t="s">
        <v>74</v>
      </c>
      <c r="S902" s="1" t="s">
        <v>74</v>
      </c>
      <c r="T902" s="1" t="s">
        <v>74</v>
      </c>
      <c r="U902" s="1" t="s">
        <v>74</v>
      </c>
      <c r="V902" s="1" t="s">
        <v>8742</v>
      </c>
      <c r="W902" s="1" t="s">
        <v>74</v>
      </c>
      <c r="X902" s="1" t="s">
        <v>74</v>
      </c>
      <c r="Y902" s="1" t="s">
        <v>74</v>
      </c>
      <c r="Z902" s="1" t="s">
        <v>74</v>
      </c>
      <c r="AA902" s="1" t="s">
        <v>8743</v>
      </c>
      <c r="AB902" s="1" t="s">
        <v>8744</v>
      </c>
      <c r="AC902" s="1" t="s">
        <v>74</v>
      </c>
      <c r="AD902" s="1" t="s">
        <v>74</v>
      </c>
      <c r="AE902" s="1" t="s">
        <v>74</v>
      </c>
      <c r="AF902" s="1" t="s">
        <v>74</v>
      </c>
      <c r="AG902" s="1" t="s">
        <v>74</v>
      </c>
      <c r="AH902" s="1" t="s">
        <v>74</v>
      </c>
      <c r="AI902" s="1" t="s">
        <v>74</v>
      </c>
      <c r="AJ902" s="1" t="s">
        <v>74</v>
      </c>
      <c r="AK902" s="1" t="s">
        <v>74</v>
      </c>
      <c r="AL902" s="1" t="s">
        <v>74</v>
      </c>
      <c r="AM902" s="1" t="s">
        <v>74</v>
      </c>
      <c r="AN902" s="1" t="s">
        <v>74</v>
      </c>
      <c r="AO902" s="1" t="s">
        <v>769</v>
      </c>
      <c r="AP902" s="1" t="s">
        <v>74</v>
      </c>
      <c r="AQ902" s="1" t="s">
        <v>74</v>
      </c>
      <c r="AR902" s="1" t="s">
        <v>74</v>
      </c>
      <c r="AS902" s="1" t="s">
        <v>74</v>
      </c>
      <c r="AT902" s="1" t="s">
        <v>8745</v>
      </c>
      <c r="AU902" s="1">
        <v>2022.0</v>
      </c>
      <c r="AV902" s="1">
        <v>12.0</v>
      </c>
      <c r="AW902" s="1">
        <v>1.0</v>
      </c>
      <c r="AX902" s="1" t="s">
        <v>74</v>
      </c>
      <c r="AY902" s="1" t="s">
        <v>74</v>
      </c>
      <c r="AZ902" s="1" t="s">
        <v>74</v>
      </c>
      <c r="BA902" s="1" t="s">
        <v>74</v>
      </c>
      <c r="BB902" s="1" t="s">
        <v>74</v>
      </c>
      <c r="BC902" s="1" t="s">
        <v>74</v>
      </c>
      <c r="BD902" s="1">
        <v>8603.0</v>
      </c>
      <c r="BE902" s="1" t="s">
        <v>8746</v>
      </c>
      <c r="BF902" s="2" t="str">
        <f>HYPERLINK("http://dx.doi.org/10.1038/s41598-022-12127-2","http://dx.doi.org/10.1038/s41598-022-12127-2")</f>
        <v>http://dx.doi.org/10.1038/s41598-022-12127-2</v>
      </c>
      <c r="BG902" s="1" t="s">
        <v>74</v>
      </c>
      <c r="BH902" s="1" t="s">
        <v>74</v>
      </c>
      <c r="BI902" s="1" t="s">
        <v>74</v>
      </c>
      <c r="BJ902" s="1" t="s">
        <v>74</v>
      </c>
      <c r="BK902" s="1" t="s">
        <v>74</v>
      </c>
      <c r="BL902" s="1" t="s">
        <v>74</v>
      </c>
      <c r="BM902" s="1" t="s">
        <v>74</v>
      </c>
      <c r="BN902" s="1">
        <v>3.5597775E7</v>
      </c>
      <c r="BO902" s="1" t="s">
        <v>74</v>
      </c>
      <c r="BP902" s="1" t="s">
        <v>74</v>
      </c>
      <c r="BQ902" s="1" t="s">
        <v>74</v>
      </c>
      <c r="BR902" s="1" t="s">
        <v>74</v>
      </c>
      <c r="BS902" s="1" t="s">
        <v>8747</v>
      </c>
      <c r="BT902" s="1" t="str">
        <f>HYPERLINK("https%3A%2F%2Fwww.webofscience.com%2Fwos%2Fwoscc%2Ffull-record%2FWOS:000798485300008","View Full Record in Web of Science")</f>
        <v>View Full Record in Web of Science</v>
      </c>
    </row>
    <row r="903" ht="12.75" customHeight="1">
      <c r="A903" s="1" t="s">
        <v>72</v>
      </c>
      <c r="B903" s="1" t="s">
        <v>8748</v>
      </c>
      <c r="C903" s="1" t="s">
        <v>74</v>
      </c>
      <c r="D903" s="1" t="s">
        <v>74</v>
      </c>
      <c r="E903" s="1" t="s">
        <v>74</v>
      </c>
      <c r="F903" s="1" t="s">
        <v>8749</v>
      </c>
      <c r="G903" s="1" t="s">
        <v>74</v>
      </c>
      <c r="H903" s="1" t="s">
        <v>74</v>
      </c>
      <c r="I903" s="1" t="s">
        <v>8750</v>
      </c>
      <c r="J903" s="1" t="s">
        <v>8751</v>
      </c>
      <c r="K903" s="1" t="s">
        <v>74</v>
      </c>
      <c r="L903" s="1" t="s">
        <v>74</v>
      </c>
      <c r="M903" s="1" t="s">
        <v>74</v>
      </c>
      <c r="N903" s="1" t="s">
        <v>74</v>
      </c>
      <c r="O903" s="1" t="s">
        <v>74</v>
      </c>
      <c r="P903" s="1" t="s">
        <v>74</v>
      </c>
      <c r="Q903" s="1" t="s">
        <v>74</v>
      </c>
      <c r="R903" s="1" t="s">
        <v>74</v>
      </c>
      <c r="S903" s="1" t="s">
        <v>74</v>
      </c>
      <c r="T903" s="1" t="s">
        <v>74</v>
      </c>
      <c r="U903" s="1" t="s">
        <v>74</v>
      </c>
      <c r="V903" s="1" t="s">
        <v>8752</v>
      </c>
      <c r="W903" s="1" t="s">
        <v>74</v>
      </c>
      <c r="X903" s="1" t="s">
        <v>74</v>
      </c>
      <c r="Y903" s="1" t="s">
        <v>74</v>
      </c>
      <c r="Z903" s="1" t="s">
        <v>74</v>
      </c>
      <c r="AA903" s="1" t="s">
        <v>8753</v>
      </c>
      <c r="AB903" s="1" t="s">
        <v>8754</v>
      </c>
      <c r="AC903" s="1" t="s">
        <v>74</v>
      </c>
      <c r="AD903" s="1" t="s">
        <v>74</v>
      </c>
      <c r="AE903" s="1" t="s">
        <v>74</v>
      </c>
      <c r="AF903" s="1" t="s">
        <v>74</v>
      </c>
      <c r="AG903" s="1" t="s">
        <v>74</v>
      </c>
      <c r="AH903" s="1" t="s">
        <v>74</v>
      </c>
      <c r="AI903" s="1" t="s">
        <v>74</v>
      </c>
      <c r="AJ903" s="1" t="s">
        <v>74</v>
      </c>
      <c r="AK903" s="1" t="s">
        <v>74</v>
      </c>
      <c r="AL903" s="1" t="s">
        <v>74</v>
      </c>
      <c r="AM903" s="1" t="s">
        <v>74</v>
      </c>
      <c r="AN903" s="1" t="s">
        <v>74</v>
      </c>
      <c r="AO903" s="1" t="s">
        <v>8755</v>
      </c>
      <c r="AP903" s="1" t="s">
        <v>8756</v>
      </c>
      <c r="AQ903" s="1" t="s">
        <v>74</v>
      </c>
      <c r="AR903" s="1" t="s">
        <v>74</v>
      </c>
      <c r="AS903" s="1" t="s">
        <v>74</v>
      </c>
      <c r="AT903" s="1" t="s">
        <v>5609</v>
      </c>
      <c r="AU903" s="1">
        <v>2022.0</v>
      </c>
      <c r="AV903" s="1">
        <v>13.0</v>
      </c>
      <c r="AW903" s="1">
        <v>1.0</v>
      </c>
      <c r="AX903" s="1" t="s">
        <v>74</v>
      </c>
      <c r="AY903" s="1" t="s">
        <v>74</v>
      </c>
      <c r="AZ903" s="1" t="s">
        <v>74</v>
      </c>
      <c r="BA903" s="1" t="s">
        <v>74</v>
      </c>
      <c r="BB903" s="1">
        <v>14.0</v>
      </c>
      <c r="BC903" s="1">
        <v>23.0</v>
      </c>
      <c r="BD903" s="1" t="s">
        <v>74</v>
      </c>
      <c r="BE903" s="1" t="s">
        <v>8757</v>
      </c>
      <c r="BF903" s="2" t="str">
        <f>HYPERLINK("http://dx.doi.org/10.17268/sci.agropecu.2022.002","http://dx.doi.org/10.17268/sci.agropecu.2022.002")</f>
        <v>http://dx.doi.org/10.17268/sci.agropecu.2022.002</v>
      </c>
      <c r="BG903" s="1" t="s">
        <v>74</v>
      </c>
      <c r="BH903" s="1" t="s">
        <v>74</v>
      </c>
      <c r="BI903" s="1" t="s">
        <v>74</v>
      </c>
      <c r="BJ903" s="1" t="s">
        <v>74</v>
      </c>
      <c r="BK903" s="1" t="s">
        <v>74</v>
      </c>
      <c r="BL903" s="1" t="s">
        <v>74</v>
      </c>
      <c r="BM903" s="1" t="s">
        <v>74</v>
      </c>
      <c r="BN903" s="1" t="s">
        <v>74</v>
      </c>
      <c r="BO903" s="1" t="s">
        <v>74</v>
      </c>
      <c r="BP903" s="1" t="s">
        <v>74</v>
      </c>
      <c r="BQ903" s="1" t="s">
        <v>74</v>
      </c>
      <c r="BR903" s="1" t="s">
        <v>74</v>
      </c>
      <c r="BS903" s="1" t="s">
        <v>8758</v>
      </c>
      <c r="BT903" s="1" t="str">
        <f>HYPERLINK("https%3A%2F%2Fwww.webofscience.com%2Fwos%2Fwoscc%2Ffull-record%2FWOS:000788200600002","View Full Record in Web of Science")</f>
        <v>View Full Record in Web of Science</v>
      </c>
    </row>
    <row r="904" ht="12.75" customHeight="1">
      <c r="A904" s="1" t="s">
        <v>274</v>
      </c>
      <c r="B904" s="1" t="s">
        <v>8759</v>
      </c>
      <c r="C904" s="1" t="s">
        <v>74</v>
      </c>
      <c r="D904" s="1" t="s">
        <v>8760</v>
      </c>
      <c r="E904" s="1" t="s">
        <v>74</v>
      </c>
      <c r="F904" s="1" t="s">
        <v>8761</v>
      </c>
      <c r="G904" s="1" t="s">
        <v>74</v>
      </c>
      <c r="H904" s="1" t="s">
        <v>74</v>
      </c>
      <c r="I904" s="1" t="s">
        <v>8762</v>
      </c>
      <c r="J904" s="1" t="s">
        <v>8763</v>
      </c>
      <c r="K904" s="1" t="s">
        <v>8764</v>
      </c>
      <c r="L904" s="1" t="s">
        <v>74</v>
      </c>
      <c r="M904" s="1" t="s">
        <v>74</v>
      </c>
      <c r="N904" s="1" t="s">
        <v>74</v>
      </c>
      <c r="O904" s="1" t="s">
        <v>74</v>
      </c>
      <c r="P904" s="1" t="s">
        <v>74</v>
      </c>
      <c r="Q904" s="1" t="s">
        <v>74</v>
      </c>
      <c r="R904" s="1" t="s">
        <v>74</v>
      </c>
      <c r="S904" s="1" t="s">
        <v>74</v>
      </c>
      <c r="T904" s="1" t="s">
        <v>74</v>
      </c>
      <c r="U904" s="1" t="s">
        <v>74</v>
      </c>
      <c r="V904" s="1" t="s">
        <v>74</v>
      </c>
      <c r="W904" s="1" t="s">
        <v>74</v>
      </c>
      <c r="X904" s="1" t="s">
        <v>74</v>
      </c>
      <c r="Y904" s="1" t="s">
        <v>74</v>
      </c>
      <c r="Z904" s="1" t="s">
        <v>74</v>
      </c>
      <c r="AA904" s="1" t="s">
        <v>8765</v>
      </c>
      <c r="AB904" s="1" t="s">
        <v>8766</v>
      </c>
      <c r="AC904" s="1" t="s">
        <v>74</v>
      </c>
      <c r="AD904" s="1" t="s">
        <v>74</v>
      </c>
      <c r="AE904" s="1" t="s">
        <v>74</v>
      </c>
      <c r="AF904" s="1" t="s">
        <v>74</v>
      </c>
      <c r="AG904" s="1" t="s">
        <v>74</v>
      </c>
      <c r="AH904" s="1" t="s">
        <v>74</v>
      </c>
      <c r="AI904" s="1" t="s">
        <v>74</v>
      </c>
      <c r="AJ904" s="1" t="s">
        <v>74</v>
      </c>
      <c r="AK904" s="1" t="s">
        <v>74</v>
      </c>
      <c r="AL904" s="1" t="s">
        <v>74</v>
      </c>
      <c r="AM904" s="1" t="s">
        <v>74</v>
      </c>
      <c r="AN904" s="1" t="s">
        <v>74</v>
      </c>
      <c r="AO904" s="1" t="s">
        <v>74</v>
      </c>
      <c r="AP904" s="1" t="s">
        <v>74</v>
      </c>
      <c r="AQ904" s="1" t="s">
        <v>8767</v>
      </c>
      <c r="AR904" s="1" t="s">
        <v>74</v>
      </c>
      <c r="AS904" s="1" t="s">
        <v>74</v>
      </c>
      <c r="AT904" s="1" t="s">
        <v>74</v>
      </c>
      <c r="AU904" s="1">
        <v>2022.0</v>
      </c>
      <c r="AV904" s="1" t="s">
        <v>74</v>
      </c>
      <c r="AW904" s="1" t="s">
        <v>74</v>
      </c>
      <c r="AX904" s="1" t="s">
        <v>74</v>
      </c>
      <c r="AY904" s="1" t="s">
        <v>74</v>
      </c>
      <c r="AZ904" s="1" t="s">
        <v>74</v>
      </c>
      <c r="BA904" s="1" t="s">
        <v>74</v>
      </c>
      <c r="BB904" s="1">
        <v>426.0</v>
      </c>
      <c r="BC904" s="1">
        <v>461.0</v>
      </c>
      <c r="BD904" s="1" t="s">
        <v>74</v>
      </c>
      <c r="BE904" s="1" t="s">
        <v>74</v>
      </c>
      <c r="BF904" s="1" t="s">
        <v>74</v>
      </c>
      <c r="BG904" s="1" t="s">
        <v>8768</v>
      </c>
      <c r="BH904" s="1" t="s">
        <v>74</v>
      </c>
      <c r="BI904" s="1" t="s">
        <v>74</v>
      </c>
      <c r="BJ904" s="1" t="s">
        <v>74</v>
      </c>
      <c r="BK904" s="1" t="s">
        <v>74</v>
      </c>
      <c r="BL904" s="1" t="s">
        <v>74</v>
      </c>
      <c r="BM904" s="1" t="s">
        <v>74</v>
      </c>
      <c r="BN904" s="1" t="s">
        <v>74</v>
      </c>
      <c r="BO904" s="1" t="s">
        <v>74</v>
      </c>
      <c r="BP904" s="1" t="s">
        <v>74</v>
      </c>
      <c r="BQ904" s="1" t="s">
        <v>74</v>
      </c>
      <c r="BR904" s="1" t="s">
        <v>74</v>
      </c>
      <c r="BS904" s="1" t="s">
        <v>8769</v>
      </c>
      <c r="BT904" s="1" t="str">
        <f>HYPERLINK("https%3A%2F%2Fwww.webofscience.com%2Fwos%2Fwoscc%2Ffull-record%2FWOS:001064360200017","View Full Record in Web of Science")</f>
        <v>View Full Record in Web of Science</v>
      </c>
    </row>
    <row r="905" ht="12.75" customHeight="1">
      <c r="A905" s="1" t="s">
        <v>72</v>
      </c>
      <c r="B905" s="1" t="s">
        <v>8770</v>
      </c>
      <c r="C905" s="1" t="s">
        <v>74</v>
      </c>
      <c r="D905" s="1" t="s">
        <v>74</v>
      </c>
      <c r="E905" s="1" t="s">
        <v>74</v>
      </c>
      <c r="F905" s="1" t="s">
        <v>8771</v>
      </c>
      <c r="G905" s="1" t="s">
        <v>74</v>
      </c>
      <c r="H905" s="1" t="s">
        <v>74</v>
      </c>
      <c r="I905" s="1" t="s">
        <v>8772</v>
      </c>
      <c r="J905" s="1" t="s">
        <v>4422</v>
      </c>
      <c r="K905" s="1" t="s">
        <v>74</v>
      </c>
      <c r="L905" s="1" t="s">
        <v>74</v>
      </c>
      <c r="M905" s="1" t="s">
        <v>74</v>
      </c>
      <c r="N905" s="1" t="s">
        <v>74</v>
      </c>
      <c r="O905" s="1" t="s">
        <v>74</v>
      </c>
      <c r="P905" s="1" t="s">
        <v>74</v>
      </c>
      <c r="Q905" s="1" t="s">
        <v>74</v>
      </c>
      <c r="R905" s="1" t="s">
        <v>74</v>
      </c>
      <c r="S905" s="1" t="s">
        <v>74</v>
      </c>
      <c r="T905" s="1" t="s">
        <v>74</v>
      </c>
      <c r="U905" s="1" t="s">
        <v>74</v>
      </c>
      <c r="V905" s="1" t="s">
        <v>8773</v>
      </c>
      <c r="W905" s="1" t="s">
        <v>74</v>
      </c>
      <c r="X905" s="1" t="s">
        <v>74</v>
      </c>
      <c r="Y905" s="1" t="s">
        <v>74</v>
      </c>
      <c r="Z905" s="1" t="s">
        <v>74</v>
      </c>
      <c r="AA905" s="1" t="s">
        <v>8774</v>
      </c>
      <c r="AB905" s="1" t="s">
        <v>8775</v>
      </c>
      <c r="AC905" s="1" t="s">
        <v>74</v>
      </c>
      <c r="AD905" s="1" t="s">
        <v>74</v>
      </c>
      <c r="AE905" s="1" t="s">
        <v>74</v>
      </c>
      <c r="AF905" s="1" t="s">
        <v>74</v>
      </c>
      <c r="AG905" s="1" t="s">
        <v>74</v>
      </c>
      <c r="AH905" s="1" t="s">
        <v>74</v>
      </c>
      <c r="AI905" s="1" t="s">
        <v>74</v>
      </c>
      <c r="AJ905" s="1" t="s">
        <v>74</v>
      </c>
      <c r="AK905" s="1" t="s">
        <v>74</v>
      </c>
      <c r="AL905" s="1" t="s">
        <v>74</v>
      </c>
      <c r="AM905" s="1" t="s">
        <v>74</v>
      </c>
      <c r="AN905" s="1" t="s">
        <v>74</v>
      </c>
      <c r="AO905" s="1" t="s">
        <v>4426</v>
      </c>
      <c r="AP905" s="1" t="s">
        <v>74</v>
      </c>
      <c r="AQ905" s="1" t="s">
        <v>74</v>
      </c>
      <c r="AR905" s="1" t="s">
        <v>74</v>
      </c>
      <c r="AS905" s="1" t="s">
        <v>74</v>
      </c>
      <c r="AT905" s="1" t="s">
        <v>8776</v>
      </c>
      <c r="AU905" s="1">
        <v>2021.0</v>
      </c>
      <c r="AV905" s="1">
        <v>12.0</v>
      </c>
      <c r="AW905" s="1" t="s">
        <v>74</v>
      </c>
      <c r="AX905" s="1" t="s">
        <v>74</v>
      </c>
      <c r="AY905" s="1" t="s">
        <v>74</v>
      </c>
      <c r="AZ905" s="1" t="s">
        <v>74</v>
      </c>
      <c r="BA905" s="1" t="s">
        <v>74</v>
      </c>
      <c r="BB905" s="1" t="s">
        <v>74</v>
      </c>
      <c r="BC905" s="1" t="s">
        <v>74</v>
      </c>
      <c r="BD905" s="1" t="s">
        <v>74</v>
      </c>
      <c r="BE905" s="1" t="s">
        <v>8777</v>
      </c>
      <c r="BF905" s="2" t="str">
        <f>HYPERLINK("http://dx.doi.org/10.3389/fimmu.2021.696781","http://dx.doi.org/10.3389/fimmu.2021.696781")</f>
        <v>http://dx.doi.org/10.3389/fimmu.2021.696781</v>
      </c>
      <c r="BG905" s="1" t="s">
        <v>74</v>
      </c>
      <c r="BH905" s="1" t="s">
        <v>74</v>
      </c>
      <c r="BI905" s="1" t="s">
        <v>74</v>
      </c>
      <c r="BJ905" s="1" t="s">
        <v>74</v>
      </c>
      <c r="BK905" s="1" t="s">
        <v>74</v>
      </c>
      <c r="BL905" s="1" t="s">
        <v>74</v>
      </c>
      <c r="BM905" s="1" t="s">
        <v>74</v>
      </c>
      <c r="BN905" s="1">
        <v>3.4475871E7</v>
      </c>
      <c r="BO905" s="1" t="s">
        <v>74</v>
      </c>
      <c r="BP905" s="1" t="s">
        <v>74</v>
      </c>
      <c r="BQ905" s="1" t="s">
        <v>74</v>
      </c>
      <c r="BR905" s="1" t="s">
        <v>74</v>
      </c>
      <c r="BS905" s="1" t="s">
        <v>8778</v>
      </c>
      <c r="BT905" s="1" t="str">
        <f>HYPERLINK("https%3A%2F%2Fwww.webofscience.com%2Fwos%2Fwoscc%2Ffull-record%2FWOS:000693838200001","View Full Record in Web of Science")</f>
        <v>View Full Record in Web of Science</v>
      </c>
    </row>
    <row r="906" ht="12.75" customHeight="1">
      <c r="A906" s="1" t="s">
        <v>72</v>
      </c>
      <c r="B906" s="1" t="s">
        <v>8779</v>
      </c>
      <c r="C906" s="1" t="s">
        <v>74</v>
      </c>
      <c r="D906" s="1" t="s">
        <v>74</v>
      </c>
      <c r="E906" s="1" t="s">
        <v>74</v>
      </c>
      <c r="F906" s="1" t="s">
        <v>8780</v>
      </c>
      <c r="G906" s="1" t="s">
        <v>74</v>
      </c>
      <c r="H906" s="1" t="s">
        <v>74</v>
      </c>
      <c r="I906" s="1" t="s">
        <v>8781</v>
      </c>
      <c r="J906" s="1" t="s">
        <v>948</v>
      </c>
      <c r="K906" s="1" t="s">
        <v>74</v>
      </c>
      <c r="L906" s="1" t="s">
        <v>74</v>
      </c>
      <c r="M906" s="1" t="s">
        <v>74</v>
      </c>
      <c r="N906" s="1" t="s">
        <v>74</v>
      </c>
      <c r="O906" s="1" t="s">
        <v>74</v>
      </c>
      <c r="P906" s="1" t="s">
        <v>74</v>
      </c>
      <c r="Q906" s="1" t="s">
        <v>74</v>
      </c>
      <c r="R906" s="1" t="s">
        <v>74</v>
      </c>
      <c r="S906" s="1" t="s">
        <v>74</v>
      </c>
      <c r="T906" s="1" t="s">
        <v>74</v>
      </c>
      <c r="U906" s="1" t="s">
        <v>74</v>
      </c>
      <c r="V906" s="1" t="s">
        <v>8782</v>
      </c>
      <c r="W906" s="1" t="s">
        <v>74</v>
      </c>
      <c r="X906" s="1" t="s">
        <v>74</v>
      </c>
      <c r="Y906" s="1" t="s">
        <v>74</v>
      </c>
      <c r="Z906" s="1" t="s">
        <v>74</v>
      </c>
      <c r="AA906" s="1" t="s">
        <v>8783</v>
      </c>
      <c r="AB906" s="1" t="s">
        <v>8784</v>
      </c>
      <c r="AC906" s="1" t="s">
        <v>74</v>
      </c>
      <c r="AD906" s="1" t="s">
        <v>74</v>
      </c>
      <c r="AE906" s="1" t="s">
        <v>74</v>
      </c>
      <c r="AF906" s="1" t="s">
        <v>74</v>
      </c>
      <c r="AG906" s="1" t="s">
        <v>74</v>
      </c>
      <c r="AH906" s="1" t="s">
        <v>74</v>
      </c>
      <c r="AI906" s="1" t="s">
        <v>74</v>
      </c>
      <c r="AJ906" s="1" t="s">
        <v>74</v>
      </c>
      <c r="AK906" s="1" t="s">
        <v>74</v>
      </c>
      <c r="AL906" s="1" t="s">
        <v>74</v>
      </c>
      <c r="AM906" s="1" t="s">
        <v>74</v>
      </c>
      <c r="AN906" s="1" t="s">
        <v>74</v>
      </c>
      <c r="AO906" s="1" t="s">
        <v>951</v>
      </c>
      <c r="AP906" s="1" t="s">
        <v>952</v>
      </c>
      <c r="AQ906" s="1" t="s">
        <v>74</v>
      </c>
      <c r="AR906" s="1" t="s">
        <v>74</v>
      </c>
      <c r="AS906" s="1" t="s">
        <v>74</v>
      </c>
      <c r="AT906" s="1" t="s">
        <v>8785</v>
      </c>
      <c r="AU906" s="1">
        <v>2021.0</v>
      </c>
      <c r="AV906" s="1">
        <v>125.0</v>
      </c>
      <c r="AW906" s="1">
        <v>1.0</v>
      </c>
      <c r="AX906" s="1" t="s">
        <v>74</v>
      </c>
      <c r="AY906" s="1" t="s">
        <v>74</v>
      </c>
      <c r="AZ906" s="1" t="s">
        <v>74</v>
      </c>
      <c r="BA906" s="1" t="s">
        <v>74</v>
      </c>
      <c r="BB906" s="1">
        <v>230.0</v>
      </c>
      <c r="BC906" s="1">
        <v>234.0</v>
      </c>
      <c r="BD906" s="1" t="s">
        <v>74</v>
      </c>
      <c r="BE906" s="1" t="s">
        <v>8786</v>
      </c>
      <c r="BF906" s="2" t="str">
        <f>HYPERLINK("http://dx.doi.org/10.1021/acs.jpca.0c09549","http://dx.doi.org/10.1021/acs.jpca.0c09549")</f>
        <v>http://dx.doi.org/10.1021/acs.jpca.0c09549</v>
      </c>
      <c r="BG906" s="1" t="s">
        <v>74</v>
      </c>
      <c r="BH906" s="1" t="s">
        <v>74</v>
      </c>
      <c r="BI906" s="1" t="s">
        <v>74</v>
      </c>
      <c r="BJ906" s="1" t="s">
        <v>74</v>
      </c>
      <c r="BK906" s="1" t="s">
        <v>74</v>
      </c>
      <c r="BL906" s="1" t="s">
        <v>74</v>
      </c>
      <c r="BM906" s="1" t="s">
        <v>74</v>
      </c>
      <c r="BN906" s="1">
        <v>3.3356243E7</v>
      </c>
      <c r="BO906" s="1" t="s">
        <v>74</v>
      </c>
      <c r="BP906" s="1" t="s">
        <v>74</v>
      </c>
      <c r="BQ906" s="1" t="s">
        <v>74</v>
      </c>
      <c r="BR906" s="1" t="s">
        <v>74</v>
      </c>
      <c r="BS906" s="1" t="s">
        <v>8787</v>
      </c>
      <c r="BT906" s="1" t="str">
        <f>HYPERLINK("https%3A%2F%2Fwww.webofscience.com%2Fwos%2Fwoscc%2Ffull-record%2FWOS:000611410000025","View Full Record in Web of Science")</f>
        <v>View Full Record in Web of Science</v>
      </c>
    </row>
    <row r="907" ht="12.75" customHeight="1">
      <c r="A907" s="1" t="s">
        <v>72</v>
      </c>
      <c r="B907" s="1" t="s">
        <v>8788</v>
      </c>
      <c r="C907" s="1" t="s">
        <v>74</v>
      </c>
      <c r="D907" s="1" t="s">
        <v>74</v>
      </c>
      <c r="E907" s="1" t="s">
        <v>74</v>
      </c>
      <c r="F907" s="1" t="s">
        <v>8789</v>
      </c>
      <c r="G907" s="1" t="s">
        <v>74</v>
      </c>
      <c r="H907" s="1" t="s">
        <v>74</v>
      </c>
      <c r="I907" s="1" t="s">
        <v>8790</v>
      </c>
      <c r="J907" s="1" t="s">
        <v>8791</v>
      </c>
      <c r="K907" s="1" t="s">
        <v>74</v>
      </c>
      <c r="L907" s="1" t="s">
        <v>74</v>
      </c>
      <c r="M907" s="1" t="s">
        <v>74</v>
      </c>
      <c r="N907" s="1" t="s">
        <v>74</v>
      </c>
      <c r="O907" s="1" t="s">
        <v>74</v>
      </c>
      <c r="P907" s="1" t="s">
        <v>74</v>
      </c>
      <c r="Q907" s="1" t="s">
        <v>74</v>
      </c>
      <c r="R907" s="1" t="s">
        <v>74</v>
      </c>
      <c r="S907" s="1" t="s">
        <v>74</v>
      </c>
      <c r="T907" s="1" t="s">
        <v>74</v>
      </c>
      <c r="U907" s="1" t="s">
        <v>74</v>
      </c>
      <c r="V907" s="1" t="s">
        <v>8792</v>
      </c>
      <c r="W907" s="1" t="s">
        <v>74</v>
      </c>
      <c r="X907" s="1" t="s">
        <v>74</v>
      </c>
      <c r="Y907" s="1" t="s">
        <v>74</v>
      </c>
      <c r="Z907" s="1" t="s">
        <v>74</v>
      </c>
      <c r="AA907" s="1" t="s">
        <v>8793</v>
      </c>
      <c r="AB907" s="1" t="s">
        <v>8794</v>
      </c>
      <c r="AC907" s="1" t="s">
        <v>74</v>
      </c>
      <c r="AD907" s="1" t="s">
        <v>74</v>
      </c>
      <c r="AE907" s="1" t="s">
        <v>74</v>
      </c>
      <c r="AF907" s="1" t="s">
        <v>74</v>
      </c>
      <c r="AG907" s="1" t="s">
        <v>74</v>
      </c>
      <c r="AH907" s="1" t="s">
        <v>74</v>
      </c>
      <c r="AI907" s="1" t="s">
        <v>74</v>
      </c>
      <c r="AJ907" s="1" t="s">
        <v>74</v>
      </c>
      <c r="AK907" s="1" t="s">
        <v>74</v>
      </c>
      <c r="AL907" s="1" t="s">
        <v>74</v>
      </c>
      <c r="AM907" s="1" t="s">
        <v>74</v>
      </c>
      <c r="AN907" s="1" t="s">
        <v>74</v>
      </c>
      <c r="AO907" s="1" t="s">
        <v>8795</v>
      </c>
      <c r="AP907" s="1" t="s">
        <v>8796</v>
      </c>
      <c r="AQ907" s="1" t="s">
        <v>74</v>
      </c>
      <c r="AR907" s="1" t="s">
        <v>74</v>
      </c>
      <c r="AS907" s="1" t="s">
        <v>74</v>
      </c>
      <c r="AT907" s="1" t="s">
        <v>696</v>
      </c>
      <c r="AU907" s="1">
        <v>2021.0</v>
      </c>
      <c r="AV907" s="1">
        <v>15.0</v>
      </c>
      <c r="AW907" s="1">
        <v>1.0</v>
      </c>
      <c r="AX907" s="1" t="s">
        <v>74</v>
      </c>
      <c r="AY907" s="1" t="s">
        <v>74</v>
      </c>
      <c r="AZ907" s="1" t="s">
        <v>74</v>
      </c>
      <c r="BA907" s="1" t="s">
        <v>74</v>
      </c>
      <c r="BB907" s="1">
        <v>135.0</v>
      </c>
      <c r="BC907" s="1">
        <v>166.0</v>
      </c>
      <c r="BD907" s="1" t="s">
        <v>74</v>
      </c>
      <c r="BE907" s="1" t="s">
        <v>8797</v>
      </c>
      <c r="BF907" s="2" t="str">
        <f>HYPERLINK("http://dx.doi.org/10.1007/s11698-020-00205-2","http://dx.doi.org/10.1007/s11698-020-00205-2")</f>
        <v>http://dx.doi.org/10.1007/s11698-020-00205-2</v>
      </c>
      <c r="BG907" s="1" t="s">
        <v>74</v>
      </c>
      <c r="BH907" s="1" t="s">
        <v>8798</v>
      </c>
      <c r="BI907" s="1" t="s">
        <v>74</v>
      </c>
      <c r="BJ907" s="1" t="s">
        <v>74</v>
      </c>
      <c r="BK907" s="1" t="s">
        <v>74</v>
      </c>
      <c r="BL907" s="1" t="s">
        <v>74</v>
      </c>
      <c r="BM907" s="1" t="s">
        <v>74</v>
      </c>
      <c r="BN907" s="1" t="s">
        <v>74</v>
      </c>
      <c r="BO907" s="1" t="s">
        <v>74</v>
      </c>
      <c r="BP907" s="1" t="s">
        <v>74</v>
      </c>
      <c r="BQ907" s="1" t="s">
        <v>74</v>
      </c>
      <c r="BR907" s="1" t="s">
        <v>74</v>
      </c>
      <c r="BS907" s="1" t="s">
        <v>8799</v>
      </c>
      <c r="BT907" s="1" t="str">
        <f>HYPERLINK("https%3A%2F%2Fwww.webofscience.com%2Fwos%2Fwoscc%2Ffull-record%2FWOS:000558452800001","View Full Record in Web of Science")</f>
        <v>View Full Record in Web of Science</v>
      </c>
    </row>
    <row r="908" ht="12.75" customHeight="1">
      <c r="A908" s="1" t="s">
        <v>72</v>
      </c>
      <c r="B908" s="1" t="s">
        <v>8800</v>
      </c>
      <c r="C908" s="1" t="s">
        <v>74</v>
      </c>
      <c r="D908" s="1" t="s">
        <v>74</v>
      </c>
      <c r="E908" s="1" t="s">
        <v>74</v>
      </c>
      <c r="F908" s="1" t="s">
        <v>8801</v>
      </c>
      <c r="G908" s="1" t="s">
        <v>74</v>
      </c>
      <c r="H908" s="1" t="s">
        <v>74</v>
      </c>
      <c r="I908" s="1" t="s">
        <v>8802</v>
      </c>
      <c r="J908" s="1" t="s">
        <v>8803</v>
      </c>
      <c r="K908" s="1" t="s">
        <v>74</v>
      </c>
      <c r="L908" s="1" t="s">
        <v>74</v>
      </c>
      <c r="M908" s="1" t="s">
        <v>74</v>
      </c>
      <c r="N908" s="1" t="s">
        <v>74</v>
      </c>
      <c r="O908" s="1" t="s">
        <v>74</v>
      </c>
      <c r="P908" s="1" t="s">
        <v>74</v>
      </c>
      <c r="Q908" s="1" t="s">
        <v>74</v>
      </c>
      <c r="R908" s="1" t="s">
        <v>74</v>
      </c>
      <c r="S908" s="1" t="s">
        <v>74</v>
      </c>
      <c r="T908" s="1" t="s">
        <v>74</v>
      </c>
      <c r="U908" s="1" t="s">
        <v>74</v>
      </c>
      <c r="V908" s="1" t="s">
        <v>8804</v>
      </c>
      <c r="W908" s="1" t="s">
        <v>74</v>
      </c>
      <c r="X908" s="1" t="s">
        <v>74</v>
      </c>
      <c r="Y908" s="1" t="s">
        <v>74</v>
      </c>
      <c r="Z908" s="1" t="s">
        <v>74</v>
      </c>
      <c r="AA908" s="1" t="s">
        <v>8805</v>
      </c>
      <c r="AB908" s="1" t="s">
        <v>8806</v>
      </c>
      <c r="AC908" s="1" t="s">
        <v>74</v>
      </c>
      <c r="AD908" s="1" t="s">
        <v>74</v>
      </c>
      <c r="AE908" s="1" t="s">
        <v>74</v>
      </c>
      <c r="AF908" s="1" t="s">
        <v>74</v>
      </c>
      <c r="AG908" s="1" t="s">
        <v>74</v>
      </c>
      <c r="AH908" s="1" t="s">
        <v>74</v>
      </c>
      <c r="AI908" s="1" t="s">
        <v>74</v>
      </c>
      <c r="AJ908" s="1" t="s">
        <v>74</v>
      </c>
      <c r="AK908" s="1" t="s">
        <v>74</v>
      </c>
      <c r="AL908" s="1" t="s">
        <v>74</v>
      </c>
      <c r="AM908" s="1" t="s">
        <v>74</v>
      </c>
      <c r="AN908" s="1" t="s">
        <v>74</v>
      </c>
      <c r="AO908" s="1" t="s">
        <v>74</v>
      </c>
      <c r="AP908" s="1" t="s">
        <v>8807</v>
      </c>
      <c r="AQ908" s="1" t="s">
        <v>74</v>
      </c>
      <c r="AR908" s="1" t="s">
        <v>74</v>
      </c>
      <c r="AS908" s="1" t="s">
        <v>74</v>
      </c>
      <c r="AT908" s="1" t="s">
        <v>235</v>
      </c>
      <c r="AU908" s="1">
        <v>2020.0</v>
      </c>
      <c r="AV908" s="1">
        <v>10.0</v>
      </c>
      <c r="AW908" s="1">
        <v>2.0</v>
      </c>
      <c r="AX908" s="1" t="s">
        <v>74</v>
      </c>
      <c r="AY908" s="1" t="s">
        <v>74</v>
      </c>
      <c r="AZ908" s="1" t="s">
        <v>74</v>
      </c>
      <c r="BA908" s="1" t="s">
        <v>74</v>
      </c>
      <c r="BB908" s="1" t="s">
        <v>74</v>
      </c>
      <c r="BC908" s="1" t="s">
        <v>74</v>
      </c>
      <c r="BD908" s="1">
        <v>239.0</v>
      </c>
      <c r="BE908" s="1" t="s">
        <v>8808</v>
      </c>
      <c r="BF908" s="2" t="str">
        <f>HYPERLINK("http://dx.doi.org/10.3390/catal10020239","http://dx.doi.org/10.3390/catal10020239")</f>
        <v>http://dx.doi.org/10.3390/catal10020239</v>
      </c>
      <c r="BG908" s="1" t="s">
        <v>74</v>
      </c>
      <c r="BH908" s="1" t="s">
        <v>74</v>
      </c>
      <c r="BI908" s="1" t="s">
        <v>74</v>
      </c>
      <c r="BJ908" s="1" t="s">
        <v>74</v>
      </c>
      <c r="BK908" s="1" t="s">
        <v>74</v>
      </c>
      <c r="BL908" s="1" t="s">
        <v>74</v>
      </c>
      <c r="BM908" s="1" t="s">
        <v>74</v>
      </c>
      <c r="BN908" s="1" t="s">
        <v>74</v>
      </c>
      <c r="BO908" s="1" t="s">
        <v>74</v>
      </c>
      <c r="BP908" s="1" t="s">
        <v>74</v>
      </c>
      <c r="BQ908" s="1" t="s">
        <v>74</v>
      </c>
      <c r="BR908" s="1" t="s">
        <v>74</v>
      </c>
      <c r="BS908" s="1" t="s">
        <v>8809</v>
      </c>
      <c r="BT908" s="1" t="str">
        <f>HYPERLINK("https%3A%2F%2Fwww.webofscience.com%2Fwos%2Fwoscc%2Ffull-record%2FWOS:000519998900097","View Full Record in Web of Science")</f>
        <v>View Full Record in Web of Science</v>
      </c>
    </row>
    <row r="909" ht="12.75" customHeight="1">
      <c r="A909" s="1" t="s">
        <v>72</v>
      </c>
      <c r="B909" s="1" t="s">
        <v>8810</v>
      </c>
      <c r="C909" s="1" t="s">
        <v>74</v>
      </c>
      <c r="D909" s="1" t="s">
        <v>74</v>
      </c>
      <c r="E909" s="1" t="s">
        <v>74</v>
      </c>
      <c r="F909" s="1" t="s">
        <v>8811</v>
      </c>
      <c r="G909" s="1" t="s">
        <v>74</v>
      </c>
      <c r="H909" s="1" t="s">
        <v>74</v>
      </c>
      <c r="I909" s="1" t="s">
        <v>8812</v>
      </c>
      <c r="J909" s="1" t="s">
        <v>8813</v>
      </c>
      <c r="K909" s="1" t="s">
        <v>74</v>
      </c>
      <c r="L909" s="1" t="s">
        <v>74</v>
      </c>
      <c r="M909" s="1" t="s">
        <v>74</v>
      </c>
      <c r="N909" s="1" t="s">
        <v>74</v>
      </c>
      <c r="O909" s="1" t="s">
        <v>74</v>
      </c>
      <c r="P909" s="1" t="s">
        <v>74</v>
      </c>
      <c r="Q909" s="1" t="s">
        <v>74</v>
      </c>
      <c r="R909" s="1" t="s">
        <v>74</v>
      </c>
      <c r="S909" s="1" t="s">
        <v>74</v>
      </c>
      <c r="T909" s="1" t="s">
        <v>74</v>
      </c>
      <c r="U909" s="1" t="s">
        <v>74</v>
      </c>
      <c r="V909" s="1" t="s">
        <v>8814</v>
      </c>
      <c r="W909" s="1" t="s">
        <v>74</v>
      </c>
      <c r="X909" s="1" t="s">
        <v>74</v>
      </c>
      <c r="Y909" s="1" t="s">
        <v>74</v>
      </c>
      <c r="Z909" s="1" t="s">
        <v>74</v>
      </c>
      <c r="AA909" s="1" t="s">
        <v>8815</v>
      </c>
      <c r="AB909" s="1" t="s">
        <v>8816</v>
      </c>
      <c r="AC909" s="1" t="s">
        <v>74</v>
      </c>
      <c r="AD909" s="1" t="s">
        <v>74</v>
      </c>
      <c r="AE909" s="1" t="s">
        <v>74</v>
      </c>
      <c r="AF909" s="1" t="s">
        <v>74</v>
      </c>
      <c r="AG909" s="1" t="s">
        <v>74</v>
      </c>
      <c r="AH909" s="1" t="s">
        <v>74</v>
      </c>
      <c r="AI909" s="1" t="s">
        <v>74</v>
      </c>
      <c r="AJ909" s="1" t="s">
        <v>74</v>
      </c>
      <c r="AK909" s="1" t="s">
        <v>74</v>
      </c>
      <c r="AL909" s="1" t="s">
        <v>74</v>
      </c>
      <c r="AM909" s="1" t="s">
        <v>74</v>
      </c>
      <c r="AN909" s="1" t="s">
        <v>74</v>
      </c>
      <c r="AO909" s="1" t="s">
        <v>8817</v>
      </c>
      <c r="AP909" s="1" t="s">
        <v>74</v>
      </c>
      <c r="AQ909" s="1" t="s">
        <v>74</v>
      </c>
      <c r="AR909" s="1" t="s">
        <v>74</v>
      </c>
      <c r="AS909" s="1" t="s">
        <v>74</v>
      </c>
      <c r="AT909" s="1" t="s">
        <v>74</v>
      </c>
      <c r="AU909" s="1">
        <v>2020.0</v>
      </c>
      <c r="AV909" s="1">
        <v>28.0</v>
      </c>
      <c r="AW909" s="1">
        <v>55.0</v>
      </c>
      <c r="AX909" s="1" t="s">
        <v>74</v>
      </c>
      <c r="AY909" s="1" t="s">
        <v>74</v>
      </c>
      <c r="AZ909" s="1" t="s">
        <v>74</v>
      </c>
      <c r="BA909" s="1" t="s">
        <v>74</v>
      </c>
      <c r="BB909" s="1">
        <v>1.0</v>
      </c>
      <c r="BC909" s="1">
        <v>25.0</v>
      </c>
      <c r="BD909" s="1" t="s">
        <v>74</v>
      </c>
      <c r="BE909" s="1" t="s">
        <v>8818</v>
      </c>
      <c r="BF909" s="2" t="str">
        <f>HYPERLINK("http://dx.doi.org/10.18504/pl2855-001-2020","http://dx.doi.org/10.18504/pl2855-001-2020")</f>
        <v>http://dx.doi.org/10.18504/pl2855-001-2020</v>
      </c>
      <c r="BG909" s="1" t="s">
        <v>74</v>
      </c>
      <c r="BH909" s="1" t="s">
        <v>74</v>
      </c>
      <c r="BI909" s="1" t="s">
        <v>74</v>
      </c>
      <c r="BJ909" s="1" t="s">
        <v>74</v>
      </c>
      <c r="BK909" s="1" t="s">
        <v>74</v>
      </c>
      <c r="BL909" s="1" t="s">
        <v>74</v>
      </c>
      <c r="BM909" s="1" t="s">
        <v>74</v>
      </c>
      <c r="BN909" s="1" t="s">
        <v>74</v>
      </c>
      <c r="BO909" s="1" t="s">
        <v>74</v>
      </c>
      <c r="BP909" s="1" t="s">
        <v>74</v>
      </c>
      <c r="BQ909" s="1" t="s">
        <v>74</v>
      </c>
      <c r="BR909" s="1" t="s">
        <v>74</v>
      </c>
      <c r="BS909" s="1" t="s">
        <v>8819</v>
      </c>
      <c r="BT909" s="1" t="str">
        <f>HYPERLINK("https%3A%2F%2Fwww.webofscience.com%2Fwos%2Fwoscc%2Ffull-record%2FWOS:000503510700001","View Full Record in Web of Science")</f>
        <v>View Full Record in Web of Science</v>
      </c>
    </row>
    <row r="910" ht="12.75" customHeight="1">
      <c r="A910" s="1" t="s">
        <v>72</v>
      </c>
      <c r="B910" s="1" t="s">
        <v>8820</v>
      </c>
      <c r="C910" s="1" t="s">
        <v>74</v>
      </c>
      <c r="D910" s="1" t="s">
        <v>74</v>
      </c>
      <c r="E910" s="1" t="s">
        <v>74</v>
      </c>
      <c r="F910" s="1" t="s">
        <v>8821</v>
      </c>
      <c r="G910" s="1" t="s">
        <v>74</v>
      </c>
      <c r="H910" s="1" t="s">
        <v>74</v>
      </c>
      <c r="I910" s="1" t="s">
        <v>8822</v>
      </c>
      <c r="J910" s="1" t="s">
        <v>3024</v>
      </c>
      <c r="K910" s="1" t="s">
        <v>74</v>
      </c>
      <c r="L910" s="1" t="s">
        <v>74</v>
      </c>
      <c r="M910" s="1" t="s">
        <v>74</v>
      </c>
      <c r="N910" s="1" t="s">
        <v>74</v>
      </c>
      <c r="O910" s="1" t="s">
        <v>74</v>
      </c>
      <c r="P910" s="1" t="s">
        <v>74</v>
      </c>
      <c r="Q910" s="1" t="s">
        <v>74</v>
      </c>
      <c r="R910" s="1" t="s">
        <v>74</v>
      </c>
      <c r="S910" s="1" t="s">
        <v>74</v>
      </c>
      <c r="T910" s="1" t="s">
        <v>74</v>
      </c>
      <c r="U910" s="1" t="s">
        <v>74</v>
      </c>
      <c r="V910" s="1" t="s">
        <v>8823</v>
      </c>
      <c r="W910" s="1" t="s">
        <v>74</v>
      </c>
      <c r="X910" s="1" t="s">
        <v>74</v>
      </c>
      <c r="Y910" s="1" t="s">
        <v>74</v>
      </c>
      <c r="Z910" s="1" t="s">
        <v>74</v>
      </c>
      <c r="AA910" s="1" t="s">
        <v>8824</v>
      </c>
      <c r="AB910" s="1" t="s">
        <v>8825</v>
      </c>
      <c r="AC910" s="1" t="s">
        <v>74</v>
      </c>
      <c r="AD910" s="1" t="s">
        <v>74</v>
      </c>
      <c r="AE910" s="1" t="s">
        <v>74</v>
      </c>
      <c r="AF910" s="1" t="s">
        <v>74</v>
      </c>
      <c r="AG910" s="1" t="s">
        <v>74</v>
      </c>
      <c r="AH910" s="1" t="s">
        <v>74</v>
      </c>
      <c r="AI910" s="1" t="s">
        <v>74</v>
      </c>
      <c r="AJ910" s="1" t="s">
        <v>74</v>
      </c>
      <c r="AK910" s="1" t="s">
        <v>74</v>
      </c>
      <c r="AL910" s="1" t="s">
        <v>74</v>
      </c>
      <c r="AM910" s="1" t="s">
        <v>74</v>
      </c>
      <c r="AN910" s="1" t="s">
        <v>74</v>
      </c>
      <c r="AO910" s="1" t="s">
        <v>3028</v>
      </c>
      <c r="AP910" s="1" t="s">
        <v>3029</v>
      </c>
      <c r="AQ910" s="1" t="s">
        <v>74</v>
      </c>
      <c r="AR910" s="1" t="s">
        <v>74</v>
      </c>
      <c r="AS910" s="1" t="s">
        <v>74</v>
      </c>
      <c r="AT910" s="1" t="s">
        <v>2704</v>
      </c>
      <c r="AU910" s="1">
        <v>2019.0</v>
      </c>
      <c r="AV910" s="1">
        <v>354.0</v>
      </c>
      <c r="AW910" s="1" t="s">
        <v>74</v>
      </c>
      <c r="AX910" s="1" t="s">
        <v>74</v>
      </c>
      <c r="AY910" s="1" t="s">
        <v>74</v>
      </c>
      <c r="AZ910" s="1" t="s">
        <v>74</v>
      </c>
      <c r="BA910" s="1" t="s">
        <v>74</v>
      </c>
      <c r="BB910" s="1">
        <v>706.0</v>
      </c>
      <c r="BC910" s="1">
        <v>731.0</v>
      </c>
      <c r="BD910" s="1" t="s">
        <v>74</v>
      </c>
      <c r="BE910" s="1" t="s">
        <v>8826</v>
      </c>
      <c r="BF910" s="2" t="str">
        <f>HYPERLINK("http://dx.doi.org/10.1016/j.cma.2019.06.001","http://dx.doi.org/10.1016/j.cma.2019.06.001")</f>
        <v>http://dx.doi.org/10.1016/j.cma.2019.06.001</v>
      </c>
      <c r="BG910" s="1" t="s">
        <v>74</v>
      </c>
      <c r="BH910" s="1" t="s">
        <v>74</v>
      </c>
      <c r="BI910" s="1" t="s">
        <v>74</v>
      </c>
      <c r="BJ910" s="1" t="s">
        <v>74</v>
      </c>
      <c r="BK910" s="1" t="s">
        <v>74</v>
      </c>
      <c r="BL910" s="1" t="s">
        <v>74</v>
      </c>
      <c r="BM910" s="1" t="s">
        <v>74</v>
      </c>
      <c r="BN910" s="1" t="s">
        <v>74</v>
      </c>
      <c r="BO910" s="1" t="s">
        <v>74</v>
      </c>
      <c r="BP910" s="1" t="s">
        <v>74</v>
      </c>
      <c r="BQ910" s="1" t="s">
        <v>74</v>
      </c>
      <c r="BR910" s="1" t="s">
        <v>74</v>
      </c>
      <c r="BS910" s="1" t="s">
        <v>8827</v>
      </c>
      <c r="BT910" s="1" t="str">
        <f>HYPERLINK("https%3A%2F%2Fwww.webofscience.com%2Fwos%2Fwoscc%2Ffull-record%2FWOS:000474690000029","View Full Record in Web of Science")</f>
        <v>View Full Record in Web of Science</v>
      </c>
    </row>
    <row r="911" ht="12.75" customHeight="1">
      <c r="A911" s="1" t="s">
        <v>72</v>
      </c>
      <c r="B911" s="1" t="s">
        <v>8800</v>
      </c>
      <c r="C911" s="1" t="s">
        <v>74</v>
      </c>
      <c r="D911" s="1" t="s">
        <v>74</v>
      </c>
      <c r="E911" s="1" t="s">
        <v>74</v>
      </c>
      <c r="F911" s="1" t="s">
        <v>8801</v>
      </c>
      <c r="G911" s="1" t="s">
        <v>74</v>
      </c>
      <c r="H911" s="1" t="s">
        <v>74</v>
      </c>
      <c r="I911" s="1" t="s">
        <v>8828</v>
      </c>
      <c r="J911" s="1" t="s">
        <v>8829</v>
      </c>
      <c r="K911" s="1" t="s">
        <v>74</v>
      </c>
      <c r="L911" s="1" t="s">
        <v>74</v>
      </c>
      <c r="M911" s="1" t="s">
        <v>74</v>
      </c>
      <c r="N911" s="1" t="s">
        <v>74</v>
      </c>
      <c r="O911" s="1" t="s">
        <v>74</v>
      </c>
      <c r="P911" s="1" t="s">
        <v>74</v>
      </c>
      <c r="Q911" s="1" t="s">
        <v>74</v>
      </c>
      <c r="R911" s="1" t="s">
        <v>74</v>
      </c>
      <c r="S911" s="1" t="s">
        <v>74</v>
      </c>
      <c r="T911" s="1" t="s">
        <v>74</v>
      </c>
      <c r="U911" s="1" t="s">
        <v>74</v>
      </c>
      <c r="V911" s="1" t="s">
        <v>8830</v>
      </c>
      <c r="W911" s="1" t="s">
        <v>74</v>
      </c>
      <c r="X911" s="1" t="s">
        <v>74</v>
      </c>
      <c r="Y911" s="1" t="s">
        <v>74</v>
      </c>
      <c r="Z911" s="1" t="s">
        <v>74</v>
      </c>
      <c r="AA911" s="1" t="s">
        <v>8831</v>
      </c>
      <c r="AB911" s="1" t="s">
        <v>8832</v>
      </c>
      <c r="AC911" s="1" t="s">
        <v>74</v>
      </c>
      <c r="AD911" s="1" t="s">
        <v>74</v>
      </c>
      <c r="AE911" s="1" t="s">
        <v>74</v>
      </c>
      <c r="AF911" s="1" t="s">
        <v>74</v>
      </c>
      <c r="AG911" s="1" t="s">
        <v>74</v>
      </c>
      <c r="AH911" s="1" t="s">
        <v>74</v>
      </c>
      <c r="AI911" s="1" t="s">
        <v>74</v>
      </c>
      <c r="AJ911" s="1" t="s">
        <v>74</v>
      </c>
      <c r="AK911" s="1" t="s">
        <v>74</v>
      </c>
      <c r="AL911" s="1" t="s">
        <v>74</v>
      </c>
      <c r="AM911" s="1" t="s">
        <v>74</v>
      </c>
      <c r="AN911" s="1" t="s">
        <v>74</v>
      </c>
      <c r="AO911" s="1" t="s">
        <v>8833</v>
      </c>
      <c r="AP911" s="1" t="s">
        <v>8834</v>
      </c>
      <c r="AQ911" s="1" t="s">
        <v>74</v>
      </c>
      <c r="AR911" s="1" t="s">
        <v>74</v>
      </c>
      <c r="AS911" s="1" t="s">
        <v>74</v>
      </c>
      <c r="AT911" s="1" t="s">
        <v>1184</v>
      </c>
      <c r="AU911" s="1">
        <v>2019.0</v>
      </c>
      <c r="AV911" s="1">
        <v>43.0</v>
      </c>
      <c r="AW911" s="1">
        <v>32.0</v>
      </c>
      <c r="AX911" s="1" t="s">
        <v>74</v>
      </c>
      <c r="AY911" s="1" t="s">
        <v>74</v>
      </c>
      <c r="AZ911" s="1" t="s">
        <v>74</v>
      </c>
      <c r="BA911" s="1" t="s">
        <v>74</v>
      </c>
      <c r="BB911" s="1">
        <v>12727.0</v>
      </c>
      <c r="BC911" s="1">
        <v>12733.0</v>
      </c>
      <c r="BD911" s="1" t="s">
        <v>74</v>
      </c>
      <c r="BE911" s="1" t="s">
        <v>8835</v>
      </c>
      <c r="BF911" s="2" t="str">
        <f>HYPERLINK("http://dx.doi.org/10.1039/c9nj02430a","http://dx.doi.org/10.1039/c9nj02430a")</f>
        <v>http://dx.doi.org/10.1039/c9nj02430a</v>
      </c>
      <c r="BG911" s="1" t="s">
        <v>74</v>
      </c>
      <c r="BH911" s="1" t="s">
        <v>74</v>
      </c>
      <c r="BI911" s="1" t="s">
        <v>74</v>
      </c>
      <c r="BJ911" s="1" t="s">
        <v>74</v>
      </c>
      <c r="BK911" s="1" t="s">
        <v>74</v>
      </c>
      <c r="BL911" s="1" t="s">
        <v>74</v>
      </c>
      <c r="BM911" s="1" t="s">
        <v>74</v>
      </c>
      <c r="BN911" s="1" t="s">
        <v>74</v>
      </c>
      <c r="BO911" s="1" t="s">
        <v>74</v>
      </c>
      <c r="BP911" s="1" t="s">
        <v>74</v>
      </c>
      <c r="BQ911" s="1" t="s">
        <v>74</v>
      </c>
      <c r="BR911" s="1" t="s">
        <v>74</v>
      </c>
      <c r="BS911" s="1" t="s">
        <v>8836</v>
      </c>
      <c r="BT911" s="1" t="str">
        <f>HYPERLINK("https%3A%2F%2Fwww.webofscience.com%2Fwos%2Fwoscc%2Ffull-record%2FWOS:000482832200025","View Full Record in Web of Science")</f>
        <v>View Full Record in Web of Science</v>
      </c>
    </row>
    <row r="912" ht="12.75" customHeight="1">
      <c r="A912" s="1" t="s">
        <v>72</v>
      </c>
      <c r="B912" s="1" t="s">
        <v>8837</v>
      </c>
      <c r="C912" s="1" t="s">
        <v>74</v>
      </c>
      <c r="D912" s="1" t="s">
        <v>74</v>
      </c>
      <c r="E912" s="1" t="s">
        <v>74</v>
      </c>
      <c r="F912" s="1" t="s">
        <v>8838</v>
      </c>
      <c r="G912" s="1" t="s">
        <v>74</v>
      </c>
      <c r="H912" s="1" t="s">
        <v>74</v>
      </c>
      <c r="I912" s="1" t="s">
        <v>8839</v>
      </c>
      <c r="J912" s="1" t="s">
        <v>1096</v>
      </c>
      <c r="K912" s="1" t="s">
        <v>74</v>
      </c>
      <c r="L912" s="1" t="s">
        <v>74</v>
      </c>
      <c r="M912" s="1" t="s">
        <v>74</v>
      </c>
      <c r="N912" s="1" t="s">
        <v>74</v>
      </c>
      <c r="O912" s="1" t="s">
        <v>74</v>
      </c>
      <c r="P912" s="1" t="s">
        <v>74</v>
      </c>
      <c r="Q912" s="1" t="s">
        <v>74</v>
      </c>
      <c r="R912" s="1" t="s">
        <v>74</v>
      </c>
      <c r="S912" s="1" t="s">
        <v>74</v>
      </c>
      <c r="T912" s="1" t="s">
        <v>74</v>
      </c>
      <c r="U912" s="1" t="s">
        <v>74</v>
      </c>
      <c r="V912" s="1" t="s">
        <v>8840</v>
      </c>
      <c r="W912" s="1" t="s">
        <v>74</v>
      </c>
      <c r="X912" s="1" t="s">
        <v>74</v>
      </c>
      <c r="Y912" s="1" t="s">
        <v>74</v>
      </c>
      <c r="Z912" s="1" t="s">
        <v>74</v>
      </c>
      <c r="AA912" s="1" t="s">
        <v>8841</v>
      </c>
      <c r="AB912" s="1" t="s">
        <v>8842</v>
      </c>
      <c r="AC912" s="1" t="s">
        <v>74</v>
      </c>
      <c r="AD912" s="1" t="s">
        <v>74</v>
      </c>
      <c r="AE912" s="1" t="s">
        <v>74</v>
      </c>
      <c r="AF912" s="1" t="s">
        <v>74</v>
      </c>
      <c r="AG912" s="1" t="s">
        <v>74</v>
      </c>
      <c r="AH912" s="1" t="s">
        <v>74</v>
      </c>
      <c r="AI912" s="1" t="s">
        <v>74</v>
      </c>
      <c r="AJ912" s="1" t="s">
        <v>74</v>
      </c>
      <c r="AK912" s="1" t="s">
        <v>74</v>
      </c>
      <c r="AL912" s="1" t="s">
        <v>74</v>
      </c>
      <c r="AM912" s="1" t="s">
        <v>74</v>
      </c>
      <c r="AN912" s="1" t="s">
        <v>74</v>
      </c>
      <c r="AO912" s="1" t="s">
        <v>1100</v>
      </c>
      <c r="AP912" s="1" t="s">
        <v>1495</v>
      </c>
      <c r="AQ912" s="1" t="s">
        <v>74</v>
      </c>
      <c r="AR912" s="1" t="s">
        <v>74</v>
      </c>
      <c r="AS912" s="1" t="s">
        <v>74</v>
      </c>
      <c r="AT912" s="1" t="s">
        <v>168</v>
      </c>
      <c r="AU912" s="1">
        <v>2019.0</v>
      </c>
      <c r="AV912" s="1">
        <v>123.0</v>
      </c>
      <c r="AW912" s="1">
        <v>32.0</v>
      </c>
      <c r="AX912" s="1" t="s">
        <v>74</v>
      </c>
      <c r="AY912" s="1" t="s">
        <v>74</v>
      </c>
      <c r="AZ912" s="1" t="s">
        <v>74</v>
      </c>
      <c r="BA912" s="1" t="s">
        <v>74</v>
      </c>
      <c r="BB912" s="1">
        <v>19362.0</v>
      </c>
      <c r="BC912" s="1">
        <v>19375.0</v>
      </c>
      <c r="BD912" s="1" t="s">
        <v>74</v>
      </c>
      <c r="BE912" s="1" t="s">
        <v>8843</v>
      </c>
      <c r="BF912" s="2" t="str">
        <f>HYPERLINK("http://dx.doi.org/10.1021/acs.jpcc.9b05136","http://dx.doi.org/10.1021/acs.jpcc.9b05136")</f>
        <v>http://dx.doi.org/10.1021/acs.jpcc.9b05136</v>
      </c>
      <c r="BG912" s="1" t="s">
        <v>74</v>
      </c>
      <c r="BH912" s="1" t="s">
        <v>74</v>
      </c>
      <c r="BI912" s="1" t="s">
        <v>74</v>
      </c>
      <c r="BJ912" s="1" t="s">
        <v>74</v>
      </c>
      <c r="BK912" s="1" t="s">
        <v>74</v>
      </c>
      <c r="BL912" s="1" t="s">
        <v>74</v>
      </c>
      <c r="BM912" s="1" t="s">
        <v>74</v>
      </c>
      <c r="BN912" s="1" t="s">
        <v>74</v>
      </c>
      <c r="BO912" s="1" t="s">
        <v>74</v>
      </c>
      <c r="BP912" s="1" t="s">
        <v>74</v>
      </c>
      <c r="BQ912" s="1" t="s">
        <v>74</v>
      </c>
      <c r="BR912" s="1" t="s">
        <v>74</v>
      </c>
      <c r="BS912" s="1" t="s">
        <v>8844</v>
      </c>
      <c r="BT912" s="1" t="str">
        <f>HYPERLINK("https%3A%2F%2Fwww.webofscience.com%2Fwos%2Fwoscc%2Ffull-record%2FWOS:000481568900014","View Full Record in Web of Science")</f>
        <v>View Full Record in Web of Science</v>
      </c>
    </row>
    <row r="913" ht="12.75" customHeight="1">
      <c r="A913" s="1" t="s">
        <v>72</v>
      </c>
      <c r="B913" s="1" t="s">
        <v>8845</v>
      </c>
      <c r="C913" s="1" t="s">
        <v>74</v>
      </c>
      <c r="D913" s="1" t="s">
        <v>74</v>
      </c>
      <c r="E913" s="1" t="s">
        <v>74</v>
      </c>
      <c r="F913" s="1" t="s">
        <v>8846</v>
      </c>
      <c r="G913" s="1" t="s">
        <v>74</v>
      </c>
      <c r="H913" s="1" t="s">
        <v>74</v>
      </c>
      <c r="I913" s="1" t="s">
        <v>8847</v>
      </c>
      <c r="J913" s="1" t="s">
        <v>8848</v>
      </c>
      <c r="K913" s="1" t="s">
        <v>74</v>
      </c>
      <c r="L913" s="1" t="s">
        <v>74</v>
      </c>
      <c r="M913" s="1" t="s">
        <v>74</v>
      </c>
      <c r="N913" s="1" t="s">
        <v>74</v>
      </c>
      <c r="O913" s="1" t="s">
        <v>74</v>
      </c>
      <c r="P913" s="1" t="s">
        <v>74</v>
      </c>
      <c r="Q913" s="1" t="s">
        <v>74</v>
      </c>
      <c r="R913" s="1" t="s">
        <v>74</v>
      </c>
      <c r="S913" s="1" t="s">
        <v>74</v>
      </c>
      <c r="T913" s="1" t="s">
        <v>74</v>
      </c>
      <c r="U913" s="1" t="s">
        <v>74</v>
      </c>
      <c r="V913" s="1" t="s">
        <v>8849</v>
      </c>
      <c r="W913" s="1" t="s">
        <v>74</v>
      </c>
      <c r="X913" s="1" t="s">
        <v>74</v>
      </c>
      <c r="Y913" s="1" t="s">
        <v>74</v>
      </c>
      <c r="Z913" s="1" t="s">
        <v>74</v>
      </c>
      <c r="AA913" s="1" t="s">
        <v>8850</v>
      </c>
      <c r="AB913" s="1" t="s">
        <v>8851</v>
      </c>
      <c r="AC913" s="1" t="s">
        <v>74</v>
      </c>
      <c r="AD913" s="1" t="s">
        <v>74</v>
      </c>
      <c r="AE913" s="1" t="s">
        <v>74</v>
      </c>
      <c r="AF913" s="1" t="s">
        <v>74</v>
      </c>
      <c r="AG913" s="1" t="s">
        <v>74</v>
      </c>
      <c r="AH913" s="1" t="s">
        <v>74</v>
      </c>
      <c r="AI913" s="1" t="s">
        <v>74</v>
      </c>
      <c r="AJ913" s="1" t="s">
        <v>74</v>
      </c>
      <c r="AK913" s="1" t="s">
        <v>74</v>
      </c>
      <c r="AL913" s="1" t="s">
        <v>74</v>
      </c>
      <c r="AM913" s="1" t="s">
        <v>74</v>
      </c>
      <c r="AN913" s="1" t="s">
        <v>74</v>
      </c>
      <c r="AO913" s="1" t="s">
        <v>8852</v>
      </c>
      <c r="AP913" s="1" t="s">
        <v>8853</v>
      </c>
      <c r="AQ913" s="1" t="s">
        <v>74</v>
      </c>
      <c r="AR913" s="1" t="s">
        <v>74</v>
      </c>
      <c r="AS913" s="1" t="s">
        <v>74</v>
      </c>
      <c r="AT913" s="1" t="s">
        <v>678</v>
      </c>
      <c r="AU913" s="1">
        <v>2018.0</v>
      </c>
      <c r="AV913" s="1">
        <v>205.0</v>
      </c>
      <c r="AW913" s="1" t="s">
        <v>74</v>
      </c>
      <c r="AX913" s="1" t="s">
        <v>74</v>
      </c>
      <c r="AY913" s="1" t="s">
        <v>74</v>
      </c>
      <c r="AZ913" s="1" t="s">
        <v>74</v>
      </c>
      <c r="BA913" s="1" t="s">
        <v>74</v>
      </c>
      <c r="BB913" s="1">
        <v>193.0</v>
      </c>
      <c r="BC913" s="1">
        <v>200.0</v>
      </c>
      <c r="BD913" s="1" t="s">
        <v>74</v>
      </c>
      <c r="BE913" s="1" t="s">
        <v>8854</v>
      </c>
      <c r="BF913" s="2" t="str">
        <f>HYPERLINK("http://dx.doi.org/10.1016/j.ijpe.2018.09.006","http://dx.doi.org/10.1016/j.ijpe.2018.09.006")</f>
        <v>http://dx.doi.org/10.1016/j.ijpe.2018.09.006</v>
      </c>
      <c r="BG913" s="1" t="s">
        <v>74</v>
      </c>
      <c r="BH913" s="1" t="s">
        <v>74</v>
      </c>
      <c r="BI913" s="1" t="s">
        <v>74</v>
      </c>
      <c r="BJ913" s="1" t="s">
        <v>74</v>
      </c>
      <c r="BK913" s="1" t="s">
        <v>74</v>
      </c>
      <c r="BL913" s="1" t="s">
        <v>74</v>
      </c>
      <c r="BM913" s="1" t="s">
        <v>74</v>
      </c>
      <c r="BN913" s="1" t="s">
        <v>74</v>
      </c>
      <c r="BO913" s="1" t="s">
        <v>74</v>
      </c>
      <c r="BP913" s="1" t="s">
        <v>74</v>
      </c>
      <c r="BQ913" s="1" t="s">
        <v>74</v>
      </c>
      <c r="BR913" s="1" t="s">
        <v>74</v>
      </c>
      <c r="BS913" s="1" t="s">
        <v>8855</v>
      </c>
      <c r="BT913" s="1" t="str">
        <f>HYPERLINK("https%3A%2F%2Fwww.webofscience.com%2Fwos%2Fwoscc%2Ffull-record%2FWOS:000449241000016","View Full Record in Web of Science")</f>
        <v>View Full Record in Web of Science</v>
      </c>
    </row>
    <row r="914" ht="12.75" customHeight="1">
      <c r="A914" s="1" t="s">
        <v>72</v>
      </c>
      <c r="B914" s="1" t="s">
        <v>8856</v>
      </c>
      <c r="C914" s="1" t="s">
        <v>74</v>
      </c>
      <c r="D914" s="1" t="s">
        <v>74</v>
      </c>
      <c r="E914" s="1" t="s">
        <v>74</v>
      </c>
      <c r="F914" s="1" t="s">
        <v>8857</v>
      </c>
      <c r="G914" s="1" t="s">
        <v>74</v>
      </c>
      <c r="H914" s="1" t="s">
        <v>74</v>
      </c>
      <c r="I914" s="1" t="s">
        <v>8858</v>
      </c>
      <c r="J914" s="1" t="s">
        <v>7328</v>
      </c>
      <c r="K914" s="1" t="s">
        <v>74</v>
      </c>
      <c r="L914" s="1" t="s">
        <v>74</v>
      </c>
      <c r="M914" s="1" t="s">
        <v>74</v>
      </c>
      <c r="N914" s="1" t="s">
        <v>74</v>
      </c>
      <c r="O914" s="1" t="s">
        <v>74</v>
      </c>
      <c r="P914" s="1" t="s">
        <v>74</v>
      </c>
      <c r="Q914" s="1" t="s">
        <v>74</v>
      </c>
      <c r="R914" s="1" t="s">
        <v>74</v>
      </c>
      <c r="S914" s="1" t="s">
        <v>74</v>
      </c>
      <c r="T914" s="1" t="s">
        <v>74</v>
      </c>
      <c r="U914" s="1" t="s">
        <v>74</v>
      </c>
      <c r="V914" s="1" t="s">
        <v>8859</v>
      </c>
      <c r="W914" s="1" t="s">
        <v>74</v>
      </c>
      <c r="X914" s="1" t="s">
        <v>74</v>
      </c>
      <c r="Y914" s="1" t="s">
        <v>74</v>
      </c>
      <c r="Z914" s="1" t="s">
        <v>74</v>
      </c>
      <c r="AA914" s="1" t="s">
        <v>8860</v>
      </c>
      <c r="AB914" s="1" t="s">
        <v>8861</v>
      </c>
      <c r="AC914" s="1" t="s">
        <v>74</v>
      </c>
      <c r="AD914" s="1" t="s">
        <v>74</v>
      </c>
      <c r="AE914" s="1" t="s">
        <v>74</v>
      </c>
      <c r="AF914" s="1" t="s">
        <v>74</v>
      </c>
      <c r="AG914" s="1" t="s">
        <v>74</v>
      </c>
      <c r="AH914" s="1" t="s">
        <v>74</v>
      </c>
      <c r="AI914" s="1" t="s">
        <v>74</v>
      </c>
      <c r="AJ914" s="1" t="s">
        <v>74</v>
      </c>
      <c r="AK914" s="1" t="s">
        <v>74</v>
      </c>
      <c r="AL914" s="1" t="s">
        <v>74</v>
      </c>
      <c r="AM914" s="1" t="s">
        <v>74</v>
      </c>
      <c r="AN914" s="1" t="s">
        <v>74</v>
      </c>
      <c r="AO914" s="1" t="s">
        <v>7331</v>
      </c>
      <c r="AP914" s="1" t="s">
        <v>7332</v>
      </c>
      <c r="AQ914" s="1" t="s">
        <v>74</v>
      </c>
      <c r="AR914" s="1" t="s">
        <v>74</v>
      </c>
      <c r="AS914" s="1" t="s">
        <v>74</v>
      </c>
      <c r="AT914" s="1" t="s">
        <v>339</v>
      </c>
      <c r="AU914" s="1">
        <v>2018.0</v>
      </c>
      <c r="AV914" s="1">
        <v>339.0</v>
      </c>
      <c r="AW914" s="1" t="s">
        <v>74</v>
      </c>
      <c r="AX914" s="1" t="s">
        <v>74</v>
      </c>
      <c r="AY914" s="1" t="s">
        <v>74</v>
      </c>
      <c r="AZ914" s="1" t="s">
        <v>445</v>
      </c>
      <c r="BA914" s="1" t="s">
        <v>74</v>
      </c>
      <c r="BB914" s="1">
        <v>356.0</v>
      </c>
      <c r="BC914" s="1">
        <v>366.0</v>
      </c>
      <c r="BD914" s="1" t="s">
        <v>74</v>
      </c>
      <c r="BE914" s="1" t="s">
        <v>8862</v>
      </c>
      <c r="BF914" s="2" t="str">
        <f>HYPERLINK("http://dx.doi.org/10.1016/j.cam.2017.07.027","http://dx.doi.org/10.1016/j.cam.2017.07.027")</f>
        <v>http://dx.doi.org/10.1016/j.cam.2017.07.027</v>
      </c>
      <c r="BG914" s="1" t="s">
        <v>74</v>
      </c>
      <c r="BH914" s="1" t="s">
        <v>74</v>
      </c>
      <c r="BI914" s="1" t="s">
        <v>74</v>
      </c>
      <c r="BJ914" s="1" t="s">
        <v>74</v>
      </c>
      <c r="BK914" s="1" t="s">
        <v>74</v>
      </c>
      <c r="BL914" s="1" t="s">
        <v>74</v>
      </c>
      <c r="BM914" s="1" t="s">
        <v>74</v>
      </c>
      <c r="BN914" s="1" t="s">
        <v>74</v>
      </c>
      <c r="BO914" s="1" t="s">
        <v>74</v>
      </c>
      <c r="BP914" s="1" t="s">
        <v>74</v>
      </c>
      <c r="BQ914" s="1" t="s">
        <v>74</v>
      </c>
      <c r="BR914" s="1" t="s">
        <v>74</v>
      </c>
      <c r="BS914" s="1" t="s">
        <v>8863</v>
      </c>
      <c r="BT914" s="1" t="str">
        <f>HYPERLINK("https%3A%2F%2Fwww.webofscience.com%2Fwos%2Fwoscc%2Ffull-record%2FWOS:000432766400028","View Full Record in Web of Science")</f>
        <v>View Full Record in Web of Science</v>
      </c>
    </row>
    <row r="915" ht="12.75" customHeight="1">
      <c r="A915" s="1" t="s">
        <v>72</v>
      </c>
      <c r="B915" s="1" t="s">
        <v>8864</v>
      </c>
      <c r="C915" s="1" t="s">
        <v>74</v>
      </c>
      <c r="D915" s="1" t="s">
        <v>74</v>
      </c>
      <c r="E915" s="1" t="s">
        <v>74</v>
      </c>
      <c r="F915" s="1" t="s">
        <v>8865</v>
      </c>
      <c r="G915" s="1" t="s">
        <v>74</v>
      </c>
      <c r="H915" s="1" t="s">
        <v>74</v>
      </c>
      <c r="I915" s="1" t="s">
        <v>8866</v>
      </c>
      <c r="J915" s="1" t="s">
        <v>2169</v>
      </c>
      <c r="K915" s="1" t="s">
        <v>74</v>
      </c>
      <c r="L915" s="1" t="s">
        <v>74</v>
      </c>
      <c r="M915" s="1" t="s">
        <v>74</v>
      </c>
      <c r="N915" s="1" t="s">
        <v>74</v>
      </c>
      <c r="O915" s="1" t="s">
        <v>74</v>
      </c>
      <c r="P915" s="1" t="s">
        <v>74</v>
      </c>
      <c r="Q915" s="1" t="s">
        <v>74</v>
      </c>
      <c r="R915" s="1" t="s">
        <v>74</v>
      </c>
      <c r="S915" s="1" t="s">
        <v>74</v>
      </c>
      <c r="T915" s="1" t="s">
        <v>74</v>
      </c>
      <c r="U915" s="1" t="s">
        <v>74</v>
      </c>
      <c r="V915" s="1" t="s">
        <v>8867</v>
      </c>
      <c r="W915" s="1" t="s">
        <v>74</v>
      </c>
      <c r="X915" s="1" t="s">
        <v>74</v>
      </c>
      <c r="Y915" s="1" t="s">
        <v>74</v>
      </c>
      <c r="Z915" s="1" t="s">
        <v>74</v>
      </c>
      <c r="AA915" s="1" t="s">
        <v>8868</v>
      </c>
      <c r="AB915" s="1" t="s">
        <v>74</v>
      </c>
      <c r="AC915" s="1" t="s">
        <v>74</v>
      </c>
      <c r="AD915" s="1" t="s">
        <v>74</v>
      </c>
      <c r="AE915" s="1" t="s">
        <v>74</v>
      </c>
      <c r="AF915" s="1" t="s">
        <v>74</v>
      </c>
      <c r="AG915" s="1" t="s">
        <v>74</v>
      </c>
      <c r="AH915" s="1" t="s">
        <v>74</v>
      </c>
      <c r="AI915" s="1" t="s">
        <v>74</v>
      </c>
      <c r="AJ915" s="1" t="s">
        <v>74</v>
      </c>
      <c r="AK915" s="1" t="s">
        <v>74</v>
      </c>
      <c r="AL915" s="1" t="s">
        <v>74</v>
      </c>
      <c r="AM915" s="1" t="s">
        <v>74</v>
      </c>
      <c r="AN915" s="1" t="s">
        <v>74</v>
      </c>
      <c r="AO915" s="1" t="s">
        <v>2171</v>
      </c>
      <c r="AP915" s="1" t="s">
        <v>74</v>
      </c>
      <c r="AQ915" s="1" t="s">
        <v>74</v>
      </c>
      <c r="AR915" s="1" t="s">
        <v>74</v>
      </c>
      <c r="AS915" s="1" t="s">
        <v>74</v>
      </c>
      <c r="AT915" s="1" t="s">
        <v>678</v>
      </c>
      <c r="AU915" s="1">
        <v>2016.0</v>
      </c>
      <c r="AV915" s="1">
        <v>98.0</v>
      </c>
      <c r="AW915" s="1" t="s">
        <v>74</v>
      </c>
      <c r="AX915" s="1" t="s">
        <v>74</v>
      </c>
      <c r="AY915" s="1" t="s">
        <v>74</v>
      </c>
      <c r="AZ915" s="1" t="s">
        <v>74</v>
      </c>
      <c r="BA915" s="1" t="s">
        <v>74</v>
      </c>
      <c r="BB915" s="1">
        <v>9.0</v>
      </c>
      <c r="BC915" s="1">
        <v>13.0</v>
      </c>
      <c r="BD915" s="1" t="s">
        <v>74</v>
      </c>
      <c r="BE915" s="1" t="s">
        <v>8869</v>
      </c>
      <c r="BF915" s="2" t="str">
        <f>HYPERLINK("http://dx.doi.org/10.1016/j.mineng.2016.04.005","http://dx.doi.org/10.1016/j.mineng.2016.04.005")</f>
        <v>http://dx.doi.org/10.1016/j.mineng.2016.04.005</v>
      </c>
      <c r="BG915" s="1" t="s">
        <v>74</v>
      </c>
      <c r="BH915" s="1" t="s">
        <v>74</v>
      </c>
      <c r="BI915" s="1" t="s">
        <v>74</v>
      </c>
      <c r="BJ915" s="1" t="s">
        <v>74</v>
      </c>
      <c r="BK915" s="1" t="s">
        <v>74</v>
      </c>
      <c r="BL915" s="1" t="s">
        <v>74</v>
      </c>
      <c r="BM915" s="1" t="s">
        <v>74</v>
      </c>
      <c r="BN915" s="1" t="s">
        <v>74</v>
      </c>
      <c r="BO915" s="1" t="s">
        <v>74</v>
      </c>
      <c r="BP915" s="1" t="s">
        <v>74</v>
      </c>
      <c r="BQ915" s="1" t="s">
        <v>74</v>
      </c>
      <c r="BR915" s="1" t="s">
        <v>74</v>
      </c>
      <c r="BS915" s="1" t="s">
        <v>8870</v>
      </c>
      <c r="BT915" s="1" t="str">
        <f>HYPERLINK("https%3A%2F%2Fwww.webofscience.com%2Fwos%2Fwoscc%2Ffull-record%2FWOS:000385603200002","View Full Record in Web of Science")</f>
        <v>View Full Record in Web of Science</v>
      </c>
    </row>
    <row r="916" ht="12.75" customHeight="1">
      <c r="A916" s="1" t="s">
        <v>72</v>
      </c>
      <c r="B916" s="1" t="s">
        <v>8871</v>
      </c>
      <c r="C916" s="1" t="s">
        <v>74</v>
      </c>
      <c r="D916" s="1" t="s">
        <v>74</v>
      </c>
      <c r="E916" s="1" t="s">
        <v>74</v>
      </c>
      <c r="F916" s="1" t="s">
        <v>8872</v>
      </c>
      <c r="G916" s="1" t="s">
        <v>74</v>
      </c>
      <c r="H916" s="1" t="s">
        <v>74</v>
      </c>
      <c r="I916" s="1" t="s">
        <v>8873</v>
      </c>
      <c r="J916" s="1" t="s">
        <v>4734</v>
      </c>
      <c r="K916" s="1" t="s">
        <v>74</v>
      </c>
      <c r="L916" s="1" t="s">
        <v>74</v>
      </c>
      <c r="M916" s="1" t="s">
        <v>74</v>
      </c>
      <c r="N916" s="1" t="s">
        <v>74</v>
      </c>
      <c r="O916" s="1" t="s">
        <v>74</v>
      </c>
      <c r="P916" s="1" t="s">
        <v>74</v>
      </c>
      <c r="Q916" s="1" t="s">
        <v>74</v>
      </c>
      <c r="R916" s="1" t="s">
        <v>74</v>
      </c>
      <c r="S916" s="1" t="s">
        <v>74</v>
      </c>
      <c r="T916" s="1" t="s">
        <v>74</v>
      </c>
      <c r="U916" s="1" t="s">
        <v>74</v>
      </c>
      <c r="V916" s="1" t="s">
        <v>8874</v>
      </c>
      <c r="W916" s="1" t="s">
        <v>74</v>
      </c>
      <c r="X916" s="1" t="s">
        <v>74</v>
      </c>
      <c r="Y916" s="1" t="s">
        <v>74</v>
      </c>
      <c r="Z916" s="1" t="s">
        <v>74</v>
      </c>
      <c r="AA916" s="1" t="s">
        <v>8875</v>
      </c>
      <c r="AB916" s="1" t="s">
        <v>8876</v>
      </c>
      <c r="AC916" s="1" t="s">
        <v>74</v>
      </c>
      <c r="AD916" s="1" t="s">
        <v>74</v>
      </c>
      <c r="AE916" s="1" t="s">
        <v>74</v>
      </c>
      <c r="AF916" s="1" t="s">
        <v>74</v>
      </c>
      <c r="AG916" s="1" t="s">
        <v>74</v>
      </c>
      <c r="AH916" s="1" t="s">
        <v>74</v>
      </c>
      <c r="AI916" s="1" t="s">
        <v>74</v>
      </c>
      <c r="AJ916" s="1" t="s">
        <v>74</v>
      </c>
      <c r="AK916" s="1" t="s">
        <v>74</v>
      </c>
      <c r="AL916" s="1" t="s">
        <v>74</v>
      </c>
      <c r="AM916" s="1" t="s">
        <v>74</v>
      </c>
      <c r="AN916" s="1" t="s">
        <v>74</v>
      </c>
      <c r="AO916" s="1" t="s">
        <v>4738</v>
      </c>
      <c r="AP916" s="1" t="s">
        <v>4739</v>
      </c>
      <c r="AQ916" s="1" t="s">
        <v>74</v>
      </c>
      <c r="AR916" s="1" t="s">
        <v>74</v>
      </c>
      <c r="AS916" s="1" t="s">
        <v>74</v>
      </c>
      <c r="AT916" s="1" t="s">
        <v>652</v>
      </c>
      <c r="AU916" s="1">
        <v>2014.0</v>
      </c>
      <c r="AV916" s="1">
        <v>41.0</v>
      </c>
      <c r="AW916" s="1">
        <v>2.0</v>
      </c>
      <c r="AX916" s="1" t="s">
        <v>74</v>
      </c>
      <c r="AY916" s="1" t="s">
        <v>74</v>
      </c>
      <c r="AZ916" s="1" t="s">
        <v>74</v>
      </c>
      <c r="BA916" s="1" t="s">
        <v>74</v>
      </c>
      <c r="BB916" s="1">
        <v>172.0</v>
      </c>
      <c r="BC916" s="1">
        <v>182.0</v>
      </c>
      <c r="BD916" s="1" t="s">
        <v>74</v>
      </c>
      <c r="BE916" s="1" t="s">
        <v>8877</v>
      </c>
      <c r="BF916" s="2" t="str">
        <f>HYPERLINK("http://dx.doi.org/10.1016/j.fsi.2014.08.029","http://dx.doi.org/10.1016/j.fsi.2014.08.029")</f>
        <v>http://dx.doi.org/10.1016/j.fsi.2014.08.029</v>
      </c>
      <c r="BG916" s="1" t="s">
        <v>74</v>
      </c>
      <c r="BH916" s="1" t="s">
        <v>74</v>
      </c>
      <c r="BI916" s="1" t="s">
        <v>74</v>
      </c>
      <c r="BJ916" s="1" t="s">
        <v>74</v>
      </c>
      <c r="BK916" s="1" t="s">
        <v>74</v>
      </c>
      <c r="BL916" s="1" t="s">
        <v>74</v>
      </c>
      <c r="BM916" s="1" t="s">
        <v>74</v>
      </c>
      <c r="BN916" s="1">
        <v>2.5193394E7</v>
      </c>
      <c r="BO916" s="1" t="s">
        <v>74</v>
      </c>
      <c r="BP916" s="1" t="s">
        <v>74</v>
      </c>
      <c r="BQ916" s="1" t="s">
        <v>74</v>
      </c>
      <c r="BR916" s="1" t="s">
        <v>74</v>
      </c>
      <c r="BS916" s="1" t="s">
        <v>8878</v>
      </c>
      <c r="BT916" s="1" t="str">
        <f>HYPERLINK("https%3A%2F%2Fwww.webofscience.com%2Fwos%2Fwoscc%2Ffull-record%2FWOS:000347017500008","View Full Record in Web of Science")</f>
        <v>View Full Record in Web of Science</v>
      </c>
    </row>
    <row r="917" ht="12.75" customHeight="1">
      <c r="A917" s="1" t="s">
        <v>72</v>
      </c>
      <c r="B917" s="1" t="s">
        <v>8879</v>
      </c>
      <c r="C917" s="1" t="s">
        <v>74</v>
      </c>
      <c r="D917" s="1" t="s">
        <v>74</v>
      </c>
      <c r="E917" s="1" t="s">
        <v>74</v>
      </c>
      <c r="F917" s="1" t="s">
        <v>8880</v>
      </c>
      <c r="G917" s="1" t="s">
        <v>74</v>
      </c>
      <c r="H917" s="1" t="s">
        <v>74</v>
      </c>
      <c r="I917" s="1" t="s">
        <v>8881</v>
      </c>
      <c r="J917" s="1" t="s">
        <v>8882</v>
      </c>
      <c r="K917" s="1" t="s">
        <v>74</v>
      </c>
      <c r="L917" s="1" t="s">
        <v>74</v>
      </c>
      <c r="M917" s="1" t="s">
        <v>74</v>
      </c>
      <c r="N917" s="1" t="s">
        <v>74</v>
      </c>
      <c r="O917" s="1" t="s">
        <v>74</v>
      </c>
      <c r="P917" s="1" t="s">
        <v>74</v>
      </c>
      <c r="Q917" s="1" t="s">
        <v>74</v>
      </c>
      <c r="R917" s="1" t="s">
        <v>74</v>
      </c>
      <c r="S917" s="1" t="s">
        <v>74</v>
      </c>
      <c r="T917" s="1" t="s">
        <v>74</v>
      </c>
      <c r="U917" s="1" t="s">
        <v>74</v>
      </c>
      <c r="V917" s="1" t="s">
        <v>8883</v>
      </c>
      <c r="W917" s="1" t="s">
        <v>74</v>
      </c>
      <c r="X917" s="1" t="s">
        <v>74</v>
      </c>
      <c r="Y917" s="1" t="s">
        <v>74</v>
      </c>
      <c r="Z917" s="1" t="s">
        <v>74</v>
      </c>
      <c r="AA917" s="1" t="s">
        <v>8884</v>
      </c>
      <c r="AB917" s="1" t="s">
        <v>8885</v>
      </c>
      <c r="AC917" s="1" t="s">
        <v>74</v>
      </c>
      <c r="AD917" s="1" t="s">
        <v>74</v>
      </c>
      <c r="AE917" s="1" t="s">
        <v>74</v>
      </c>
      <c r="AF917" s="1" t="s">
        <v>74</v>
      </c>
      <c r="AG917" s="1" t="s">
        <v>74</v>
      </c>
      <c r="AH917" s="1" t="s">
        <v>74</v>
      </c>
      <c r="AI917" s="1" t="s">
        <v>74</v>
      </c>
      <c r="AJ917" s="1" t="s">
        <v>74</v>
      </c>
      <c r="AK917" s="1" t="s">
        <v>74</v>
      </c>
      <c r="AL917" s="1" t="s">
        <v>74</v>
      </c>
      <c r="AM917" s="1" t="s">
        <v>74</v>
      </c>
      <c r="AN917" s="1" t="s">
        <v>74</v>
      </c>
      <c r="AO917" s="1" t="s">
        <v>8886</v>
      </c>
      <c r="AP917" s="1" t="s">
        <v>8887</v>
      </c>
      <c r="AQ917" s="1" t="s">
        <v>74</v>
      </c>
      <c r="AR917" s="1" t="s">
        <v>74</v>
      </c>
      <c r="AS917" s="1" t="s">
        <v>74</v>
      </c>
      <c r="AT917" s="1" t="s">
        <v>350</v>
      </c>
      <c r="AU917" s="1">
        <v>2014.0</v>
      </c>
      <c r="AV917" s="1">
        <v>39.0</v>
      </c>
      <c r="AW917" s="1" t="s">
        <v>74</v>
      </c>
      <c r="AX917" s="1" t="s">
        <v>74</v>
      </c>
      <c r="AY917" s="1" t="s">
        <v>74</v>
      </c>
      <c r="AZ917" s="1" t="s">
        <v>74</v>
      </c>
      <c r="BA917" s="1" t="s">
        <v>74</v>
      </c>
      <c r="BB917" s="1">
        <v>171.0</v>
      </c>
      <c r="BC917" s="1">
        <v>179.0</v>
      </c>
      <c r="BD917" s="1" t="s">
        <v>74</v>
      </c>
      <c r="BE917" s="1" t="s">
        <v>8888</v>
      </c>
      <c r="BF917" s="2" t="str">
        <f>HYPERLINK("http://dx.doi.org/10.1016/j.foodhyd.2013.12.019","http://dx.doi.org/10.1016/j.foodhyd.2013.12.019")</f>
        <v>http://dx.doi.org/10.1016/j.foodhyd.2013.12.019</v>
      </c>
      <c r="BG917" s="1" t="s">
        <v>74</v>
      </c>
      <c r="BH917" s="1" t="s">
        <v>74</v>
      </c>
      <c r="BI917" s="1" t="s">
        <v>74</v>
      </c>
      <c r="BJ917" s="1" t="s">
        <v>74</v>
      </c>
      <c r="BK917" s="1" t="s">
        <v>74</v>
      </c>
      <c r="BL917" s="1" t="s">
        <v>74</v>
      </c>
      <c r="BM917" s="1" t="s">
        <v>74</v>
      </c>
      <c r="BN917" s="1" t="s">
        <v>74</v>
      </c>
      <c r="BO917" s="1" t="s">
        <v>74</v>
      </c>
      <c r="BP917" s="1" t="s">
        <v>74</v>
      </c>
      <c r="BQ917" s="1" t="s">
        <v>74</v>
      </c>
      <c r="BR917" s="1" t="s">
        <v>74</v>
      </c>
      <c r="BS917" s="1" t="s">
        <v>8889</v>
      </c>
      <c r="BT917" s="1" t="str">
        <f>HYPERLINK("https%3A%2F%2Fwww.webofscience.com%2Fwos%2Fwoscc%2Ffull-record%2FWOS:000334848400021","View Full Record in Web of Science")</f>
        <v>View Full Record in Web of Science</v>
      </c>
    </row>
    <row r="918" ht="12.75" customHeight="1">
      <c r="A918" s="1" t="s">
        <v>72</v>
      </c>
      <c r="B918" s="1" t="s">
        <v>8890</v>
      </c>
      <c r="C918" s="1" t="s">
        <v>74</v>
      </c>
      <c r="D918" s="1" t="s">
        <v>74</v>
      </c>
      <c r="E918" s="1" t="s">
        <v>74</v>
      </c>
      <c r="F918" s="1" t="s">
        <v>8891</v>
      </c>
      <c r="G918" s="1" t="s">
        <v>74</v>
      </c>
      <c r="H918" s="1" t="s">
        <v>74</v>
      </c>
      <c r="I918" s="1" t="s">
        <v>8892</v>
      </c>
      <c r="J918" s="1" t="s">
        <v>8893</v>
      </c>
      <c r="K918" s="1" t="s">
        <v>74</v>
      </c>
      <c r="L918" s="1" t="s">
        <v>74</v>
      </c>
      <c r="M918" s="1" t="s">
        <v>74</v>
      </c>
      <c r="N918" s="1" t="s">
        <v>74</v>
      </c>
      <c r="O918" s="1" t="s">
        <v>74</v>
      </c>
      <c r="P918" s="1" t="s">
        <v>74</v>
      </c>
      <c r="Q918" s="1" t="s">
        <v>74</v>
      </c>
      <c r="R918" s="1" t="s">
        <v>74</v>
      </c>
      <c r="S918" s="1" t="s">
        <v>74</v>
      </c>
      <c r="T918" s="1" t="s">
        <v>74</v>
      </c>
      <c r="U918" s="1" t="s">
        <v>74</v>
      </c>
      <c r="V918" s="1" t="s">
        <v>8894</v>
      </c>
      <c r="W918" s="1" t="s">
        <v>74</v>
      </c>
      <c r="X918" s="1" t="s">
        <v>74</v>
      </c>
      <c r="Y918" s="1" t="s">
        <v>74</v>
      </c>
      <c r="Z918" s="1" t="s">
        <v>74</v>
      </c>
      <c r="AA918" s="1" t="s">
        <v>8895</v>
      </c>
      <c r="AB918" s="1" t="s">
        <v>8896</v>
      </c>
      <c r="AC918" s="1" t="s">
        <v>74</v>
      </c>
      <c r="AD918" s="1" t="s">
        <v>74</v>
      </c>
      <c r="AE918" s="1" t="s">
        <v>74</v>
      </c>
      <c r="AF918" s="1" t="s">
        <v>74</v>
      </c>
      <c r="AG918" s="1" t="s">
        <v>74</v>
      </c>
      <c r="AH918" s="1" t="s">
        <v>74</v>
      </c>
      <c r="AI918" s="1" t="s">
        <v>74</v>
      </c>
      <c r="AJ918" s="1" t="s">
        <v>74</v>
      </c>
      <c r="AK918" s="1" t="s">
        <v>74</v>
      </c>
      <c r="AL918" s="1" t="s">
        <v>74</v>
      </c>
      <c r="AM918" s="1" t="s">
        <v>74</v>
      </c>
      <c r="AN918" s="1" t="s">
        <v>74</v>
      </c>
      <c r="AO918" s="1" t="s">
        <v>8897</v>
      </c>
      <c r="AP918" s="1" t="s">
        <v>74</v>
      </c>
      <c r="AQ918" s="1" t="s">
        <v>74</v>
      </c>
      <c r="AR918" s="1" t="s">
        <v>74</v>
      </c>
      <c r="AS918" s="1" t="s">
        <v>74</v>
      </c>
      <c r="AT918" s="1" t="s">
        <v>180</v>
      </c>
      <c r="AU918" s="1">
        <v>2013.0</v>
      </c>
      <c r="AV918" s="1">
        <v>69.0</v>
      </c>
      <c r="AW918" s="1" t="s">
        <v>74</v>
      </c>
      <c r="AX918" s="1">
        <v>5.0</v>
      </c>
      <c r="AY918" s="1" t="s">
        <v>74</v>
      </c>
      <c r="AZ918" s="1" t="s">
        <v>74</v>
      </c>
      <c r="BA918" s="1" t="s">
        <v>74</v>
      </c>
      <c r="BB918" s="1">
        <v>506.0</v>
      </c>
      <c r="BC918" s="1" t="s">
        <v>1713</v>
      </c>
      <c r="BD918" s="1" t="s">
        <v>74</v>
      </c>
      <c r="BE918" s="1" t="s">
        <v>8898</v>
      </c>
      <c r="BF918" s="2" t="str">
        <f>HYPERLINK("http://dx.doi.org/10.1107/S0108270113009797","http://dx.doi.org/10.1107/S0108270113009797")</f>
        <v>http://dx.doi.org/10.1107/S0108270113009797</v>
      </c>
      <c r="BG918" s="1" t="s">
        <v>74</v>
      </c>
      <c r="BH918" s="1" t="s">
        <v>74</v>
      </c>
      <c r="BI918" s="1" t="s">
        <v>74</v>
      </c>
      <c r="BJ918" s="1" t="s">
        <v>74</v>
      </c>
      <c r="BK918" s="1" t="s">
        <v>74</v>
      </c>
      <c r="BL918" s="1" t="s">
        <v>74</v>
      </c>
      <c r="BM918" s="1" t="s">
        <v>74</v>
      </c>
      <c r="BN918" s="1">
        <v>2.3629902E7</v>
      </c>
      <c r="BO918" s="1" t="s">
        <v>74</v>
      </c>
      <c r="BP918" s="1" t="s">
        <v>74</v>
      </c>
      <c r="BQ918" s="1" t="s">
        <v>74</v>
      </c>
      <c r="BR918" s="1" t="s">
        <v>74</v>
      </c>
      <c r="BS918" s="1" t="s">
        <v>8899</v>
      </c>
      <c r="BT918" s="1" t="str">
        <f>HYPERLINK("https%3A%2F%2Fwww.webofscience.com%2Fwos%2Fwoscc%2Ffull-record%2FWOS:000318300300014","View Full Record in Web of Science")</f>
        <v>View Full Record in Web of Science</v>
      </c>
    </row>
    <row r="919" ht="12.75" customHeight="1">
      <c r="A919" s="1" t="s">
        <v>72</v>
      </c>
      <c r="B919" s="1" t="s">
        <v>8900</v>
      </c>
      <c r="C919" s="1" t="s">
        <v>74</v>
      </c>
      <c r="D919" s="1" t="s">
        <v>74</v>
      </c>
      <c r="E919" s="1" t="s">
        <v>74</v>
      </c>
      <c r="F919" s="1" t="s">
        <v>8901</v>
      </c>
      <c r="G919" s="1" t="s">
        <v>74</v>
      </c>
      <c r="H919" s="1" t="s">
        <v>74</v>
      </c>
      <c r="I919" s="1" t="s">
        <v>8902</v>
      </c>
      <c r="J919" s="1" t="s">
        <v>8903</v>
      </c>
      <c r="K919" s="1" t="s">
        <v>74</v>
      </c>
      <c r="L919" s="1" t="s">
        <v>74</v>
      </c>
      <c r="M919" s="1" t="s">
        <v>74</v>
      </c>
      <c r="N919" s="1" t="s">
        <v>74</v>
      </c>
      <c r="O919" s="1" t="s">
        <v>74</v>
      </c>
      <c r="P919" s="1" t="s">
        <v>74</v>
      </c>
      <c r="Q919" s="1" t="s">
        <v>74</v>
      </c>
      <c r="R919" s="1" t="s">
        <v>74</v>
      </c>
      <c r="S919" s="1" t="s">
        <v>74</v>
      </c>
      <c r="T919" s="1" t="s">
        <v>74</v>
      </c>
      <c r="U919" s="1" t="s">
        <v>74</v>
      </c>
      <c r="V919" s="1" t="s">
        <v>8904</v>
      </c>
      <c r="W919" s="1" t="s">
        <v>74</v>
      </c>
      <c r="X919" s="1" t="s">
        <v>74</v>
      </c>
      <c r="Y919" s="1" t="s">
        <v>74</v>
      </c>
      <c r="Z919" s="1" t="s">
        <v>74</v>
      </c>
      <c r="AA919" s="1" t="s">
        <v>8905</v>
      </c>
      <c r="AB919" s="1" t="s">
        <v>8906</v>
      </c>
      <c r="AC919" s="1" t="s">
        <v>74</v>
      </c>
      <c r="AD919" s="1" t="s">
        <v>74</v>
      </c>
      <c r="AE919" s="1" t="s">
        <v>74</v>
      </c>
      <c r="AF919" s="1" t="s">
        <v>74</v>
      </c>
      <c r="AG919" s="1" t="s">
        <v>74</v>
      </c>
      <c r="AH919" s="1" t="s">
        <v>74</v>
      </c>
      <c r="AI919" s="1" t="s">
        <v>74</v>
      </c>
      <c r="AJ919" s="1" t="s">
        <v>74</v>
      </c>
      <c r="AK919" s="1" t="s">
        <v>74</v>
      </c>
      <c r="AL919" s="1" t="s">
        <v>74</v>
      </c>
      <c r="AM919" s="1" t="s">
        <v>74</v>
      </c>
      <c r="AN919" s="1" t="s">
        <v>74</v>
      </c>
      <c r="AO919" s="1" t="s">
        <v>8907</v>
      </c>
      <c r="AP919" s="1" t="s">
        <v>8908</v>
      </c>
      <c r="AQ919" s="1" t="s">
        <v>74</v>
      </c>
      <c r="AR919" s="1" t="s">
        <v>74</v>
      </c>
      <c r="AS919" s="1" t="s">
        <v>74</v>
      </c>
      <c r="AT919" s="1" t="s">
        <v>74</v>
      </c>
      <c r="AU919" s="1">
        <v>2011.0</v>
      </c>
      <c r="AV919" s="1">
        <v>3.0</v>
      </c>
      <c r="AW919" s="1">
        <v>4.0</v>
      </c>
      <c r="AX919" s="1" t="s">
        <v>74</v>
      </c>
      <c r="AY919" s="1" t="s">
        <v>74</v>
      </c>
      <c r="AZ919" s="1" t="s">
        <v>74</v>
      </c>
      <c r="BA919" s="1" t="s">
        <v>74</v>
      </c>
      <c r="BB919" s="1">
        <v>223.0</v>
      </c>
      <c r="BC919" s="1">
        <v>227.0</v>
      </c>
      <c r="BD919" s="1" t="s">
        <v>74</v>
      </c>
      <c r="BE919" s="1" t="s">
        <v>8909</v>
      </c>
      <c r="BF919" s="2" t="str">
        <f>HYPERLINK("http://dx.doi.org/10.1007/BF03353676","http://dx.doi.org/10.1007/BF03353676")</f>
        <v>http://dx.doi.org/10.1007/BF03353676</v>
      </c>
      <c r="BG919" s="1" t="s">
        <v>74</v>
      </c>
      <c r="BH919" s="1" t="s">
        <v>74</v>
      </c>
      <c r="BI919" s="1" t="s">
        <v>74</v>
      </c>
      <c r="BJ919" s="1" t="s">
        <v>74</v>
      </c>
      <c r="BK919" s="1" t="s">
        <v>74</v>
      </c>
      <c r="BL919" s="1" t="s">
        <v>74</v>
      </c>
      <c r="BM919" s="1" t="s">
        <v>74</v>
      </c>
      <c r="BN919" s="1" t="s">
        <v>74</v>
      </c>
      <c r="BO919" s="1" t="s">
        <v>74</v>
      </c>
      <c r="BP919" s="1" t="s">
        <v>74</v>
      </c>
      <c r="BQ919" s="1" t="s">
        <v>74</v>
      </c>
      <c r="BR919" s="1" t="s">
        <v>74</v>
      </c>
      <c r="BS919" s="1" t="s">
        <v>8910</v>
      </c>
      <c r="BT919" s="1" t="str">
        <f>HYPERLINK("https%3A%2F%2Fwww.webofscience.com%2Fwos%2Fwoscc%2Ffull-record%2FWOS:000307057600003","View Full Record in Web of Science")</f>
        <v>View Full Record in Web of Science</v>
      </c>
    </row>
    <row r="920" ht="12.75" customHeight="1">
      <c r="A920" s="1" t="s">
        <v>72</v>
      </c>
      <c r="B920" s="1" t="s">
        <v>8911</v>
      </c>
      <c r="C920" s="1" t="s">
        <v>74</v>
      </c>
      <c r="D920" s="1" t="s">
        <v>74</v>
      </c>
      <c r="E920" s="1" t="s">
        <v>74</v>
      </c>
      <c r="F920" s="1" t="s">
        <v>8912</v>
      </c>
      <c r="G920" s="1" t="s">
        <v>74</v>
      </c>
      <c r="H920" s="1" t="s">
        <v>74</v>
      </c>
      <c r="I920" s="1" t="s">
        <v>8913</v>
      </c>
      <c r="J920" s="1" t="s">
        <v>1045</v>
      </c>
      <c r="K920" s="1" t="s">
        <v>74</v>
      </c>
      <c r="L920" s="1" t="s">
        <v>74</v>
      </c>
      <c r="M920" s="1" t="s">
        <v>74</v>
      </c>
      <c r="N920" s="1" t="s">
        <v>74</v>
      </c>
      <c r="O920" s="1" t="s">
        <v>74</v>
      </c>
      <c r="P920" s="1" t="s">
        <v>74</v>
      </c>
      <c r="Q920" s="1" t="s">
        <v>74</v>
      </c>
      <c r="R920" s="1" t="s">
        <v>74</v>
      </c>
      <c r="S920" s="1" t="s">
        <v>74</v>
      </c>
      <c r="T920" s="1" t="s">
        <v>74</v>
      </c>
      <c r="U920" s="1" t="s">
        <v>74</v>
      </c>
      <c r="V920" s="1" t="s">
        <v>8914</v>
      </c>
      <c r="W920" s="1" t="s">
        <v>74</v>
      </c>
      <c r="X920" s="1" t="s">
        <v>74</v>
      </c>
      <c r="Y920" s="1" t="s">
        <v>74</v>
      </c>
      <c r="Z920" s="1" t="s">
        <v>74</v>
      </c>
      <c r="AA920" s="1" t="s">
        <v>8915</v>
      </c>
      <c r="AB920" s="1" t="s">
        <v>8916</v>
      </c>
      <c r="AC920" s="1" t="s">
        <v>74</v>
      </c>
      <c r="AD920" s="1" t="s">
        <v>74</v>
      </c>
      <c r="AE920" s="1" t="s">
        <v>74</v>
      </c>
      <c r="AF920" s="1" t="s">
        <v>74</v>
      </c>
      <c r="AG920" s="1" t="s">
        <v>74</v>
      </c>
      <c r="AH920" s="1" t="s">
        <v>74</v>
      </c>
      <c r="AI920" s="1" t="s">
        <v>74</v>
      </c>
      <c r="AJ920" s="1" t="s">
        <v>74</v>
      </c>
      <c r="AK920" s="1" t="s">
        <v>74</v>
      </c>
      <c r="AL920" s="1" t="s">
        <v>74</v>
      </c>
      <c r="AM920" s="1" t="s">
        <v>74</v>
      </c>
      <c r="AN920" s="1" t="s">
        <v>74</v>
      </c>
      <c r="AO920" s="1" t="s">
        <v>1047</v>
      </c>
      <c r="AP920" s="1" t="s">
        <v>1048</v>
      </c>
      <c r="AQ920" s="1" t="s">
        <v>74</v>
      </c>
      <c r="AR920" s="1" t="s">
        <v>74</v>
      </c>
      <c r="AS920" s="1" t="s">
        <v>74</v>
      </c>
      <c r="AT920" s="1" t="s">
        <v>1202</v>
      </c>
      <c r="AU920" s="1">
        <v>2010.0</v>
      </c>
      <c r="AV920" s="1">
        <v>371.0</v>
      </c>
      <c r="AW920" s="1">
        <v>2.0</v>
      </c>
      <c r="AX920" s="1" t="s">
        <v>74</v>
      </c>
      <c r="AY920" s="1" t="s">
        <v>74</v>
      </c>
      <c r="AZ920" s="1" t="s">
        <v>74</v>
      </c>
      <c r="BA920" s="1" t="s">
        <v>74</v>
      </c>
      <c r="BB920" s="1">
        <v>614.0</v>
      </c>
      <c r="BC920" s="1">
        <v>623.0</v>
      </c>
      <c r="BD920" s="1" t="s">
        <v>74</v>
      </c>
      <c r="BE920" s="1" t="s">
        <v>8917</v>
      </c>
      <c r="BF920" s="2" t="str">
        <f>HYPERLINK("http://dx.doi.org/10.1016/j.jmaa.2010.05.065","http://dx.doi.org/10.1016/j.jmaa.2010.05.065")</f>
        <v>http://dx.doi.org/10.1016/j.jmaa.2010.05.065</v>
      </c>
      <c r="BG920" s="1" t="s">
        <v>74</v>
      </c>
      <c r="BH920" s="1" t="s">
        <v>74</v>
      </c>
      <c r="BI920" s="1" t="s">
        <v>74</v>
      </c>
      <c r="BJ920" s="1" t="s">
        <v>74</v>
      </c>
      <c r="BK920" s="1" t="s">
        <v>74</v>
      </c>
      <c r="BL920" s="1" t="s">
        <v>74</v>
      </c>
      <c r="BM920" s="1" t="s">
        <v>74</v>
      </c>
      <c r="BN920" s="1" t="s">
        <v>74</v>
      </c>
      <c r="BO920" s="1" t="s">
        <v>74</v>
      </c>
      <c r="BP920" s="1" t="s">
        <v>74</v>
      </c>
      <c r="BQ920" s="1" t="s">
        <v>74</v>
      </c>
      <c r="BR920" s="1" t="s">
        <v>74</v>
      </c>
      <c r="BS920" s="1" t="s">
        <v>8918</v>
      </c>
      <c r="BT920" s="1" t="str">
        <f>HYPERLINK("https%3A%2F%2Fwww.webofscience.com%2Fwos%2Fwoscc%2Ffull-record%2FWOS:000280566900020","View Full Record in Web of Science")</f>
        <v>View Full Record in Web of Science</v>
      </c>
    </row>
    <row r="921" ht="12.75" customHeight="1">
      <c r="A921" s="1" t="s">
        <v>72</v>
      </c>
      <c r="B921" s="1" t="s">
        <v>8919</v>
      </c>
      <c r="C921" s="1" t="s">
        <v>74</v>
      </c>
      <c r="D921" s="1" t="s">
        <v>74</v>
      </c>
      <c r="E921" s="1" t="s">
        <v>74</v>
      </c>
      <c r="F921" s="1" t="s">
        <v>8920</v>
      </c>
      <c r="G921" s="1" t="s">
        <v>74</v>
      </c>
      <c r="H921" s="1" t="s">
        <v>74</v>
      </c>
      <c r="I921" s="1" t="s">
        <v>8921</v>
      </c>
      <c r="J921" s="1" t="s">
        <v>8922</v>
      </c>
      <c r="K921" s="1" t="s">
        <v>74</v>
      </c>
      <c r="L921" s="1" t="s">
        <v>74</v>
      </c>
      <c r="M921" s="1" t="s">
        <v>74</v>
      </c>
      <c r="N921" s="1" t="s">
        <v>74</v>
      </c>
      <c r="O921" s="1" t="s">
        <v>74</v>
      </c>
      <c r="P921" s="1" t="s">
        <v>74</v>
      </c>
      <c r="Q921" s="1" t="s">
        <v>74</v>
      </c>
      <c r="R921" s="1" t="s">
        <v>74</v>
      </c>
      <c r="S921" s="1" t="s">
        <v>74</v>
      </c>
      <c r="T921" s="1" t="s">
        <v>74</v>
      </c>
      <c r="U921" s="1" t="s">
        <v>74</v>
      </c>
      <c r="V921" s="1" t="s">
        <v>8923</v>
      </c>
      <c r="W921" s="1" t="s">
        <v>74</v>
      </c>
      <c r="X921" s="1" t="s">
        <v>74</v>
      </c>
      <c r="Y921" s="1" t="s">
        <v>74</v>
      </c>
      <c r="Z921" s="1" t="s">
        <v>74</v>
      </c>
      <c r="AA921" s="1" t="s">
        <v>2727</v>
      </c>
      <c r="AB921" s="1" t="s">
        <v>4818</v>
      </c>
      <c r="AC921" s="1" t="s">
        <v>74</v>
      </c>
      <c r="AD921" s="1" t="s">
        <v>74</v>
      </c>
      <c r="AE921" s="1" t="s">
        <v>74</v>
      </c>
      <c r="AF921" s="1" t="s">
        <v>74</v>
      </c>
      <c r="AG921" s="1" t="s">
        <v>74</v>
      </c>
      <c r="AH921" s="1" t="s">
        <v>74</v>
      </c>
      <c r="AI921" s="1" t="s">
        <v>74</v>
      </c>
      <c r="AJ921" s="1" t="s">
        <v>74</v>
      </c>
      <c r="AK921" s="1" t="s">
        <v>74</v>
      </c>
      <c r="AL921" s="1" t="s">
        <v>74</v>
      </c>
      <c r="AM921" s="1" t="s">
        <v>74</v>
      </c>
      <c r="AN921" s="1" t="s">
        <v>74</v>
      </c>
      <c r="AO921" s="1" t="s">
        <v>8924</v>
      </c>
      <c r="AP921" s="1" t="s">
        <v>8925</v>
      </c>
      <c r="AQ921" s="1" t="s">
        <v>74</v>
      </c>
      <c r="AR921" s="1" t="s">
        <v>74</v>
      </c>
      <c r="AS921" s="1" t="s">
        <v>74</v>
      </c>
      <c r="AT921" s="1" t="s">
        <v>696</v>
      </c>
      <c r="AU921" s="1">
        <v>2008.0</v>
      </c>
      <c r="AV921" s="1">
        <v>134.0</v>
      </c>
      <c r="AW921" s="1" t="s">
        <v>703</v>
      </c>
      <c r="AX921" s="1" t="s">
        <v>74</v>
      </c>
      <c r="AY921" s="1" t="s">
        <v>74</v>
      </c>
      <c r="AZ921" s="1" t="s">
        <v>74</v>
      </c>
      <c r="BA921" s="1" t="s">
        <v>74</v>
      </c>
      <c r="BB921" s="1">
        <v>113.0</v>
      </c>
      <c r="BC921" s="1">
        <v>127.0</v>
      </c>
      <c r="BD921" s="1" t="s">
        <v>74</v>
      </c>
      <c r="BE921" s="1" t="s">
        <v>8926</v>
      </c>
      <c r="BF921" s="2" t="str">
        <f>HYPERLINK("http://dx.doi.org/10.1016/j.pain.2007.04.011","http://dx.doi.org/10.1016/j.pain.2007.04.011")</f>
        <v>http://dx.doi.org/10.1016/j.pain.2007.04.011</v>
      </c>
      <c r="BG921" s="1" t="s">
        <v>74</v>
      </c>
      <c r="BH921" s="1" t="s">
        <v>74</v>
      </c>
      <c r="BI921" s="1" t="s">
        <v>74</v>
      </c>
      <c r="BJ921" s="1" t="s">
        <v>74</v>
      </c>
      <c r="BK921" s="1" t="s">
        <v>74</v>
      </c>
      <c r="BL921" s="1" t="s">
        <v>74</v>
      </c>
      <c r="BM921" s="1" t="s">
        <v>74</v>
      </c>
      <c r="BN921" s="1">
        <v>1.7517475E7</v>
      </c>
      <c r="BO921" s="1" t="s">
        <v>74</v>
      </c>
      <c r="BP921" s="1" t="s">
        <v>74</v>
      </c>
      <c r="BQ921" s="1" t="s">
        <v>74</v>
      </c>
      <c r="BR921" s="1" t="s">
        <v>74</v>
      </c>
      <c r="BS921" s="1" t="s">
        <v>8927</v>
      </c>
      <c r="BT921" s="1" t="str">
        <f>HYPERLINK("https%3A%2F%2Fwww.webofscience.com%2Fwos%2Fwoscc%2Ffull-record%2FWOS:000252693400016","View Full Record in Web of Science")</f>
        <v>View Full Record in Web of Science</v>
      </c>
    </row>
    <row r="922" ht="12.75" customHeight="1">
      <c r="A922" s="1" t="s">
        <v>72</v>
      </c>
      <c r="B922" s="1" t="s">
        <v>8928</v>
      </c>
      <c r="C922" s="1" t="s">
        <v>74</v>
      </c>
      <c r="D922" s="1" t="s">
        <v>74</v>
      </c>
      <c r="E922" s="1" t="s">
        <v>74</v>
      </c>
      <c r="F922" s="1" t="s">
        <v>8929</v>
      </c>
      <c r="G922" s="1" t="s">
        <v>74</v>
      </c>
      <c r="H922" s="1" t="s">
        <v>74</v>
      </c>
      <c r="I922" s="1" t="s">
        <v>8930</v>
      </c>
      <c r="J922" s="1" t="s">
        <v>3850</v>
      </c>
      <c r="K922" s="1" t="s">
        <v>74</v>
      </c>
      <c r="L922" s="1" t="s">
        <v>74</v>
      </c>
      <c r="M922" s="1" t="s">
        <v>74</v>
      </c>
      <c r="N922" s="1" t="s">
        <v>74</v>
      </c>
      <c r="O922" s="1" t="s">
        <v>74</v>
      </c>
      <c r="P922" s="1" t="s">
        <v>74</v>
      </c>
      <c r="Q922" s="1" t="s">
        <v>74</v>
      </c>
      <c r="R922" s="1" t="s">
        <v>74</v>
      </c>
      <c r="S922" s="1" t="s">
        <v>74</v>
      </c>
      <c r="T922" s="1" t="s">
        <v>74</v>
      </c>
      <c r="U922" s="1" t="s">
        <v>74</v>
      </c>
      <c r="V922" s="1" t="s">
        <v>8931</v>
      </c>
      <c r="W922" s="1" t="s">
        <v>74</v>
      </c>
      <c r="X922" s="1" t="s">
        <v>74</v>
      </c>
      <c r="Y922" s="1" t="s">
        <v>74</v>
      </c>
      <c r="Z922" s="1" t="s">
        <v>74</v>
      </c>
      <c r="AA922" s="1" t="s">
        <v>8932</v>
      </c>
      <c r="AB922" s="1" t="s">
        <v>8933</v>
      </c>
      <c r="AC922" s="1" t="s">
        <v>74</v>
      </c>
      <c r="AD922" s="1" t="s">
        <v>74</v>
      </c>
      <c r="AE922" s="1" t="s">
        <v>74</v>
      </c>
      <c r="AF922" s="1" t="s">
        <v>74</v>
      </c>
      <c r="AG922" s="1" t="s">
        <v>74</v>
      </c>
      <c r="AH922" s="1" t="s">
        <v>74</v>
      </c>
      <c r="AI922" s="1" t="s">
        <v>74</v>
      </c>
      <c r="AJ922" s="1" t="s">
        <v>74</v>
      </c>
      <c r="AK922" s="1" t="s">
        <v>74</v>
      </c>
      <c r="AL922" s="1" t="s">
        <v>74</v>
      </c>
      <c r="AM922" s="1" t="s">
        <v>74</v>
      </c>
      <c r="AN922" s="1" t="s">
        <v>74</v>
      </c>
      <c r="AO922" s="1" t="s">
        <v>3854</v>
      </c>
      <c r="AP922" s="1" t="s">
        <v>8934</v>
      </c>
      <c r="AQ922" s="1" t="s">
        <v>74</v>
      </c>
      <c r="AR922" s="1" t="s">
        <v>74</v>
      </c>
      <c r="AS922" s="1" t="s">
        <v>74</v>
      </c>
      <c r="AT922" s="1" t="s">
        <v>1977</v>
      </c>
      <c r="AU922" s="1">
        <v>2008.0</v>
      </c>
      <c r="AV922" s="1">
        <v>44.0</v>
      </c>
      <c r="AW922" s="1">
        <v>1.0</v>
      </c>
      <c r="AX922" s="1" t="s">
        <v>74</v>
      </c>
      <c r="AY922" s="1" t="s">
        <v>74</v>
      </c>
      <c r="AZ922" s="1" t="s">
        <v>74</v>
      </c>
      <c r="BA922" s="1" t="s">
        <v>74</v>
      </c>
      <c r="BB922" s="1">
        <v>74.0</v>
      </c>
      <c r="BC922" s="1">
        <v>84.0</v>
      </c>
      <c r="BD922" s="1" t="s">
        <v>74</v>
      </c>
      <c r="BE922" s="1" t="s">
        <v>74</v>
      </c>
      <c r="BF922" s="1" t="s">
        <v>74</v>
      </c>
      <c r="BG922" s="1" t="s">
        <v>74</v>
      </c>
      <c r="BH922" s="1" t="s">
        <v>74</v>
      </c>
      <c r="BI922" s="1" t="s">
        <v>74</v>
      </c>
      <c r="BJ922" s="1" t="s">
        <v>74</v>
      </c>
      <c r="BK922" s="1" t="s">
        <v>74</v>
      </c>
      <c r="BL922" s="1" t="s">
        <v>74</v>
      </c>
      <c r="BM922" s="1" t="s">
        <v>74</v>
      </c>
      <c r="BN922" s="1" t="s">
        <v>74</v>
      </c>
      <c r="BO922" s="1" t="s">
        <v>74</v>
      </c>
      <c r="BP922" s="1" t="s">
        <v>74</v>
      </c>
      <c r="BQ922" s="1" t="s">
        <v>74</v>
      </c>
      <c r="BR922" s="1" t="s">
        <v>74</v>
      </c>
      <c r="BS922" s="1" t="s">
        <v>8935</v>
      </c>
      <c r="BT922" s="1" t="str">
        <f>HYPERLINK("https%3A%2F%2Fwww.webofscience.com%2Fwos%2Fwoscc%2Ffull-record%2FWOS:000254543600008","View Full Record in Web of Science")</f>
        <v>View Full Record in Web of Science</v>
      </c>
    </row>
    <row r="923" ht="12.75" customHeight="1">
      <c r="A923" s="1" t="s">
        <v>72</v>
      </c>
      <c r="B923" s="1" t="s">
        <v>8936</v>
      </c>
      <c r="C923" s="1" t="s">
        <v>74</v>
      </c>
      <c r="D923" s="1" t="s">
        <v>74</v>
      </c>
      <c r="E923" s="1" t="s">
        <v>74</v>
      </c>
      <c r="F923" s="1" t="s">
        <v>8937</v>
      </c>
      <c r="G923" s="1" t="s">
        <v>74</v>
      </c>
      <c r="H923" s="1" t="s">
        <v>74</v>
      </c>
      <c r="I923" s="1" t="s">
        <v>8938</v>
      </c>
      <c r="J923" s="1" t="s">
        <v>2088</v>
      </c>
      <c r="K923" s="1" t="s">
        <v>74</v>
      </c>
      <c r="L923" s="1" t="s">
        <v>74</v>
      </c>
      <c r="M923" s="1" t="s">
        <v>74</v>
      </c>
      <c r="N923" s="1" t="s">
        <v>74</v>
      </c>
      <c r="O923" s="1" t="s">
        <v>74</v>
      </c>
      <c r="P923" s="1" t="s">
        <v>74</v>
      </c>
      <c r="Q923" s="1" t="s">
        <v>74</v>
      </c>
      <c r="R923" s="1" t="s">
        <v>74</v>
      </c>
      <c r="S923" s="1" t="s">
        <v>74</v>
      </c>
      <c r="T923" s="1" t="s">
        <v>74</v>
      </c>
      <c r="U923" s="1" t="s">
        <v>74</v>
      </c>
      <c r="V923" s="1" t="s">
        <v>8939</v>
      </c>
      <c r="W923" s="1" t="s">
        <v>74</v>
      </c>
      <c r="X923" s="1" t="s">
        <v>74</v>
      </c>
      <c r="Y923" s="1" t="s">
        <v>74</v>
      </c>
      <c r="Z923" s="1" t="s">
        <v>74</v>
      </c>
      <c r="AA923" s="1" t="s">
        <v>2702</v>
      </c>
      <c r="AB923" s="1" t="s">
        <v>2703</v>
      </c>
      <c r="AC923" s="1" t="s">
        <v>74</v>
      </c>
      <c r="AD923" s="1" t="s">
        <v>74</v>
      </c>
      <c r="AE923" s="1" t="s">
        <v>74</v>
      </c>
      <c r="AF923" s="1" t="s">
        <v>74</v>
      </c>
      <c r="AG923" s="1" t="s">
        <v>74</v>
      </c>
      <c r="AH923" s="1" t="s">
        <v>74</v>
      </c>
      <c r="AI923" s="1" t="s">
        <v>74</v>
      </c>
      <c r="AJ923" s="1" t="s">
        <v>74</v>
      </c>
      <c r="AK923" s="1" t="s">
        <v>74</v>
      </c>
      <c r="AL923" s="1" t="s">
        <v>74</v>
      </c>
      <c r="AM923" s="1" t="s">
        <v>74</v>
      </c>
      <c r="AN923" s="1" t="s">
        <v>74</v>
      </c>
      <c r="AO923" s="1" t="s">
        <v>2092</v>
      </c>
      <c r="AP923" s="1" t="s">
        <v>2093</v>
      </c>
      <c r="AQ923" s="1" t="s">
        <v>74</v>
      </c>
      <c r="AR923" s="1" t="s">
        <v>74</v>
      </c>
      <c r="AS923" s="1" t="s">
        <v>74</v>
      </c>
      <c r="AT923" s="1" t="s">
        <v>74</v>
      </c>
      <c r="AU923" s="1">
        <v>2007.0</v>
      </c>
      <c r="AV923" s="1">
        <v>9.0</v>
      </c>
      <c r="AW923" s="1">
        <v>42.0</v>
      </c>
      <c r="AX923" s="1" t="s">
        <v>74</v>
      </c>
      <c r="AY923" s="1" t="s">
        <v>74</v>
      </c>
      <c r="AZ923" s="1" t="s">
        <v>74</v>
      </c>
      <c r="BA923" s="1" t="s">
        <v>74</v>
      </c>
      <c r="BB923" s="1">
        <v>5644.0</v>
      </c>
      <c r="BC923" s="1">
        <v>5648.0</v>
      </c>
      <c r="BD923" s="1" t="s">
        <v>74</v>
      </c>
      <c r="BE923" s="1" t="s">
        <v>8940</v>
      </c>
      <c r="BF923" s="2" t="str">
        <f>HYPERLINK("http://dx.doi.org/10.1039/b709198b","http://dx.doi.org/10.1039/b709198b")</f>
        <v>http://dx.doi.org/10.1039/b709198b</v>
      </c>
      <c r="BG923" s="1" t="s">
        <v>74</v>
      </c>
      <c r="BH923" s="1" t="s">
        <v>74</v>
      </c>
      <c r="BI923" s="1" t="s">
        <v>74</v>
      </c>
      <c r="BJ923" s="1" t="s">
        <v>74</v>
      </c>
      <c r="BK923" s="1" t="s">
        <v>74</v>
      </c>
      <c r="BL923" s="1" t="s">
        <v>74</v>
      </c>
      <c r="BM923" s="1" t="s">
        <v>74</v>
      </c>
      <c r="BN923" s="1">
        <v>1.7960251E7</v>
      </c>
      <c r="BO923" s="1" t="s">
        <v>74</v>
      </c>
      <c r="BP923" s="1" t="s">
        <v>74</v>
      </c>
      <c r="BQ923" s="1" t="s">
        <v>74</v>
      </c>
      <c r="BR923" s="1" t="s">
        <v>74</v>
      </c>
      <c r="BS923" s="1" t="s">
        <v>8941</v>
      </c>
      <c r="BT923" s="1" t="str">
        <f>HYPERLINK("https%3A%2F%2Fwww.webofscience.com%2Fwos%2Fwoscc%2Ffull-record%2FWOS:000250399500002","View Full Record in Web of Science")</f>
        <v>View Full Record in Web of Science</v>
      </c>
    </row>
    <row r="924" ht="12.75" customHeight="1">
      <c r="A924" s="1" t="s">
        <v>182</v>
      </c>
      <c r="B924" s="1" t="s">
        <v>8942</v>
      </c>
      <c r="C924" s="1" t="s">
        <v>74</v>
      </c>
      <c r="D924" s="1" t="s">
        <v>8943</v>
      </c>
      <c r="E924" s="1" t="s">
        <v>74</v>
      </c>
      <c r="F924" s="1" t="s">
        <v>8944</v>
      </c>
      <c r="G924" s="1" t="s">
        <v>74</v>
      </c>
      <c r="H924" s="1" t="s">
        <v>74</v>
      </c>
      <c r="I924" s="1" t="s">
        <v>8945</v>
      </c>
      <c r="J924" s="1" t="s">
        <v>8946</v>
      </c>
      <c r="K924" s="1" t="s">
        <v>8947</v>
      </c>
      <c r="L924" s="1" t="s">
        <v>74</v>
      </c>
      <c r="M924" s="1" t="s">
        <v>74</v>
      </c>
      <c r="N924" s="1" t="s">
        <v>74</v>
      </c>
      <c r="O924" s="1" t="s">
        <v>8948</v>
      </c>
      <c r="P924" s="1" t="s">
        <v>8949</v>
      </c>
      <c r="Q924" s="1" t="s">
        <v>8950</v>
      </c>
      <c r="R924" s="1" t="s">
        <v>8951</v>
      </c>
      <c r="S924" s="1" t="s">
        <v>74</v>
      </c>
      <c r="T924" s="1" t="s">
        <v>74</v>
      </c>
      <c r="U924" s="1" t="s">
        <v>74</v>
      </c>
      <c r="V924" s="1" t="s">
        <v>8952</v>
      </c>
      <c r="W924" s="1" t="s">
        <v>74</v>
      </c>
      <c r="X924" s="1" t="s">
        <v>74</v>
      </c>
      <c r="Y924" s="1" t="s">
        <v>74</v>
      </c>
      <c r="Z924" s="1" t="s">
        <v>74</v>
      </c>
      <c r="AA924" s="1" t="s">
        <v>8953</v>
      </c>
      <c r="AB924" s="1" t="s">
        <v>8954</v>
      </c>
      <c r="AC924" s="1" t="s">
        <v>74</v>
      </c>
      <c r="AD924" s="1" t="s">
        <v>74</v>
      </c>
      <c r="AE924" s="1" t="s">
        <v>74</v>
      </c>
      <c r="AF924" s="1" t="s">
        <v>74</v>
      </c>
      <c r="AG924" s="1" t="s">
        <v>74</v>
      </c>
      <c r="AH924" s="1" t="s">
        <v>74</v>
      </c>
      <c r="AI924" s="1" t="s">
        <v>74</v>
      </c>
      <c r="AJ924" s="1" t="s">
        <v>74</v>
      </c>
      <c r="AK924" s="1" t="s">
        <v>74</v>
      </c>
      <c r="AL924" s="1" t="s">
        <v>74</v>
      </c>
      <c r="AM924" s="1" t="s">
        <v>74</v>
      </c>
      <c r="AN924" s="1" t="s">
        <v>74</v>
      </c>
      <c r="AO924" s="1" t="s">
        <v>1175</v>
      </c>
      <c r="AP924" s="1" t="s">
        <v>1176</v>
      </c>
      <c r="AQ924" s="1" t="s">
        <v>8955</v>
      </c>
      <c r="AR924" s="1" t="s">
        <v>74</v>
      </c>
      <c r="AS924" s="1" t="s">
        <v>74</v>
      </c>
      <c r="AT924" s="1" t="s">
        <v>74</v>
      </c>
      <c r="AU924" s="1">
        <v>2007.0</v>
      </c>
      <c r="AV924" s="1">
        <v>4570.0</v>
      </c>
      <c r="AW924" s="1" t="s">
        <v>74</v>
      </c>
      <c r="AX924" s="1" t="s">
        <v>74</v>
      </c>
      <c r="AY924" s="1" t="s">
        <v>74</v>
      </c>
      <c r="AZ924" s="1" t="s">
        <v>74</v>
      </c>
      <c r="BA924" s="1" t="s">
        <v>74</v>
      </c>
      <c r="BB924" s="1">
        <v>483.0</v>
      </c>
      <c r="BC924" s="1" t="s">
        <v>1713</v>
      </c>
      <c r="BD924" s="1" t="s">
        <v>74</v>
      </c>
      <c r="BE924" s="1" t="s">
        <v>74</v>
      </c>
      <c r="BF924" s="1" t="s">
        <v>74</v>
      </c>
      <c r="BG924" s="1" t="s">
        <v>74</v>
      </c>
      <c r="BH924" s="1" t="s">
        <v>74</v>
      </c>
      <c r="BI924" s="1" t="s">
        <v>74</v>
      </c>
      <c r="BJ924" s="1" t="s">
        <v>74</v>
      </c>
      <c r="BK924" s="1" t="s">
        <v>74</v>
      </c>
      <c r="BL924" s="1" t="s">
        <v>74</v>
      </c>
      <c r="BM924" s="1" t="s">
        <v>74</v>
      </c>
      <c r="BN924" s="1" t="s">
        <v>74</v>
      </c>
      <c r="BO924" s="1" t="s">
        <v>74</v>
      </c>
      <c r="BP924" s="1" t="s">
        <v>74</v>
      </c>
      <c r="BQ924" s="1" t="s">
        <v>74</v>
      </c>
      <c r="BR924" s="1" t="s">
        <v>74</v>
      </c>
      <c r="BS924" s="1" t="s">
        <v>8956</v>
      </c>
      <c r="BT924" s="1" t="str">
        <f>HYPERLINK("https%3A%2F%2Fwww.webofscience.com%2Fwos%2Fwoscc%2Ffull-record%2FWOS:000248621400048","View Full Record in Web of Science")</f>
        <v>View Full Record in Web of Science</v>
      </c>
    </row>
    <row r="925" ht="12.75" customHeight="1">
      <c r="A925" s="1" t="s">
        <v>72</v>
      </c>
      <c r="B925" s="1" t="s">
        <v>8957</v>
      </c>
      <c r="C925" s="1" t="s">
        <v>74</v>
      </c>
      <c r="D925" s="1" t="s">
        <v>74</v>
      </c>
      <c r="E925" s="1" t="s">
        <v>74</v>
      </c>
      <c r="F925" s="1" t="s">
        <v>8957</v>
      </c>
      <c r="G925" s="1" t="s">
        <v>74</v>
      </c>
      <c r="H925" s="1" t="s">
        <v>74</v>
      </c>
      <c r="I925" s="1" t="s">
        <v>8958</v>
      </c>
      <c r="J925" s="1" t="s">
        <v>8959</v>
      </c>
      <c r="K925" s="1" t="s">
        <v>74</v>
      </c>
      <c r="L925" s="1" t="s">
        <v>74</v>
      </c>
      <c r="M925" s="1" t="s">
        <v>74</v>
      </c>
      <c r="N925" s="1" t="s">
        <v>74</v>
      </c>
      <c r="O925" s="1" t="s">
        <v>74</v>
      </c>
      <c r="P925" s="1" t="s">
        <v>74</v>
      </c>
      <c r="Q925" s="1" t="s">
        <v>74</v>
      </c>
      <c r="R925" s="1" t="s">
        <v>74</v>
      </c>
      <c r="S925" s="1" t="s">
        <v>74</v>
      </c>
      <c r="T925" s="1" t="s">
        <v>74</v>
      </c>
      <c r="U925" s="1" t="s">
        <v>74</v>
      </c>
      <c r="V925" s="1" t="s">
        <v>8960</v>
      </c>
      <c r="W925" s="1" t="s">
        <v>74</v>
      </c>
      <c r="X925" s="1" t="s">
        <v>74</v>
      </c>
      <c r="Y925" s="1" t="s">
        <v>74</v>
      </c>
      <c r="Z925" s="1" t="s">
        <v>74</v>
      </c>
      <c r="AA925" s="1" t="s">
        <v>74</v>
      </c>
      <c r="AB925" s="1" t="s">
        <v>74</v>
      </c>
      <c r="AC925" s="1" t="s">
        <v>74</v>
      </c>
      <c r="AD925" s="1" t="s">
        <v>74</v>
      </c>
      <c r="AE925" s="1" t="s">
        <v>74</v>
      </c>
      <c r="AF925" s="1" t="s">
        <v>74</v>
      </c>
      <c r="AG925" s="1" t="s">
        <v>74</v>
      </c>
      <c r="AH925" s="1" t="s">
        <v>74</v>
      </c>
      <c r="AI925" s="1" t="s">
        <v>74</v>
      </c>
      <c r="AJ925" s="1" t="s">
        <v>74</v>
      </c>
      <c r="AK925" s="1" t="s">
        <v>74</v>
      </c>
      <c r="AL925" s="1" t="s">
        <v>74</v>
      </c>
      <c r="AM925" s="1" t="s">
        <v>74</v>
      </c>
      <c r="AN925" s="1" t="s">
        <v>74</v>
      </c>
      <c r="AO925" s="1" t="s">
        <v>8961</v>
      </c>
      <c r="AP925" s="1" t="s">
        <v>8962</v>
      </c>
      <c r="AQ925" s="1" t="s">
        <v>74</v>
      </c>
      <c r="AR925" s="1" t="s">
        <v>74</v>
      </c>
      <c r="AS925" s="1" t="s">
        <v>74</v>
      </c>
      <c r="AT925" s="1" t="s">
        <v>4727</v>
      </c>
      <c r="AU925" s="1">
        <v>2005.0</v>
      </c>
      <c r="AV925" s="1">
        <v>239.0</v>
      </c>
      <c r="AW925" s="1" t="s">
        <v>703</v>
      </c>
      <c r="AX925" s="1" t="s">
        <v>74</v>
      </c>
      <c r="AY925" s="1" t="s">
        <v>74</v>
      </c>
      <c r="AZ925" s="1" t="s">
        <v>74</v>
      </c>
      <c r="BA925" s="1" t="s">
        <v>74</v>
      </c>
      <c r="BB925" s="1">
        <v>205.0</v>
      </c>
      <c r="BC925" s="1">
        <v>214.0</v>
      </c>
      <c r="BD925" s="1" t="s">
        <v>74</v>
      </c>
      <c r="BE925" s="1" t="s">
        <v>8963</v>
      </c>
      <c r="BF925" s="2" t="str">
        <f>HYPERLINK("http://dx.doi.org/10.1016/j.molcata.2005.06.015","http://dx.doi.org/10.1016/j.molcata.2005.06.015")</f>
        <v>http://dx.doi.org/10.1016/j.molcata.2005.06.015</v>
      </c>
      <c r="BG925" s="1" t="s">
        <v>74</v>
      </c>
      <c r="BH925" s="1" t="s">
        <v>74</v>
      </c>
      <c r="BI925" s="1" t="s">
        <v>74</v>
      </c>
      <c r="BJ925" s="1" t="s">
        <v>74</v>
      </c>
      <c r="BK925" s="1" t="s">
        <v>74</v>
      </c>
      <c r="BL925" s="1" t="s">
        <v>74</v>
      </c>
      <c r="BM925" s="1" t="s">
        <v>74</v>
      </c>
      <c r="BN925" s="1" t="s">
        <v>74</v>
      </c>
      <c r="BO925" s="1" t="s">
        <v>74</v>
      </c>
      <c r="BP925" s="1" t="s">
        <v>74</v>
      </c>
      <c r="BQ925" s="1" t="s">
        <v>74</v>
      </c>
      <c r="BR925" s="1" t="s">
        <v>74</v>
      </c>
      <c r="BS925" s="1" t="s">
        <v>8964</v>
      </c>
      <c r="BT925" s="1" t="str">
        <f>HYPERLINK("https%3A%2F%2Fwww.webofscience.com%2Fwos%2Fwoscc%2Ffull-record%2FWOS:000231401000031","View Full Record in Web of Science")</f>
        <v>View Full Record in Web of Science</v>
      </c>
    </row>
    <row r="926" ht="12.75" customHeight="1">
      <c r="A926" s="1" t="s">
        <v>72</v>
      </c>
      <c r="B926" s="1" t="s">
        <v>8965</v>
      </c>
      <c r="C926" s="1" t="s">
        <v>74</v>
      </c>
      <c r="D926" s="1" t="s">
        <v>74</v>
      </c>
      <c r="E926" s="1" t="s">
        <v>74</v>
      </c>
      <c r="F926" s="1" t="s">
        <v>8965</v>
      </c>
      <c r="G926" s="1" t="s">
        <v>74</v>
      </c>
      <c r="H926" s="1" t="s">
        <v>74</v>
      </c>
      <c r="I926" s="1" t="s">
        <v>8966</v>
      </c>
      <c r="J926" s="1" t="s">
        <v>8967</v>
      </c>
      <c r="K926" s="1" t="s">
        <v>74</v>
      </c>
      <c r="L926" s="1" t="s">
        <v>74</v>
      </c>
      <c r="M926" s="1" t="s">
        <v>74</v>
      </c>
      <c r="N926" s="1" t="s">
        <v>74</v>
      </c>
      <c r="O926" s="1" t="s">
        <v>74</v>
      </c>
      <c r="P926" s="1" t="s">
        <v>74</v>
      </c>
      <c r="Q926" s="1" t="s">
        <v>74</v>
      </c>
      <c r="R926" s="1" t="s">
        <v>74</v>
      </c>
      <c r="S926" s="1" t="s">
        <v>74</v>
      </c>
      <c r="T926" s="1" t="s">
        <v>74</v>
      </c>
      <c r="U926" s="1" t="s">
        <v>74</v>
      </c>
      <c r="V926" s="1" t="s">
        <v>8968</v>
      </c>
      <c r="W926" s="1" t="s">
        <v>74</v>
      </c>
      <c r="X926" s="1" t="s">
        <v>74</v>
      </c>
      <c r="Y926" s="1" t="s">
        <v>74</v>
      </c>
      <c r="Z926" s="1" t="s">
        <v>74</v>
      </c>
      <c r="AA926" s="1" t="s">
        <v>8969</v>
      </c>
      <c r="AB926" s="1" t="s">
        <v>8970</v>
      </c>
      <c r="AC926" s="1" t="s">
        <v>74</v>
      </c>
      <c r="AD926" s="1" t="s">
        <v>74</v>
      </c>
      <c r="AE926" s="1" t="s">
        <v>74</v>
      </c>
      <c r="AF926" s="1" t="s">
        <v>74</v>
      </c>
      <c r="AG926" s="1" t="s">
        <v>74</v>
      </c>
      <c r="AH926" s="1" t="s">
        <v>74</v>
      </c>
      <c r="AI926" s="1" t="s">
        <v>74</v>
      </c>
      <c r="AJ926" s="1" t="s">
        <v>74</v>
      </c>
      <c r="AK926" s="1" t="s">
        <v>74</v>
      </c>
      <c r="AL926" s="1" t="s">
        <v>74</v>
      </c>
      <c r="AM926" s="1" t="s">
        <v>74</v>
      </c>
      <c r="AN926" s="1" t="s">
        <v>74</v>
      </c>
      <c r="AO926" s="1" t="s">
        <v>8971</v>
      </c>
      <c r="AP926" s="1" t="s">
        <v>8972</v>
      </c>
      <c r="AQ926" s="1" t="s">
        <v>74</v>
      </c>
      <c r="AR926" s="1" t="s">
        <v>74</v>
      </c>
      <c r="AS926" s="1" t="s">
        <v>74</v>
      </c>
      <c r="AT926" s="1" t="s">
        <v>696</v>
      </c>
      <c r="AU926" s="1">
        <v>2005.0</v>
      </c>
      <c r="AV926" s="1">
        <v>9.0</v>
      </c>
      <c r="AW926" s="1">
        <v>1.0</v>
      </c>
      <c r="AX926" s="1" t="s">
        <v>74</v>
      </c>
      <c r="AY926" s="1" t="s">
        <v>74</v>
      </c>
      <c r="AZ926" s="1" t="s">
        <v>74</v>
      </c>
      <c r="BA926" s="1" t="s">
        <v>74</v>
      </c>
      <c r="BB926" s="1">
        <v>21.0</v>
      </c>
      <c r="BC926" s="1">
        <v>29.0</v>
      </c>
      <c r="BD926" s="1" t="s">
        <v>74</v>
      </c>
      <c r="BE926" s="1" t="s">
        <v>8973</v>
      </c>
      <c r="BF926" s="2" t="str">
        <f>HYPERLINK("http://dx.doi.org/10.1007/s10008-004-0522-0","http://dx.doi.org/10.1007/s10008-004-0522-0")</f>
        <v>http://dx.doi.org/10.1007/s10008-004-0522-0</v>
      </c>
      <c r="BG926" s="1" t="s">
        <v>74</v>
      </c>
      <c r="BH926" s="1" t="s">
        <v>74</v>
      </c>
      <c r="BI926" s="1" t="s">
        <v>74</v>
      </c>
      <c r="BJ926" s="1" t="s">
        <v>74</v>
      </c>
      <c r="BK926" s="1" t="s">
        <v>74</v>
      </c>
      <c r="BL926" s="1" t="s">
        <v>74</v>
      </c>
      <c r="BM926" s="1" t="s">
        <v>74</v>
      </c>
      <c r="BN926" s="1" t="s">
        <v>74</v>
      </c>
      <c r="BO926" s="1" t="s">
        <v>74</v>
      </c>
      <c r="BP926" s="1" t="s">
        <v>74</v>
      </c>
      <c r="BQ926" s="1" t="s">
        <v>74</v>
      </c>
      <c r="BR926" s="1" t="s">
        <v>74</v>
      </c>
      <c r="BS926" s="1" t="s">
        <v>8974</v>
      </c>
      <c r="BT926" s="1" t="str">
        <f>HYPERLINK("https%3A%2F%2Fwww.webofscience.com%2Fwos%2Fwoscc%2Ffull-record%2FWOS:000225410600003","View Full Record in Web of Science")</f>
        <v>View Full Record in Web of Science</v>
      </c>
    </row>
    <row r="927" ht="12.75" customHeight="1">
      <c r="A927" s="1" t="s">
        <v>72</v>
      </c>
      <c r="B927" s="1" t="s">
        <v>8975</v>
      </c>
      <c r="C927" s="1" t="s">
        <v>74</v>
      </c>
      <c r="D927" s="1" t="s">
        <v>74</v>
      </c>
      <c r="E927" s="1" t="s">
        <v>74</v>
      </c>
      <c r="F927" s="1" t="s">
        <v>8975</v>
      </c>
      <c r="G927" s="1" t="s">
        <v>74</v>
      </c>
      <c r="H927" s="1" t="s">
        <v>74</v>
      </c>
      <c r="I927" s="1" t="s">
        <v>8976</v>
      </c>
      <c r="J927" s="1" t="s">
        <v>6632</v>
      </c>
      <c r="K927" s="1" t="s">
        <v>74</v>
      </c>
      <c r="L927" s="1" t="s">
        <v>74</v>
      </c>
      <c r="M927" s="1" t="s">
        <v>74</v>
      </c>
      <c r="N927" s="1" t="s">
        <v>74</v>
      </c>
      <c r="O927" s="1" t="s">
        <v>74</v>
      </c>
      <c r="P927" s="1" t="s">
        <v>74</v>
      </c>
      <c r="Q927" s="1" t="s">
        <v>74</v>
      </c>
      <c r="R927" s="1" t="s">
        <v>74</v>
      </c>
      <c r="S927" s="1" t="s">
        <v>74</v>
      </c>
      <c r="T927" s="1" t="s">
        <v>74</v>
      </c>
      <c r="U927" s="1" t="s">
        <v>74</v>
      </c>
      <c r="V927" s="1" t="s">
        <v>8977</v>
      </c>
      <c r="W927" s="1" t="s">
        <v>74</v>
      </c>
      <c r="X927" s="1" t="s">
        <v>74</v>
      </c>
      <c r="Y927" s="1" t="s">
        <v>74</v>
      </c>
      <c r="Z927" s="1" t="s">
        <v>74</v>
      </c>
      <c r="AA927" s="1" t="s">
        <v>8978</v>
      </c>
      <c r="AB927" s="1" t="s">
        <v>8979</v>
      </c>
      <c r="AC927" s="1" t="s">
        <v>74</v>
      </c>
      <c r="AD927" s="1" t="s">
        <v>74</v>
      </c>
      <c r="AE927" s="1" t="s">
        <v>74</v>
      </c>
      <c r="AF927" s="1" t="s">
        <v>74</v>
      </c>
      <c r="AG927" s="1" t="s">
        <v>74</v>
      </c>
      <c r="AH927" s="1" t="s">
        <v>74</v>
      </c>
      <c r="AI927" s="1" t="s">
        <v>74</v>
      </c>
      <c r="AJ927" s="1" t="s">
        <v>74</v>
      </c>
      <c r="AK927" s="1" t="s">
        <v>74</v>
      </c>
      <c r="AL927" s="1" t="s">
        <v>74</v>
      </c>
      <c r="AM927" s="1" t="s">
        <v>74</v>
      </c>
      <c r="AN927" s="1" t="s">
        <v>74</v>
      </c>
      <c r="AO927" s="1" t="s">
        <v>6636</v>
      </c>
      <c r="AP927" s="1" t="s">
        <v>6637</v>
      </c>
      <c r="AQ927" s="1" t="s">
        <v>74</v>
      </c>
      <c r="AR927" s="1" t="s">
        <v>74</v>
      </c>
      <c r="AS927" s="1" t="s">
        <v>74</v>
      </c>
      <c r="AT927" s="1" t="s">
        <v>74</v>
      </c>
      <c r="AU927" s="1">
        <v>2005.0</v>
      </c>
      <c r="AV927" s="1">
        <v>38.0</v>
      </c>
      <c r="AW927" s="1">
        <v>1.0</v>
      </c>
      <c r="AX927" s="1" t="s">
        <v>74</v>
      </c>
      <c r="AY927" s="1" t="s">
        <v>74</v>
      </c>
      <c r="AZ927" s="1" t="s">
        <v>74</v>
      </c>
      <c r="BA927" s="1" t="s">
        <v>74</v>
      </c>
      <c r="BB927" s="1">
        <v>1.0</v>
      </c>
      <c r="BC927" s="1">
        <v>9.0</v>
      </c>
      <c r="BD927" s="1" t="s">
        <v>74</v>
      </c>
      <c r="BE927" s="1" t="s">
        <v>8980</v>
      </c>
      <c r="BF927" s="2" t="str">
        <f>HYPERLINK("http://dx.doi.org/10.1016/j.foodres.2004.07.002","http://dx.doi.org/10.1016/j.foodres.2004.07.002")</f>
        <v>http://dx.doi.org/10.1016/j.foodres.2004.07.002</v>
      </c>
      <c r="BG927" s="1" t="s">
        <v>74</v>
      </c>
      <c r="BH927" s="1" t="s">
        <v>74</v>
      </c>
      <c r="BI927" s="1" t="s">
        <v>74</v>
      </c>
      <c r="BJ927" s="1" t="s">
        <v>74</v>
      </c>
      <c r="BK927" s="1" t="s">
        <v>74</v>
      </c>
      <c r="BL927" s="1" t="s">
        <v>74</v>
      </c>
      <c r="BM927" s="1" t="s">
        <v>74</v>
      </c>
      <c r="BN927" s="1" t="s">
        <v>74</v>
      </c>
      <c r="BO927" s="1" t="s">
        <v>74</v>
      </c>
      <c r="BP927" s="1" t="s">
        <v>74</v>
      </c>
      <c r="BQ927" s="1" t="s">
        <v>74</v>
      </c>
      <c r="BR927" s="1" t="s">
        <v>74</v>
      </c>
      <c r="BS927" s="1" t="s">
        <v>8981</v>
      </c>
      <c r="BT927" s="1" t="str">
        <f>HYPERLINK("https%3A%2F%2Fwww.webofscience.com%2Fwos%2Fwoscc%2Ffull-record%2FWOS:000226445900001","View Full Record in Web of Science")</f>
        <v>View Full Record in Web of Science</v>
      </c>
    </row>
    <row r="928" ht="12.75" customHeight="1">
      <c r="A928" s="1" t="s">
        <v>72</v>
      </c>
      <c r="B928" s="1" t="s">
        <v>8982</v>
      </c>
      <c r="C928" s="1" t="s">
        <v>74</v>
      </c>
      <c r="D928" s="1" t="s">
        <v>74</v>
      </c>
      <c r="E928" s="1" t="s">
        <v>74</v>
      </c>
      <c r="F928" s="1" t="s">
        <v>8982</v>
      </c>
      <c r="G928" s="1" t="s">
        <v>74</v>
      </c>
      <c r="H928" s="1" t="s">
        <v>74</v>
      </c>
      <c r="I928" s="1" t="s">
        <v>8983</v>
      </c>
      <c r="J928" s="1" t="s">
        <v>716</v>
      </c>
      <c r="K928" s="1" t="s">
        <v>74</v>
      </c>
      <c r="L928" s="1" t="s">
        <v>74</v>
      </c>
      <c r="M928" s="1" t="s">
        <v>74</v>
      </c>
      <c r="N928" s="1" t="s">
        <v>74</v>
      </c>
      <c r="O928" s="1" t="s">
        <v>74</v>
      </c>
      <c r="P928" s="1" t="s">
        <v>74</v>
      </c>
      <c r="Q928" s="1" t="s">
        <v>74</v>
      </c>
      <c r="R928" s="1" t="s">
        <v>74</v>
      </c>
      <c r="S928" s="1" t="s">
        <v>74</v>
      </c>
      <c r="T928" s="1" t="s">
        <v>74</v>
      </c>
      <c r="U928" s="1" t="s">
        <v>74</v>
      </c>
      <c r="V928" s="1" t="s">
        <v>8984</v>
      </c>
      <c r="W928" s="1" t="s">
        <v>74</v>
      </c>
      <c r="X928" s="1" t="s">
        <v>74</v>
      </c>
      <c r="Y928" s="1" t="s">
        <v>74</v>
      </c>
      <c r="Z928" s="1" t="s">
        <v>74</v>
      </c>
      <c r="AA928" s="1" t="s">
        <v>8985</v>
      </c>
      <c r="AB928" s="1" t="s">
        <v>8986</v>
      </c>
      <c r="AC928" s="1" t="s">
        <v>74</v>
      </c>
      <c r="AD928" s="1" t="s">
        <v>74</v>
      </c>
      <c r="AE928" s="1" t="s">
        <v>74</v>
      </c>
      <c r="AF928" s="1" t="s">
        <v>74</v>
      </c>
      <c r="AG928" s="1" t="s">
        <v>74</v>
      </c>
      <c r="AH928" s="1" t="s">
        <v>74</v>
      </c>
      <c r="AI928" s="1" t="s">
        <v>74</v>
      </c>
      <c r="AJ928" s="1" t="s">
        <v>74</v>
      </c>
      <c r="AK928" s="1" t="s">
        <v>74</v>
      </c>
      <c r="AL928" s="1" t="s">
        <v>74</v>
      </c>
      <c r="AM928" s="1" t="s">
        <v>74</v>
      </c>
      <c r="AN928" s="1" t="s">
        <v>74</v>
      </c>
      <c r="AO928" s="1" t="s">
        <v>6128</v>
      </c>
      <c r="AP928" s="1" t="s">
        <v>6129</v>
      </c>
      <c r="AQ928" s="1" t="s">
        <v>74</v>
      </c>
      <c r="AR928" s="1" t="s">
        <v>74</v>
      </c>
      <c r="AS928" s="1" t="s">
        <v>74</v>
      </c>
      <c r="AT928" s="1" t="s">
        <v>739</v>
      </c>
      <c r="AU928" s="1">
        <v>2004.0</v>
      </c>
      <c r="AV928" s="1">
        <v>566.0</v>
      </c>
      <c r="AW928" s="1">
        <v>2.0</v>
      </c>
      <c r="AX928" s="1" t="s">
        <v>74</v>
      </c>
      <c r="AY928" s="1" t="s">
        <v>74</v>
      </c>
      <c r="AZ928" s="1" t="s">
        <v>74</v>
      </c>
      <c r="BA928" s="1" t="s">
        <v>74</v>
      </c>
      <c r="BB928" s="1">
        <v>315.0</v>
      </c>
      <c r="BC928" s="1">
        <v>322.0</v>
      </c>
      <c r="BD928" s="1" t="s">
        <v>74</v>
      </c>
      <c r="BE928" s="1" t="s">
        <v>8987</v>
      </c>
      <c r="BF928" s="2" t="str">
        <f>HYPERLINK("http://dx.doi.org/10.1016/j.jelechem.2003.11.043","http://dx.doi.org/10.1016/j.jelechem.2003.11.043")</f>
        <v>http://dx.doi.org/10.1016/j.jelechem.2003.11.043</v>
      </c>
      <c r="BG928" s="1" t="s">
        <v>74</v>
      </c>
      <c r="BH928" s="1" t="s">
        <v>74</v>
      </c>
      <c r="BI928" s="1" t="s">
        <v>74</v>
      </c>
      <c r="BJ928" s="1" t="s">
        <v>74</v>
      </c>
      <c r="BK928" s="1" t="s">
        <v>74</v>
      </c>
      <c r="BL928" s="1" t="s">
        <v>74</v>
      </c>
      <c r="BM928" s="1" t="s">
        <v>74</v>
      </c>
      <c r="BN928" s="1" t="s">
        <v>74</v>
      </c>
      <c r="BO928" s="1" t="s">
        <v>74</v>
      </c>
      <c r="BP928" s="1" t="s">
        <v>74</v>
      </c>
      <c r="BQ928" s="1" t="s">
        <v>74</v>
      </c>
      <c r="BR928" s="1" t="s">
        <v>74</v>
      </c>
      <c r="BS928" s="1" t="s">
        <v>8988</v>
      </c>
      <c r="BT928" s="1" t="str">
        <f>HYPERLINK("https%3A%2F%2Fwww.webofscience.com%2Fwos%2Fwoscc%2Ffull-record%2FWOS:000221209900009","View Full Record in Web of Science")</f>
        <v>View Full Record in Web of Science</v>
      </c>
    </row>
    <row r="929" ht="12.75" customHeight="1">
      <c r="A929" s="1" t="s">
        <v>72</v>
      </c>
      <c r="B929" s="1" t="s">
        <v>8989</v>
      </c>
      <c r="C929" s="1" t="s">
        <v>74</v>
      </c>
      <c r="D929" s="1" t="s">
        <v>74</v>
      </c>
      <c r="E929" s="1" t="s">
        <v>74</v>
      </c>
      <c r="F929" s="1" t="s">
        <v>8989</v>
      </c>
      <c r="G929" s="1" t="s">
        <v>74</v>
      </c>
      <c r="H929" s="1" t="s">
        <v>74</v>
      </c>
      <c r="I929" s="1" t="s">
        <v>8990</v>
      </c>
      <c r="J929" s="1" t="s">
        <v>1189</v>
      </c>
      <c r="K929" s="1" t="s">
        <v>74</v>
      </c>
      <c r="L929" s="1" t="s">
        <v>74</v>
      </c>
      <c r="M929" s="1" t="s">
        <v>74</v>
      </c>
      <c r="N929" s="1" t="s">
        <v>74</v>
      </c>
      <c r="O929" s="1" t="s">
        <v>74</v>
      </c>
      <c r="P929" s="1" t="s">
        <v>74</v>
      </c>
      <c r="Q929" s="1" t="s">
        <v>74</v>
      </c>
      <c r="R929" s="1" t="s">
        <v>74</v>
      </c>
      <c r="S929" s="1" t="s">
        <v>74</v>
      </c>
      <c r="T929" s="1" t="s">
        <v>74</v>
      </c>
      <c r="U929" s="1" t="s">
        <v>74</v>
      </c>
      <c r="V929" s="1" t="s">
        <v>8991</v>
      </c>
      <c r="W929" s="1" t="s">
        <v>74</v>
      </c>
      <c r="X929" s="1" t="s">
        <v>74</v>
      </c>
      <c r="Y929" s="1" t="s">
        <v>74</v>
      </c>
      <c r="Z929" s="1" t="s">
        <v>74</v>
      </c>
      <c r="AA929" s="1" t="s">
        <v>8992</v>
      </c>
      <c r="AB929" s="1" t="s">
        <v>74</v>
      </c>
      <c r="AC929" s="1" t="s">
        <v>74</v>
      </c>
      <c r="AD929" s="1" t="s">
        <v>74</v>
      </c>
      <c r="AE929" s="1" t="s">
        <v>74</v>
      </c>
      <c r="AF929" s="1" t="s">
        <v>74</v>
      </c>
      <c r="AG929" s="1" t="s">
        <v>74</v>
      </c>
      <c r="AH929" s="1" t="s">
        <v>74</v>
      </c>
      <c r="AI929" s="1" t="s">
        <v>74</v>
      </c>
      <c r="AJ929" s="1" t="s">
        <v>74</v>
      </c>
      <c r="AK929" s="1" t="s">
        <v>74</v>
      </c>
      <c r="AL929" s="1" t="s">
        <v>74</v>
      </c>
      <c r="AM929" s="1" t="s">
        <v>74</v>
      </c>
      <c r="AN929" s="1" t="s">
        <v>74</v>
      </c>
      <c r="AO929" s="1" t="s">
        <v>1192</v>
      </c>
      <c r="AP929" s="1" t="s">
        <v>74</v>
      </c>
      <c r="AQ929" s="1" t="s">
        <v>74</v>
      </c>
      <c r="AR929" s="1" t="s">
        <v>74</v>
      </c>
      <c r="AS929" s="1" t="s">
        <v>74</v>
      </c>
      <c r="AT929" s="1" t="s">
        <v>74</v>
      </c>
      <c r="AU929" s="1">
        <v>2004.0</v>
      </c>
      <c r="AV929" s="1">
        <v>37.0</v>
      </c>
      <c r="AW929" s="1">
        <v>3.0</v>
      </c>
      <c r="AX929" s="1" t="s">
        <v>74</v>
      </c>
      <c r="AY929" s="1" t="s">
        <v>74</v>
      </c>
      <c r="AZ929" s="1" t="s">
        <v>74</v>
      </c>
      <c r="BA929" s="1" t="s">
        <v>74</v>
      </c>
      <c r="BB929" s="1">
        <v>431.0</v>
      </c>
      <c r="BC929" s="1">
        <v>447.0</v>
      </c>
      <c r="BD929" s="1" t="s">
        <v>74</v>
      </c>
      <c r="BE929" s="1" t="s">
        <v>74</v>
      </c>
      <c r="BF929" s="1" t="s">
        <v>74</v>
      </c>
      <c r="BG929" s="1" t="s">
        <v>74</v>
      </c>
      <c r="BH929" s="1" t="s">
        <v>74</v>
      </c>
      <c r="BI929" s="1" t="s">
        <v>74</v>
      </c>
      <c r="BJ929" s="1" t="s">
        <v>74</v>
      </c>
      <c r="BK929" s="1" t="s">
        <v>74</v>
      </c>
      <c r="BL929" s="1" t="s">
        <v>74</v>
      </c>
      <c r="BM929" s="1" t="s">
        <v>74</v>
      </c>
      <c r="BN929" s="1">
        <v>1.5515968E7</v>
      </c>
      <c r="BO929" s="1" t="s">
        <v>74</v>
      </c>
      <c r="BP929" s="1" t="s">
        <v>74</v>
      </c>
      <c r="BQ929" s="1" t="s">
        <v>74</v>
      </c>
      <c r="BR929" s="1" t="s">
        <v>74</v>
      </c>
      <c r="BS929" s="1" t="s">
        <v>8993</v>
      </c>
      <c r="BT929" s="1" t="str">
        <f>HYPERLINK("https%3A%2F%2Fwww.webofscience.com%2Fwos%2Fwoscc%2Ffull-record%2FWOS:000224665500008","View Full Record in Web of Science")</f>
        <v>View Full Record in Web of Science</v>
      </c>
    </row>
    <row r="930" ht="12.75" customHeight="1">
      <c r="A930" s="1" t="s">
        <v>72</v>
      </c>
      <c r="B930" s="1" t="s">
        <v>8994</v>
      </c>
      <c r="C930" s="1" t="s">
        <v>74</v>
      </c>
      <c r="D930" s="1" t="s">
        <v>74</v>
      </c>
      <c r="E930" s="1" t="s">
        <v>74</v>
      </c>
      <c r="F930" s="1" t="s">
        <v>8994</v>
      </c>
      <c r="G930" s="1" t="s">
        <v>74</v>
      </c>
      <c r="H930" s="1" t="s">
        <v>74</v>
      </c>
      <c r="I930" s="1" t="s">
        <v>8995</v>
      </c>
      <c r="J930" s="1" t="s">
        <v>8996</v>
      </c>
      <c r="K930" s="1" t="s">
        <v>74</v>
      </c>
      <c r="L930" s="1" t="s">
        <v>74</v>
      </c>
      <c r="M930" s="1" t="s">
        <v>74</v>
      </c>
      <c r="N930" s="1" t="s">
        <v>74</v>
      </c>
      <c r="O930" s="1" t="s">
        <v>74</v>
      </c>
      <c r="P930" s="1" t="s">
        <v>74</v>
      </c>
      <c r="Q930" s="1" t="s">
        <v>74</v>
      </c>
      <c r="R930" s="1" t="s">
        <v>74</v>
      </c>
      <c r="S930" s="1" t="s">
        <v>74</v>
      </c>
      <c r="T930" s="1" t="s">
        <v>74</v>
      </c>
      <c r="U930" s="1" t="s">
        <v>74</v>
      </c>
      <c r="V930" s="1" t="s">
        <v>8997</v>
      </c>
      <c r="W930" s="1" t="s">
        <v>74</v>
      </c>
      <c r="X930" s="1" t="s">
        <v>74</v>
      </c>
      <c r="Y930" s="1" t="s">
        <v>74</v>
      </c>
      <c r="Z930" s="1" t="s">
        <v>74</v>
      </c>
      <c r="AA930" s="1" t="s">
        <v>74</v>
      </c>
      <c r="AB930" s="1" t="s">
        <v>8998</v>
      </c>
      <c r="AC930" s="1" t="s">
        <v>74</v>
      </c>
      <c r="AD930" s="1" t="s">
        <v>74</v>
      </c>
      <c r="AE930" s="1" t="s">
        <v>74</v>
      </c>
      <c r="AF930" s="1" t="s">
        <v>74</v>
      </c>
      <c r="AG930" s="1" t="s">
        <v>74</v>
      </c>
      <c r="AH930" s="1" t="s">
        <v>74</v>
      </c>
      <c r="AI930" s="1" t="s">
        <v>74</v>
      </c>
      <c r="AJ930" s="1" t="s">
        <v>74</v>
      </c>
      <c r="AK930" s="1" t="s">
        <v>74</v>
      </c>
      <c r="AL930" s="1" t="s">
        <v>74</v>
      </c>
      <c r="AM930" s="1" t="s">
        <v>74</v>
      </c>
      <c r="AN930" s="1" t="s">
        <v>74</v>
      </c>
      <c r="AO930" s="1" t="s">
        <v>8999</v>
      </c>
      <c r="AP930" s="1" t="s">
        <v>9000</v>
      </c>
      <c r="AQ930" s="1" t="s">
        <v>74</v>
      </c>
      <c r="AR930" s="1" t="s">
        <v>74</v>
      </c>
      <c r="AS930" s="1" t="s">
        <v>74</v>
      </c>
      <c r="AT930" s="1" t="s">
        <v>294</v>
      </c>
      <c r="AU930" s="1">
        <v>2003.0</v>
      </c>
      <c r="AV930" s="1">
        <v>13.0</v>
      </c>
      <c r="AW930" s="1">
        <v>4.0</v>
      </c>
      <c r="AX930" s="1" t="s">
        <v>74</v>
      </c>
      <c r="AY930" s="1" t="s">
        <v>74</v>
      </c>
      <c r="AZ930" s="1" t="s">
        <v>74</v>
      </c>
      <c r="BA930" s="1" t="s">
        <v>74</v>
      </c>
      <c r="BB930" s="1">
        <v>325.0</v>
      </c>
      <c r="BC930" s="1">
        <v>336.0</v>
      </c>
      <c r="BD930" s="1" t="s">
        <v>9001</v>
      </c>
      <c r="BE930" s="1" t="s">
        <v>9002</v>
      </c>
      <c r="BF930" s="2" t="str">
        <f>HYPERLINK("http://dx.doi.org/10.1016/S0959-1524(02)00060-4","http://dx.doi.org/10.1016/S0959-1524(02)00060-4")</f>
        <v>http://dx.doi.org/10.1016/S0959-1524(02)00060-4</v>
      </c>
      <c r="BG930" s="1" t="s">
        <v>74</v>
      </c>
      <c r="BH930" s="1" t="s">
        <v>74</v>
      </c>
      <c r="BI930" s="1" t="s">
        <v>74</v>
      </c>
      <c r="BJ930" s="1" t="s">
        <v>74</v>
      </c>
      <c r="BK930" s="1" t="s">
        <v>74</v>
      </c>
      <c r="BL930" s="1" t="s">
        <v>74</v>
      </c>
      <c r="BM930" s="1" t="s">
        <v>74</v>
      </c>
      <c r="BN930" s="1" t="s">
        <v>74</v>
      </c>
      <c r="BO930" s="1" t="s">
        <v>74</v>
      </c>
      <c r="BP930" s="1" t="s">
        <v>74</v>
      </c>
      <c r="BQ930" s="1" t="s">
        <v>74</v>
      </c>
      <c r="BR930" s="1" t="s">
        <v>74</v>
      </c>
      <c r="BS930" s="1" t="s">
        <v>9003</v>
      </c>
      <c r="BT930" s="1" t="str">
        <f>HYPERLINK("https%3A%2F%2Fwww.webofscience.com%2Fwos%2Fwoscc%2Ffull-record%2FWOS:000181778400004","View Full Record in Web of Science")</f>
        <v>View Full Record in Web of Science</v>
      </c>
    </row>
    <row r="931" ht="12.75" customHeight="1">
      <c r="A931" s="1" t="s">
        <v>72</v>
      </c>
      <c r="B931" s="1" t="s">
        <v>9004</v>
      </c>
      <c r="C931" s="1" t="s">
        <v>74</v>
      </c>
      <c r="D931" s="1" t="s">
        <v>74</v>
      </c>
      <c r="E931" s="1" t="s">
        <v>74</v>
      </c>
      <c r="F931" s="1" t="s">
        <v>9004</v>
      </c>
      <c r="G931" s="1" t="s">
        <v>74</v>
      </c>
      <c r="H931" s="1" t="s">
        <v>74</v>
      </c>
      <c r="I931" s="1" t="s">
        <v>9005</v>
      </c>
      <c r="J931" s="1" t="s">
        <v>9006</v>
      </c>
      <c r="K931" s="1" t="s">
        <v>74</v>
      </c>
      <c r="L931" s="1" t="s">
        <v>74</v>
      </c>
      <c r="M931" s="1" t="s">
        <v>74</v>
      </c>
      <c r="N931" s="1" t="s">
        <v>74</v>
      </c>
      <c r="O931" s="1" t="s">
        <v>74</v>
      </c>
      <c r="P931" s="1" t="s">
        <v>74</v>
      </c>
      <c r="Q931" s="1" t="s">
        <v>74</v>
      </c>
      <c r="R931" s="1" t="s">
        <v>74</v>
      </c>
      <c r="S931" s="1" t="s">
        <v>74</v>
      </c>
      <c r="T931" s="1" t="s">
        <v>74</v>
      </c>
      <c r="U931" s="1" t="s">
        <v>74</v>
      </c>
      <c r="V931" s="1" t="s">
        <v>9007</v>
      </c>
      <c r="W931" s="1" t="s">
        <v>74</v>
      </c>
      <c r="X931" s="1" t="s">
        <v>74</v>
      </c>
      <c r="Y931" s="1" t="s">
        <v>74</v>
      </c>
      <c r="Z931" s="1" t="s">
        <v>74</v>
      </c>
      <c r="AA931" s="1" t="s">
        <v>9008</v>
      </c>
      <c r="AB931" s="1" t="s">
        <v>74</v>
      </c>
      <c r="AC931" s="1" t="s">
        <v>74</v>
      </c>
      <c r="AD931" s="1" t="s">
        <v>74</v>
      </c>
      <c r="AE931" s="1" t="s">
        <v>74</v>
      </c>
      <c r="AF931" s="1" t="s">
        <v>74</v>
      </c>
      <c r="AG931" s="1" t="s">
        <v>74</v>
      </c>
      <c r="AH931" s="1" t="s">
        <v>74</v>
      </c>
      <c r="AI931" s="1" t="s">
        <v>74</v>
      </c>
      <c r="AJ931" s="1" t="s">
        <v>74</v>
      </c>
      <c r="AK931" s="1" t="s">
        <v>74</v>
      </c>
      <c r="AL931" s="1" t="s">
        <v>74</v>
      </c>
      <c r="AM931" s="1" t="s">
        <v>74</v>
      </c>
      <c r="AN931" s="1" t="s">
        <v>74</v>
      </c>
      <c r="AO931" s="1" t="s">
        <v>9009</v>
      </c>
      <c r="AP931" s="1" t="s">
        <v>74</v>
      </c>
      <c r="AQ931" s="1" t="s">
        <v>74</v>
      </c>
      <c r="AR931" s="1" t="s">
        <v>74</v>
      </c>
      <c r="AS931" s="1" t="s">
        <v>74</v>
      </c>
      <c r="AT931" s="1" t="s">
        <v>74</v>
      </c>
      <c r="AU931" s="1">
        <v>2002.0</v>
      </c>
      <c r="AV931" s="1">
        <v>34.0</v>
      </c>
      <c r="AW931" s="1">
        <v>3.0</v>
      </c>
      <c r="AX931" s="1" t="s">
        <v>74</v>
      </c>
      <c r="AY931" s="1" t="s">
        <v>74</v>
      </c>
      <c r="AZ931" s="1" t="s">
        <v>74</v>
      </c>
      <c r="BA931" s="1" t="s">
        <v>74</v>
      </c>
      <c r="BB931" s="1">
        <v>217.0</v>
      </c>
      <c r="BC931" s="1">
        <v>228.0</v>
      </c>
      <c r="BD931" s="1" t="s">
        <v>74</v>
      </c>
      <c r="BE931" s="1" t="s">
        <v>74</v>
      </c>
      <c r="BF931" s="1" t="s">
        <v>74</v>
      </c>
      <c r="BG931" s="1" t="s">
        <v>74</v>
      </c>
      <c r="BH931" s="1" t="s">
        <v>74</v>
      </c>
      <c r="BI931" s="1" t="s">
        <v>74</v>
      </c>
      <c r="BJ931" s="1" t="s">
        <v>74</v>
      </c>
      <c r="BK931" s="1" t="s">
        <v>74</v>
      </c>
      <c r="BL931" s="1" t="s">
        <v>74</v>
      </c>
      <c r="BM931" s="1" t="s">
        <v>74</v>
      </c>
      <c r="BN931" s="1" t="s">
        <v>74</v>
      </c>
      <c r="BO931" s="1" t="s">
        <v>74</v>
      </c>
      <c r="BP931" s="1" t="s">
        <v>74</v>
      </c>
      <c r="BQ931" s="1" t="s">
        <v>74</v>
      </c>
      <c r="BR931" s="1" t="s">
        <v>74</v>
      </c>
      <c r="BS931" s="1" t="s">
        <v>9010</v>
      </c>
      <c r="BT931" s="1" t="str">
        <f>HYPERLINK("https%3A%2F%2Fwww.webofscience.com%2Fwos%2Fwoscc%2Ffull-record%2FWOS:000178302100002","View Full Record in Web of Science")</f>
        <v>View Full Record in Web of Science</v>
      </c>
    </row>
    <row r="932" ht="12.75" customHeight="1">
      <c r="A932" s="1" t="s">
        <v>72</v>
      </c>
      <c r="B932" s="1" t="s">
        <v>9011</v>
      </c>
      <c r="C932" s="1" t="s">
        <v>74</v>
      </c>
      <c r="D932" s="1" t="s">
        <v>74</v>
      </c>
      <c r="E932" s="1" t="s">
        <v>74</v>
      </c>
      <c r="F932" s="1" t="s">
        <v>9011</v>
      </c>
      <c r="G932" s="1" t="s">
        <v>74</v>
      </c>
      <c r="H932" s="1" t="s">
        <v>74</v>
      </c>
      <c r="I932" s="1" t="s">
        <v>9012</v>
      </c>
      <c r="J932" s="1" t="s">
        <v>9013</v>
      </c>
      <c r="K932" s="1" t="s">
        <v>74</v>
      </c>
      <c r="L932" s="1" t="s">
        <v>74</v>
      </c>
      <c r="M932" s="1" t="s">
        <v>74</v>
      </c>
      <c r="N932" s="1" t="s">
        <v>74</v>
      </c>
      <c r="O932" s="1" t="s">
        <v>74</v>
      </c>
      <c r="P932" s="1" t="s">
        <v>74</v>
      </c>
      <c r="Q932" s="1" t="s">
        <v>74</v>
      </c>
      <c r="R932" s="1" t="s">
        <v>74</v>
      </c>
      <c r="S932" s="1" t="s">
        <v>74</v>
      </c>
      <c r="T932" s="1" t="s">
        <v>74</v>
      </c>
      <c r="U932" s="1" t="s">
        <v>74</v>
      </c>
      <c r="V932" s="1" t="s">
        <v>74</v>
      </c>
      <c r="W932" s="1" t="s">
        <v>74</v>
      </c>
      <c r="X932" s="1" t="s">
        <v>74</v>
      </c>
      <c r="Y932" s="1" t="s">
        <v>74</v>
      </c>
      <c r="Z932" s="1" t="s">
        <v>74</v>
      </c>
      <c r="AA932" s="1" t="s">
        <v>74</v>
      </c>
      <c r="AB932" s="1" t="s">
        <v>74</v>
      </c>
      <c r="AC932" s="1" t="s">
        <v>74</v>
      </c>
      <c r="AD932" s="1" t="s">
        <v>74</v>
      </c>
      <c r="AE932" s="1" t="s">
        <v>74</v>
      </c>
      <c r="AF932" s="1" t="s">
        <v>74</v>
      </c>
      <c r="AG932" s="1" t="s">
        <v>74</v>
      </c>
      <c r="AH932" s="1" t="s">
        <v>74</v>
      </c>
      <c r="AI932" s="1" t="s">
        <v>74</v>
      </c>
      <c r="AJ932" s="1" t="s">
        <v>74</v>
      </c>
      <c r="AK932" s="1" t="s">
        <v>74</v>
      </c>
      <c r="AL932" s="1" t="s">
        <v>74</v>
      </c>
      <c r="AM932" s="1" t="s">
        <v>74</v>
      </c>
      <c r="AN932" s="1" t="s">
        <v>74</v>
      </c>
      <c r="AO932" s="1" t="s">
        <v>9014</v>
      </c>
      <c r="AP932" s="1" t="s">
        <v>74</v>
      </c>
      <c r="AQ932" s="1" t="s">
        <v>74</v>
      </c>
      <c r="AR932" s="1" t="s">
        <v>74</v>
      </c>
      <c r="AS932" s="1" t="s">
        <v>74</v>
      </c>
      <c r="AT932" s="1" t="s">
        <v>74</v>
      </c>
      <c r="AU932" s="1">
        <v>1998.0</v>
      </c>
      <c r="AV932" s="1">
        <v>10.0</v>
      </c>
      <c r="AW932" s="1" t="s">
        <v>74</v>
      </c>
      <c r="AX932" s="1" t="s">
        <v>74</v>
      </c>
      <c r="AY932" s="1">
        <v>10.0</v>
      </c>
      <c r="AZ932" s="1" t="s">
        <v>74</v>
      </c>
      <c r="BA932" s="1">
        <v>3024.0</v>
      </c>
      <c r="BB932" s="1">
        <v>81.0</v>
      </c>
      <c r="BC932" s="1">
        <v>81.0</v>
      </c>
      <c r="BD932" s="1" t="s">
        <v>74</v>
      </c>
      <c r="BE932" s="1" t="s">
        <v>74</v>
      </c>
      <c r="BF932" s="1" t="s">
        <v>74</v>
      </c>
      <c r="BG932" s="1" t="s">
        <v>74</v>
      </c>
      <c r="BH932" s="1" t="s">
        <v>74</v>
      </c>
      <c r="BI932" s="1" t="s">
        <v>74</v>
      </c>
      <c r="BJ932" s="1" t="s">
        <v>74</v>
      </c>
      <c r="BK932" s="1" t="s">
        <v>74</v>
      </c>
      <c r="BL932" s="1" t="s">
        <v>74</v>
      </c>
      <c r="BM932" s="1" t="s">
        <v>74</v>
      </c>
      <c r="BN932" s="1" t="s">
        <v>74</v>
      </c>
      <c r="BO932" s="1" t="s">
        <v>74</v>
      </c>
      <c r="BP932" s="1" t="s">
        <v>74</v>
      </c>
      <c r="BQ932" s="1" t="s">
        <v>74</v>
      </c>
      <c r="BR932" s="1" t="s">
        <v>74</v>
      </c>
      <c r="BS932" s="1" t="s">
        <v>9015</v>
      </c>
      <c r="BT932" s="1" t="str">
        <f>HYPERLINK("https%3A%2F%2Fwww.webofscience.com%2Fwos%2Fwoscc%2Ffull-record%2FWOS:000074749400466","View Full Record in Web of Science")</f>
        <v>View Full Record in Web of Science</v>
      </c>
    </row>
    <row r="933" ht="12.75" customHeight="1">
      <c r="A933" s="1" t="s">
        <v>72</v>
      </c>
      <c r="B933" s="1" t="s">
        <v>9016</v>
      </c>
      <c r="C933" s="1" t="s">
        <v>74</v>
      </c>
      <c r="D933" s="1" t="s">
        <v>74</v>
      </c>
      <c r="E933" s="1" t="s">
        <v>74</v>
      </c>
      <c r="F933" s="1" t="s">
        <v>9016</v>
      </c>
      <c r="G933" s="1" t="s">
        <v>74</v>
      </c>
      <c r="H933" s="1" t="s">
        <v>74</v>
      </c>
      <c r="I933" s="1" t="s">
        <v>9017</v>
      </c>
      <c r="J933" s="1" t="s">
        <v>7535</v>
      </c>
      <c r="K933" s="1" t="s">
        <v>74</v>
      </c>
      <c r="L933" s="1" t="s">
        <v>74</v>
      </c>
      <c r="M933" s="1" t="s">
        <v>74</v>
      </c>
      <c r="N933" s="1" t="s">
        <v>74</v>
      </c>
      <c r="O933" s="1" t="s">
        <v>74</v>
      </c>
      <c r="P933" s="1" t="s">
        <v>74</v>
      </c>
      <c r="Q933" s="1" t="s">
        <v>74</v>
      </c>
      <c r="R933" s="1" t="s">
        <v>74</v>
      </c>
      <c r="S933" s="1" t="s">
        <v>74</v>
      </c>
      <c r="T933" s="1" t="s">
        <v>74</v>
      </c>
      <c r="U933" s="1" t="s">
        <v>74</v>
      </c>
      <c r="V933" s="1" t="s">
        <v>9018</v>
      </c>
      <c r="W933" s="1" t="s">
        <v>74</v>
      </c>
      <c r="X933" s="1" t="s">
        <v>74</v>
      </c>
      <c r="Y933" s="1" t="s">
        <v>74</v>
      </c>
      <c r="Z933" s="1" t="s">
        <v>74</v>
      </c>
      <c r="AA933" s="1" t="s">
        <v>74</v>
      </c>
      <c r="AB933" s="1" t="s">
        <v>74</v>
      </c>
      <c r="AC933" s="1" t="s">
        <v>74</v>
      </c>
      <c r="AD933" s="1" t="s">
        <v>74</v>
      </c>
      <c r="AE933" s="1" t="s">
        <v>74</v>
      </c>
      <c r="AF933" s="1" t="s">
        <v>74</v>
      </c>
      <c r="AG933" s="1" t="s">
        <v>74</v>
      </c>
      <c r="AH933" s="1" t="s">
        <v>74</v>
      </c>
      <c r="AI933" s="1" t="s">
        <v>74</v>
      </c>
      <c r="AJ933" s="1" t="s">
        <v>74</v>
      </c>
      <c r="AK933" s="1" t="s">
        <v>74</v>
      </c>
      <c r="AL933" s="1" t="s">
        <v>74</v>
      </c>
      <c r="AM933" s="1" t="s">
        <v>74</v>
      </c>
      <c r="AN933" s="1" t="s">
        <v>74</v>
      </c>
      <c r="AO933" s="1" t="s">
        <v>7539</v>
      </c>
      <c r="AP933" s="1" t="s">
        <v>74</v>
      </c>
      <c r="AQ933" s="1" t="s">
        <v>74</v>
      </c>
      <c r="AR933" s="1" t="s">
        <v>74</v>
      </c>
      <c r="AS933" s="1" t="s">
        <v>74</v>
      </c>
      <c r="AT933" s="1" t="s">
        <v>294</v>
      </c>
      <c r="AU933" s="1">
        <v>1996.0</v>
      </c>
      <c r="AV933" s="1">
        <v>41.0</v>
      </c>
      <c r="AW933" s="1">
        <v>2.0</v>
      </c>
      <c r="AX933" s="1" t="s">
        <v>74</v>
      </c>
      <c r="AY933" s="1" t="s">
        <v>74</v>
      </c>
      <c r="AZ933" s="1" t="s">
        <v>74</v>
      </c>
      <c r="BA933" s="1" t="s">
        <v>74</v>
      </c>
      <c r="BB933" s="1">
        <v>195.0</v>
      </c>
      <c r="BC933" s="1">
        <v>197.0</v>
      </c>
      <c r="BD933" s="1" t="s">
        <v>74</v>
      </c>
      <c r="BE933" s="1" t="s">
        <v>74</v>
      </c>
      <c r="BF933" s="1" t="s">
        <v>74</v>
      </c>
      <c r="BG933" s="1" t="s">
        <v>74</v>
      </c>
      <c r="BH933" s="1" t="s">
        <v>74</v>
      </c>
      <c r="BI933" s="1" t="s">
        <v>74</v>
      </c>
      <c r="BJ933" s="1" t="s">
        <v>74</v>
      </c>
      <c r="BK933" s="1" t="s">
        <v>74</v>
      </c>
      <c r="BL933" s="1" t="s">
        <v>74</v>
      </c>
      <c r="BM933" s="1" t="s">
        <v>74</v>
      </c>
      <c r="BN933" s="1" t="s">
        <v>74</v>
      </c>
      <c r="BO933" s="1" t="s">
        <v>74</v>
      </c>
      <c r="BP933" s="1" t="s">
        <v>74</v>
      </c>
      <c r="BQ933" s="1" t="s">
        <v>74</v>
      </c>
      <c r="BR933" s="1" t="s">
        <v>74</v>
      </c>
      <c r="BS933" s="1" t="s">
        <v>9019</v>
      </c>
      <c r="BT933" s="1" t="str">
        <f>HYPERLINK("https%3A%2F%2Fwww.webofscience.com%2Fwos%2Fwoscc%2Ffull-record%2FWOS:A1996UX54900013","View Full Record in Web of Science")</f>
        <v>View Full Record in Web of Science</v>
      </c>
    </row>
    <row r="934" ht="12.75" customHeight="1">
      <c r="A934" s="1" t="s">
        <v>72</v>
      </c>
      <c r="B934" s="1" t="s">
        <v>9020</v>
      </c>
      <c r="C934" s="1" t="s">
        <v>74</v>
      </c>
      <c r="D934" s="1" t="s">
        <v>74</v>
      </c>
      <c r="E934" s="1" t="s">
        <v>74</v>
      </c>
      <c r="F934" s="1" t="s">
        <v>9020</v>
      </c>
      <c r="G934" s="1" t="s">
        <v>74</v>
      </c>
      <c r="H934" s="1" t="s">
        <v>74</v>
      </c>
      <c r="I934" s="1" t="s">
        <v>9021</v>
      </c>
      <c r="J934" s="1" t="s">
        <v>9022</v>
      </c>
      <c r="K934" s="1" t="s">
        <v>74</v>
      </c>
      <c r="L934" s="1" t="s">
        <v>74</v>
      </c>
      <c r="M934" s="1" t="s">
        <v>74</v>
      </c>
      <c r="N934" s="1" t="s">
        <v>74</v>
      </c>
      <c r="O934" s="1" t="s">
        <v>74</v>
      </c>
      <c r="P934" s="1" t="s">
        <v>74</v>
      </c>
      <c r="Q934" s="1" t="s">
        <v>74</v>
      </c>
      <c r="R934" s="1" t="s">
        <v>74</v>
      </c>
      <c r="S934" s="1" t="s">
        <v>74</v>
      </c>
      <c r="T934" s="1" t="s">
        <v>74</v>
      </c>
      <c r="U934" s="1" t="s">
        <v>74</v>
      </c>
      <c r="V934" s="1" t="s">
        <v>9023</v>
      </c>
      <c r="W934" s="1" t="s">
        <v>74</v>
      </c>
      <c r="X934" s="1" t="s">
        <v>74</v>
      </c>
      <c r="Y934" s="1" t="s">
        <v>74</v>
      </c>
      <c r="Z934" s="1" t="s">
        <v>74</v>
      </c>
      <c r="AA934" s="1" t="s">
        <v>9024</v>
      </c>
      <c r="AB934" s="1" t="s">
        <v>74</v>
      </c>
      <c r="AC934" s="1" t="s">
        <v>74</v>
      </c>
      <c r="AD934" s="1" t="s">
        <v>74</v>
      </c>
      <c r="AE934" s="1" t="s">
        <v>74</v>
      </c>
      <c r="AF934" s="1" t="s">
        <v>74</v>
      </c>
      <c r="AG934" s="1" t="s">
        <v>74</v>
      </c>
      <c r="AH934" s="1" t="s">
        <v>74</v>
      </c>
      <c r="AI934" s="1" t="s">
        <v>74</v>
      </c>
      <c r="AJ934" s="1" t="s">
        <v>74</v>
      </c>
      <c r="AK934" s="1" t="s">
        <v>74</v>
      </c>
      <c r="AL934" s="1" t="s">
        <v>74</v>
      </c>
      <c r="AM934" s="1" t="s">
        <v>74</v>
      </c>
      <c r="AN934" s="1" t="s">
        <v>74</v>
      </c>
      <c r="AO934" s="1" t="s">
        <v>9025</v>
      </c>
      <c r="AP934" s="1" t="s">
        <v>74</v>
      </c>
      <c r="AQ934" s="1" t="s">
        <v>74</v>
      </c>
      <c r="AR934" s="1" t="s">
        <v>74</v>
      </c>
      <c r="AS934" s="1" t="s">
        <v>74</v>
      </c>
      <c r="AT934" s="1" t="s">
        <v>306</v>
      </c>
      <c r="AU934" s="1">
        <v>1996.0</v>
      </c>
      <c r="AV934" s="1">
        <v>37.0</v>
      </c>
      <c r="AW934" s="1">
        <v>8.0</v>
      </c>
      <c r="AX934" s="1" t="s">
        <v>74</v>
      </c>
      <c r="AY934" s="1" t="s">
        <v>74</v>
      </c>
      <c r="AZ934" s="1" t="s">
        <v>74</v>
      </c>
      <c r="BA934" s="1" t="s">
        <v>74</v>
      </c>
      <c r="BB934" s="1">
        <v>1395.0</v>
      </c>
      <c r="BC934" s="1">
        <v>1398.0</v>
      </c>
      <c r="BD934" s="1" t="s">
        <v>74</v>
      </c>
      <c r="BE934" s="1" t="s">
        <v>9026</v>
      </c>
      <c r="BF934" s="2" t="str">
        <f>HYPERLINK("http://dx.doi.org/10.1016/0032-3861(96)81137-2","http://dx.doi.org/10.1016/0032-3861(96)81137-2")</f>
        <v>http://dx.doi.org/10.1016/0032-3861(96)81137-2</v>
      </c>
      <c r="BG934" s="1" t="s">
        <v>74</v>
      </c>
      <c r="BH934" s="1" t="s">
        <v>74</v>
      </c>
      <c r="BI934" s="1" t="s">
        <v>74</v>
      </c>
      <c r="BJ934" s="1" t="s">
        <v>74</v>
      </c>
      <c r="BK934" s="1" t="s">
        <v>74</v>
      </c>
      <c r="BL934" s="1" t="s">
        <v>74</v>
      </c>
      <c r="BM934" s="1" t="s">
        <v>74</v>
      </c>
      <c r="BN934" s="1" t="s">
        <v>74</v>
      </c>
      <c r="BO934" s="1" t="s">
        <v>74</v>
      </c>
      <c r="BP934" s="1" t="s">
        <v>74</v>
      </c>
      <c r="BQ934" s="1" t="s">
        <v>74</v>
      </c>
      <c r="BR934" s="1" t="s">
        <v>74</v>
      </c>
      <c r="BS934" s="1" t="s">
        <v>9027</v>
      </c>
      <c r="BT934" s="1" t="str">
        <f>HYPERLINK("https%3A%2F%2Fwww.webofscience.com%2Fwos%2Fwoscc%2Ffull-record%2FWOS:A1996UF99400014","View Full Record in Web of Science")</f>
        <v>View Full Record in Web of Science</v>
      </c>
    </row>
    <row r="935" ht="12.75" customHeight="1">
      <c r="A935" s="1" t="s">
        <v>72</v>
      </c>
      <c r="B935" s="1" t="s">
        <v>9028</v>
      </c>
      <c r="C935" s="1" t="s">
        <v>74</v>
      </c>
      <c r="D935" s="1" t="s">
        <v>74</v>
      </c>
      <c r="E935" s="1" t="s">
        <v>74</v>
      </c>
      <c r="F935" s="1" t="s">
        <v>9028</v>
      </c>
      <c r="G935" s="1" t="s">
        <v>74</v>
      </c>
      <c r="H935" s="1" t="s">
        <v>74</v>
      </c>
      <c r="I935" s="1" t="s">
        <v>9029</v>
      </c>
      <c r="J935" s="1" t="s">
        <v>7024</v>
      </c>
      <c r="K935" s="1" t="s">
        <v>74</v>
      </c>
      <c r="L935" s="1" t="s">
        <v>74</v>
      </c>
      <c r="M935" s="1" t="s">
        <v>74</v>
      </c>
      <c r="N935" s="1" t="s">
        <v>74</v>
      </c>
      <c r="O935" s="1" t="s">
        <v>74</v>
      </c>
      <c r="P935" s="1" t="s">
        <v>74</v>
      </c>
      <c r="Q935" s="1" t="s">
        <v>74</v>
      </c>
      <c r="R935" s="1" t="s">
        <v>74</v>
      </c>
      <c r="S935" s="1" t="s">
        <v>74</v>
      </c>
      <c r="T935" s="1" t="s">
        <v>74</v>
      </c>
      <c r="U935" s="1" t="s">
        <v>74</v>
      </c>
      <c r="V935" s="1" t="s">
        <v>74</v>
      </c>
      <c r="W935" s="1" t="s">
        <v>74</v>
      </c>
      <c r="X935" s="1" t="s">
        <v>74</v>
      </c>
      <c r="Y935" s="1" t="s">
        <v>74</v>
      </c>
      <c r="Z935" s="1" t="s">
        <v>74</v>
      </c>
      <c r="AA935" s="1" t="s">
        <v>9030</v>
      </c>
      <c r="AB935" s="1" t="s">
        <v>9031</v>
      </c>
      <c r="AC935" s="1" t="s">
        <v>74</v>
      </c>
      <c r="AD935" s="1" t="s">
        <v>74</v>
      </c>
      <c r="AE935" s="1" t="s">
        <v>74</v>
      </c>
      <c r="AF935" s="1" t="s">
        <v>74</v>
      </c>
      <c r="AG935" s="1" t="s">
        <v>74</v>
      </c>
      <c r="AH935" s="1" t="s">
        <v>74</v>
      </c>
      <c r="AI935" s="1" t="s">
        <v>74</v>
      </c>
      <c r="AJ935" s="1" t="s">
        <v>74</v>
      </c>
      <c r="AK935" s="1" t="s">
        <v>74</v>
      </c>
      <c r="AL935" s="1" t="s">
        <v>74</v>
      </c>
      <c r="AM935" s="1" t="s">
        <v>74</v>
      </c>
      <c r="AN935" s="1" t="s">
        <v>74</v>
      </c>
      <c r="AO935" s="1" t="s">
        <v>7027</v>
      </c>
      <c r="AP935" s="1" t="s">
        <v>74</v>
      </c>
      <c r="AQ935" s="1" t="s">
        <v>74</v>
      </c>
      <c r="AR935" s="1" t="s">
        <v>74</v>
      </c>
      <c r="AS935" s="1" t="s">
        <v>74</v>
      </c>
      <c r="AT935" s="1" t="s">
        <v>180</v>
      </c>
      <c r="AU935" s="1">
        <v>1992.0</v>
      </c>
      <c r="AV935" s="1">
        <v>135.0</v>
      </c>
      <c r="AW935" s="1">
        <v>1.0</v>
      </c>
      <c r="AX935" s="1" t="s">
        <v>74</v>
      </c>
      <c r="AY935" s="1" t="s">
        <v>74</v>
      </c>
      <c r="AZ935" s="1" t="s">
        <v>74</v>
      </c>
      <c r="BA935" s="1" t="s">
        <v>74</v>
      </c>
      <c r="BB935" s="1">
        <v>1.0</v>
      </c>
      <c r="BC935" s="1">
        <v>12.0</v>
      </c>
      <c r="BD935" s="1" t="s">
        <v>74</v>
      </c>
      <c r="BE935" s="1" t="s">
        <v>9032</v>
      </c>
      <c r="BF935" s="2" t="str">
        <f>HYPERLINK("http://dx.doi.org/10.1016/0021-9517(92)90264-I","http://dx.doi.org/10.1016/0021-9517(92)90264-I")</f>
        <v>http://dx.doi.org/10.1016/0021-9517(92)90264-I</v>
      </c>
      <c r="BG935" s="1" t="s">
        <v>74</v>
      </c>
      <c r="BH935" s="1" t="s">
        <v>74</v>
      </c>
      <c r="BI935" s="1" t="s">
        <v>74</v>
      </c>
      <c r="BJ935" s="1" t="s">
        <v>74</v>
      </c>
      <c r="BK935" s="1" t="s">
        <v>74</v>
      </c>
      <c r="BL935" s="1" t="s">
        <v>74</v>
      </c>
      <c r="BM935" s="1" t="s">
        <v>74</v>
      </c>
      <c r="BN935" s="1" t="s">
        <v>74</v>
      </c>
      <c r="BO935" s="1" t="s">
        <v>74</v>
      </c>
      <c r="BP935" s="1" t="s">
        <v>74</v>
      </c>
      <c r="BQ935" s="1" t="s">
        <v>74</v>
      </c>
      <c r="BR935" s="1" t="s">
        <v>74</v>
      </c>
      <c r="BS935" s="1" t="s">
        <v>9033</v>
      </c>
      <c r="BT935" s="1" t="str">
        <f>HYPERLINK("https%3A%2F%2Fwww.webofscience.com%2Fwos%2Fwoscc%2Ffull-record%2FWOS:A1992HP04700001","View Full Record in Web of Science")</f>
        <v>View Full Record in Web of Science</v>
      </c>
    </row>
    <row r="936" ht="12.75" customHeight="1">
      <c r="A936" s="1" t="s">
        <v>72</v>
      </c>
      <c r="B936" s="1" t="s">
        <v>9034</v>
      </c>
      <c r="C936" s="1" t="s">
        <v>74</v>
      </c>
      <c r="D936" s="1" t="s">
        <v>74</v>
      </c>
      <c r="E936" s="1" t="s">
        <v>74</v>
      </c>
      <c r="F936" s="1" t="s">
        <v>9035</v>
      </c>
      <c r="G936" s="1" t="s">
        <v>74</v>
      </c>
      <c r="H936" s="1" t="s">
        <v>74</v>
      </c>
      <c r="I936" s="1" t="s">
        <v>9036</v>
      </c>
      <c r="J936" s="1" t="s">
        <v>9037</v>
      </c>
      <c r="K936" s="1" t="s">
        <v>74</v>
      </c>
      <c r="L936" s="1" t="s">
        <v>74</v>
      </c>
      <c r="M936" s="1" t="s">
        <v>74</v>
      </c>
      <c r="N936" s="1" t="s">
        <v>74</v>
      </c>
      <c r="O936" s="1" t="s">
        <v>74</v>
      </c>
      <c r="P936" s="1" t="s">
        <v>74</v>
      </c>
      <c r="Q936" s="1" t="s">
        <v>74</v>
      </c>
      <c r="R936" s="1" t="s">
        <v>74</v>
      </c>
      <c r="S936" s="1" t="s">
        <v>74</v>
      </c>
      <c r="T936" s="1" t="s">
        <v>74</v>
      </c>
      <c r="U936" s="1" t="s">
        <v>74</v>
      </c>
      <c r="V936" s="1" t="s">
        <v>9038</v>
      </c>
      <c r="W936" s="1" t="s">
        <v>74</v>
      </c>
      <c r="X936" s="1" t="s">
        <v>74</v>
      </c>
      <c r="Y936" s="1" t="s">
        <v>74</v>
      </c>
      <c r="Z936" s="1" t="s">
        <v>74</v>
      </c>
      <c r="AA936" s="1" t="s">
        <v>9039</v>
      </c>
      <c r="AB936" s="1" t="s">
        <v>74</v>
      </c>
      <c r="AC936" s="1" t="s">
        <v>74</v>
      </c>
      <c r="AD936" s="1" t="s">
        <v>74</v>
      </c>
      <c r="AE936" s="1" t="s">
        <v>74</v>
      </c>
      <c r="AF936" s="1" t="s">
        <v>74</v>
      </c>
      <c r="AG936" s="1" t="s">
        <v>74</v>
      </c>
      <c r="AH936" s="1" t="s">
        <v>74</v>
      </c>
      <c r="AI936" s="1" t="s">
        <v>74</v>
      </c>
      <c r="AJ936" s="1" t="s">
        <v>74</v>
      </c>
      <c r="AK936" s="1" t="s">
        <v>74</v>
      </c>
      <c r="AL936" s="1" t="s">
        <v>74</v>
      </c>
      <c r="AM936" s="1" t="s">
        <v>74</v>
      </c>
      <c r="AN936" s="1" t="s">
        <v>74</v>
      </c>
      <c r="AO936" s="1" t="s">
        <v>9040</v>
      </c>
      <c r="AP936" s="1" t="s">
        <v>9041</v>
      </c>
      <c r="AQ936" s="1" t="s">
        <v>74</v>
      </c>
      <c r="AR936" s="1" t="s">
        <v>74</v>
      </c>
      <c r="AS936" s="1" t="s">
        <v>74</v>
      </c>
      <c r="AT936" s="1" t="s">
        <v>350</v>
      </c>
      <c r="AU936" s="1">
        <v>2025.0</v>
      </c>
      <c r="AV936" s="1">
        <v>213.0</v>
      </c>
      <c r="AW936" s="1" t="s">
        <v>74</v>
      </c>
      <c r="AX936" s="1" t="s">
        <v>74</v>
      </c>
      <c r="AY936" s="1" t="s">
        <v>74</v>
      </c>
      <c r="AZ936" s="1" t="s">
        <v>74</v>
      </c>
      <c r="BA936" s="1" t="s">
        <v>74</v>
      </c>
      <c r="BB936" s="1" t="s">
        <v>74</v>
      </c>
      <c r="BC936" s="1" t="s">
        <v>74</v>
      </c>
      <c r="BD936" s="1">
        <v>106264.0</v>
      </c>
      <c r="BE936" s="1" t="s">
        <v>9042</v>
      </c>
      <c r="BF936" s="2" t="str">
        <f>HYPERLINK("http://dx.doi.org/10.1016/j.reactfunctpolym.2025.106264","http://dx.doi.org/10.1016/j.reactfunctpolym.2025.106264")</f>
        <v>http://dx.doi.org/10.1016/j.reactfunctpolym.2025.106264</v>
      </c>
      <c r="BG936" s="1" t="s">
        <v>74</v>
      </c>
      <c r="BH936" s="1" t="s">
        <v>113</v>
      </c>
      <c r="BI936" s="1" t="s">
        <v>74</v>
      </c>
      <c r="BJ936" s="1" t="s">
        <v>74</v>
      </c>
      <c r="BK936" s="1" t="s">
        <v>74</v>
      </c>
      <c r="BL936" s="1" t="s">
        <v>74</v>
      </c>
      <c r="BM936" s="1" t="s">
        <v>74</v>
      </c>
      <c r="BN936" s="1" t="s">
        <v>74</v>
      </c>
      <c r="BO936" s="1" t="s">
        <v>74</v>
      </c>
      <c r="BP936" s="1" t="s">
        <v>74</v>
      </c>
      <c r="BQ936" s="1" t="s">
        <v>74</v>
      </c>
      <c r="BR936" s="1" t="s">
        <v>74</v>
      </c>
      <c r="BS936" s="1" t="s">
        <v>9043</v>
      </c>
      <c r="BT936" s="1" t="str">
        <f>HYPERLINK("https%3A%2F%2Fwww.webofscience.com%2Fwos%2Fwoscc%2Ffull-record%2FWOS:001453218000001","View Full Record in Web of Science")</f>
        <v>View Full Record in Web of Science</v>
      </c>
    </row>
    <row r="937" ht="12.75" customHeight="1">
      <c r="A937" s="1" t="s">
        <v>72</v>
      </c>
      <c r="B937" s="1" t="s">
        <v>9044</v>
      </c>
      <c r="C937" s="1" t="s">
        <v>74</v>
      </c>
      <c r="D937" s="1" t="s">
        <v>74</v>
      </c>
      <c r="E937" s="1" t="s">
        <v>74</v>
      </c>
      <c r="F937" s="1" t="s">
        <v>9045</v>
      </c>
      <c r="G937" s="1" t="s">
        <v>74</v>
      </c>
      <c r="H937" s="1" t="s">
        <v>74</v>
      </c>
      <c r="I937" s="1" t="s">
        <v>9046</v>
      </c>
      <c r="J937" s="1" t="s">
        <v>9047</v>
      </c>
      <c r="K937" s="1" t="s">
        <v>74</v>
      </c>
      <c r="L937" s="1" t="s">
        <v>74</v>
      </c>
      <c r="M937" s="1" t="s">
        <v>74</v>
      </c>
      <c r="N937" s="1" t="s">
        <v>74</v>
      </c>
      <c r="O937" s="1" t="s">
        <v>74</v>
      </c>
      <c r="P937" s="1" t="s">
        <v>74</v>
      </c>
      <c r="Q937" s="1" t="s">
        <v>74</v>
      </c>
      <c r="R937" s="1" t="s">
        <v>74</v>
      </c>
      <c r="S937" s="1" t="s">
        <v>74</v>
      </c>
      <c r="T937" s="1" t="s">
        <v>74</v>
      </c>
      <c r="U937" s="1" t="s">
        <v>74</v>
      </c>
      <c r="V937" s="1" t="s">
        <v>9048</v>
      </c>
      <c r="W937" s="1" t="s">
        <v>74</v>
      </c>
      <c r="X937" s="1" t="s">
        <v>74</v>
      </c>
      <c r="Y937" s="1" t="s">
        <v>74</v>
      </c>
      <c r="Z937" s="1" t="s">
        <v>74</v>
      </c>
      <c r="AA937" s="1" t="s">
        <v>74</v>
      </c>
      <c r="AB937" s="1" t="s">
        <v>74</v>
      </c>
      <c r="AC937" s="1" t="s">
        <v>74</v>
      </c>
      <c r="AD937" s="1" t="s">
        <v>74</v>
      </c>
      <c r="AE937" s="1" t="s">
        <v>74</v>
      </c>
      <c r="AF937" s="1" t="s">
        <v>74</v>
      </c>
      <c r="AG937" s="1" t="s">
        <v>74</v>
      </c>
      <c r="AH937" s="1" t="s">
        <v>74</v>
      </c>
      <c r="AI937" s="1" t="s">
        <v>74</v>
      </c>
      <c r="AJ937" s="1" t="s">
        <v>74</v>
      </c>
      <c r="AK937" s="1" t="s">
        <v>74</v>
      </c>
      <c r="AL937" s="1" t="s">
        <v>74</v>
      </c>
      <c r="AM937" s="1" t="s">
        <v>74</v>
      </c>
      <c r="AN937" s="1" t="s">
        <v>74</v>
      </c>
      <c r="AO937" s="1" t="s">
        <v>9049</v>
      </c>
      <c r="AP937" s="1" t="s">
        <v>9050</v>
      </c>
      <c r="AQ937" s="1" t="s">
        <v>74</v>
      </c>
      <c r="AR937" s="1" t="s">
        <v>74</v>
      </c>
      <c r="AS937" s="1" t="s">
        <v>74</v>
      </c>
      <c r="AT937" s="1" t="s">
        <v>1299</v>
      </c>
      <c r="AU937" s="1">
        <v>2025.0</v>
      </c>
      <c r="AV937" s="1" t="s">
        <v>74</v>
      </c>
      <c r="AW937" s="1">
        <v>42.0</v>
      </c>
      <c r="AX937" s="1" t="s">
        <v>74</v>
      </c>
      <c r="AY937" s="1" t="s">
        <v>74</v>
      </c>
      <c r="AZ937" s="1" t="s">
        <v>74</v>
      </c>
      <c r="BA937" s="1" t="s">
        <v>74</v>
      </c>
      <c r="BB937" s="1">
        <v>89.0</v>
      </c>
      <c r="BC937" s="1">
        <v>97.0</v>
      </c>
      <c r="BD937" s="1" t="s">
        <v>74</v>
      </c>
      <c r="BE937" s="1" t="s">
        <v>9051</v>
      </c>
      <c r="BF937" s="2" t="str">
        <f>HYPERLINK("http://dx.doi.org/10.35659/designis.i42p89-97","http://dx.doi.org/10.35659/designis.i42p89-97")</f>
        <v>http://dx.doi.org/10.35659/designis.i42p89-97</v>
      </c>
      <c r="BG937" s="1" t="s">
        <v>74</v>
      </c>
      <c r="BH937" s="1" t="s">
        <v>74</v>
      </c>
      <c r="BI937" s="1" t="s">
        <v>74</v>
      </c>
      <c r="BJ937" s="1" t="s">
        <v>74</v>
      </c>
      <c r="BK937" s="1" t="s">
        <v>74</v>
      </c>
      <c r="BL937" s="1" t="s">
        <v>74</v>
      </c>
      <c r="BM937" s="1" t="s">
        <v>74</v>
      </c>
      <c r="BN937" s="1" t="s">
        <v>74</v>
      </c>
      <c r="BO937" s="1" t="s">
        <v>74</v>
      </c>
      <c r="BP937" s="1" t="s">
        <v>74</v>
      </c>
      <c r="BQ937" s="1" t="s">
        <v>74</v>
      </c>
      <c r="BR937" s="1" t="s">
        <v>74</v>
      </c>
      <c r="BS937" s="1" t="s">
        <v>9052</v>
      </c>
      <c r="BT937" s="1" t="str">
        <f>HYPERLINK("https%3A%2F%2Fwww.webofscience.com%2Fwos%2Fwoscc%2Ffull-record%2FWOS:001391404500009","View Full Record in Web of Science")</f>
        <v>View Full Record in Web of Science</v>
      </c>
    </row>
    <row r="938" ht="12.75" customHeight="1">
      <c r="A938" s="1" t="s">
        <v>72</v>
      </c>
      <c r="B938" s="1" t="s">
        <v>9053</v>
      </c>
      <c r="C938" s="1" t="s">
        <v>74</v>
      </c>
      <c r="D938" s="1" t="s">
        <v>74</v>
      </c>
      <c r="E938" s="1" t="s">
        <v>74</v>
      </c>
      <c r="F938" s="1" t="s">
        <v>9054</v>
      </c>
      <c r="G938" s="1" t="s">
        <v>74</v>
      </c>
      <c r="H938" s="1" t="s">
        <v>74</v>
      </c>
      <c r="I938" s="1" t="s">
        <v>9055</v>
      </c>
      <c r="J938" s="1" t="s">
        <v>1397</v>
      </c>
      <c r="K938" s="1" t="s">
        <v>74</v>
      </c>
      <c r="L938" s="1" t="s">
        <v>74</v>
      </c>
      <c r="M938" s="1" t="s">
        <v>74</v>
      </c>
      <c r="N938" s="1" t="s">
        <v>74</v>
      </c>
      <c r="O938" s="1" t="s">
        <v>74</v>
      </c>
      <c r="P938" s="1" t="s">
        <v>74</v>
      </c>
      <c r="Q938" s="1" t="s">
        <v>74</v>
      </c>
      <c r="R938" s="1" t="s">
        <v>74</v>
      </c>
      <c r="S938" s="1" t="s">
        <v>74</v>
      </c>
      <c r="T938" s="1" t="s">
        <v>74</v>
      </c>
      <c r="U938" s="1" t="s">
        <v>74</v>
      </c>
      <c r="V938" s="1" t="s">
        <v>9056</v>
      </c>
      <c r="W938" s="1" t="s">
        <v>74</v>
      </c>
      <c r="X938" s="1" t="s">
        <v>74</v>
      </c>
      <c r="Y938" s="1" t="s">
        <v>74</v>
      </c>
      <c r="Z938" s="1" t="s">
        <v>74</v>
      </c>
      <c r="AA938" s="1" t="s">
        <v>74</v>
      </c>
      <c r="AB938" s="1" t="s">
        <v>9057</v>
      </c>
      <c r="AC938" s="1" t="s">
        <v>74</v>
      </c>
      <c r="AD938" s="1" t="s">
        <v>74</v>
      </c>
      <c r="AE938" s="1" t="s">
        <v>74</v>
      </c>
      <c r="AF938" s="1" t="s">
        <v>74</v>
      </c>
      <c r="AG938" s="1" t="s">
        <v>74</v>
      </c>
      <c r="AH938" s="1" t="s">
        <v>74</v>
      </c>
      <c r="AI938" s="1" t="s">
        <v>74</v>
      </c>
      <c r="AJ938" s="1" t="s">
        <v>74</v>
      </c>
      <c r="AK938" s="1" t="s">
        <v>74</v>
      </c>
      <c r="AL938" s="1" t="s">
        <v>74</v>
      </c>
      <c r="AM938" s="1" t="s">
        <v>74</v>
      </c>
      <c r="AN938" s="1" t="s">
        <v>74</v>
      </c>
      <c r="AO938" s="1" t="s">
        <v>1400</v>
      </c>
      <c r="AP938" s="1" t="s">
        <v>1401</v>
      </c>
      <c r="AQ938" s="1" t="s">
        <v>74</v>
      </c>
      <c r="AR938" s="1" t="s">
        <v>74</v>
      </c>
      <c r="AS938" s="1" t="s">
        <v>74</v>
      </c>
      <c r="AT938" s="1" t="s">
        <v>2192</v>
      </c>
      <c r="AU938" s="1">
        <v>2024.0</v>
      </c>
      <c r="AV938" s="1">
        <v>84.0</v>
      </c>
      <c r="AW938" s="1">
        <v>11.0</v>
      </c>
      <c r="AX938" s="1" t="s">
        <v>74</v>
      </c>
      <c r="AY938" s="1" t="s">
        <v>74</v>
      </c>
      <c r="AZ938" s="1" t="s">
        <v>74</v>
      </c>
      <c r="BA938" s="1" t="s">
        <v>74</v>
      </c>
      <c r="BB938" s="1" t="s">
        <v>74</v>
      </c>
      <c r="BC938" s="1" t="s">
        <v>74</v>
      </c>
      <c r="BD938" s="1">
        <v>1186.0</v>
      </c>
      <c r="BE938" s="1" t="s">
        <v>9058</v>
      </c>
      <c r="BF938" s="2" t="str">
        <f>HYPERLINK("http://dx.doi.org/10.1140/epjc/s10052-024-13523-w","http://dx.doi.org/10.1140/epjc/s10052-024-13523-w")</f>
        <v>http://dx.doi.org/10.1140/epjc/s10052-024-13523-w</v>
      </c>
      <c r="BG938" s="1" t="s">
        <v>74</v>
      </c>
      <c r="BH938" s="1" t="s">
        <v>74</v>
      </c>
      <c r="BI938" s="1" t="s">
        <v>74</v>
      </c>
      <c r="BJ938" s="1" t="s">
        <v>74</v>
      </c>
      <c r="BK938" s="1" t="s">
        <v>74</v>
      </c>
      <c r="BL938" s="1" t="s">
        <v>74</v>
      </c>
      <c r="BM938" s="1" t="s">
        <v>74</v>
      </c>
      <c r="BN938" s="1" t="s">
        <v>74</v>
      </c>
      <c r="BO938" s="1" t="s">
        <v>74</v>
      </c>
      <c r="BP938" s="1" t="s">
        <v>74</v>
      </c>
      <c r="BQ938" s="1" t="s">
        <v>74</v>
      </c>
      <c r="BR938" s="1" t="s">
        <v>74</v>
      </c>
      <c r="BS938" s="1" t="s">
        <v>9059</v>
      </c>
      <c r="BT938" s="1" t="str">
        <f>HYPERLINK("https%3A%2F%2Fwww.webofscience.com%2Fwos%2Fwoscc%2Ffull-record%2FWOS:001360970800003","View Full Record in Web of Science")</f>
        <v>View Full Record in Web of Science</v>
      </c>
    </row>
    <row r="939" ht="12.75" customHeight="1">
      <c r="A939" s="1" t="s">
        <v>72</v>
      </c>
      <c r="B939" s="1" t="s">
        <v>9060</v>
      </c>
      <c r="C939" s="1" t="s">
        <v>74</v>
      </c>
      <c r="D939" s="1" t="s">
        <v>74</v>
      </c>
      <c r="E939" s="1" t="s">
        <v>74</v>
      </c>
      <c r="F939" s="1" t="s">
        <v>9061</v>
      </c>
      <c r="G939" s="1" t="s">
        <v>74</v>
      </c>
      <c r="H939" s="1" t="s">
        <v>74</v>
      </c>
      <c r="I939" s="1" t="s">
        <v>9062</v>
      </c>
      <c r="J939" s="1" t="s">
        <v>9022</v>
      </c>
      <c r="K939" s="1" t="s">
        <v>74</v>
      </c>
      <c r="L939" s="1" t="s">
        <v>74</v>
      </c>
      <c r="M939" s="1" t="s">
        <v>74</v>
      </c>
      <c r="N939" s="1" t="s">
        <v>74</v>
      </c>
      <c r="O939" s="1" t="s">
        <v>74</v>
      </c>
      <c r="P939" s="1" t="s">
        <v>74</v>
      </c>
      <c r="Q939" s="1" t="s">
        <v>74</v>
      </c>
      <c r="R939" s="1" t="s">
        <v>74</v>
      </c>
      <c r="S939" s="1" t="s">
        <v>74</v>
      </c>
      <c r="T939" s="1" t="s">
        <v>74</v>
      </c>
      <c r="U939" s="1" t="s">
        <v>74</v>
      </c>
      <c r="V939" s="1" t="s">
        <v>9063</v>
      </c>
      <c r="W939" s="1" t="s">
        <v>74</v>
      </c>
      <c r="X939" s="1" t="s">
        <v>74</v>
      </c>
      <c r="Y939" s="1" t="s">
        <v>74</v>
      </c>
      <c r="Z939" s="1" t="s">
        <v>74</v>
      </c>
      <c r="AA939" s="1" t="s">
        <v>9064</v>
      </c>
      <c r="AB939" s="1" t="s">
        <v>143</v>
      </c>
      <c r="AC939" s="1" t="s">
        <v>74</v>
      </c>
      <c r="AD939" s="1" t="s">
        <v>74</v>
      </c>
      <c r="AE939" s="1" t="s">
        <v>74</v>
      </c>
      <c r="AF939" s="1" t="s">
        <v>74</v>
      </c>
      <c r="AG939" s="1" t="s">
        <v>74</v>
      </c>
      <c r="AH939" s="1" t="s">
        <v>74</v>
      </c>
      <c r="AI939" s="1" t="s">
        <v>74</v>
      </c>
      <c r="AJ939" s="1" t="s">
        <v>74</v>
      </c>
      <c r="AK939" s="1" t="s">
        <v>74</v>
      </c>
      <c r="AL939" s="1" t="s">
        <v>74</v>
      </c>
      <c r="AM939" s="1" t="s">
        <v>74</v>
      </c>
      <c r="AN939" s="1" t="s">
        <v>74</v>
      </c>
      <c r="AO939" s="1" t="s">
        <v>9025</v>
      </c>
      <c r="AP939" s="1" t="s">
        <v>9065</v>
      </c>
      <c r="AQ939" s="1" t="s">
        <v>74</v>
      </c>
      <c r="AR939" s="1" t="s">
        <v>74</v>
      </c>
      <c r="AS939" s="1" t="s">
        <v>74</v>
      </c>
      <c r="AT939" s="1" t="s">
        <v>9066</v>
      </c>
      <c r="AU939" s="1">
        <v>2024.0</v>
      </c>
      <c r="AV939" s="1">
        <v>315.0</v>
      </c>
      <c r="AW939" s="1" t="s">
        <v>74</v>
      </c>
      <c r="AX939" s="1" t="s">
        <v>74</v>
      </c>
      <c r="AY939" s="1" t="s">
        <v>74</v>
      </c>
      <c r="AZ939" s="1" t="s">
        <v>74</v>
      </c>
      <c r="BA939" s="1" t="s">
        <v>74</v>
      </c>
      <c r="BB939" s="1" t="s">
        <v>74</v>
      </c>
      <c r="BC939" s="1" t="s">
        <v>74</v>
      </c>
      <c r="BD939" s="1">
        <v>127761.0</v>
      </c>
      <c r="BE939" s="1" t="s">
        <v>9067</v>
      </c>
      <c r="BF939" s="2" t="str">
        <f>HYPERLINK("http://dx.doi.org/10.1016/j.polymer.2024.127761","http://dx.doi.org/10.1016/j.polymer.2024.127761")</f>
        <v>http://dx.doi.org/10.1016/j.polymer.2024.127761</v>
      </c>
      <c r="BG939" s="1" t="s">
        <v>74</v>
      </c>
      <c r="BH939" s="1" t="s">
        <v>9068</v>
      </c>
      <c r="BI939" s="1" t="s">
        <v>74</v>
      </c>
      <c r="BJ939" s="1" t="s">
        <v>74</v>
      </c>
      <c r="BK939" s="1" t="s">
        <v>74</v>
      </c>
      <c r="BL939" s="1" t="s">
        <v>74</v>
      </c>
      <c r="BM939" s="1" t="s">
        <v>74</v>
      </c>
      <c r="BN939" s="1" t="s">
        <v>74</v>
      </c>
      <c r="BO939" s="1" t="s">
        <v>74</v>
      </c>
      <c r="BP939" s="1" t="s">
        <v>74</v>
      </c>
      <c r="BQ939" s="1" t="s">
        <v>74</v>
      </c>
      <c r="BR939" s="1" t="s">
        <v>74</v>
      </c>
      <c r="BS939" s="1" t="s">
        <v>9069</v>
      </c>
      <c r="BT939" s="1" t="str">
        <f>HYPERLINK("https%3A%2F%2Fwww.webofscience.com%2Fwos%2Fwoscc%2Ffull-record%2FWOS:001355839700001","View Full Record in Web of Science")</f>
        <v>View Full Record in Web of Science</v>
      </c>
    </row>
    <row r="940" ht="12.75" customHeight="1">
      <c r="A940" s="1" t="s">
        <v>72</v>
      </c>
      <c r="B940" s="1" t="s">
        <v>9070</v>
      </c>
      <c r="C940" s="1" t="s">
        <v>74</v>
      </c>
      <c r="D940" s="1" t="s">
        <v>74</v>
      </c>
      <c r="E940" s="1" t="s">
        <v>74</v>
      </c>
      <c r="F940" s="1" t="s">
        <v>9071</v>
      </c>
      <c r="G940" s="1" t="s">
        <v>74</v>
      </c>
      <c r="H940" s="1" t="s">
        <v>74</v>
      </c>
      <c r="I940" s="1" t="s">
        <v>9072</v>
      </c>
      <c r="J940" s="1" t="s">
        <v>1605</v>
      </c>
      <c r="K940" s="1" t="s">
        <v>74</v>
      </c>
      <c r="L940" s="1" t="s">
        <v>74</v>
      </c>
      <c r="M940" s="1" t="s">
        <v>74</v>
      </c>
      <c r="N940" s="1" t="s">
        <v>74</v>
      </c>
      <c r="O940" s="1" t="s">
        <v>74</v>
      </c>
      <c r="P940" s="1" t="s">
        <v>74</v>
      </c>
      <c r="Q940" s="1" t="s">
        <v>74</v>
      </c>
      <c r="R940" s="1" t="s">
        <v>74</v>
      </c>
      <c r="S940" s="1" t="s">
        <v>74</v>
      </c>
      <c r="T940" s="1" t="s">
        <v>74</v>
      </c>
      <c r="U940" s="1" t="s">
        <v>74</v>
      </c>
      <c r="V940" s="1" t="s">
        <v>9073</v>
      </c>
      <c r="W940" s="1" t="s">
        <v>74</v>
      </c>
      <c r="X940" s="1" t="s">
        <v>74</v>
      </c>
      <c r="Y940" s="1" t="s">
        <v>74</v>
      </c>
      <c r="Z940" s="1" t="s">
        <v>74</v>
      </c>
      <c r="AA940" s="1" t="s">
        <v>9074</v>
      </c>
      <c r="AB940" s="1" t="s">
        <v>9075</v>
      </c>
      <c r="AC940" s="1" t="s">
        <v>74</v>
      </c>
      <c r="AD940" s="1" t="s">
        <v>74</v>
      </c>
      <c r="AE940" s="1" t="s">
        <v>74</v>
      </c>
      <c r="AF940" s="1" t="s">
        <v>74</v>
      </c>
      <c r="AG940" s="1" t="s">
        <v>74</v>
      </c>
      <c r="AH940" s="1" t="s">
        <v>74</v>
      </c>
      <c r="AI940" s="1" t="s">
        <v>74</v>
      </c>
      <c r="AJ940" s="1" t="s">
        <v>74</v>
      </c>
      <c r="AK940" s="1" t="s">
        <v>74</v>
      </c>
      <c r="AL940" s="1" t="s">
        <v>74</v>
      </c>
      <c r="AM940" s="1" t="s">
        <v>74</v>
      </c>
      <c r="AN940" s="1" t="s">
        <v>74</v>
      </c>
      <c r="AO940" s="1" t="s">
        <v>1609</v>
      </c>
      <c r="AP940" s="1" t="s">
        <v>74</v>
      </c>
      <c r="AQ940" s="1" t="s">
        <v>74</v>
      </c>
      <c r="AR940" s="1" t="s">
        <v>74</v>
      </c>
      <c r="AS940" s="1" t="s">
        <v>74</v>
      </c>
      <c r="AT940" s="1" t="s">
        <v>9076</v>
      </c>
      <c r="AU940" s="1">
        <v>2024.0</v>
      </c>
      <c r="AV940" s="1">
        <v>19.0</v>
      </c>
      <c r="AW940" s="1">
        <v>11.0</v>
      </c>
      <c r="AX940" s="1" t="s">
        <v>74</v>
      </c>
      <c r="AY940" s="1" t="s">
        <v>74</v>
      </c>
      <c r="AZ940" s="1" t="s">
        <v>74</v>
      </c>
      <c r="BA940" s="1" t="s">
        <v>74</v>
      </c>
      <c r="BB940" s="1" t="s">
        <v>74</v>
      </c>
      <c r="BC940" s="1" t="s">
        <v>74</v>
      </c>
      <c r="BD940" s="1" t="s">
        <v>9077</v>
      </c>
      <c r="BE940" s="1" t="s">
        <v>9078</v>
      </c>
      <c r="BF940" s="2" t="str">
        <f>HYPERLINK("http://dx.doi.org/10.1371/journal.pone.0310473","http://dx.doi.org/10.1371/journal.pone.0310473")</f>
        <v>http://dx.doi.org/10.1371/journal.pone.0310473</v>
      </c>
      <c r="BG940" s="1" t="s">
        <v>74</v>
      </c>
      <c r="BH940" s="1" t="s">
        <v>74</v>
      </c>
      <c r="BI940" s="1" t="s">
        <v>74</v>
      </c>
      <c r="BJ940" s="1" t="s">
        <v>74</v>
      </c>
      <c r="BK940" s="1" t="s">
        <v>74</v>
      </c>
      <c r="BL940" s="1" t="s">
        <v>74</v>
      </c>
      <c r="BM940" s="1" t="s">
        <v>74</v>
      </c>
      <c r="BN940" s="1">
        <v>3.9499694E7</v>
      </c>
      <c r="BO940" s="1" t="s">
        <v>74</v>
      </c>
      <c r="BP940" s="1" t="s">
        <v>74</v>
      </c>
      <c r="BQ940" s="1" t="s">
        <v>74</v>
      </c>
      <c r="BR940" s="1" t="s">
        <v>74</v>
      </c>
      <c r="BS940" s="1" t="s">
        <v>9079</v>
      </c>
      <c r="BT940" s="1" t="str">
        <f>HYPERLINK("https%3A%2F%2Fwww.webofscience.com%2Fwos%2Fwoscc%2Ffull-record%2FWOS:001349526900032","View Full Record in Web of Science")</f>
        <v>View Full Record in Web of Science</v>
      </c>
    </row>
    <row r="941" ht="12.75" customHeight="1">
      <c r="A941" s="1" t="s">
        <v>72</v>
      </c>
      <c r="B941" s="1" t="s">
        <v>9080</v>
      </c>
      <c r="C941" s="1" t="s">
        <v>74</v>
      </c>
      <c r="D941" s="1" t="s">
        <v>74</v>
      </c>
      <c r="E941" s="1" t="s">
        <v>74</v>
      </c>
      <c r="F941" s="1" t="s">
        <v>9081</v>
      </c>
      <c r="G941" s="1" t="s">
        <v>74</v>
      </c>
      <c r="H941" s="1" t="s">
        <v>74</v>
      </c>
      <c r="I941" s="1" t="s">
        <v>9082</v>
      </c>
      <c r="J941" s="1" t="s">
        <v>9083</v>
      </c>
      <c r="K941" s="1" t="s">
        <v>74</v>
      </c>
      <c r="L941" s="1" t="s">
        <v>74</v>
      </c>
      <c r="M941" s="1" t="s">
        <v>74</v>
      </c>
      <c r="N941" s="1" t="s">
        <v>74</v>
      </c>
      <c r="O941" s="1" t="s">
        <v>74</v>
      </c>
      <c r="P941" s="1" t="s">
        <v>74</v>
      </c>
      <c r="Q941" s="1" t="s">
        <v>74</v>
      </c>
      <c r="R941" s="1" t="s">
        <v>74</v>
      </c>
      <c r="S941" s="1" t="s">
        <v>74</v>
      </c>
      <c r="T941" s="1" t="s">
        <v>74</v>
      </c>
      <c r="U941" s="1" t="s">
        <v>74</v>
      </c>
      <c r="V941" s="1" t="s">
        <v>9084</v>
      </c>
      <c r="W941" s="1" t="s">
        <v>74</v>
      </c>
      <c r="X941" s="1" t="s">
        <v>74</v>
      </c>
      <c r="Y941" s="1" t="s">
        <v>74</v>
      </c>
      <c r="Z941" s="1" t="s">
        <v>74</v>
      </c>
      <c r="AA941" s="1" t="s">
        <v>9085</v>
      </c>
      <c r="AB941" s="1" t="s">
        <v>9086</v>
      </c>
      <c r="AC941" s="1" t="s">
        <v>74</v>
      </c>
      <c r="AD941" s="1" t="s">
        <v>74</v>
      </c>
      <c r="AE941" s="1" t="s">
        <v>74</v>
      </c>
      <c r="AF941" s="1" t="s">
        <v>74</v>
      </c>
      <c r="AG941" s="1" t="s">
        <v>74</v>
      </c>
      <c r="AH941" s="1" t="s">
        <v>74</v>
      </c>
      <c r="AI941" s="1" t="s">
        <v>74</v>
      </c>
      <c r="AJ941" s="1" t="s">
        <v>74</v>
      </c>
      <c r="AK941" s="1" t="s">
        <v>74</v>
      </c>
      <c r="AL941" s="1" t="s">
        <v>74</v>
      </c>
      <c r="AM941" s="1" t="s">
        <v>74</v>
      </c>
      <c r="AN941" s="1" t="s">
        <v>74</v>
      </c>
      <c r="AO941" s="1" t="s">
        <v>74</v>
      </c>
      <c r="AP941" s="1" t="s">
        <v>9087</v>
      </c>
      <c r="AQ941" s="1" t="s">
        <v>74</v>
      </c>
      <c r="AR941" s="1" t="s">
        <v>74</v>
      </c>
      <c r="AS941" s="1" t="s">
        <v>74</v>
      </c>
      <c r="AT941" s="1" t="s">
        <v>257</v>
      </c>
      <c r="AU941" s="1">
        <v>2024.0</v>
      </c>
      <c r="AV941" s="1">
        <v>14.0</v>
      </c>
      <c r="AW941" s="1">
        <v>3.0</v>
      </c>
      <c r="AX941" s="1" t="s">
        <v>74</v>
      </c>
      <c r="AY941" s="1" t="s">
        <v>74</v>
      </c>
      <c r="AZ941" s="1" t="s">
        <v>74</v>
      </c>
      <c r="BA941" s="1" t="s">
        <v>74</v>
      </c>
      <c r="BB941" s="1">
        <v>447.0</v>
      </c>
      <c r="BC941" s="1">
        <v>462.0</v>
      </c>
      <c r="BD941" s="1" t="s">
        <v>74</v>
      </c>
      <c r="BE941" s="1" t="s">
        <v>9088</v>
      </c>
      <c r="BF941" s="2" t="str">
        <f>HYPERLINK("http://dx.doi.org/10.3390/ejihpe14030030","http://dx.doi.org/10.3390/ejihpe14030030")</f>
        <v>http://dx.doi.org/10.3390/ejihpe14030030</v>
      </c>
      <c r="BG941" s="1" t="s">
        <v>74</v>
      </c>
      <c r="BH941" s="1" t="s">
        <v>74</v>
      </c>
      <c r="BI941" s="1" t="s">
        <v>74</v>
      </c>
      <c r="BJ941" s="1" t="s">
        <v>74</v>
      </c>
      <c r="BK941" s="1" t="s">
        <v>74</v>
      </c>
      <c r="BL941" s="1" t="s">
        <v>74</v>
      </c>
      <c r="BM941" s="1" t="s">
        <v>74</v>
      </c>
      <c r="BN941" s="1">
        <v>3.8534891E7</v>
      </c>
      <c r="BO941" s="1" t="s">
        <v>74</v>
      </c>
      <c r="BP941" s="1" t="s">
        <v>74</v>
      </c>
      <c r="BQ941" s="1" t="s">
        <v>74</v>
      </c>
      <c r="BR941" s="1" t="s">
        <v>74</v>
      </c>
      <c r="BS941" s="1" t="s">
        <v>9089</v>
      </c>
      <c r="BT941" s="1" t="str">
        <f>HYPERLINK("https%3A%2F%2Fwww.webofscience.com%2Fwos%2Fwoscc%2Ffull-record%2FWOS:001191586400001","View Full Record in Web of Science")</f>
        <v>View Full Record in Web of Science</v>
      </c>
    </row>
    <row r="942" ht="12.75" customHeight="1">
      <c r="A942" s="1" t="s">
        <v>72</v>
      </c>
      <c r="B942" s="1" t="s">
        <v>9090</v>
      </c>
      <c r="C942" s="1" t="s">
        <v>74</v>
      </c>
      <c r="D942" s="1" t="s">
        <v>74</v>
      </c>
      <c r="E942" s="1" t="s">
        <v>74</v>
      </c>
      <c r="F942" s="1" t="s">
        <v>9091</v>
      </c>
      <c r="G942" s="1" t="s">
        <v>74</v>
      </c>
      <c r="H942" s="1" t="s">
        <v>74</v>
      </c>
      <c r="I942" s="1" t="s">
        <v>9092</v>
      </c>
      <c r="J942" s="1" t="s">
        <v>9093</v>
      </c>
      <c r="K942" s="1" t="s">
        <v>74</v>
      </c>
      <c r="L942" s="1" t="s">
        <v>74</v>
      </c>
      <c r="M942" s="1" t="s">
        <v>74</v>
      </c>
      <c r="N942" s="1" t="s">
        <v>74</v>
      </c>
      <c r="O942" s="1" t="s">
        <v>74</v>
      </c>
      <c r="P942" s="1" t="s">
        <v>74</v>
      </c>
      <c r="Q942" s="1" t="s">
        <v>74</v>
      </c>
      <c r="R942" s="1" t="s">
        <v>74</v>
      </c>
      <c r="S942" s="1" t="s">
        <v>74</v>
      </c>
      <c r="T942" s="1" t="s">
        <v>74</v>
      </c>
      <c r="U942" s="1" t="s">
        <v>74</v>
      </c>
      <c r="V942" s="1" t="s">
        <v>9094</v>
      </c>
      <c r="W942" s="1" t="s">
        <v>74</v>
      </c>
      <c r="X942" s="1" t="s">
        <v>74</v>
      </c>
      <c r="Y942" s="1" t="s">
        <v>74</v>
      </c>
      <c r="Z942" s="1" t="s">
        <v>74</v>
      </c>
      <c r="AA942" s="1" t="s">
        <v>9095</v>
      </c>
      <c r="AB942" s="1" t="s">
        <v>9096</v>
      </c>
      <c r="AC942" s="1" t="s">
        <v>74</v>
      </c>
      <c r="AD942" s="1" t="s">
        <v>74</v>
      </c>
      <c r="AE942" s="1" t="s">
        <v>74</v>
      </c>
      <c r="AF942" s="1" t="s">
        <v>74</v>
      </c>
      <c r="AG942" s="1" t="s">
        <v>74</v>
      </c>
      <c r="AH942" s="1" t="s">
        <v>74</v>
      </c>
      <c r="AI942" s="1" t="s">
        <v>74</v>
      </c>
      <c r="AJ942" s="1" t="s">
        <v>74</v>
      </c>
      <c r="AK942" s="1" t="s">
        <v>74</v>
      </c>
      <c r="AL942" s="1" t="s">
        <v>74</v>
      </c>
      <c r="AM942" s="1" t="s">
        <v>74</v>
      </c>
      <c r="AN942" s="1" t="s">
        <v>74</v>
      </c>
      <c r="AO942" s="1" t="s">
        <v>9097</v>
      </c>
      <c r="AP942" s="1" t="s">
        <v>74</v>
      </c>
      <c r="AQ942" s="1" t="s">
        <v>74</v>
      </c>
      <c r="AR942" s="1" t="s">
        <v>74</v>
      </c>
      <c r="AS942" s="1" t="s">
        <v>74</v>
      </c>
      <c r="AT942" s="1" t="s">
        <v>696</v>
      </c>
      <c r="AU942" s="1">
        <v>2024.0</v>
      </c>
      <c r="AV942" s="1">
        <v>12.0</v>
      </c>
      <c r="AW942" s="1">
        <v>1.0</v>
      </c>
      <c r="AX942" s="1" t="s">
        <v>74</v>
      </c>
      <c r="AY942" s="1" t="s">
        <v>74</v>
      </c>
      <c r="AZ942" s="1" t="s">
        <v>74</v>
      </c>
      <c r="BA942" s="1" t="s">
        <v>74</v>
      </c>
      <c r="BB942" s="1">
        <v>57.0</v>
      </c>
      <c r="BC942" s="1">
        <v>75.0</v>
      </c>
      <c r="BD942" s="1" t="s">
        <v>74</v>
      </c>
      <c r="BE942" s="1" t="s">
        <v>9098</v>
      </c>
      <c r="BF942" s="2" t="str">
        <f>HYPERLINK("http://dx.doi.org/10.17583/ijelm.11181","http://dx.doi.org/10.17583/ijelm.11181")</f>
        <v>http://dx.doi.org/10.17583/ijelm.11181</v>
      </c>
      <c r="BG942" s="1" t="s">
        <v>74</v>
      </c>
      <c r="BH942" s="1" t="s">
        <v>74</v>
      </c>
      <c r="BI942" s="1" t="s">
        <v>74</v>
      </c>
      <c r="BJ942" s="1" t="s">
        <v>74</v>
      </c>
      <c r="BK942" s="1" t="s">
        <v>74</v>
      </c>
      <c r="BL942" s="1" t="s">
        <v>74</v>
      </c>
      <c r="BM942" s="1" t="s">
        <v>74</v>
      </c>
      <c r="BN942" s="1" t="s">
        <v>74</v>
      </c>
      <c r="BO942" s="1" t="s">
        <v>74</v>
      </c>
      <c r="BP942" s="1" t="s">
        <v>74</v>
      </c>
      <c r="BQ942" s="1" t="s">
        <v>74</v>
      </c>
      <c r="BR942" s="1" t="s">
        <v>74</v>
      </c>
      <c r="BS942" s="1" t="s">
        <v>9099</v>
      </c>
      <c r="BT942" s="1" t="str">
        <f>HYPERLINK("https%3A%2F%2Fwww.webofscience.com%2Fwos%2Fwoscc%2Ffull-record%2FWOS:001165028400002","View Full Record in Web of Science")</f>
        <v>View Full Record in Web of Science</v>
      </c>
    </row>
    <row r="943" ht="12.75" customHeight="1">
      <c r="A943" s="1" t="s">
        <v>72</v>
      </c>
      <c r="B943" s="1" t="s">
        <v>9100</v>
      </c>
      <c r="C943" s="1" t="s">
        <v>74</v>
      </c>
      <c r="D943" s="1" t="s">
        <v>74</v>
      </c>
      <c r="E943" s="1" t="s">
        <v>74</v>
      </c>
      <c r="F943" s="1" t="s">
        <v>9101</v>
      </c>
      <c r="G943" s="1" t="s">
        <v>74</v>
      </c>
      <c r="H943" s="1" t="s">
        <v>74</v>
      </c>
      <c r="I943" s="1" t="s">
        <v>9102</v>
      </c>
      <c r="J943" s="1" t="s">
        <v>745</v>
      </c>
      <c r="K943" s="1" t="s">
        <v>74</v>
      </c>
      <c r="L943" s="1" t="s">
        <v>74</v>
      </c>
      <c r="M943" s="1" t="s">
        <v>74</v>
      </c>
      <c r="N943" s="1" t="s">
        <v>74</v>
      </c>
      <c r="O943" s="1" t="s">
        <v>74</v>
      </c>
      <c r="P943" s="1" t="s">
        <v>74</v>
      </c>
      <c r="Q943" s="1" t="s">
        <v>74</v>
      </c>
      <c r="R943" s="1" t="s">
        <v>74</v>
      </c>
      <c r="S943" s="1" t="s">
        <v>74</v>
      </c>
      <c r="T943" s="1" t="s">
        <v>74</v>
      </c>
      <c r="U943" s="1" t="s">
        <v>74</v>
      </c>
      <c r="V943" s="1" t="s">
        <v>9103</v>
      </c>
      <c r="W943" s="1" t="s">
        <v>74</v>
      </c>
      <c r="X943" s="1" t="s">
        <v>74</v>
      </c>
      <c r="Y943" s="1" t="s">
        <v>74</v>
      </c>
      <c r="Z943" s="1" t="s">
        <v>74</v>
      </c>
      <c r="AA943" s="1" t="s">
        <v>4060</v>
      </c>
      <c r="AB943" s="1" t="s">
        <v>9104</v>
      </c>
      <c r="AC943" s="1" t="s">
        <v>74</v>
      </c>
      <c r="AD943" s="1" t="s">
        <v>74</v>
      </c>
      <c r="AE943" s="1" t="s">
        <v>74</v>
      </c>
      <c r="AF943" s="1" t="s">
        <v>74</v>
      </c>
      <c r="AG943" s="1" t="s">
        <v>74</v>
      </c>
      <c r="AH943" s="1" t="s">
        <v>74</v>
      </c>
      <c r="AI943" s="1" t="s">
        <v>74</v>
      </c>
      <c r="AJ943" s="1" t="s">
        <v>74</v>
      </c>
      <c r="AK943" s="1" t="s">
        <v>74</v>
      </c>
      <c r="AL943" s="1" t="s">
        <v>74</v>
      </c>
      <c r="AM943" s="1" t="s">
        <v>74</v>
      </c>
      <c r="AN943" s="1" t="s">
        <v>74</v>
      </c>
      <c r="AO943" s="1" t="s">
        <v>74</v>
      </c>
      <c r="AP943" s="1" t="s">
        <v>749</v>
      </c>
      <c r="AQ943" s="1" t="s">
        <v>74</v>
      </c>
      <c r="AR943" s="1" t="s">
        <v>74</v>
      </c>
      <c r="AS943" s="1" t="s">
        <v>74</v>
      </c>
      <c r="AT943" s="1" t="s">
        <v>606</v>
      </c>
      <c r="AU943" s="1">
        <v>2023.0</v>
      </c>
      <c r="AV943" s="1">
        <v>9.0</v>
      </c>
      <c r="AW943" s="1">
        <v>10.0</v>
      </c>
      <c r="AX943" s="1" t="s">
        <v>74</v>
      </c>
      <c r="AY943" s="1" t="s">
        <v>74</v>
      </c>
      <c r="AZ943" s="1" t="s">
        <v>74</v>
      </c>
      <c r="BA943" s="1" t="s">
        <v>74</v>
      </c>
      <c r="BB943" s="1" t="s">
        <v>74</v>
      </c>
      <c r="BC943" s="1" t="s">
        <v>74</v>
      </c>
      <c r="BD943" s="1">
        <v>954.0</v>
      </c>
      <c r="BE943" s="1" t="s">
        <v>9105</v>
      </c>
      <c r="BF943" s="2" t="str">
        <f>HYPERLINK("http://dx.doi.org/10.3390/jof9100954","http://dx.doi.org/10.3390/jof9100954")</f>
        <v>http://dx.doi.org/10.3390/jof9100954</v>
      </c>
      <c r="BG943" s="1" t="s">
        <v>74</v>
      </c>
      <c r="BH943" s="1" t="s">
        <v>74</v>
      </c>
      <c r="BI943" s="1" t="s">
        <v>74</v>
      </c>
      <c r="BJ943" s="1" t="s">
        <v>74</v>
      </c>
      <c r="BK943" s="1" t="s">
        <v>74</v>
      </c>
      <c r="BL943" s="1" t="s">
        <v>74</v>
      </c>
      <c r="BM943" s="1" t="s">
        <v>74</v>
      </c>
      <c r="BN943" s="1">
        <v>3.788821E7</v>
      </c>
      <c r="BO943" s="1" t="s">
        <v>74</v>
      </c>
      <c r="BP943" s="1" t="s">
        <v>74</v>
      </c>
      <c r="BQ943" s="1" t="s">
        <v>74</v>
      </c>
      <c r="BR943" s="1" t="s">
        <v>74</v>
      </c>
      <c r="BS943" s="1" t="s">
        <v>9106</v>
      </c>
      <c r="BT943" s="1" t="str">
        <f>HYPERLINK("https%3A%2F%2Fwww.webofscience.com%2Fwos%2Fwoscc%2Ffull-record%2FWOS:001099435300001","View Full Record in Web of Science")</f>
        <v>View Full Record in Web of Science</v>
      </c>
    </row>
    <row r="944" ht="12.75" customHeight="1">
      <c r="A944" s="1" t="s">
        <v>72</v>
      </c>
      <c r="B944" s="1" t="s">
        <v>9107</v>
      </c>
      <c r="C944" s="1" t="s">
        <v>74</v>
      </c>
      <c r="D944" s="1" t="s">
        <v>74</v>
      </c>
      <c r="E944" s="1" t="s">
        <v>74</v>
      </c>
      <c r="F944" s="1" t="s">
        <v>9108</v>
      </c>
      <c r="G944" s="1" t="s">
        <v>74</v>
      </c>
      <c r="H944" s="1" t="s">
        <v>74</v>
      </c>
      <c r="I944" s="1" t="s">
        <v>9109</v>
      </c>
      <c r="J944" s="1" t="s">
        <v>3341</v>
      </c>
      <c r="K944" s="1" t="s">
        <v>74</v>
      </c>
      <c r="L944" s="1" t="s">
        <v>74</v>
      </c>
      <c r="M944" s="1" t="s">
        <v>74</v>
      </c>
      <c r="N944" s="1" t="s">
        <v>74</v>
      </c>
      <c r="O944" s="1" t="s">
        <v>74</v>
      </c>
      <c r="P944" s="1" t="s">
        <v>74</v>
      </c>
      <c r="Q944" s="1" t="s">
        <v>74</v>
      </c>
      <c r="R944" s="1" t="s">
        <v>74</v>
      </c>
      <c r="S944" s="1" t="s">
        <v>74</v>
      </c>
      <c r="T944" s="1" t="s">
        <v>74</v>
      </c>
      <c r="U944" s="1" t="s">
        <v>74</v>
      </c>
      <c r="V944" s="1" t="s">
        <v>9110</v>
      </c>
      <c r="W944" s="1" t="s">
        <v>74</v>
      </c>
      <c r="X944" s="1" t="s">
        <v>74</v>
      </c>
      <c r="Y944" s="1" t="s">
        <v>74</v>
      </c>
      <c r="Z944" s="1" t="s">
        <v>74</v>
      </c>
      <c r="AA944" s="1" t="s">
        <v>9111</v>
      </c>
      <c r="AB944" s="1" t="s">
        <v>9112</v>
      </c>
      <c r="AC944" s="1" t="s">
        <v>74</v>
      </c>
      <c r="AD944" s="1" t="s">
        <v>74</v>
      </c>
      <c r="AE944" s="1" t="s">
        <v>74</v>
      </c>
      <c r="AF944" s="1" t="s">
        <v>74</v>
      </c>
      <c r="AG944" s="1" t="s">
        <v>74</v>
      </c>
      <c r="AH944" s="1" t="s">
        <v>74</v>
      </c>
      <c r="AI944" s="1" t="s">
        <v>74</v>
      </c>
      <c r="AJ944" s="1" t="s">
        <v>74</v>
      </c>
      <c r="AK944" s="1" t="s">
        <v>74</v>
      </c>
      <c r="AL944" s="1" t="s">
        <v>74</v>
      </c>
      <c r="AM944" s="1" t="s">
        <v>74</v>
      </c>
      <c r="AN944" s="1" t="s">
        <v>74</v>
      </c>
      <c r="AO944" s="1" t="s">
        <v>5948</v>
      </c>
      <c r="AP944" s="1" t="s">
        <v>5949</v>
      </c>
      <c r="AQ944" s="1" t="s">
        <v>74</v>
      </c>
      <c r="AR944" s="1" t="s">
        <v>74</v>
      </c>
      <c r="AS944" s="1" t="s">
        <v>74</v>
      </c>
      <c r="AT944" s="1" t="s">
        <v>306</v>
      </c>
      <c r="AU944" s="1">
        <v>2023.0</v>
      </c>
      <c r="AV944" s="1">
        <v>128.0</v>
      </c>
      <c r="AW944" s="1">
        <v>4.0</v>
      </c>
      <c r="AX944" s="1" t="s">
        <v>74</v>
      </c>
      <c r="AY944" s="1" t="s">
        <v>74</v>
      </c>
      <c r="AZ944" s="1" t="s">
        <v>74</v>
      </c>
      <c r="BA944" s="1" t="s">
        <v>74</v>
      </c>
      <c r="BB944" s="1" t="s">
        <v>74</v>
      </c>
      <c r="BC944" s="1" t="s">
        <v>74</v>
      </c>
      <c r="BD944" s="1" t="s">
        <v>9113</v>
      </c>
      <c r="BE944" s="1" t="s">
        <v>9114</v>
      </c>
      <c r="BF944" s="2" t="str">
        <f>HYPERLINK("http://dx.doi.org/10.1029/2022JA030673","http://dx.doi.org/10.1029/2022JA030673")</f>
        <v>http://dx.doi.org/10.1029/2022JA030673</v>
      </c>
      <c r="BG944" s="1" t="s">
        <v>74</v>
      </c>
      <c r="BH944" s="1" t="s">
        <v>74</v>
      </c>
      <c r="BI944" s="1" t="s">
        <v>74</v>
      </c>
      <c r="BJ944" s="1" t="s">
        <v>74</v>
      </c>
      <c r="BK944" s="1" t="s">
        <v>74</v>
      </c>
      <c r="BL944" s="1" t="s">
        <v>74</v>
      </c>
      <c r="BM944" s="1" t="s">
        <v>74</v>
      </c>
      <c r="BN944" s="1" t="s">
        <v>74</v>
      </c>
      <c r="BO944" s="1" t="s">
        <v>74</v>
      </c>
      <c r="BP944" s="1" t="s">
        <v>74</v>
      </c>
      <c r="BQ944" s="1" t="s">
        <v>74</v>
      </c>
      <c r="BR944" s="1" t="s">
        <v>74</v>
      </c>
      <c r="BS944" s="1" t="s">
        <v>9115</v>
      </c>
      <c r="BT944" s="1" t="str">
        <f>HYPERLINK("https%3A%2F%2Fwww.webofscience.com%2Fwos%2Fwoscc%2Ffull-record%2FWOS:000965046900001","View Full Record in Web of Science")</f>
        <v>View Full Record in Web of Science</v>
      </c>
    </row>
    <row r="945" ht="12.75" customHeight="1">
      <c r="A945" s="1" t="s">
        <v>72</v>
      </c>
      <c r="B945" s="1" t="s">
        <v>9116</v>
      </c>
      <c r="C945" s="1" t="s">
        <v>74</v>
      </c>
      <c r="D945" s="1" t="s">
        <v>74</v>
      </c>
      <c r="E945" s="1" t="s">
        <v>74</v>
      </c>
      <c r="F945" s="1" t="s">
        <v>9117</v>
      </c>
      <c r="G945" s="1" t="s">
        <v>74</v>
      </c>
      <c r="H945" s="1" t="s">
        <v>74</v>
      </c>
      <c r="I945" s="1" t="s">
        <v>9118</v>
      </c>
      <c r="J945" s="1" t="s">
        <v>9119</v>
      </c>
      <c r="K945" s="1" t="s">
        <v>74</v>
      </c>
      <c r="L945" s="1" t="s">
        <v>74</v>
      </c>
      <c r="M945" s="1" t="s">
        <v>74</v>
      </c>
      <c r="N945" s="1" t="s">
        <v>74</v>
      </c>
      <c r="O945" s="1" t="s">
        <v>74</v>
      </c>
      <c r="P945" s="1" t="s">
        <v>74</v>
      </c>
      <c r="Q945" s="1" t="s">
        <v>74</v>
      </c>
      <c r="R945" s="1" t="s">
        <v>74</v>
      </c>
      <c r="S945" s="1" t="s">
        <v>74</v>
      </c>
      <c r="T945" s="1" t="s">
        <v>74</v>
      </c>
      <c r="U945" s="1" t="s">
        <v>74</v>
      </c>
      <c r="V945" s="1" t="s">
        <v>9120</v>
      </c>
      <c r="W945" s="1" t="s">
        <v>74</v>
      </c>
      <c r="X945" s="1" t="s">
        <v>74</v>
      </c>
      <c r="Y945" s="1" t="s">
        <v>74</v>
      </c>
      <c r="Z945" s="1" t="s">
        <v>74</v>
      </c>
      <c r="AA945" s="1" t="s">
        <v>9121</v>
      </c>
      <c r="AB945" s="1" t="s">
        <v>9122</v>
      </c>
      <c r="AC945" s="1" t="s">
        <v>74</v>
      </c>
      <c r="AD945" s="1" t="s">
        <v>74</v>
      </c>
      <c r="AE945" s="1" t="s">
        <v>74</v>
      </c>
      <c r="AF945" s="1" t="s">
        <v>74</v>
      </c>
      <c r="AG945" s="1" t="s">
        <v>74</v>
      </c>
      <c r="AH945" s="1" t="s">
        <v>74</v>
      </c>
      <c r="AI945" s="1" t="s">
        <v>74</v>
      </c>
      <c r="AJ945" s="1" t="s">
        <v>74</v>
      </c>
      <c r="AK945" s="1" t="s">
        <v>74</v>
      </c>
      <c r="AL945" s="1" t="s">
        <v>74</v>
      </c>
      <c r="AM945" s="1" t="s">
        <v>74</v>
      </c>
      <c r="AN945" s="1" t="s">
        <v>74</v>
      </c>
      <c r="AO945" s="1" t="s">
        <v>9123</v>
      </c>
      <c r="AP945" s="1" t="s">
        <v>9124</v>
      </c>
      <c r="AQ945" s="1" t="s">
        <v>74</v>
      </c>
      <c r="AR945" s="1" t="s">
        <v>74</v>
      </c>
      <c r="AS945" s="1" t="s">
        <v>74</v>
      </c>
      <c r="AT945" s="1" t="s">
        <v>5669</v>
      </c>
      <c r="AU945" s="1">
        <v>2023.0</v>
      </c>
      <c r="AV945" s="1">
        <v>11.0</v>
      </c>
      <c r="AW945" s="1">
        <v>6.0</v>
      </c>
      <c r="AX945" s="1" t="s">
        <v>74</v>
      </c>
      <c r="AY945" s="1" t="s">
        <v>74</v>
      </c>
      <c r="AZ945" s="1" t="s">
        <v>74</v>
      </c>
      <c r="BA945" s="1" t="s">
        <v>74</v>
      </c>
      <c r="BB945" s="1">
        <v>2661.0</v>
      </c>
      <c r="BC945" s="1">
        <v>2669.0</v>
      </c>
      <c r="BD945" s="1" t="s">
        <v>74</v>
      </c>
      <c r="BE945" s="1" t="s">
        <v>9125</v>
      </c>
      <c r="BF945" s="2" t="str">
        <f>HYPERLINK("http://dx.doi.org/10.1039/d2ta07046d","http://dx.doi.org/10.1039/d2ta07046d")</f>
        <v>http://dx.doi.org/10.1039/d2ta07046d</v>
      </c>
      <c r="BG945" s="1" t="s">
        <v>74</v>
      </c>
      <c r="BH945" s="1" t="s">
        <v>2221</v>
      </c>
      <c r="BI945" s="1" t="s">
        <v>74</v>
      </c>
      <c r="BJ945" s="1" t="s">
        <v>74</v>
      </c>
      <c r="BK945" s="1" t="s">
        <v>74</v>
      </c>
      <c r="BL945" s="1" t="s">
        <v>74</v>
      </c>
      <c r="BM945" s="1" t="s">
        <v>74</v>
      </c>
      <c r="BN945" s="1" t="s">
        <v>74</v>
      </c>
      <c r="BO945" s="1" t="s">
        <v>74</v>
      </c>
      <c r="BP945" s="1" t="s">
        <v>74</v>
      </c>
      <c r="BQ945" s="1" t="s">
        <v>74</v>
      </c>
      <c r="BR945" s="1" t="s">
        <v>74</v>
      </c>
      <c r="BS945" s="1" t="s">
        <v>9126</v>
      </c>
      <c r="BT945" s="1" t="str">
        <f>HYPERLINK("https%3A%2F%2Fwww.webofscience.com%2Fwos%2Fwoscc%2Ffull-record%2FWOS:000910933500001","View Full Record in Web of Science")</f>
        <v>View Full Record in Web of Science</v>
      </c>
    </row>
    <row r="946" ht="12.75" customHeight="1">
      <c r="A946" s="1" t="s">
        <v>72</v>
      </c>
      <c r="B946" s="1" t="s">
        <v>9127</v>
      </c>
      <c r="C946" s="1" t="s">
        <v>74</v>
      </c>
      <c r="D946" s="1" t="s">
        <v>74</v>
      </c>
      <c r="E946" s="1" t="s">
        <v>74</v>
      </c>
      <c r="F946" s="1" t="s">
        <v>9128</v>
      </c>
      <c r="G946" s="1" t="s">
        <v>74</v>
      </c>
      <c r="H946" s="1" t="s">
        <v>74</v>
      </c>
      <c r="I946" s="1" t="s">
        <v>9129</v>
      </c>
      <c r="J946" s="1" t="s">
        <v>6789</v>
      </c>
      <c r="K946" s="1" t="s">
        <v>74</v>
      </c>
      <c r="L946" s="1" t="s">
        <v>74</v>
      </c>
      <c r="M946" s="1" t="s">
        <v>74</v>
      </c>
      <c r="N946" s="1" t="s">
        <v>74</v>
      </c>
      <c r="O946" s="1" t="s">
        <v>74</v>
      </c>
      <c r="P946" s="1" t="s">
        <v>74</v>
      </c>
      <c r="Q946" s="1" t="s">
        <v>74</v>
      </c>
      <c r="R946" s="1" t="s">
        <v>74</v>
      </c>
      <c r="S946" s="1" t="s">
        <v>74</v>
      </c>
      <c r="T946" s="1" t="s">
        <v>74</v>
      </c>
      <c r="U946" s="1" t="s">
        <v>74</v>
      </c>
      <c r="V946" s="1" t="s">
        <v>9130</v>
      </c>
      <c r="W946" s="1" t="s">
        <v>74</v>
      </c>
      <c r="X946" s="1" t="s">
        <v>74</v>
      </c>
      <c r="Y946" s="1" t="s">
        <v>74</v>
      </c>
      <c r="Z946" s="1" t="s">
        <v>74</v>
      </c>
      <c r="AA946" s="1" t="s">
        <v>9131</v>
      </c>
      <c r="AB946" s="1" t="s">
        <v>2039</v>
      </c>
      <c r="AC946" s="1" t="s">
        <v>74</v>
      </c>
      <c r="AD946" s="1" t="s">
        <v>74</v>
      </c>
      <c r="AE946" s="1" t="s">
        <v>74</v>
      </c>
      <c r="AF946" s="1" t="s">
        <v>74</v>
      </c>
      <c r="AG946" s="1" t="s">
        <v>74</v>
      </c>
      <c r="AH946" s="1" t="s">
        <v>74</v>
      </c>
      <c r="AI946" s="1" t="s">
        <v>74</v>
      </c>
      <c r="AJ946" s="1" t="s">
        <v>74</v>
      </c>
      <c r="AK946" s="1" t="s">
        <v>74</v>
      </c>
      <c r="AL946" s="1" t="s">
        <v>74</v>
      </c>
      <c r="AM946" s="1" t="s">
        <v>74</v>
      </c>
      <c r="AN946" s="1" t="s">
        <v>74</v>
      </c>
      <c r="AO946" s="1" t="s">
        <v>6793</v>
      </c>
      <c r="AP946" s="1" t="s">
        <v>6794</v>
      </c>
      <c r="AQ946" s="1" t="s">
        <v>74</v>
      </c>
      <c r="AR946" s="1" t="s">
        <v>74</v>
      </c>
      <c r="AS946" s="1" t="s">
        <v>74</v>
      </c>
      <c r="AT946" s="1" t="s">
        <v>3077</v>
      </c>
      <c r="AU946" s="1">
        <v>2023.0</v>
      </c>
      <c r="AV946" s="1">
        <v>527.0</v>
      </c>
      <c r="AW946" s="1" t="s">
        <v>74</v>
      </c>
      <c r="AX946" s="1" t="s">
        <v>74</v>
      </c>
      <c r="AY946" s="1" t="s">
        <v>74</v>
      </c>
      <c r="AZ946" s="1" t="s">
        <v>74</v>
      </c>
      <c r="BA946" s="1" t="s">
        <v>74</v>
      </c>
      <c r="BB946" s="1" t="s">
        <v>74</v>
      </c>
      <c r="BC946" s="1" t="s">
        <v>74</v>
      </c>
      <c r="BD946" s="1">
        <v>120603.0</v>
      </c>
      <c r="BE946" s="1" t="s">
        <v>9132</v>
      </c>
      <c r="BF946" s="2" t="str">
        <f>HYPERLINK("http://dx.doi.org/10.1016/j.foreco.2022.120603","http://dx.doi.org/10.1016/j.foreco.2022.120603")</f>
        <v>http://dx.doi.org/10.1016/j.foreco.2022.120603</v>
      </c>
      <c r="BG946" s="1" t="s">
        <v>74</v>
      </c>
      <c r="BH946" s="1" t="s">
        <v>4969</v>
      </c>
      <c r="BI946" s="1" t="s">
        <v>74</v>
      </c>
      <c r="BJ946" s="1" t="s">
        <v>74</v>
      </c>
      <c r="BK946" s="1" t="s">
        <v>74</v>
      </c>
      <c r="BL946" s="1" t="s">
        <v>74</v>
      </c>
      <c r="BM946" s="1" t="s">
        <v>74</v>
      </c>
      <c r="BN946" s="1" t="s">
        <v>74</v>
      </c>
      <c r="BO946" s="1" t="s">
        <v>74</v>
      </c>
      <c r="BP946" s="1" t="s">
        <v>74</v>
      </c>
      <c r="BQ946" s="1" t="s">
        <v>74</v>
      </c>
      <c r="BR946" s="1" t="s">
        <v>74</v>
      </c>
      <c r="BS946" s="1" t="s">
        <v>9133</v>
      </c>
      <c r="BT946" s="1" t="str">
        <f>HYPERLINK("https%3A%2F%2Fwww.webofscience.com%2Fwos%2Fwoscc%2Ffull-record%2FWOS:000885975400005","View Full Record in Web of Science")</f>
        <v>View Full Record in Web of Science</v>
      </c>
    </row>
    <row r="947" ht="12.75" customHeight="1">
      <c r="A947" s="1" t="s">
        <v>72</v>
      </c>
      <c r="B947" s="1" t="s">
        <v>9134</v>
      </c>
      <c r="C947" s="1" t="s">
        <v>74</v>
      </c>
      <c r="D947" s="1" t="s">
        <v>74</v>
      </c>
      <c r="E947" s="1" t="s">
        <v>74</v>
      </c>
      <c r="F947" s="1" t="s">
        <v>9135</v>
      </c>
      <c r="G947" s="1" t="s">
        <v>74</v>
      </c>
      <c r="H947" s="1" t="s">
        <v>74</v>
      </c>
      <c r="I947" s="1" t="s">
        <v>9136</v>
      </c>
      <c r="J947" s="1" t="s">
        <v>9137</v>
      </c>
      <c r="K947" s="1" t="s">
        <v>74</v>
      </c>
      <c r="L947" s="1" t="s">
        <v>74</v>
      </c>
      <c r="M947" s="1" t="s">
        <v>74</v>
      </c>
      <c r="N947" s="1" t="s">
        <v>74</v>
      </c>
      <c r="O947" s="1" t="s">
        <v>74</v>
      </c>
      <c r="P947" s="1" t="s">
        <v>74</v>
      </c>
      <c r="Q947" s="1" t="s">
        <v>74</v>
      </c>
      <c r="R947" s="1" t="s">
        <v>74</v>
      </c>
      <c r="S947" s="1" t="s">
        <v>74</v>
      </c>
      <c r="T947" s="1" t="s">
        <v>74</v>
      </c>
      <c r="U947" s="1" t="s">
        <v>74</v>
      </c>
      <c r="V947" s="1" t="s">
        <v>9138</v>
      </c>
      <c r="W947" s="1" t="s">
        <v>74</v>
      </c>
      <c r="X947" s="1" t="s">
        <v>74</v>
      </c>
      <c r="Y947" s="1" t="s">
        <v>74</v>
      </c>
      <c r="Z947" s="1" t="s">
        <v>74</v>
      </c>
      <c r="AA947" s="1" t="s">
        <v>9139</v>
      </c>
      <c r="AB947" s="1" t="s">
        <v>9140</v>
      </c>
      <c r="AC947" s="1" t="s">
        <v>74</v>
      </c>
      <c r="AD947" s="1" t="s">
        <v>74</v>
      </c>
      <c r="AE947" s="1" t="s">
        <v>74</v>
      </c>
      <c r="AF947" s="1" t="s">
        <v>74</v>
      </c>
      <c r="AG947" s="1" t="s">
        <v>74</v>
      </c>
      <c r="AH947" s="1" t="s">
        <v>74</v>
      </c>
      <c r="AI947" s="1" t="s">
        <v>74</v>
      </c>
      <c r="AJ947" s="1" t="s">
        <v>74</v>
      </c>
      <c r="AK947" s="1" t="s">
        <v>74</v>
      </c>
      <c r="AL947" s="1" t="s">
        <v>74</v>
      </c>
      <c r="AM947" s="1" t="s">
        <v>74</v>
      </c>
      <c r="AN947" s="1" t="s">
        <v>74</v>
      </c>
      <c r="AO947" s="1" t="s">
        <v>9141</v>
      </c>
      <c r="AP947" s="1" t="s">
        <v>9142</v>
      </c>
      <c r="AQ947" s="1" t="s">
        <v>74</v>
      </c>
      <c r="AR947" s="1" t="s">
        <v>74</v>
      </c>
      <c r="AS947" s="1" t="s">
        <v>74</v>
      </c>
      <c r="AT947" s="1" t="s">
        <v>678</v>
      </c>
      <c r="AU947" s="1">
        <v>2022.0</v>
      </c>
      <c r="AV947" s="1">
        <v>275.0</v>
      </c>
      <c r="AW947" s="1" t="s">
        <v>74</v>
      </c>
      <c r="AX947" s="1" t="s">
        <v>74</v>
      </c>
      <c r="AY947" s="1" t="s">
        <v>74</v>
      </c>
      <c r="AZ947" s="1" t="s">
        <v>74</v>
      </c>
      <c r="BA947" s="1" t="s">
        <v>74</v>
      </c>
      <c r="BB947" s="1" t="s">
        <v>74</v>
      </c>
      <c r="BC947" s="1" t="s">
        <v>74</v>
      </c>
      <c r="BD947" s="1">
        <v>108837.0</v>
      </c>
      <c r="BE947" s="1" t="s">
        <v>9143</v>
      </c>
      <c r="BF947" s="2" t="str">
        <f>HYPERLINK("http://dx.doi.org/10.1016/j.engfracmech.2022.108837","http://dx.doi.org/10.1016/j.engfracmech.2022.108837")</f>
        <v>http://dx.doi.org/10.1016/j.engfracmech.2022.108837</v>
      </c>
      <c r="BG947" s="1" t="s">
        <v>74</v>
      </c>
      <c r="BH947" s="1" t="s">
        <v>4969</v>
      </c>
      <c r="BI947" s="1" t="s">
        <v>74</v>
      </c>
      <c r="BJ947" s="1" t="s">
        <v>74</v>
      </c>
      <c r="BK947" s="1" t="s">
        <v>74</v>
      </c>
      <c r="BL947" s="1" t="s">
        <v>74</v>
      </c>
      <c r="BM947" s="1" t="s">
        <v>74</v>
      </c>
      <c r="BN947" s="1" t="s">
        <v>74</v>
      </c>
      <c r="BO947" s="1" t="s">
        <v>74</v>
      </c>
      <c r="BP947" s="1" t="s">
        <v>74</v>
      </c>
      <c r="BQ947" s="1" t="s">
        <v>74</v>
      </c>
      <c r="BR947" s="1" t="s">
        <v>74</v>
      </c>
      <c r="BS947" s="1" t="s">
        <v>9144</v>
      </c>
      <c r="BT947" s="1" t="str">
        <f>HYPERLINK("https%3A%2F%2Fwww.webofscience.com%2Fwos%2Fwoscc%2Ffull-record%2FWOS:000876832700003","View Full Record in Web of Science")</f>
        <v>View Full Record in Web of Science</v>
      </c>
    </row>
    <row r="948" ht="12.75" customHeight="1">
      <c r="A948" s="1" t="s">
        <v>72</v>
      </c>
      <c r="B948" s="1" t="s">
        <v>9145</v>
      </c>
      <c r="C948" s="1" t="s">
        <v>74</v>
      </c>
      <c r="D948" s="1" t="s">
        <v>74</v>
      </c>
      <c r="E948" s="1" t="s">
        <v>74</v>
      </c>
      <c r="F948" s="1" t="s">
        <v>9146</v>
      </c>
      <c r="G948" s="1" t="s">
        <v>74</v>
      </c>
      <c r="H948" s="1" t="s">
        <v>74</v>
      </c>
      <c r="I948" s="1" t="s">
        <v>9147</v>
      </c>
      <c r="J948" s="1" t="s">
        <v>7166</v>
      </c>
      <c r="K948" s="1" t="s">
        <v>74</v>
      </c>
      <c r="L948" s="1" t="s">
        <v>74</v>
      </c>
      <c r="M948" s="1" t="s">
        <v>74</v>
      </c>
      <c r="N948" s="1" t="s">
        <v>74</v>
      </c>
      <c r="O948" s="1" t="s">
        <v>74</v>
      </c>
      <c r="P948" s="1" t="s">
        <v>74</v>
      </c>
      <c r="Q948" s="1" t="s">
        <v>74</v>
      </c>
      <c r="R948" s="1" t="s">
        <v>74</v>
      </c>
      <c r="S948" s="1" t="s">
        <v>74</v>
      </c>
      <c r="T948" s="1" t="s">
        <v>74</v>
      </c>
      <c r="U948" s="1" t="s">
        <v>74</v>
      </c>
      <c r="V948" s="1" t="s">
        <v>9148</v>
      </c>
      <c r="W948" s="1" t="s">
        <v>74</v>
      </c>
      <c r="X948" s="1" t="s">
        <v>74</v>
      </c>
      <c r="Y948" s="1" t="s">
        <v>74</v>
      </c>
      <c r="Z948" s="1" t="s">
        <v>74</v>
      </c>
      <c r="AA948" s="1" t="s">
        <v>9149</v>
      </c>
      <c r="AB948" s="1" t="s">
        <v>9150</v>
      </c>
      <c r="AC948" s="1" t="s">
        <v>74</v>
      </c>
      <c r="AD948" s="1" t="s">
        <v>74</v>
      </c>
      <c r="AE948" s="1" t="s">
        <v>74</v>
      </c>
      <c r="AF948" s="1" t="s">
        <v>74</v>
      </c>
      <c r="AG948" s="1" t="s">
        <v>74</v>
      </c>
      <c r="AH948" s="1" t="s">
        <v>74</v>
      </c>
      <c r="AI948" s="1" t="s">
        <v>74</v>
      </c>
      <c r="AJ948" s="1" t="s">
        <v>74</v>
      </c>
      <c r="AK948" s="1" t="s">
        <v>74</v>
      </c>
      <c r="AL948" s="1" t="s">
        <v>74</v>
      </c>
      <c r="AM948" s="1" t="s">
        <v>74</v>
      </c>
      <c r="AN948" s="1" t="s">
        <v>74</v>
      </c>
      <c r="AO948" s="1" t="s">
        <v>7170</v>
      </c>
      <c r="AP948" s="1" t="s">
        <v>74</v>
      </c>
      <c r="AQ948" s="1" t="s">
        <v>74</v>
      </c>
      <c r="AR948" s="1" t="s">
        <v>74</v>
      </c>
      <c r="AS948" s="1" t="s">
        <v>74</v>
      </c>
      <c r="AT948" s="1" t="s">
        <v>235</v>
      </c>
      <c r="AU948" s="1">
        <v>2022.0</v>
      </c>
      <c r="AV948" s="1">
        <v>11.0</v>
      </c>
      <c r="AW948" s="1">
        <v>3.0</v>
      </c>
      <c r="AX948" s="1" t="s">
        <v>74</v>
      </c>
      <c r="AY948" s="1" t="s">
        <v>74</v>
      </c>
      <c r="AZ948" s="1" t="s">
        <v>74</v>
      </c>
      <c r="BA948" s="1" t="s">
        <v>74</v>
      </c>
      <c r="BB948" s="1" t="s">
        <v>74</v>
      </c>
      <c r="BC948" s="1" t="s">
        <v>74</v>
      </c>
      <c r="BD948" s="1">
        <v>418.0</v>
      </c>
      <c r="BE948" s="1" t="s">
        <v>9151</v>
      </c>
      <c r="BF948" s="2" t="str">
        <f>HYPERLINK("http://dx.doi.org/10.3390/plants11030418","http://dx.doi.org/10.3390/plants11030418")</f>
        <v>http://dx.doi.org/10.3390/plants11030418</v>
      </c>
      <c r="BG948" s="1" t="s">
        <v>74</v>
      </c>
      <c r="BH948" s="1" t="s">
        <v>74</v>
      </c>
      <c r="BI948" s="1" t="s">
        <v>74</v>
      </c>
      <c r="BJ948" s="1" t="s">
        <v>74</v>
      </c>
      <c r="BK948" s="1" t="s">
        <v>74</v>
      </c>
      <c r="BL948" s="1" t="s">
        <v>74</v>
      </c>
      <c r="BM948" s="1" t="s">
        <v>74</v>
      </c>
      <c r="BN948" s="1">
        <v>3.5161399E7</v>
      </c>
      <c r="BO948" s="1" t="s">
        <v>74</v>
      </c>
      <c r="BP948" s="1" t="s">
        <v>74</v>
      </c>
      <c r="BQ948" s="1" t="s">
        <v>74</v>
      </c>
      <c r="BR948" s="1" t="s">
        <v>74</v>
      </c>
      <c r="BS948" s="1" t="s">
        <v>9152</v>
      </c>
      <c r="BT948" s="1" t="str">
        <f>HYPERLINK("https%3A%2F%2Fwww.webofscience.com%2Fwos%2Fwoscc%2Ffull-record%2FWOS:000754785400001","View Full Record in Web of Science")</f>
        <v>View Full Record in Web of Science</v>
      </c>
    </row>
    <row r="949" ht="12.75" customHeight="1">
      <c r="A949" s="1" t="s">
        <v>72</v>
      </c>
      <c r="B949" s="1" t="s">
        <v>9153</v>
      </c>
      <c r="C949" s="1" t="s">
        <v>74</v>
      </c>
      <c r="D949" s="1" t="s">
        <v>74</v>
      </c>
      <c r="E949" s="1" t="s">
        <v>74</v>
      </c>
      <c r="F949" s="1" t="s">
        <v>9154</v>
      </c>
      <c r="G949" s="1" t="s">
        <v>74</v>
      </c>
      <c r="H949" s="1" t="s">
        <v>74</v>
      </c>
      <c r="I949" s="1" t="s">
        <v>9155</v>
      </c>
      <c r="J949" s="1" t="s">
        <v>4412</v>
      </c>
      <c r="K949" s="1" t="s">
        <v>74</v>
      </c>
      <c r="L949" s="1" t="s">
        <v>74</v>
      </c>
      <c r="M949" s="1" t="s">
        <v>74</v>
      </c>
      <c r="N949" s="1" t="s">
        <v>74</v>
      </c>
      <c r="O949" s="1" t="s">
        <v>74</v>
      </c>
      <c r="P949" s="1" t="s">
        <v>74</v>
      </c>
      <c r="Q949" s="1" t="s">
        <v>74</v>
      </c>
      <c r="R949" s="1" t="s">
        <v>74</v>
      </c>
      <c r="S949" s="1" t="s">
        <v>74</v>
      </c>
      <c r="T949" s="1" t="s">
        <v>74</v>
      </c>
      <c r="U949" s="1" t="s">
        <v>74</v>
      </c>
      <c r="V949" s="1" t="s">
        <v>9156</v>
      </c>
      <c r="W949" s="1" t="s">
        <v>74</v>
      </c>
      <c r="X949" s="1" t="s">
        <v>74</v>
      </c>
      <c r="Y949" s="1" t="s">
        <v>74</v>
      </c>
      <c r="Z949" s="1" t="s">
        <v>74</v>
      </c>
      <c r="AA949" s="1" t="s">
        <v>9157</v>
      </c>
      <c r="AB949" s="1" t="s">
        <v>9158</v>
      </c>
      <c r="AC949" s="1" t="s">
        <v>74</v>
      </c>
      <c r="AD949" s="1" t="s">
        <v>74</v>
      </c>
      <c r="AE949" s="1" t="s">
        <v>74</v>
      </c>
      <c r="AF949" s="1" t="s">
        <v>74</v>
      </c>
      <c r="AG949" s="1" t="s">
        <v>74</v>
      </c>
      <c r="AH949" s="1" t="s">
        <v>74</v>
      </c>
      <c r="AI949" s="1" t="s">
        <v>74</v>
      </c>
      <c r="AJ949" s="1" t="s">
        <v>74</v>
      </c>
      <c r="AK949" s="1" t="s">
        <v>74</v>
      </c>
      <c r="AL949" s="1" t="s">
        <v>74</v>
      </c>
      <c r="AM949" s="1" t="s">
        <v>74</v>
      </c>
      <c r="AN949" s="1" t="s">
        <v>74</v>
      </c>
      <c r="AO949" s="1" t="s">
        <v>74</v>
      </c>
      <c r="AP949" s="1" t="s">
        <v>4416</v>
      </c>
      <c r="AQ949" s="1" t="s">
        <v>74</v>
      </c>
      <c r="AR949" s="1" t="s">
        <v>74</v>
      </c>
      <c r="AS949" s="1" t="s">
        <v>74</v>
      </c>
      <c r="AT949" s="1" t="s">
        <v>350</v>
      </c>
      <c r="AU949" s="1">
        <v>2021.0</v>
      </c>
      <c r="AV949" s="1">
        <v>18.0</v>
      </c>
      <c r="AW949" s="1">
        <v>15.0</v>
      </c>
      <c r="AX949" s="1" t="s">
        <v>74</v>
      </c>
      <c r="AY949" s="1" t="s">
        <v>74</v>
      </c>
      <c r="AZ949" s="1" t="s">
        <v>74</v>
      </c>
      <c r="BA949" s="1" t="s">
        <v>74</v>
      </c>
      <c r="BB949" s="1" t="s">
        <v>74</v>
      </c>
      <c r="BC949" s="1" t="s">
        <v>74</v>
      </c>
      <c r="BD949" s="1">
        <v>7722.0</v>
      </c>
      <c r="BE949" s="1" t="s">
        <v>9159</v>
      </c>
      <c r="BF949" s="2" t="str">
        <f>HYPERLINK("http://dx.doi.org/10.3390/ijerph18157722","http://dx.doi.org/10.3390/ijerph18157722")</f>
        <v>http://dx.doi.org/10.3390/ijerph18157722</v>
      </c>
      <c r="BG949" s="1" t="s">
        <v>74</v>
      </c>
      <c r="BH949" s="1" t="s">
        <v>74</v>
      </c>
      <c r="BI949" s="1" t="s">
        <v>74</v>
      </c>
      <c r="BJ949" s="1" t="s">
        <v>74</v>
      </c>
      <c r="BK949" s="1" t="s">
        <v>74</v>
      </c>
      <c r="BL949" s="1" t="s">
        <v>74</v>
      </c>
      <c r="BM949" s="1" t="s">
        <v>74</v>
      </c>
      <c r="BN949" s="1">
        <v>3.4360016E7</v>
      </c>
      <c r="BO949" s="1" t="s">
        <v>74</v>
      </c>
      <c r="BP949" s="1" t="s">
        <v>74</v>
      </c>
      <c r="BQ949" s="1" t="s">
        <v>74</v>
      </c>
      <c r="BR949" s="1" t="s">
        <v>74</v>
      </c>
      <c r="BS949" s="1" t="s">
        <v>9160</v>
      </c>
      <c r="BT949" s="1" t="str">
        <f>HYPERLINK("https%3A%2F%2Fwww.webofscience.com%2Fwos%2Fwoscc%2Ffull-record%2FWOS:000681844600001","View Full Record in Web of Science")</f>
        <v>View Full Record in Web of Science</v>
      </c>
    </row>
    <row r="950" ht="12.75" customHeight="1">
      <c r="A950" s="1" t="s">
        <v>72</v>
      </c>
      <c r="B950" s="1" t="s">
        <v>9161</v>
      </c>
      <c r="C950" s="1" t="s">
        <v>74</v>
      </c>
      <c r="D950" s="1" t="s">
        <v>74</v>
      </c>
      <c r="E950" s="1" t="s">
        <v>74</v>
      </c>
      <c r="F950" s="1" t="s">
        <v>9162</v>
      </c>
      <c r="G950" s="1" t="s">
        <v>74</v>
      </c>
      <c r="H950" s="1" t="s">
        <v>74</v>
      </c>
      <c r="I950" s="1" t="s">
        <v>9163</v>
      </c>
      <c r="J950" s="1" t="s">
        <v>9164</v>
      </c>
      <c r="K950" s="1" t="s">
        <v>74</v>
      </c>
      <c r="L950" s="1" t="s">
        <v>74</v>
      </c>
      <c r="M950" s="1" t="s">
        <v>74</v>
      </c>
      <c r="N950" s="1" t="s">
        <v>74</v>
      </c>
      <c r="O950" s="1" t="s">
        <v>74</v>
      </c>
      <c r="P950" s="1" t="s">
        <v>74</v>
      </c>
      <c r="Q950" s="1" t="s">
        <v>74</v>
      </c>
      <c r="R950" s="1" t="s">
        <v>74</v>
      </c>
      <c r="S950" s="1" t="s">
        <v>74</v>
      </c>
      <c r="T950" s="1" t="s">
        <v>74</v>
      </c>
      <c r="U950" s="1" t="s">
        <v>74</v>
      </c>
      <c r="V950" s="1" t="s">
        <v>9165</v>
      </c>
      <c r="W950" s="1" t="s">
        <v>74</v>
      </c>
      <c r="X950" s="1" t="s">
        <v>74</v>
      </c>
      <c r="Y950" s="1" t="s">
        <v>74</v>
      </c>
      <c r="Z950" s="1" t="s">
        <v>74</v>
      </c>
      <c r="AA950" s="1" t="s">
        <v>9166</v>
      </c>
      <c r="AB950" s="1" t="s">
        <v>9167</v>
      </c>
      <c r="AC950" s="1" t="s">
        <v>74</v>
      </c>
      <c r="AD950" s="1" t="s">
        <v>74</v>
      </c>
      <c r="AE950" s="1" t="s">
        <v>74</v>
      </c>
      <c r="AF950" s="1" t="s">
        <v>74</v>
      </c>
      <c r="AG950" s="1" t="s">
        <v>74</v>
      </c>
      <c r="AH950" s="1" t="s">
        <v>74</v>
      </c>
      <c r="AI950" s="1" t="s">
        <v>74</v>
      </c>
      <c r="AJ950" s="1" t="s">
        <v>74</v>
      </c>
      <c r="AK950" s="1" t="s">
        <v>74</v>
      </c>
      <c r="AL950" s="1" t="s">
        <v>74</v>
      </c>
      <c r="AM950" s="1" t="s">
        <v>74</v>
      </c>
      <c r="AN950" s="1" t="s">
        <v>74</v>
      </c>
      <c r="AO950" s="1" t="s">
        <v>74</v>
      </c>
      <c r="AP950" s="1" t="s">
        <v>9168</v>
      </c>
      <c r="AQ950" s="1" t="s">
        <v>74</v>
      </c>
      <c r="AR950" s="1" t="s">
        <v>74</v>
      </c>
      <c r="AS950" s="1" t="s">
        <v>74</v>
      </c>
      <c r="AT950" s="1" t="s">
        <v>158</v>
      </c>
      <c r="AU950" s="1">
        <v>2021.0</v>
      </c>
      <c r="AV950" s="1">
        <v>11.0</v>
      </c>
      <c r="AW950" s="1">
        <v>7.0</v>
      </c>
      <c r="AX950" s="1" t="s">
        <v>74</v>
      </c>
      <c r="AY950" s="1" t="s">
        <v>74</v>
      </c>
      <c r="AZ950" s="1" t="s">
        <v>74</v>
      </c>
      <c r="BA950" s="1" t="s">
        <v>74</v>
      </c>
      <c r="BB950" s="1" t="s">
        <v>74</v>
      </c>
      <c r="BC950" s="1" t="s">
        <v>74</v>
      </c>
      <c r="BD950" s="1">
        <v>432.0</v>
      </c>
      <c r="BE950" s="1" t="s">
        <v>9169</v>
      </c>
      <c r="BF950" s="2" t="str">
        <f>HYPERLINK("http://dx.doi.org/10.3390/metabo11070432","http://dx.doi.org/10.3390/metabo11070432")</f>
        <v>http://dx.doi.org/10.3390/metabo11070432</v>
      </c>
      <c r="BG950" s="1" t="s">
        <v>74</v>
      </c>
      <c r="BH950" s="1" t="s">
        <v>74</v>
      </c>
      <c r="BI950" s="1" t="s">
        <v>74</v>
      </c>
      <c r="BJ950" s="1" t="s">
        <v>74</v>
      </c>
      <c r="BK950" s="1" t="s">
        <v>74</v>
      </c>
      <c r="BL950" s="1" t="s">
        <v>74</v>
      </c>
      <c r="BM950" s="1" t="s">
        <v>74</v>
      </c>
      <c r="BN950" s="1">
        <v>3.4357326E7</v>
      </c>
      <c r="BO950" s="1" t="s">
        <v>74</v>
      </c>
      <c r="BP950" s="1" t="s">
        <v>74</v>
      </c>
      <c r="BQ950" s="1" t="s">
        <v>74</v>
      </c>
      <c r="BR950" s="1" t="s">
        <v>74</v>
      </c>
      <c r="BS950" s="1" t="s">
        <v>9170</v>
      </c>
      <c r="BT950" s="1" t="str">
        <f>HYPERLINK("https%3A%2F%2Fwww.webofscience.com%2Fwos%2Fwoscc%2Ffull-record%2FWOS:000676365400001","View Full Record in Web of Science")</f>
        <v>View Full Record in Web of Science</v>
      </c>
    </row>
    <row r="951" ht="12.75" customHeight="1">
      <c r="A951" s="1" t="s">
        <v>72</v>
      </c>
      <c r="B951" s="1" t="s">
        <v>9171</v>
      </c>
      <c r="C951" s="1" t="s">
        <v>74</v>
      </c>
      <c r="D951" s="1" t="s">
        <v>74</v>
      </c>
      <c r="E951" s="1" t="s">
        <v>74</v>
      </c>
      <c r="F951" s="1" t="s">
        <v>9172</v>
      </c>
      <c r="G951" s="1" t="s">
        <v>74</v>
      </c>
      <c r="H951" s="1" t="s">
        <v>74</v>
      </c>
      <c r="I951" s="1" t="s">
        <v>9173</v>
      </c>
      <c r="J951" s="1" t="s">
        <v>9174</v>
      </c>
      <c r="K951" s="1" t="s">
        <v>74</v>
      </c>
      <c r="L951" s="1" t="s">
        <v>74</v>
      </c>
      <c r="M951" s="1" t="s">
        <v>74</v>
      </c>
      <c r="N951" s="1" t="s">
        <v>74</v>
      </c>
      <c r="O951" s="1" t="s">
        <v>74</v>
      </c>
      <c r="P951" s="1" t="s">
        <v>74</v>
      </c>
      <c r="Q951" s="1" t="s">
        <v>74</v>
      </c>
      <c r="R951" s="1" t="s">
        <v>74</v>
      </c>
      <c r="S951" s="1" t="s">
        <v>74</v>
      </c>
      <c r="T951" s="1" t="s">
        <v>74</v>
      </c>
      <c r="U951" s="1" t="s">
        <v>74</v>
      </c>
      <c r="V951" s="1" t="s">
        <v>9175</v>
      </c>
      <c r="W951" s="1" t="s">
        <v>74</v>
      </c>
      <c r="X951" s="1" t="s">
        <v>74</v>
      </c>
      <c r="Y951" s="1" t="s">
        <v>74</v>
      </c>
      <c r="Z951" s="1" t="s">
        <v>74</v>
      </c>
      <c r="AA951" s="1" t="s">
        <v>74</v>
      </c>
      <c r="AB951" s="1" t="s">
        <v>9176</v>
      </c>
      <c r="AC951" s="1" t="s">
        <v>74</v>
      </c>
      <c r="AD951" s="1" t="s">
        <v>74</v>
      </c>
      <c r="AE951" s="1" t="s">
        <v>74</v>
      </c>
      <c r="AF951" s="1" t="s">
        <v>74</v>
      </c>
      <c r="AG951" s="1" t="s">
        <v>74</v>
      </c>
      <c r="AH951" s="1" t="s">
        <v>74</v>
      </c>
      <c r="AI951" s="1" t="s">
        <v>74</v>
      </c>
      <c r="AJ951" s="1" t="s">
        <v>74</v>
      </c>
      <c r="AK951" s="1" t="s">
        <v>74</v>
      </c>
      <c r="AL951" s="1" t="s">
        <v>74</v>
      </c>
      <c r="AM951" s="1" t="s">
        <v>74</v>
      </c>
      <c r="AN951" s="1" t="s">
        <v>74</v>
      </c>
      <c r="AO951" s="1" t="s">
        <v>9177</v>
      </c>
      <c r="AP951" s="1" t="s">
        <v>9178</v>
      </c>
      <c r="AQ951" s="1" t="s">
        <v>74</v>
      </c>
      <c r="AR951" s="1" t="s">
        <v>74</v>
      </c>
      <c r="AS951" s="1" t="s">
        <v>74</v>
      </c>
      <c r="AT951" s="1" t="s">
        <v>350</v>
      </c>
      <c r="AU951" s="1">
        <v>2021.0</v>
      </c>
      <c r="AV951" s="1">
        <v>203.0</v>
      </c>
      <c r="AW951" s="1" t="s">
        <v>74</v>
      </c>
      <c r="AX951" s="1" t="s">
        <v>74</v>
      </c>
      <c r="AY951" s="1" t="s">
        <v>74</v>
      </c>
      <c r="AZ951" s="1" t="s">
        <v>74</v>
      </c>
      <c r="BA951" s="1" t="s">
        <v>74</v>
      </c>
      <c r="BB951" s="1" t="s">
        <v>74</v>
      </c>
      <c r="BC951" s="1" t="s">
        <v>74</v>
      </c>
      <c r="BD951" s="1">
        <v>105698.0</v>
      </c>
      <c r="BE951" s="1" t="s">
        <v>9179</v>
      </c>
      <c r="BF951" s="2" t="str">
        <f>HYPERLINK("http://dx.doi.org/10.1016/j.hydromet.2021.105698","http://dx.doi.org/10.1016/j.hydromet.2021.105698")</f>
        <v>http://dx.doi.org/10.1016/j.hydromet.2021.105698</v>
      </c>
      <c r="BG951" s="1" t="s">
        <v>74</v>
      </c>
      <c r="BH951" s="1" t="s">
        <v>296</v>
      </c>
      <c r="BI951" s="1" t="s">
        <v>74</v>
      </c>
      <c r="BJ951" s="1" t="s">
        <v>74</v>
      </c>
      <c r="BK951" s="1" t="s">
        <v>74</v>
      </c>
      <c r="BL951" s="1" t="s">
        <v>74</v>
      </c>
      <c r="BM951" s="1" t="s">
        <v>74</v>
      </c>
      <c r="BN951" s="1" t="s">
        <v>74</v>
      </c>
      <c r="BO951" s="1" t="s">
        <v>74</v>
      </c>
      <c r="BP951" s="1" t="s">
        <v>74</v>
      </c>
      <c r="BQ951" s="1" t="s">
        <v>74</v>
      </c>
      <c r="BR951" s="1" t="s">
        <v>74</v>
      </c>
      <c r="BS951" s="1" t="s">
        <v>9180</v>
      </c>
      <c r="BT951" s="1" t="str">
        <f>HYPERLINK("https%3A%2F%2Fwww.webofscience.com%2Fwos%2Fwoscc%2Ffull-record%2FWOS:000670150400004","View Full Record in Web of Science")</f>
        <v>View Full Record in Web of Science</v>
      </c>
    </row>
    <row r="952" ht="12.75" customHeight="1">
      <c r="A952" s="1" t="s">
        <v>72</v>
      </c>
      <c r="B952" s="1" t="s">
        <v>9181</v>
      </c>
      <c r="C952" s="1" t="s">
        <v>74</v>
      </c>
      <c r="D952" s="1" t="s">
        <v>74</v>
      </c>
      <c r="E952" s="1" t="s">
        <v>74</v>
      </c>
      <c r="F952" s="1" t="s">
        <v>9182</v>
      </c>
      <c r="G952" s="1" t="s">
        <v>74</v>
      </c>
      <c r="H952" s="1" t="s">
        <v>74</v>
      </c>
      <c r="I952" s="1" t="s">
        <v>9183</v>
      </c>
      <c r="J952" s="1" t="s">
        <v>2088</v>
      </c>
      <c r="K952" s="1" t="s">
        <v>74</v>
      </c>
      <c r="L952" s="1" t="s">
        <v>74</v>
      </c>
      <c r="M952" s="1" t="s">
        <v>74</v>
      </c>
      <c r="N952" s="1" t="s">
        <v>74</v>
      </c>
      <c r="O952" s="1" t="s">
        <v>74</v>
      </c>
      <c r="P952" s="1" t="s">
        <v>74</v>
      </c>
      <c r="Q952" s="1" t="s">
        <v>74</v>
      </c>
      <c r="R952" s="1" t="s">
        <v>74</v>
      </c>
      <c r="S952" s="1" t="s">
        <v>74</v>
      </c>
      <c r="T952" s="1" t="s">
        <v>74</v>
      </c>
      <c r="U952" s="1" t="s">
        <v>74</v>
      </c>
      <c r="V952" s="1" t="s">
        <v>9184</v>
      </c>
      <c r="W952" s="1" t="s">
        <v>74</v>
      </c>
      <c r="X952" s="1" t="s">
        <v>74</v>
      </c>
      <c r="Y952" s="1" t="s">
        <v>74</v>
      </c>
      <c r="Z952" s="1" t="s">
        <v>74</v>
      </c>
      <c r="AA952" s="1" t="s">
        <v>9185</v>
      </c>
      <c r="AB952" s="1" t="s">
        <v>9186</v>
      </c>
      <c r="AC952" s="1" t="s">
        <v>74</v>
      </c>
      <c r="AD952" s="1" t="s">
        <v>74</v>
      </c>
      <c r="AE952" s="1" t="s">
        <v>74</v>
      </c>
      <c r="AF952" s="1" t="s">
        <v>74</v>
      </c>
      <c r="AG952" s="1" t="s">
        <v>74</v>
      </c>
      <c r="AH952" s="1" t="s">
        <v>74</v>
      </c>
      <c r="AI952" s="1" t="s">
        <v>74</v>
      </c>
      <c r="AJ952" s="1" t="s">
        <v>74</v>
      </c>
      <c r="AK952" s="1" t="s">
        <v>74</v>
      </c>
      <c r="AL952" s="1" t="s">
        <v>74</v>
      </c>
      <c r="AM952" s="1" t="s">
        <v>74</v>
      </c>
      <c r="AN952" s="1" t="s">
        <v>74</v>
      </c>
      <c r="AO952" s="1" t="s">
        <v>2092</v>
      </c>
      <c r="AP952" s="1" t="s">
        <v>2093</v>
      </c>
      <c r="AQ952" s="1" t="s">
        <v>74</v>
      </c>
      <c r="AR952" s="1" t="s">
        <v>74</v>
      </c>
      <c r="AS952" s="1" t="s">
        <v>74</v>
      </c>
      <c r="AT952" s="1" t="s">
        <v>4379</v>
      </c>
      <c r="AU952" s="1">
        <v>2021.0</v>
      </c>
      <c r="AV952" s="1">
        <v>23.0</v>
      </c>
      <c r="AW952" s="1">
        <v>11.0</v>
      </c>
      <c r="AX952" s="1" t="s">
        <v>74</v>
      </c>
      <c r="AY952" s="1" t="s">
        <v>74</v>
      </c>
      <c r="AZ952" s="1" t="s">
        <v>74</v>
      </c>
      <c r="BA952" s="1" t="s">
        <v>74</v>
      </c>
      <c r="BB952" s="1">
        <v>6896.0</v>
      </c>
      <c r="BC952" s="1">
        <v>6902.0</v>
      </c>
      <c r="BD952" s="1" t="s">
        <v>74</v>
      </c>
      <c r="BE952" s="1" t="s">
        <v>9187</v>
      </c>
      <c r="BF952" s="2" t="str">
        <f>HYPERLINK("http://dx.doi.org/10.1039/d0cp05177b","http://dx.doi.org/10.1039/d0cp05177b")</f>
        <v>http://dx.doi.org/10.1039/d0cp05177b</v>
      </c>
      <c r="BG952" s="1" t="s">
        <v>74</v>
      </c>
      <c r="BH952" s="1" t="s">
        <v>74</v>
      </c>
      <c r="BI952" s="1" t="s">
        <v>74</v>
      </c>
      <c r="BJ952" s="1" t="s">
        <v>74</v>
      </c>
      <c r="BK952" s="1" t="s">
        <v>74</v>
      </c>
      <c r="BL952" s="1" t="s">
        <v>74</v>
      </c>
      <c r="BM952" s="1" t="s">
        <v>74</v>
      </c>
      <c r="BN952" s="1">
        <v>3.3729248E7</v>
      </c>
      <c r="BO952" s="1" t="s">
        <v>74</v>
      </c>
      <c r="BP952" s="1" t="s">
        <v>74</v>
      </c>
      <c r="BQ952" s="1" t="s">
        <v>74</v>
      </c>
      <c r="BR952" s="1" t="s">
        <v>74</v>
      </c>
      <c r="BS952" s="1" t="s">
        <v>9188</v>
      </c>
      <c r="BT952" s="1" t="str">
        <f>HYPERLINK("https%3A%2F%2Fwww.webofscience.com%2Fwos%2Fwoscc%2Ffull-record%2FWOS:000632849700054","View Full Record in Web of Science")</f>
        <v>View Full Record in Web of Science</v>
      </c>
    </row>
    <row r="953" ht="12.75" customHeight="1">
      <c r="A953" s="1" t="s">
        <v>72</v>
      </c>
      <c r="B953" s="1" t="s">
        <v>9189</v>
      </c>
      <c r="C953" s="1" t="s">
        <v>74</v>
      </c>
      <c r="D953" s="1" t="s">
        <v>74</v>
      </c>
      <c r="E953" s="1" t="s">
        <v>74</v>
      </c>
      <c r="F953" s="1" t="s">
        <v>9190</v>
      </c>
      <c r="G953" s="1" t="s">
        <v>74</v>
      </c>
      <c r="H953" s="1" t="s">
        <v>74</v>
      </c>
      <c r="I953" s="1" t="s">
        <v>9191</v>
      </c>
      <c r="J953" s="1" t="s">
        <v>4163</v>
      </c>
      <c r="K953" s="1" t="s">
        <v>74</v>
      </c>
      <c r="L953" s="1" t="s">
        <v>74</v>
      </c>
      <c r="M953" s="1" t="s">
        <v>74</v>
      </c>
      <c r="N953" s="1" t="s">
        <v>74</v>
      </c>
      <c r="O953" s="1" t="s">
        <v>74</v>
      </c>
      <c r="P953" s="1" t="s">
        <v>74</v>
      </c>
      <c r="Q953" s="1" t="s">
        <v>74</v>
      </c>
      <c r="R953" s="1" t="s">
        <v>74</v>
      </c>
      <c r="S953" s="1" t="s">
        <v>74</v>
      </c>
      <c r="T953" s="1" t="s">
        <v>74</v>
      </c>
      <c r="U953" s="1" t="s">
        <v>74</v>
      </c>
      <c r="V953" s="1" t="s">
        <v>9192</v>
      </c>
      <c r="W953" s="1" t="s">
        <v>74</v>
      </c>
      <c r="X953" s="1" t="s">
        <v>74</v>
      </c>
      <c r="Y953" s="1" t="s">
        <v>74</v>
      </c>
      <c r="Z953" s="1" t="s">
        <v>74</v>
      </c>
      <c r="AA953" s="1" t="s">
        <v>3073</v>
      </c>
      <c r="AB953" s="1" t="s">
        <v>9193</v>
      </c>
      <c r="AC953" s="1" t="s">
        <v>74</v>
      </c>
      <c r="AD953" s="1" t="s">
        <v>74</v>
      </c>
      <c r="AE953" s="1" t="s">
        <v>74</v>
      </c>
      <c r="AF953" s="1" t="s">
        <v>74</v>
      </c>
      <c r="AG953" s="1" t="s">
        <v>74</v>
      </c>
      <c r="AH953" s="1" t="s">
        <v>74</v>
      </c>
      <c r="AI953" s="1" t="s">
        <v>74</v>
      </c>
      <c r="AJ953" s="1" t="s">
        <v>74</v>
      </c>
      <c r="AK953" s="1" t="s">
        <v>74</v>
      </c>
      <c r="AL953" s="1" t="s">
        <v>74</v>
      </c>
      <c r="AM953" s="1" t="s">
        <v>74</v>
      </c>
      <c r="AN953" s="1" t="s">
        <v>74</v>
      </c>
      <c r="AO953" s="1" t="s">
        <v>74</v>
      </c>
      <c r="AP953" s="1" t="s">
        <v>4167</v>
      </c>
      <c r="AQ953" s="1" t="s">
        <v>74</v>
      </c>
      <c r="AR953" s="1" t="s">
        <v>74</v>
      </c>
      <c r="AS953" s="1" t="s">
        <v>74</v>
      </c>
      <c r="AT953" s="1" t="s">
        <v>257</v>
      </c>
      <c r="AU953" s="1">
        <v>2021.0</v>
      </c>
      <c r="AV953" s="1">
        <v>26.0</v>
      </c>
      <c r="AW953" s="1">
        <v>6.0</v>
      </c>
      <c r="AX953" s="1" t="s">
        <v>74</v>
      </c>
      <c r="AY953" s="1" t="s">
        <v>74</v>
      </c>
      <c r="AZ953" s="1" t="s">
        <v>74</v>
      </c>
      <c r="BA953" s="1" t="s">
        <v>74</v>
      </c>
      <c r="BB953" s="1" t="s">
        <v>74</v>
      </c>
      <c r="BC953" s="1" t="s">
        <v>74</v>
      </c>
      <c r="BD953" s="1">
        <v>1631.0</v>
      </c>
      <c r="BE953" s="1" t="s">
        <v>9194</v>
      </c>
      <c r="BF953" s="2" t="str">
        <f>HYPERLINK("http://dx.doi.org/10.3390/molecules26061631","http://dx.doi.org/10.3390/molecules26061631")</f>
        <v>http://dx.doi.org/10.3390/molecules26061631</v>
      </c>
      <c r="BG953" s="1" t="s">
        <v>74</v>
      </c>
      <c r="BH953" s="1" t="s">
        <v>74</v>
      </c>
      <c r="BI953" s="1" t="s">
        <v>74</v>
      </c>
      <c r="BJ953" s="1" t="s">
        <v>74</v>
      </c>
      <c r="BK953" s="1" t="s">
        <v>74</v>
      </c>
      <c r="BL953" s="1" t="s">
        <v>74</v>
      </c>
      <c r="BM953" s="1" t="s">
        <v>74</v>
      </c>
      <c r="BN953" s="1">
        <v>3.3804112E7</v>
      </c>
      <c r="BO953" s="1" t="s">
        <v>74</v>
      </c>
      <c r="BP953" s="1" t="s">
        <v>74</v>
      </c>
      <c r="BQ953" s="1" t="s">
        <v>74</v>
      </c>
      <c r="BR953" s="1" t="s">
        <v>74</v>
      </c>
      <c r="BS953" s="1" t="s">
        <v>9195</v>
      </c>
      <c r="BT953" s="1" t="str">
        <f>HYPERLINK("https%3A%2F%2Fwww.webofscience.com%2Fwos%2Fwoscc%2Ffull-record%2FWOS:000645399600001","View Full Record in Web of Science")</f>
        <v>View Full Record in Web of Science</v>
      </c>
    </row>
    <row r="954" ht="12.75" customHeight="1">
      <c r="A954" s="1" t="s">
        <v>274</v>
      </c>
      <c r="B954" s="1" t="s">
        <v>9196</v>
      </c>
      <c r="C954" s="1" t="s">
        <v>74</v>
      </c>
      <c r="D954" s="1" t="s">
        <v>9197</v>
      </c>
      <c r="E954" s="1" t="s">
        <v>74</v>
      </c>
      <c r="F954" s="1" t="s">
        <v>9198</v>
      </c>
      <c r="G954" s="1" t="s">
        <v>74</v>
      </c>
      <c r="H954" s="1" t="s">
        <v>74</v>
      </c>
      <c r="I954" s="1" t="s">
        <v>9199</v>
      </c>
      <c r="J954" s="1" t="s">
        <v>9200</v>
      </c>
      <c r="K954" s="1" t="s">
        <v>74</v>
      </c>
      <c r="L954" s="1" t="s">
        <v>74</v>
      </c>
      <c r="M954" s="1" t="s">
        <v>74</v>
      </c>
      <c r="N954" s="1" t="s">
        <v>74</v>
      </c>
      <c r="O954" s="1" t="s">
        <v>74</v>
      </c>
      <c r="P954" s="1" t="s">
        <v>74</v>
      </c>
      <c r="Q954" s="1" t="s">
        <v>74</v>
      </c>
      <c r="R954" s="1" t="s">
        <v>74</v>
      </c>
      <c r="S954" s="1" t="s">
        <v>74</v>
      </c>
      <c r="T954" s="1" t="s">
        <v>74</v>
      </c>
      <c r="U954" s="1" t="s">
        <v>74</v>
      </c>
      <c r="V954" s="1" t="s">
        <v>74</v>
      </c>
      <c r="W954" s="1" t="s">
        <v>74</v>
      </c>
      <c r="X954" s="1" t="s">
        <v>74</v>
      </c>
      <c r="Y954" s="1" t="s">
        <v>74</v>
      </c>
      <c r="Z954" s="1" t="s">
        <v>74</v>
      </c>
      <c r="AA954" s="1" t="s">
        <v>9201</v>
      </c>
      <c r="AB954" s="1" t="s">
        <v>9202</v>
      </c>
      <c r="AC954" s="1" t="s">
        <v>74</v>
      </c>
      <c r="AD954" s="1" t="s">
        <v>74</v>
      </c>
      <c r="AE954" s="1" t="s">
        <v>74</v>
      </c>
      <c r="AF954" s="1" t="s">
        <v>74</v>
      </c>
      <c r="AG954" s="1" t="s">
        <v>74</v>
      </c>
      <c r="AH954" s="1" t="s">
        <v>74</v>
      </c>
      <c r="AI954" s="1" t="s">
        <v>74</v>
      </c>
      <c r="AJ954" s="1" t="s">
        <v>74</v>
      </c>
      <c r="AK954" s="1" t="s">
        <v>74</v>
      </c>
      <c r="AL954" s="1" t="s">
        <v>74</v>
      </c>
      <c r="AM954" s="1" t="s">
        <v>74</v>
      </c>
      <c r="AN954" s="1" t="s">
        <v>74</v>
      </c>
      <c r="AO954" s="1" t="s">
        <v>74</v>
      </c>
      <c r="AP954" s="1" t="s">
        <v>74</v>
      </c>
      <c r="AQ954" s="1" t="s">
        <v>9203</v>
      </c>
      <c r="AR954" s="1" t="s">
        <v>74</v>
      </c>
      <c r="AS954" s="1" t="s">
        <v>74</v>
      </c>
      <c r="AT954" s="1" t="s">
        <v>74</v>
      </c>
      <c r="AU954" s="1">
        <v>2021.0</v>
      </c>
      <c r="AV954" s="1" t="s">
        <v>74</v>
      </c>
      <c r="AW954" s="1" t="s">
        <v>74</v>
      </c>
      <c r="AX954" s="1" t="s">
        <v>74</v>
      </c>
      <c r="AY954" s="1" t="s">
        <v>74</v>
      </c>
      <c r="AZ954" s="1" t="s">
        <v>74</v>
      </c>
      <c r="BA954" s="1" t="s">
        <v>74</v>
      </c>
      <c r="BB954" s="1">
        <v>187.0</v>
      </c>
      <c r="BC954" s="1">
        <v>209.0</v>
      </c>
      <c r="BD954" s="1" t="s">
        <v>74</v>
      </c>
      <c r="BE954" s="1" t="s">
        <v>74</v>
      </c>
      <c r="BF954" s="1" t="s">
        <v>74</v>
      </c>
      <c r="BG954" s="1" t="s">
        <v>74</v>
      </c>
      <c r="BH954" s="1" t="s">
        <v>74</v>
      </c>
      <c r="BI954" s="1" t="s">
        <v>74</v>
      </c>
      <c r="BJ954" s="1" t="s">
        <v>74</v>
      </c>
      <c r="BK954" s="1" t="s">
        <v>74</v>
      </c>
      <c r="BL954" s="1" t="s">
        <v>74</v>
      </c>
      <c r="BM954" s="1" t="s">
        <v>74</v>
      </c>
      <c r="BN954" s="1" t="s">
        <v>74</v>
      </c>
      <c r="BO954" s="1" t="s">
        <v>74</v>
      </c>
      <c r="BP954" s="1" t="s">
        <v>74</v>
      </c>
      <c r="BQ954" s="1" t="s">
        <v>74</v>
      </c>
      <c r="BR954" s="1" t="s">
        <v>74</v>
      </c>
      <c r="BS954" s="1" t="s">
        <v>9204</v>
      </c>
      <c r="BT954" s="1" t="str">
        <f>HYPERLINK("https%3A%2F%2Fwww.webofscience.com%2Fwos%2Fwoscc%2Ffull-record%2FWOS:000651158400010","View Full Record in Web of Science")</f>
        <v>View Full Record in Web of Science</v>
      </c>
    </row>
    <row r="955" ht="12.75" customHeight="1">
      <c r="A955" s="1" t="s">
        <v>72</v>
      </c>
      <c r="B955" s="1" t="s">
        <v>9205</v>
      </c>
      <c r="C955" s="1" t="s">
        <v>74</v>
      </c>
      <c r="D955" s="1" t="s">
        <v>74</v>
      </c>
      <c r="E955" s="1" t="s">
        <v>74</v>
      </c>
      <c r="F955" s="1" t="s">
        <v>9206</v>
      </c>
      <c r="G955" s="1" t="s">
        <v>74</v>
      </c>
      <c r="H955" s="1" t="s">
        <v>74</v>
      </c>
      <c r="I955" s="1" t="s">
        <v>9207</v>
      </c>
      <c r="J955" s="1" t="s">
        <v>1896</v>
      </c>
      <c r="K955" s="1" t="s">
        <v>74</v>
      </c>
      <c r="L955" s="1" t="s">
        <v>74</v>
      </c>
      <c r="M955" s="1" t="s">
        <v>74</v>
      </c>
      <c r="N955" s="1" t="s">
        <v>74</v>
      </c>
      <c r="O955" s="1" t="s">
        <v>74</v>
      </c>
      <c r="P955" s="1" t="s">
        <v>74</v>
      </c>
      <c r="Q955" s="1" t="s">
        <v>74</v>
      </c>
      <c r="R955" s="1" t="s">
        <v>74</v>
      </c>
      <c r="S955" s="1" t="s">
        <v>74</v>
      </c>
      <c r="T955" s="1" t="s">
        <v>74</v>
      </c>
      <c r="U955" s="1" t="s">
        <v>74</v>
      </c>
      <c r="V955" s="1" t="s">
        <v>9208</v>
      </c>
      <c r="W955" s="1" t="s">
        <v>74</v>
      </c>
      <c r="X955" s="1" t="s">
        <v>74</v>
      </c>
      <c r="Y955" s="1" t="s">
        <v>74</v>
      </c>
      <c r="Z955" s="1" t="s">
        <v>74</v>
      </c>
      <c r="AA955" s="1" t="s">
        <v>9209</v>
      </c>
      <c r="AB955" s="1" t="s">
        <v>685</v>
      </c>
      <c r="AC955" s="1" t="s">
        <v>74</v>
      </c>
      <c r="AD955" s="1" t="s">
        <v>74</v>
      </c>
      <c r="AE955" s="1" t="s">
        <v>74</v>
      </c>
      <c r="AF955" s="1" t="s">
        <v>74</v>
      </c>
      <c r="AG955" s="1" t="s">
        <v>74</v>
      </c>
      <c r="AH955" s="1" t="s">
        <v>74</v>
      </c>
      <c r="AI955" s="1" t="s">
        <v>74</v>
      </c>
      <c r="AJ955" s="1" t="s">
        <v>74</v>
      </c>
      <c r="AK955" s="1" t="s">
        <v>74</v>
      </c>
      <c r="AL955" s="1" t="s">
        <v>74</v>
      </c>
      <c r="AM955" s="1" t="s">
        <v>74</v>
      </c>
      <c r="AN955" s="1" t="s">
        <v>74</v>
      </c>
      <c r="AO955" s="1" t="s">
        <v>1900</v>
      </c>
      <c r="AP955" s="1" t="s">
        <v>1901</v>
      </c>
      <c r="AQ955" s="1" t="s">
        <v>74</v>
      </c>
      <c r="AR955" s="1" t="s">
        <v>74</v>
      </c>
      <c r="AS955" s="1" t="s">
        <v>74</v>
      </c>
      <c r="AT955" s="1" t="s">
        <v>696</v>
      </c>
      <c r="AU955" s="1">
        <v>2021.0</v>
      </c>
      <c r="AV955" s="1">
        <v>184.0</v>
      </c>
      <c r="AW955" s="1" t="s">
        <v>74</v>
      </c>
      <c r="AX955" s="1" t="s">
        <v>74</v>
      </c>
      <c r="AY955" s="1" t="s">
        <v>74</v>
      </c>
      <c r="AZ955" s="1" t="s">
        <v>74</v>
      </c>
      <c r="BA955" s="1" t="s">
        <v>74</v>
      </c>
      <c r="BB955" s="1" t="s">
        <v>74</v>
      </c>
      <c r="BC955" s="1" t="s">
        <v>74</v>
      </c>
      <c r="BD955" s="1">
        <v>108757.0</v>
      </c>
      <c r="BE955" s="1" t="s">
        <v>9210</v>
      </c>
      <c r="BF955" s="2" t="str">
        <f>HYPERLINK("http://dx.doi.org/10.1016/j.dyepig.2020.108757","http://dx.doi.org/10.1016/j.dyepig.2020.108757")</f>
        <v>http://dx.doi.org/10.1016/j.dyepig.2020.108757</v>
      </c>
      <c r="BG955" s="1" t="s">
        <v>74</v>
      </c>
      <c r="BH955" s="1" t="s">
        <v>74</v>
      </c>
      <c r="BI955" s="1" t="s">
        <v>74</v>
      </c>
      <c r="BJ955" s="1" t="s">
        <v>74</v>
      </c>
      <c r="BK955" s="1" t="s">
        <v>74</v>
      </c>
      <c r="BL955" s="1" t="s">
        <v>74</v>
      </c>
      <c r="BM955" s="1" t="s">
        <v>74</v>
      </c>
      <c r="BN955" s="1" t="s">
        <v>74</v>
      </c>
      <c r="BO955" s="1" t="s">
        <v>74</v>
      </c>
      <c r="BP955" s="1" t="s">
        <v>74</v>
      </c>
      <c r="BQ955" s="1" t="s">
        <v>74</v>
      </c>
      <c r="BR955" s="1" t="s">
        <v>74</v>
      </c>
      <c r="BS955" s="1" t="s">
        <v>9211</v>
      </c>
      <c r="BT955" s="1" t="str">
        <f>HYPERLINK("https%3A%2F%2Fwww.webofscience.com%2Fwos%2Fwoscc%2Ffull-record%2FWOS:000580897700024","View Full Record in Web of Science")</f>
        <v>View Full Record in Web of Science</v>
      </c>
    </row>
    <row r="956" ht="12.75" customHeight="1">
      <c r="A956" s="1" t="s">
        <v>72</v>
      </c>
      <c r="B956" s="1" t="s">
        <v>9212</v>
      </c>
      <c r="C956" s="1" t="s">
        <v>74</v>
      </c>
      <c r="D956" s="1" t="s">
        <v>74</v>
      </c>
      <c r="E956" s="1" t="s">
        <v>74</v>
      </c>
      <c r="F956" s="1" t="s">
        <v>9213</v>
      </c>
      <c r="G956" s="1" t="s">
        <v>74</v>
      </c>
      <c r="H956" s="1" t="s">
        <v>74</v>
      </c>
      <c r="I956" s="1" t="s">
        <v>9214</v>
      </c>
      <c r="J956" s="1" t="s">
        <v>4163</v>
      </c>
      <c r="K956" s="1" t="s">
        <v>74</v>
      </c>
      <c r="L956" s="1" t="s">
        <v>74</v>
      </c>
      <c r="M956" s="1" t="s">
        <v>74</v>
      </c>
      <c r="N956" s="1" t="s">
        <v>74</v>
      </c>
      <c r="O956" s="1" t="s">
        <v>74</v>
      </c>
      <c r="P956" s="1" t="s">
        <v>74</v>
      </c>
      <c r="Q956" s="1" t="s">
        <v>74</v>
      </c>
      <c r="R956" s="1" t="s">
        <v>74</v>
      </c>
      <c r="S956" s="1" t="s">
        <v>74</v>
      </c>
      <c r="T956" s="1" t="s">
        <v>74</v>
      </c>
      <c r="U956" s="1" t="s">
        <v>74</v>
      </c>
      <c r="V956" s="1" t="s">
        <v>9215</v>
      </c>
      <c r="W956" s="1" t="s">
        <v>74</v>
      </c>
      <c r="X956" s="1" t="s">
        <v>74</v>
      </c>
      <c r="Y956" s="1" t="s">
        <v>74</v>
      </c>
      <c r="Z956" s="1" t="s">
        <v>74</v>
      </c>
      <c r="AA956" s="1" t="s">
        <v>9216</v>
      </c>
      <c r="AB956" s="1" t="s">
        <v>9217</v>
      </c>
      <c r="AC956" s="1" t="s">
        <v>74</v>
      </c>
      <c r="AD956" s="1" t="s">
        <v>74</v>
      </c>
      <c r="AE956" s="1" t="s">
        <v>74</v>
      </c>
      <c r="AF956" s="1" t="s">
        <v>74</v>
      </c>
      <c r="AG956" s="1" t="s">
        <v>74</v>
      </c>
      <c r="AH956" s="1" t="s">
        <v>74</v>
      </c>
      <c r="AI956" s="1" t="s">
        <v>74</v>
      </c>
      <c r="AJ956" s="1" t="s">
        <v>74</v>
      </c>
      <c r="AK956" s="1" t="s">
        <v>74</v>
      </c>
      <c r="AL956" s="1" t="s">
        <v>74</v>
      </c>
      <c r="AM956" s="1" t="s">
        <v>74</v>
      </c>
      <c r="AN956" s="1" t="s">
        <v>74</v>
      </c>
      <c r="AO956" s="1" t="s">
        <v>74</v>
      </c>
      <c r="AP956" s="1" t="s">
        <v>4167</v>
      </c>
      <c r="AQ956" s="1" t="s">
        <v>74</v>
      </c>
      <c r="AR956" s="1" t="s">
        <v>74</v>
      </c>
      <c r="AS956" s="1" t="s">
        <v>74</v>
      </c>
      <c r="AT956" s="1" t="s">
        <v>678</v>
      </c>
      <c r="AU956" s="1">
        <v>2020.0</v>
      </c>
      <c r="AV956" s="1">
        <v>25.0</v>
      </c>
      <c r="AW956" s="1">
        <v>22.0</v>
      </c>
      <c r="AX956" s="1" t="s">
        <v>74</v>
      </c>
      <c r="AY956" s="1" t="s">
        <v>74</v>
      </c>
      <c r="AZ956" s="1" t="s">
        <v>74</v>
      </c>
      <c r="BA956" s="1" t="s">
        <v>74</v>
      </c>
      <c r="BB956" s="1" t="s">
        <v>74</v>
      </c>
      <c r="BC956" s="1" t="s">
        <v>74</v>
      </c>
      <c r="BD956" s="1">
        <v>5377.0</v>
      </c>
      <c r="BE956" s="1" t="s">
        <v>9218</v>
      </c>
      <c r="BF956" s="2" t="str">
        <f>HYPERLINK("http://dx.doi.org/10.3390/molecules25225377","http://dx.doi.org/10.3390/molecules25225377")</f>
        <v>http://dx.doi.org/10.3390/molecules25225377</v>
      </c>
      <c r="BG956" s="1" t="s">
        <v>74</v>
      </c>
      <c r="BH956" s="1" t="s">
        <v>74</v>
      </c>
      <c r="BI956" s="1" t="s">
        <v>74</v>
      </c>
      <c r="BJ956" s="1" t="s">
        <v>74</v>
      </c>
      <c r="BK956" s="1" t="s">
        <v>74</v>
      </c>
      <c r="BL956" s="1" t="s">
        <v>74</v>
      </c>
      <c r="BM956" s="1" t="s">
        <v>74</v>
      </c>
      <c r="BN956" s="1">
        <v>3.3212989E7</v>
      </c>
      <c r="BO956" s="1" t="s">
        <v>74</v>
      </c>
      <c r="BP956" s="1" t="s">
        <v>74</v>
      </c>
      <c r="BQ956" s="1" t="s">
        <v>74</v>
      </c>
      <c r="BR956" s="1" t="s">
        <v>74</v>
      </c>
      <c r="BS956" s="1" t="s">
        <v>9219</v>
      </c>
      <c r="BT956" s="1" t="str">
        <f>HYPERLINK("https%3A%2F%2Fwww.webofscience.com%2Fwos%2Fwoscc%2Ffull-record%2FWOS:000594187800001","View Full Record in Web of Science")</f>
        <v>View Full Record in Web of Science</v>
      </c>
    </row>
    <row r="957" ht="12.75" customHeight="1">
      <c r="A957" s="1" t="s">
        <v>72</v>
      </c>
      <c r="B957" s="1" t="s">
        <v>9220</v>
      </c>
      <c r="C957" s="1" t="s">
        <v>74</v>
      </c>
      <c r="D957" s="1" t="s">
        <v>74</v>
      </c>
      <c r="E957" s="1" t="s">
        <v>74</v>
      </c>
      <c r="F957" s="1" t="s">
        <v>9221</v>
      </c>
      <c r="G957" s="1" t="s">
        <v>74</v>
      </c>
      <c r="H957" s="1" t="s">
        <v>74</v>
      </c>
      <c r="I957" s="1" t="s">
        <v>9222</v>
      </c>
      <c r="J957" s="1" t="s">
        <v>6315</v>
      </c>
      <c r="K957" s="1" t="s">
        <v>74</v>
      </c>
      <c r="L957" s="1" t="s">
        <v>74</v>
      </c>
      <c r="M957" s="1" t="s">
        <v>74</v>
      </c>
      <c r="N957" s="1" t="s">
        <v>74</v>
      </c>
      <c r="O957" s="1" t="s">
        <v>74</v>
      </c>
      <c r="P957" s="1" t="s">
        <v>74</v>
      </c>
      <c r="Q957" s="1" t="s">
        <v>74</v>
      </c>
      <c r="R957" s="1" t="s">
        <v>74</v>
      </c>
      <c r="S957" s="1" t="s">
        <v>74</v>
      </c>
      <c r="T957" s="1" t="s">
        <v>74</v>
      </c>
      <c r="U957" s="1" t="s">
        <v>74</v>
      </c>
      <c r="V957" s="1" t="s">
        <v>9223</v>
      </c>
      <c r="W957" s="1" t="s">
        <v>74</v>
      </c>
      <c r="X957" s="1" t="s">
        <v>74</v>
      </c>
      <c r="Y957" s="1" t="s">
        <v>74</v>
      </c>
      <c r="Z957" s="1" t="s">
        <v>74</v>
      </c>
      <c r="AA957" s="1" t="s">
        <v>9224</v>
      </c>
      <c r="AB957" s="1" t="s">
        <v>9225</v>
      </c>
      <c r="AC957" s="1" t="s">
        <v>74</v>
      </c>
      <c r="AD957" s="1" t="s">
        <v>74</v>
      </c>
      <c r="AE957" s="1" t="s">
        <v>74</v>
      </c>
      <c r="AF957" s="1" t="s">
        <v>74</v>
      </c>
      <c r="AG957" s="1" t="s">
        <v>74</v>
      </c>
      <c r="AH957" s="1" t="s">
        <v>74</v>
      </c>
      <c r="AI957" s="1" t="s">
        <v>74</v>
      </c>
      <c r="AJ957" s="1" t="s">
        <v>74</v>
      </c>
      <c r="AK957" s="1" t="s">
        <v>74</v>
      </c>
      <c r="AL957" s="1" t="s">
        <v>74</v>
      </c>
      <c r="AM957" s="1" t="s">
        <v>74</v>
      </c>
      <c r="AN957" s="1" t="s">
        <v>74</v>
      </c>
      <c r="AO957" s="1" t="s">
        <v>6319</v>
      </c>
      <c r="AP957" s="1" t="s">
        <v>74</v>
      </c>
      <c r="AQ957" s="1" t="s">
        <v>74</v>
      </c>
      <c r="AR957" s="1" t="s">
        <v>74</v>
      </c>
      <c r="AS957" s="1" t="s">
        <v>74</v>
      </c>
      <c r="AT957" s="1" t="s">
        <v>74</v>
      </c>
      <c r="AU957" s="1">
        <v>2020.0</v>
      </c>
      <c r="AV957" s="1">
        <v>8.0</v>
      </c>
      <c r="AW957" s="1" t="s">
        <v>74</v>
      </c>
      <c r="AX957" s="1" t="s">
        <v>74</v>
      </c>
      <c r="AY957" s="1" t="s">
        <v>74</v>
      </c>
      <c r="AZ957" s="1" t="s">
        <v>74</v>
      </c>
      <c r="BA957" s="1" t="s">
        <v>74</v>
      </c>
      <c r="BB957" s="1">
        <v>32332.0</v>
      </c>
      <c r="BC957" s="1">
        <v>32340.0</v>
      </c>
      <c r="BD957" s="1" t="s">
        <v>74</v>
      </c>
      <c r="BE957" s="1" t="s">
        <v>9226</v>
      </c>
      <c r="BF957" s="2" t="str">
        <f>HYPERLINK("http://dx.doi.org/10.1109/ACCESS.2019.2953464","http://dx.doi.org/10.1109/ACCESS.2019.2953464")</f>
        <v>http://dx.doi.org/10.1109/ACCESS.2019.2953464</v>
      </c>
      <c r="BG957" s="1" t="s">
        <v>74</v>
      </c>
      <c r="BH957" s="1" t="s">
        <v>74</v>
      </c>
      <c r="BI957" s="1" t="s">
        <v>74</v>
      </c>
      <c r="BJ957" s="1" t="s">
        <v>74</v>
      </c>
      <c r="BK957" s="1" t="s">
        <v>74</v>
      </c>
      <c r="BL957" s="1" t="s">
        <v>74</v>
      </c>
      <c r="BM957" s="1" t="s">
        <v>74</v>
      </c>
      <c r="BN957" s="1" t="s">
        <v>74</v>
      </c>
      <c r="BO957" s="1" t="s">
        <v>74</v>
      </c>
      <c r="BP957" s="1" t="s">
        <v>74</v>
      </c>
      <c r="BQ957" s="1" t="s">
        <v>74</v>
      </c>
      <c r="BR957" s="1" t="s">
        <v>74</v>
      </c>
      <c r="BS957" s="1" t="s">
        <v>9227</v>
      </c>
      <c r="BT957" s="1" t="str">
        <f>HYPERLINK("https%3A%2F%2Fwww.webofscience.com%2Fwos%2Fwoscc%2Ffull-record%2FWOS:000525419100043","View Full Record in Web of Science")</f>
        <v>View Full Record in Web of Science</v>
      </c>
    </row>
    <row r="958" ht="12.75" customHeight="1">
      <c r="A958" s="1" t="s">
        <v>182</v>
      </c>
      <c r="B958" s="1" t="s">
        <v>9228</v>
      </c>
      <c r="C958" s="1" t="s">
        <v>74</v>
      </c>
      <c r="D958" s="1" t="s">
        <v>9229</v>
      </c>
      <c r="E958" s="1" t="s">
        <v>74</v>
      </c>
      <c r="F958" s="1" t="s">
        <v>9230</v>
      </c>
      <c r="G958" s="1" t="s">
        <v>74</v>
      </c>
      <c r="H958" s="1" t="s">
        <v>74</v>
      </c>
      <c r="I958" s="1" t="s">
        <v>9231</v>
      </c>
      <c r="J958" s="1" t="s">
        <v>9232</v>
      </c>
      <c r="K958" s="1" t="s">
        <v>9233</v>
      </c>
      <c r="L958" s="1" t="s">
        <v>74</v>
      </c>
      <c r="M958" s="1" t="s">
        <v>74</v>
      </c>
      <c r="N958" s="1" t="s">
        <v>74</v>
      </c>
      <c r="O958" s="1" t="s">
        <v>9234</v>
      </c>
      <c r="P958" s="1" t="s">
        <v>9235</v>
      </c>
      <c r="Q958" s="1" t="s">
        <v>5004</v>
      </c>
      <c r="R958" s="1" t="s">
        <v>184</v>
      </c>
      <c r="S958" s="1" t="s">
        <v>74</v>
      </c>
      <c r="T958" s="1" t="s">
        <v>74</v>
      </c>
      <c r="U958" s="1" t="s">
        <v>74</v>
      </c>
      <c r="V958" s="1" t="s">
        <v>9236</v>
      </c>
      <c r="W958" s="1" t="s">
        <v>74</v>
      </c>
      <c r="X958" s="1" t="s">
        <v>74</v>
      </c>
      <c r="Y958" s="1" t="s">
        <v>74</v>
      </c>
      <c r="Z958" s="1" t="s">
        <v>74</v>
      </c>
      <c r="AA958" s="1" t="s">
        <v>9237</v>
      </c>
      <c r="AB958" s="1" t="s">
        <v>9238</v>
      </c>
      <c r="AC958" s="1" t="s">
        <v>74</v>
      </c>
      <c r="AD958" s="1" t="s">
        <v>74</v>
      </c>
      <c r="AE958" s="1" t="s">
        <v>74</v>
      </c>
      <c r="AF958" s="1" t="s">
        <v>74</v>
      </c>
      <c r="AG958" s="1" t="s">
        <v>74</v>
      </c>
      <c r="AH958" s="1" t="s">
        <v>74</v>
      </c>
      <c r="AI958" s="1" t="s">
        <v>74</v>
      </c>
      <c r="AJ958" s="1" t="s">
        <v>74</v>
      </c>
      <c r="AK958" s="1" t="s">
        <v>74</v>
      </c>
      <c r="AL958" s="1" t="s">
        <v>74</v>
      </c>
      <c r="AM958" s="1" t="s">
        <v>74</v>
      </c>
      <c r="AN958" s="1" t="s">
        <v>74</v>
      </c>
      <c r="AO958" s="1" t="s">
        <v>9239</v>
      </c>
      <c r="AP958" s="1" t="s">
        <v>74</v>
      </c>
      <c r="AQ958" s="1" t="s">
        <v>9240</v>
      </c>
      <c r="AR958" s="1" t="s">
        <v>74</v>
      </c>
      <c r="AS958" s="1" t="s">
        <v>74</v>
      </c>
      <c r="AT958" s="1" t="s">
        <v>74</v>
      </c>
      <c r="AU958" s="1">
        <v>2020.0</v>
      </c>
      <c r="AV958" s="1" t="s">
        <v>74</v>
      </c>
      <c r="AW958" s="1" t="s">
        <v>74</v>
      </c>
      <c r="AX958" s="1" t="s">
        <v>74</v>
      </c>
      <c r="AY958" s="1" t="s">
        <v>74</v>
      </c>
      <c r="AZ958" s="1" t="s">
        <v>74</v>
      </c>
      <c r="BA958" s="1" t="s">
        <v>74</v>
      </c>
      <c r="BB958" s="1" t="s">
        <v>74</v>
      </c>
      <c r="BC958" s="1" t="s">
        <v>74</v>
      </c>
      <c r="BD958" s="1" t="s">
        <v>74</v>
      </c>
      <c r="BE958" s="1" t="s">
        <v>74</v>
      </c>
      <c r="BF958" s="1" t="s">
        <v>74</v>
      </c>
      <c r="BG958" s="1" t="s">
        <v>74</v>
      </c>
      <c r="BH958" s="1" t="s">
        <v>74</v>
      </c>
      <c r="BI958" s="1" t="s">
        <v>74</v>
      </c>
      <c r="BJ958" s="1" t="s">
        <v>74</v>
      </c>
      <c r="BK958" s="1" t="s">
        <v>74</v>
      </c>
      <c r="BL958" s="1" t="s">
        <v>74</v>
      </c>
      <c r="BM958" s="1" t="s">
        <v>74</v>
      </c>
      <c r="BN958" s="1" t="s">
        <v>74</v>
      </c>
      <c r="BO958" s="1" t="s">
        <v>74</v>
      </c>
      <c r="BP958" s="1" t="s">
        <v>74</v>
      </c>
      <c r="BQ958" s="1" t="s">
        <v>74</v>
      </c>
      <c r="BR958" s="1" t="s">
        <v>74</v>
      </c>
      <c r="BS958" s="1" t="s">
        <v>9241</v>
      </c>
      <c r="BT958" s="1" t="str">
        <f>HYPERLINK("https%3A%2F%2Fwww.webofscience.com%2Fwos%2Fwoscc%2Ffull-record%2FWOS:000926136200025","View Full Record in Web of Science")</f>
        <v>View Full Record in Web of Science</v>
      </c>
    </row>
    <row r="959" ht="12.75" customHeight="1">
      <c r="A959" s="1" t="s">
        <v>72</v>
      </c>
      <c r="B959" s="1" t="s">
        <v>9242</v>
      </c>
      <c r="C959" s="1" t="s">
        <v>74</v>
      </c>
      <c r="D959" s="1" t="s">
        <v>74</v>
      </c>
      <c r="E959" s="1" t="s">
        <v>74</v>
      </c>
      <c r="F959" s="1" t="s">
        <v>9243</v>
      </c>
      <c r="G959" s="1" t="s">
        <v>74</v>
      </c>
      <c r="H959" s="1" t="s">
        <v>74</v>
      </c>
      <c r="I959" s="1" t="s">
        <v>9244</v>
      </c>
      <c r="J959" s="1" t="s">
        <v>9245</v>
      </c>
      <c r="K959" s="1" t="s">
        <v>74</v>
      </c>
      <c r="L959" s="1" t="s">
        <v>74</v>
      </c>
      <c r="M959" s="1" t="s">
        <v>74</v>
      </c>
      <c r="N959" s="1" t="s">
        <v>74</v>
      </c>
      <c r="O959" s="1" t="s">
        <v>74</v>
      </c>
      <c r="P959" s="1" t="s">
        <v>74</v>
      </c>
      <c r="Q959" s="1" t="s">
        <v>74</v>
      </c>
      <c r="R959" s="1" t="s">
        <v>74</v>
      </c>
      <c r="S959" s="1" t="s">
        <v>74</v>
      </c>
      <c r="T959" s="1" t="s">
        <v>74</v>
      </c>
      <c r="U959" s="1" t="s">
        <v>74</v>
      </c>
      <c r="V959" s="1" t="s">
        <v>9246</v>
      </c>
      <c r="W959" s="1" t="s">
        <v>74</v>
      </c>
      <c r="X959" s="1" t="s">
        <v>74</v>
      </c>
      <c r="Y959" s="1" t="s">
        <v>74</v>
      </c>
      <c r="Z959" s="1" t="s">
        <v>74</v>
      </c>
      <c r="AA959" s="1" t="s">
        <v>9247</v>
      </c>
      <c r="AB959" s="1" t="s">
        <v>9248</v>
      </c>
      <c r="AC959" s="1" t="s">
        <v>74</v>
      </c>
      <c r="AD959" s="1" t="s">
        <v>74</v>
      </c>
      <c r="AE959" s="1" t="s">
        <v>74</v>
      </c>
      <c r="AF959" s="1" t="s">
        <v>74</v>
      </c>
      <c r="AG959" s="1" t="s">
        <v>74</v>
      </c>
      <c r="AH959" s="1" t="s">
        <v>74</v>
      </c>
      <c r="AI959" s="1" t="s">
        <v>74</v>
      </c>
      <c r="AJ959" s="1" t="s">
        <v>74</v>
      </c>
      <c r="AK959" s="1" t="s">
        <v>74</v>
      </c>
      <c r="AL959" s="1" t="s">
        <v>74</v>
      </c>
      <c r="AM959" s="1" t="s">
        <v>74</v>
      </c>
      <c r="AN959" s="1" t="s">
        <v>74</v>
      </c>
      <c r="AO959" s="1" t="s">
        <v>9249</v>
      </c>
      <c r="AP959" s="1" t="s">
        <v>9250</v>
      </c>
      <c r="AQ959" s="1" t="s">
        <v>74</v>
      </c>
      <c r="AR959" s="1" t="s">
        <v>74</v>
      </c>
      <c r="AS959" s="1" t="s">
        <v>74</v>
      </c>
      <c r="AT959" s="1" t="s">
        <v>678</v>
      </c>
      <c r="AU959" s="1">
        <v>2019.0</v>
      </c>
      <c r="AV959" s="1">
        <v>130.0</v>
      </c>
      <c r="AW959" s="1" t="s">
        <v>74</v>
      </c>
      <c r="AX959" s="1" t="s">
        <v>74</v>
      </c>
      <c r="AY959" s="1" t="s">
        <v>74</v>
      </c>
      <c r="AZ959" s="1" t="s">
        <v>74</v>
      </c>
      <c r="BA959" s="1" t="s">
        <v>74</v>
      </c>
      <c r="BB959" s="1" t="s">
        <v>74</v>
      </c>
      <c r="BC959" s="1" t="s">
        <v>74</v>
      </c>
      <c r="BD959" s="1">
        <v>105387.0</v>
      </c>
      <c r="BE959" s="1" t="s">
        <v>9251</v>
      </c>
      <c r="BF959" s="2" t="str">
        <f>HYPERLINK("http://dx.doi.org/10.1016/j.biombioe.2019.105387","http://dx.doi.org/10.1016/j.biombioe.2019.105387")</f>
        <v>http://dx.doi.org/10.1016/j.biombioe.2019.105387</v>
      </c>
      <c r="BG959" s="1" t="s">
        <v>74</v>
      </c>
      <c r="BH959" s="1" t="s">
        <v>74</v>
      </c>
      <c r="BI959" s="1" t="s">
        <v>74</v>
      </c>
      <c r="BJ959" s="1" t="s">
        <v>74</v>
      </c>
      <c r="BK959" s="1" t="s">
        <v>74</v>
      </c>
      <c r="BL959" s="1" t="s">
        <v>74</v>
      </c>
      <c r="BM959" s="1" t="s">
        <v>74</v>
      </c>
      <c r="BN959" s="1" t="s">
        <v>74</v>
      </c>
      <c r="BO959" s="1" t="s">
        <v>74</v>
      </c>
      <c r="BP959" s="1" t="s">
        <v>74</v>
      </c>
      <c r="BQ959" s="1" t="s">
        <v>74</v>
      </c>
      <c r="BR959" s="1" t="s">
        <v>74</v>
      </c>
      <c r="BS959" s="1" t="s">
        <v>9252</v>
      </c>
      <c r="BT959" s="1" t="str">
        <f>HYPERLINK("https%3A%2F%2Fwww.webofscience.com%2Fwos%2Fwoscc%2Ffull-record%2FWOS:000499712900024","View Full Record in Web of Science")</f>
        <v>View Full Record in Web of Science</v>
      </c>
    </row>
    <row r="960" ht="12.75" customHeight="1">
      <c r="A960" s="1" t="s">
        <v>72</v>
      </c>
      <c r="B960" s="1" t="s">
        <v>9253</v>
      </c>
      <c r="C960" s="1" t="s">
        <v>74</v>
      </c>
      <c r="D960" s="1" t="s">
        <v>74</v>
      </c>
      <c r="E960" s="1" t="s">
        <v>74</v>
      </c>
      <c r="F960" s="1" t="s">
        <v>9254</v>
      </c>
      <c r="G960" s="1" t="s">
        <v>74</v>
      </c>
      <c r="H960" s="1" t="s">
        <v>74</v>
      </c>
      <c r="I960" s="1" t="s">
        <v>9255</v>
      </c>
      <c r="J960" s="1" t="s">
        <v>9256</v>
      </c>
      <c r="K960" s="1" t="s">
        <v>74</v>
      </c>
      <c r="L960" s="1" t="s">
        <v>74</v>
      </c>
      <c r="M960" s="1" t="s">
        <v>74</v>
      </c>
      <c r="N960" s="1" t="s">
        <v>74</v>
      </c>
      <c r="O960" s="1" t="s">
        <v>74</v>
      </c>
      <c r="P960" s="1" t="s">
        <v>74</v>
      </c>
      <c r="Q960" s="1" t="s">
        <v>74</v>
      </c>
      <c r="R960" s="1" t="s">
        <v>74</v>
      </c>
      <c r="S960" s="1" t="s">
        <v>74</v>
      </c>
      <c r="T960" s="1" t="s">
        <v>74</v>
      </c>
      <c r="U960" s="1" t="s">
        <v>74</v>
      </c>
      <c r="V960" s="1" t="s">
        <v>9257</v>
      </c>
      <c r="W960" s="1" t="s">
        <v>74</v>
      </c>
      <c r="X960" s="1" t="s">
        <v>74</v>
      </c>
      <c r="Y960" s="1" t="s">
        <v>74</v>
      </c>
      <c r="Z960" s="1" t="s">
        <v>74</v>
      </c>
      <c r="AA960" s="1" t="s">
        <v>9258</v>
      </c>
      <c r="AB960" s="1" t="s">
        <v>9259</v>
      </c>
      <c r="AC960" s="1" t="s">
        <v>74</v>
      </c>
      <c r="AD960" s="1" t="s">
        <v>74</v>
      </c>
      <c r="AE960" s="1" t="s">
        <v>74</v>
      </c>
      <c r="AF960" s="1" t="s">
        <v>74</v>
      </c>
      <c r="AG960" s="1" t="s">
        <v>74</v>
      </c>
      <c r="AH960" s="1" t="s">
        <v>74</v>
      </c>
      <c r="AI960" s="1" t="s">
        <v>74</v>
      </c>
      <c r="AJ960" s="1" t="s">
        <v>74</v>
      </c>
      <c r="AK960" s="1" t="s">
        <v>74</v>
      </c>
      <c r="AL960" s="1" t="s">
        <v>74</v>
      </c>
      <c r="AM960" s="1" t="s">
        <v>74</v>
      </c>
      <c r="AN960" s="1" t="s">
        <v>74</v>
      </c>
      <c r="AO960" s="1" t="s">
        <v>74</v>
      </c>
      <c r="AP960" s="1" t="s">
        <v>9260</v>
      </c>
      <c r="AQ960" s="1" t="s">
        <v>74</v>
      </c>
      <c r="AR960" s="1" t="s">
        <v>74</v>
      </c>
      <c r="AS960" s="1" t="s">
        <v>74</v>
      </c>
      <c r="AT960" s="1" t="s">
        <v>5235</v>
      </c>
      <c r="AU960" s="1">
        <v>2019.0</v>
      </c>
      <c r="AV960" s="1">
        <v>10.0</v>
      </c>
      <c r="AW960" s="1" t="s">
        <v>74</v>
      </c>
      <c r="AX960" s="1" t="s">
        <v>74</v>
      </c>
      <c r="AY960" s="1" t="s">
        <v>74</v>
      </c>
      <c r="AZ960" s="1" t="s">
        <v>74</v>
      </c>
      <c r="BA960" s="1" t="s">
        <v>74</v>
      </c>
      <c r="BB960" s="1" t="s">
        <v>74</v>
      </c>
      <c r="BC960" s="1" t="s">
        <v>74</v>
      </c>
      <c r="BD960" s="1">
        <v>337.0</v>
      </c>
      <c r="BE960" s="1" t="s">
        <v>9261</v>
      </c>
      <c r="BF960" s="2" t="str">
        <f>HYPERLINK("http://dx.doi.org/10.3389/fmicb.2019.00337","http://dx.doi.org/10.3389/fmicb.2019.00337")</f>
        <v>http://dx.doi.org/10.3389/fmicb.2019.00337</v>
      </c>
      <c r="BG960" s="1" t="s">
        <v>74</v>
      </c>
      <c r="BH960" s="1" t="s">
        <v>74</v>
      </c>
      <c r="BI960" s="1" t="s">
        <v>74</v>
      </c>
      <c r="BJ960" s="1" t="s">
        <v>74</v>
      </c>
      <c r="BK960" s="1" t="s">
        <v>74</v>
      </c>
      <c r="BL960" s="1" t="s">
        <v>74</v>
      </c>
      <c r="BM960" s="1" t="s">
        <v>74</v>
      </c>
      <c r="BN960" s="1">
        <v>3.0863385E7</v>
      </c>
      <c r="BO960" s="1" t="s">
        <v>74</v>
      </c>
      <c r="BP960" s="1" t="s">
        <v>74</v>
      </c>
      <c r="BQ960" s="1" t="s">
        <v>74</v>
      </c>
      <c r="BR960" s="1" t="s">
        <v>74</v>
      </c>
      <c r="BS960" s="1" t="s">
        <v>9262</v>
      </c>
      <c r="BT960" s="1" t="str">
        <f>HYPERLINK("https%3A%2F%2Fwww.webofscience.com%2Fwos%2Fwoscc%2Ffull-record%2FWOS:000459662000001","View Full Record in Web of Science")</f>
        <v>View Full Record in Web of Science</v>
      </c>
    </row>
    <row r="961" ht="12.75" customHeight="1">
      <c r="A961" s="1" t="s">
        <v>72</v>
      </c>
      <c r="B961" s="1" t="s">
        <v>9263</v>
      </c>
      <c r="C961" s="1" t="s">
        <v>74</v>
      </c>
      <c r="D961" s="1" t="s">
        <v>74</v>
      </c>
      <c r="E961" s="1" t="s">
        <v>74</v>
      </c>
      <c r="F961" s="1" t="s">
        <v>9264</v>
      </c>
      <c r="G961" s="1" t="s">
        <v>74</v>
      </c>
      <c r="H961" s="1" t="s">
        <v>74</v>
      </c>
      <c r="I961" s="1" t="s">
        <v>9265</v>
      </c>
      <c r="J961" s="1" t="s">
        <v>9266</v>
      </c>
      <c r="K961" s="1" t="s">
        <v>74</v>
      </c>
      <c r="L961" s="1" t="s">
        <v>74</v>
      </c>
      <c r="M961" s="1" t="s">
        <v>74</v>
      </c>
      <c r="N961" s="1" t="s">
        <v>74</v>
      </c>
      <c r="O961" s="1" t="s">
        <v>74</v>
      </c>
      <c r="P961" s="1" t="s">
        <v>74</v>
      </c>
      <c r="Q961" s="1" t="s">
        <v>74</v>
      </c>
      <c r="R961" s="1" t="s">
        <v>74</v>
      </c>
      <c r="S961" s="1" t="s">
        <v>74</v>
      </c>
      <c r="T961" s="1" t="s">
        <v>74</v>
      </c>
      <c r="U961" s="1" t="s">
        <v>74</v>
      </c>
      <c r="V961" s="1" t="s">
        <v>9267</v>
      </c>
      <c r="W961" s="1" t="s">
        <v>74</v>
      </c>
      <c r="X961" s="1" t="s">
        <v>74</v>
      </c>
      <c r="Y961" s="1" t="s">
        <v>74</v>
      </c>
      <c r="Z961" s="1" t="s">
        <v>74</v>
      </c>
      <c r="AA961" s="1" t="s">
        <v>9268</v>
      </c>
      <c r="AB961" s="1" t="s">
        <v>9269</v>
      </c>
      <c r="AC961" s="1" t="s">
        <v>74</v>
      </c>
      <c r="AD961" s="1" t="s">
        <v>74</v>
      </c>
      <c r="AE961" s="1" t="s">
        <v>74</v>
      </c>
      <c r="AF961" s="1" t="s">
        <v>74</v>
      </c>
      <c r="AG961" s="1" t="s">
        <v>74</v>
      </c>
      <c r="AH961" s="1" t="s">
        <v>74</v>
      </c>
      <c r="AI961" s="1" t="s">
        <v>74</v>
      </c>
      <c r="AJ961" s="1" t="s">
        <v>74</v>
      </c>
      <c r="AK961" s="1" t="s">
        <v>74</v>
      </c>
      <c r="AL961" s="1" t="s">
        <v>74</v>
      </c>
      <c r="AM961" s="1" t="s">
        <v>74</v>
      </c>
      <c r="AN961" s="1" t="s">
        <v>74</v>
      </c>
      <c r="AO961" s="1" t="s">
        <v>9270</v>
      </c>
      <c r="AP961" s="1" t="s">
        <v>9271</v>
      </c>
      <c r="AQ961" s="1" t="s">
        <v>74</v>
      </c>
      <c r="AR961" s="1" t="s">
        <v>74</v>
      </c>
      <c r="AS961" s="1" t="s">
        <v>74</v>
      </c>
      <c r="AT961" s="1" t="s">
        <v>235</v>
      </c>
      <c r="AU961" s="1">
        <v>2019.0</v>
      </c>
      <c r="AV961" s="1">
        <v>54.0</v>
      </c>
      <c r="AW961" s="1">
        <v>2.0</v>
      </c>
      <c r="AX961" s="1" t="s">
        <v>74</v>
      </c>
      <c r="AY961" s="1" t="s">
        <v>74</v>
      </c>
      <c r="AZ961" s="1" t="s">
        <v>74</v>
      </c>
      <c r="BA961" s="1" t="s">
        <v>74</v>
      </c>
      <c r="BB961" s="1">
        <v>116.0</v>
      </c>
      <c r="BC961" s="1">
        <v>129.0</v>
      </c>
      <c r="BD961" s="1" t="s">
        <v>74</v>
      </c>
      <c r="BE961" s="1" t="s">
        <v>9272</v>
      </c>
      <c r="BF961" s="2" t="str">
        <f>HYPERLINK("http://dx.doi.org/10.1177/0309324719832735","http://dx.doi.org/10.1177/0309324719832735")</f>
        <v>http://dx.doi.org/10.1177/0309324719832735</v>
      </c>
      <c r="BG961" s="1" t="s">
        <v>74</v>
      </c>
      <c r="BH961" s="1" t="s">
        <v>74</v>
      </c>
      <c r="BI961" s="1" t="s">
        <v>74</v>
      </c>
      <c r="BJ961" s="1" t="s">
        <v>74</v>
      </c>
      <c r="BK961" s="1" t="s">
        <v>74</v>
      </c>
      <c r="BL961" s="1" t="s">
        <v>74</v>
      </c>
      <c r="BM961" s="1" t="s">
        <v>74</v>
      </c>
      <c r="BN961" s="1" t="s">
        <v>74</v>
      </c>
      <c r="BO961" s="1" t="s">
        <v>74</v>
      </c>
      <c r="BP961" s="1" t="s">
        <v>74</v>
      </c>
      <c r="BQ961" s="1" t="s">
        <v>74</v>
      </c>
      <c r="BR961" s="1" t="s">
        <v>74</v>
      </c>
      <c r="BS961" s="1" t="s">
        <v>9273</v>
      </c>
      <c r="BT961" s="1" t="str">
        <f>HYPERLINK("https%3A%2F%2Fwww.webofscience.com%2Fwos%2Fwoscc%2Ffull-record%2FWOS:000466431400004","View Full Record in Web of Science")</f>
        <v>View Full Record in Web of Science</v>
      </c>
    </row>
    <row r="962" ht="12.75" customHeight="1">
      <c r="A962" s="1" t="s">
        <v>72</v>
      </c>
      <c r="B962" s="1" t="s">
        <v>9274</v>
      </c>
      <c r="C962" s="1" t="s">
        <v>74</v>
      </c>
      <c r="D962" s="1" t="s">
        <v>74</v>
      </c>
      <c r="E962" s="1" t="s">
        <v>74</v>
      </c>
      <c r="F962" s="1" t="s">
        <v>9275</v>
      </c>
      <c r="G962" s="1" t="s">
        <v>74</v>
      </c>
      <c r="H962" s="1" t="s">
        <v>74</v>
      </c>
      <c r="I962" s="1" t="s">
        <v>9276</v>
      </c>
      <c r="J962" s="1" t="s">
        <v>345</v>
      </c>
      <c r="K962" s="1" t="s">
        <v>74</v>
      </c>
      <c r="L962" s="1" t="s">
        <v>74</v>
      </c>
      <c r="M962" s="1" t="s">
        <v>74</v>
      </c>
      <c r="N962" s="1" t="s">
        <v>74</v>
      </c>
      <c r="O962" s="1" t="s">
        <v>74</v>
      </c>
      <c r="P962" s="1" t="s">
        <v>74</v>
      </c>
      <c r="Q962" s="1" t="s">
        <v>74</v>
      </c>
      <c r="R962" s="1" t="s">
        <v>74</v>
      </c>
      <c r="S962" s="1" t="s">
        <v>74</v>
      </c>
      <c r="T962" s="1" t="s">
        <v>74</v>
      </c>
      <c r="U962" s="1" t="s">
        <v>74</v>
      </c>
      <c r="V962" s="1" t="s">
        <v>9277</v>
      </c>
      <c r="W962" s="1" t="s">
        <v>74</v>
      </c>
      <c r="X962" s="1" t="s">
        <v>74</v>
      </c>
      <c r="Y962" s="1" t="s">
        <v>74</v>
      </c>
      <c r="Z962" s="1" t="s">
        <v>74</v>
      </c>
      <c r="AA962" s="1" t="s">
        <v>9278</v>
      </c>
      <c r="AB962" s="1" t="s">
        <v>9279</v>
      </c>
      <c r="AC962" s="1" t="s">
        <v>74</v>
      </c>
      <c r="AD962" s="1" t="s">
        <v>74</v>
      </c>
      <c r="AE962" s="1" t="s">
        <v>74</v>
      </c>
      <c r="AF962" s="1" t="s">
        <v>74</v>
      </c>
      <c r="AG962" s="1" t="s">
        <v>74</v>
      </c>
      <c r="AH962" s="1" t="s">
        <v>74</v>
      </c>
      <c r="AI962" s="1" t="s">
        <v>74</v>
      </c>
      <c r="AJ962" s="1" t="s">
        <v>74</v>
      </c>
      <c r="AK962" s="1" t="s">
        <v>74</v>
      </c>
      <c r="AL962" s="1" t="s">
        <v>74</v>
      </c>
      <c r="AM962" s="1" t="s">
        <v>74</v>
      </c>
      <c r="AN962" s="1" t="s">
        <v>74</v>
      </c>
      <c r="AO962" s="1" t="s">
        <v>74</v>
      </c>
      <c r="AP962" s="1" t="s">
        <v>349</v>
      </c>
      <c r="AQ962" s="1" t="s">
        <v>74</v>
      </c>
      <c r="AR962" s="1" t="s">
        <v>74</v>
      </c>
      <c r="AS962" s="1" t="s">
        <v>74</v>
      </c>
      <c r="AT962" s="1" t="s">
        <v>235</v>
      </c>
      <c r="AU962" s="1">
        <v>2019.0</v>
      </c>
      <c r="AV962" s="1">
        <v>9.0</v>
      </c>
      <c r="AW962" s="1">
        <v>2.0</v>
      </c>
      <c r="AX962" s="1" t="s">
        <v>74</v>
      </c>
      <c r="AY962" s="1" t="s">
        <v>74</v>
      </c>
      <c r="AZ962" s="1" t="s">
        <v>74</v>
      </c>
      <c r="BA962" s="1" t="s">
        <v>74</v>
      </c>
      <c r="BB962" s="1" t="s">
        <v>74</v>
      </c>
      <c r="BC962" s="1" t="s">
        <v>74</v>
      </c>
      <c r="BD962" s="1">
        <v>250.0</v>
      </c>
      <c r="BE962" s="1" t="s">
        <v>9280</v>
      </c>
      <c r="BF962" s="2" t="str">
        <f>HYPERLINK("http://dx.doi.org/10.3390/met9020250","http://dx.doi.org/10.3390/met9020250")</f>
        <v>http://dx.doi.org/10.3390/met9020250</v>
      </c>
      <c r="BG962" s="1" t="s">
        <v>74</v>
      </c>
      <c r="BH962" s="1" t="s">
        <v>74</v>
      </c>
      <c r="BI962" s="1" t="s">
        <v>74</v>
      </c>
      <c r="BJ962" s="1" t="s">
        <v>74</v>
      </c>
      <c r="BK962" s="1" t="s">
        <v>74</v>
      </c>
      <c r="BL962" s="1" t="s">
        <v>74</v>
      </c>
      <c r="BM962" s="1" t="s">
        <v>74</v>
      </c>
      <c r="BN962" s="1" t="s">
        <v>74</v>
      </c>
      <c r="BO962" s="1" t="s">
        <v>74</v>
      </c>
      <c r="BP962" s="1" t="s">
        <v>74</v>
      </c>
      <c r="BQ962" s="1" t="s">
        <v>74</v>
      </c>
      <c r="BR962" s="1" t="s">
        <v>74</v>
      </c>
      <c r="BS962" s="1" t="s">
        <v>9281</v>
      </c>
      <c r="BT962" s="1" t="str">
        <f>HYPERLINK("https%3A%2F%2Fwww.webofscience.com%2Fwos%2Fwoscc%2Ffull-record%2FWOS:000460764700141","View Full Record in Web of Science")</f>
        <v>View Full Record in Web of Science</v>
      </c>
    </row>
    <row r="963" ht="12.75" customHeight="1">
      <c r="A963" s="1" t="s">
        <v>274</v>
      </c>
      <c r="B963" s="1" t="s">
        <v>9282</v>
      </c>
      <c r="C963" s="1" t="s">
        <v>74</v>
      </c>
      <c r="D963" s="1" t="s">
        <v>9283</v>
      </c>
      <c r="E963" s="1" t="s">
        <v>74</v>
      </c>
      <c r="F963" s="1" t="s">
        <v>9284</v>
      </c>
      <c r="G963" s="1" t="s">
        <v>74</v>
      </c>
      <c r="H963" s="1" t="s">
        <v>74</v>
      </c>
      <c r="I963" s="1" t="s">
        <v>9285</v>
      </c>
      <c r="J963" s="1" t="s">
        <v>9286</v>
      </c>
      <c r="K963" s="1" t="s">
        <v>74</v>
      </c>
      <c r="L963" s="1" t="s">
        <v>74</v>
      </c>
      <c r="M963" s="1" t="s">
        <v>74</v>
      </c>
      <c r="N963" s="1" t="s">
        <v>74</v>
      </c>
      <c r="O963" s="1" t="s">
        <v>74</v>
      </c>
      <c r="P963" s="1" t="s">
        <v>74</v>
      </c>
      <c r="Q963" s="1" t="s">
        <v>74</v>
      </c>
      <c r="R963" s="1" t="s">
        <v>74</v>
      </c>
      <c r="S963" s="1" t="s">
        <v>74</v>
      </c>
      <c r="T963" s="1" t="s">
        <v>74</v>
      </c>
      <c r="U963" s="1" t="s">
        <v>74</v>
      </c>
      <c r="V963" s="1" t="s">
        <v>74</v>
      </c>
      <c r="W963" s="1" t="s">
        <v>74</v>
      </c>
      <c r="X963" s="1" t="s">
        <v>74</v>
      </c>
      <c r="Y963" s="1" t="s">
        <v>74</v>
      </c>
      <c r="Z963" s="1" t="s">
        <v>74</v>
      </c>
      <c r="AA963" s="1" t="s">
        <v>9287</v>
      </c>
      <c r="AB963" s="1" t="s">
        <v>74</v>
      </c>
      <c r="AC963" s="1" t="s">
        <v>74</v>
      </c>
      <c r="AD963" s="1" t="s">
        <v>74</v>
      </c>
      <c r="AE963" s="1" t="s">
        <v>74</v>
      </c>
      <c r="AF963" s="1" t="s">
        <v>74</v>
      </c>
      <c r="AG963" s="1" t="s">
        <v>74</v>
      </c>
      <c r="AH963" s="1" t="s">
        <v>74</v>
      </c>
      <c r="AI963" s="1" t="s">
        <v>74</v>
      </c>
      <c r="AJ963" s="1" t="s">
        <v>74</v>
      </c>
      <c r="AK963" s="1" t="s">
        <v>74</v>
      </c>
      <c r="AL963" s="1" t="s">
        <v>74</v>
      </c>
      <c r="AM963" s="1" t="s">
        <v>74</v>
      </c>
      <c r="AN963" s="1" t="s">
        <v>74</v>
      </c>
      <c r="AO963" s="1" t="s">
        <v>74</v>
      </c>
      <c r="AP963" s="1" t="s">
        <v>74</v>
      </c>
      <c r="AQ963" s="1" t="s">
        <v>9288</v>
      </c>
      <c r="AR963" s="1" t="s">
        <v>74</v>
      </c>
      <c r="AS963" s="1" t="s">
        <v>74</v>
      </c>
      <c r="AT963" s="1" t="s">
        <v>74</v>
      </c>
      <c r="AU963" s="1">
        <v>2018.0</v>
      </c>
      <c r="AV963" s="1" t="s">
        <v>74</v>
      </c>
      <c r="AW963" s="1" t="s">
        <v>74</v>
      </c>
      <c r="AX963" s="1" t="s">
        <v>74</v>
      </c>
      <c r="AY963" s="1" t="s">
        <v>74</v>
      </c>
      <c r="AZ963" s="1" t="s">
        <v>74</v>
      </c>
      <c r="BA963" s="1" t="s">
        <v>74</v>
      </c>
      <c r="BB963" s="1">
        <v>277.0</v>
      </c>
      <c r="BC963" s="1">
        <v>300.0</v>
      </c>
      <c r="BD963" s="1" t="s">
        <v>74</v>
      </c>
      <c r="BE963" s="1" t="s">
        <v>74</v>
      </c>
      <c r="BF963" s="1" t="s">
        <v>74</v>
      </c>
      <c r="BG963" s="1" t="s">
        <v>74</v>
      </c>
      <c r="BH963" s="1" t="s">
        <v>74</v>
      </c>
      <c r="BI963" s="1" t="s">
        <v>74</v>
      </c>
      <c r="BJ963" s="1" t="s">
        <v>74</v>
      </c>
      <c r="BK963" s="1" t="s">
        <v>74</v>
      </c>
      <c r="BL963" s="1" t="s">
        <v>74</v>
      </c>
      <c r="BM963" s="1" t="s">
        <v>74</v>
      </c>
      <c r="BN963" s="1" t="s">
        <v>74</v>
      </c>
      <c r="BO963" s="1" t="s">
        <v>74</v>
      </c>
      <c r="BP963" s="1" t="s">
        <v>74</v>
      </c>
      <c r="BQ963" s="1" t="s">
        <v>74</v>
      </c>
      <c r="BR963" s="1" t="s">
        <v>74</v>
      </c>
      <c r="BS963" s="1" t="s">
        <v>9289</v>
      </c>
      <c r="BT963" s="1" t="str">
        <f>HYPERLINK("https%3A%2F%2Fwww.webofscience.com%2Fwos%2Fwoscc%2Ffull-record%2FWOS:000668284400013","View Full Record in Web of Science")</f>
        <v>View Full Record in Web of Science</v>
      </c>
    </row>
    <row r="964" ht="12.75" customHeight="1">
      <c r="A964" s="1" t="s">
        <v>182</v>
      </c>
      <c r="B964" s="1" t="s">
        <v>9290</v>
      </c>
      <c r="C964" s="1" t="s">
        <v>74</v>
      </c>
      <c r="D964" s="1" t="s">
        <v>9291</v>
      </c>
      <c r="E964" s="1" t="s">
        <v>74</v>
      </c>
      <c r="F964" s="1" t="s">
        <v>9292</v>
      </c>
      <c r="G964" s="1" t="s">
        <v>74</v>
      </c>
      <c r="H964" s="1" t="s">
        <v>74</v>
      </c>
      <c r="I964" s="1" t="s">
        <v>9293</v>
      </c>
      <c r="J964" s="1" t="s">
        <v>9294</v>
      </c>
      <c r="K964" s="1" t="s">
        <v>2672</v>
      </c>
      <c r="L964" s="1" t="s">
        <v>74</v>
      </c>
      <c r="M964" s="1" t="s">
        <v>74</v>
      </c>
      <c r="N964" s="1" t="s">
        <v>74</v>
      </c>
      <c r="O964" s="1" t="s">
        <v>9295</v>
      </c>
      <c r="P964" s="1" t="s">
        <v>9296</v>
      </c>
      <c r="Q964" s="1" t="s">
        <v>9297</v>
      </c>
      <c r="R964" s="1" t="s">
        <v>9298</v>
      </c>
      <c r="S964" s="1" t="s">
        <v>9299</v>
      </c>
      <c r="T964" s="1" t="s">
        <v>74</v>
      </c>
      <c r="U964" s="1" t="s">
        <v>74</v>
      </c>
      <c r="V964" s="1" t="s">
        <v>9300</v>
      </c>
      <c r="W964" s="1" t="s">
        <v>74</v>
      </c>
      <c r="X964" s="1" t="s">
        <v>74</v>
      </c>
      <c r="Y964" s="1" t="s">
        <v>74</v>
      </c>
      <c r="Z964" s="1" t="s">
        <v>74</v>
      </c>
      <c r="AA964" s="1" t="s">
        <v>2678</v>
      </c>
      <c r="AB964" s="1" t="s">
        <v>9301</v>
      </c>
      <c r="AC964" s="1" t="s">
        <v>74</v>
      </c>
      <c r="AD964" s="1" t="s">
        <v>74</v>
      </c>
      <c r="AE964" s="1" t="s">
        <v>74</v>
      </c>
      <c r="AF964" s="1" t="s">
        <v>74</v>
      </c>
      <c r="AG964" s="1" t="s">
        <v>74</v>
      </c>
      <c r="AH964" s="1" t="s">
        <v>74</v>
      </c>
      <c r="AI964" s="1" t="s">
        <v>74</v>
      </c>
      <c r="AJ964" s="1" t="s">
        <v>74</v>
      </c>
      <c r="AK964" s="1" t="s">
        <v>74</v>
      </c>
      <c r="AL964" s="1" t="s">
        <v>74</v>
      </c>
      <c r="AM964" s="1" t="s">
        <v>74</v>
      </c>
      <c r="AN964" s="1" t="s">
        <v>74</v>
      </c>
      <c r="AO964" s="1" t="s">
        <v>2680</v>
      </c>
      <c r="AP964" s="1" t="s">
        <v>74</v>
      </c>
      <c r="AQ964" s="1" t="s">
        <v>9302</v>
      </c>
      <c r="AR964" s="1" t="s">
        <v>74</v>
      </c>
      <c r="AS964" s="1" t="s">
        <v>74</v>
      </c>
      <c r="AT964" s="1" t="s">
        <v>74</v>
      </c>
      <c r="AU964" s="1">
        <v>2018.0</v>
      </c>
      <c r="AV964" s="1" t="s">
        <v>74</v>
      </c>
      <c r="AW964" s="1" t="s">
        <v>74</v>
      </c>
      <c r="AX964" s="1" t="s">
        <v>74</v>
      </c>
      <c r="AY964" s="1" t="s">
        <v>74</v>
      </c>
      <c r="AZ964" s="1" t="s">
        <v>74</v>
      </c>
      <c r="BA964" s="1" t="s">
        <v>74</v>
      </c>
      <c r="BB964" s="1">
        <v>325.0</v>
      </c>
      <c r="BC964" s="1">
        <v>328.0</v>
      </c>
      <c r="BD964" s="1" t="s">
        <v>74</v>
      </c>
      <c r="BE964" s="1" t="s">
        <v>9303</v>
      </c>
      <c r="BF964" s="2" t="str">
        <f>HYPERLINK("http://dx.doi.org/10.1109/PDP2018.2018.00057","http://dx.doi.org/10.1109/PDP2018.2018.00057")</f>
        <v>http://dx.doi.org/10.1109/PDP2018.2018.00057</v>
      </c>
      <c r="BG964" s="1" t="s">
        <v>74</v>
      </c>
      <c r="BH964" s="1" t="s">
        <v>74</v>
      </c>
      <c r="BI964" s="1" t="s">
        <v>74</v>
      </c>
      <c r="BJ964" s="1" t="s">
        <v>74</v>
      </c>
      <c r="BK964" s="1" t="s">
        <v>74</v>
      </c>
      <c r="BL964" s="1" t="s">
        <v>74</v>
      </c>
      <c r="BM964" s="1" t="s">
        <v>74</v>
      </c>
      <c r="BN964" s="1" t="s">
        <v>74</v>
      </c>
      <c r="BO964" s="1" t="s">
        <v>74</v>
      </c>
      <c r="BP964" s="1" t="s">
        <v>74</v>
      </c>
      <c r="BQ964" s="1" t="s">
        <v>74</v>
      </c>
      <c r="BR964" s="1" t="s">
        <v>74</v>
      </c>
      <c r="BS964" s="1" t="s">
        <v>9304</v>
      </c>
      <c r="BT964" s="1" t="str">
        <f>HYPERLINK("https%3A%2F%2Fwww.webofscience.com%2Fwos%2Fwoscc%2Ffull-record%2FWOS:000443807600048","View Full Record in Web of Science")</f>
        <v>View Full Record in Web of Science</v>
      </c>
    </row>
    <row r="965" ht="12.75" customHeight="1">
      <c r="A965" s="1" t="s">
        <v>72</v>
      </c>
      <c r="B965" s="1" t="s">
        <v>9305</v>
      </c>
      <c r="C965" s="1" t="s">
        <v>74</v>
      </c>
      <c r="D965" s="1" t="s">
        <v>74</v>
      </c>
      <c r="E965" s="1" t="s">
        <v>74</v>
      </c>
      <c r="F965" s="1" t="s">
        <v>9306</v>
      </c>
      <c r="G965" s="1" t="s">
        <v>74</v>
      </c>
      <c r="H965" s="1" t="s">
        <v>74</v>
      </c>
      <c r="I965" s="1" t="s">
        <v>9307</v>
      </c>
      <c r="J965" s="1" t="s">
        <v>2361</v>
      </c>
      <c r="K965" s="1" t="s">
        <v>74</v>
      </c>
      <c r="L965" s="1" t="s">
        <v>74</v>
      </c>
      <c r="M965" s="1" t="s">
        <v>74</v>
      </c>
      <c r="N965" s="1" t="s">
        <v>74</v>
      </c>
      <c r="O965" s="1" t="s">
        <v>74</v>
      </c>
      <c r="P965" s="1" t="s">
        <v>74</v>
      </c>
      <c r="Q965" s="1" t="s">
        <v>74</v>
      </c>
      <c r="R965" s="1" t="s">
        <v>74</v>
      </c>
      <c r="S965" s="1" t="s">
        <v>74</v>
      </c>
      <c r="T965" s="1" t="s">
        <v>74</v>
      </c>
      <c r="U965" s="1" t="s">
        <v>74</v>
      </c>
      <c r="V965" s="1" t="s">
        <v>9308</v>
      </c>
      <c r="W965" s="1" t="s">
        <v>74</v>
      </c>
      <c r="X965" s="1" t="s">
        <v>74</v>
      </c>
      <c r="Y965" s="1" t="s">
        <v>74</v>
      </c>
      <c r="Z965" s="1" t="s">
        <v>74</v>
      </c>
      <c r="AA965" s="1" t="s">
        <v>74</v>
      </c>
      <c r="AB965" s="1" t="s">
        <v>74</v>
      </c>
      <c r="AC965" s="1" t="s">
        <v>74</v>
      </c>
      <c r="AD965" s="1" t="s">
        <v>74</v>
      </c>
      <c r="AE965" s="1" t="s">
        <v>74</v>
      </c>
      <c r="AF965" s="1" t="s">
        <v>74</v>
      </c>
      <c r="AG965" s="1" t="s">
        <v>74</v>
      </c>
      <c r="AH965" s="1" t="s">
        <v>74</v>
      </c>
      <c r="AI965" s="1" t="s">
        <v>74</v>
      </c>
      <c r="AJ965" s="1" t="s">
        <v>74</v>
      </c>
      <c r="AK965" s="1" t="s">
        <v>74</v>
      </c>
      <c r="AL965" s="1" t="s">
        <v>74</v>
      </c>
      <c r="AM965" s="1" t="s">
        <v>74</v>
      </c>
      <c r="AN965" s="1" t="s">
        <v>74</v>
      </c>
      <c r="AO965" s="1" t="s">
        <v>2364</v>
      </c>
      <c r="AP965" s="1" t="s">
        <v>2365</v>
      </c>
      <c r="AQ965" s="1" t="s">
        <v>74</v>
      </c>
      <c r="AR965" s="1" t="s">
        <v>74</v>
      </c>
      <c r="AS965" s="1" t="s">
        <v>74</v>
      </c>
      <c r="AT965" s="1" t="s">
        <v>9309</v>
      </c>
      <c r="AU965" s="1">
        <v>2017.0</v>
      </c>
      <c r="AV965" s="1">
        <v>702.0</v>
      </c>
      <c r="AW965" s="1" t="s">
        <v>74</v>
      </c>
      <c r="AX965" s="1" t="s">
        <v>74</v>
      </c>
      <c r="AY965" s="1" t="s">
        <v>74</v>
      </c>
      <c r="AZ965" s="1" t="s">
        <v>74</v>
      </c>
      <c r="BA965" s="1" t="s">
        <v>74</v>
      </c>
      <c r="BB965" s="1">
        <v>77.0</v>
      </c>
      <c r="BC965" s="1">
        <v>96.0</v>
      </c>
      <c r="BD965" s="1" t="s">
        <v>74</v>
      </c>
      <c r="BE965" s="1" t="s">
        <v>9310</v>
      </c>
      <c r="BF965" s="2" t="str">
        <f>HYPERLINK("http://dx.doi.org/10.1016/j.tcs.2017.08.015","http://dx.doi.org/10.1016/j.tcs.2017.08.015")</f>
        <v>http://dx.doi.org/10.1016/j.tcs.2017.08.015</v>
      </c>
      <c r="BG965" s="1" t="s">
        <v>74</v>
      </c>
      <c r="BH965" s="1" t="s">
        <v>74</v>
      </c>
      <c r="BI965" s="1" t="s">
        <v>74</v>
      </c>
      <c r="BJ965" s="1" t="s">
        <v>74</v>
      </c>
      <c r="BK965" s="1" t="s">
        <v>74</v>
      </c>
      <c r="BL965" s="1" t="s">
        <v>74</v>
      </c>
      <c r="BM965" s="1" t="s">
        <v>74</v>
      </c>
      <c r="BN965" s="1" t="s">
        <v>74</v>
      </c>
      <c r="BO965" s="1" t="s">
        <v>74</v>
      </c>
      <c r="BP965" s="1" t="s">
        <v>74</v>
      </c>
      <c r="BQ965" s="1" t="s">
        <v>74</v>
      </c>
      <c r="BR965" s="1" t="s">
        <v>74</v>
      </c>
      <c r="BS965" s="1" t="s">
        <v>9311</v>
      </c>
      <c r="BT965" s="1" t="str">
        <f>HYPERLINK("https%3A%2F%2Fwww.webofscience.com%2Fwos%2Fwoscc%2Ffull-record%2FWOS:000418985400007","View Full Record in Web of Science")</f>
        <v>View Full Record in Web of Science</v>
      </c>
    </row>
    <row r="966" ht="12.75" customHeight="1">
      <c r="A966" s="1" t="s">
        <v>72</v>
      </c>
      <c r="B966" s="1" t="s">
        <v>9312</v>
      </c>
      <c r="C966" s="1" t="s">
        <v>74</v>
      </c>
      <c r="D966" s="1" t="s">
        <v>74</v>
      </c>
      <c r="E966" s="1" t="s">
        <v>74</v>
      </c>
      <c r="F966" s="1" t="s">
        <v>9313</v>
      </c>
      <c r="G966" s="1" t="s">
        <v>74</v>
      </c>
      <c r="H966" s="1" t="s">
        <v>74</v>
      </c>
      <c r="I966" s="1" t="s">
        <v>9314</v>
      </c>
      <c r="J966" s="1" t="s">
        <v>970</v>
      </c>
      <c r="K966" s="1" t="s">
        <v>74</v>
      </c>
      <c r="L966" s="1" t="s">
        <v>74</v>
      </c>
      <c r="M966" s="1" t="s">
        <v>74</v>
      </c>
      <c r="N966" s="1" t="s">
        <v>74</v>
      </c>
      <c r="O966" s="1" t="s">
        <v>74</v>
      </c>
      <c r="P966" s="1" t="s">
        <v>74</v>
      </c>
      <c r="Q966" s="1" t="s">
        <v>74</v>
      </c>
      <c r="R966" s="1" t="s">
        <v>74</v>
      </c>
      <c r="S966" s="1" t="s">
        <v>74</v>
      </c>
      <c r="T966" s="1" t="s">
        <v>74</v>
      </c>
      <c r="U966" s="1" t="s">
        <v>74</v>
      </c>
      <c r="V966" s="1" t="s">
        <v>9315</v>
      </c>
      <c r="W966" s="1" t="s">
        <v>74</v>
      </c>
      <c r="X966" s="1" t="s">
        <v>74</v>
      </c>
      <c r="Y966" s="1" t="s">
        <v>74</v>
      </c>
      <c r="Z966" s="1" t="s">
        <v>74</v>
      </c>
      <c r="AA966" s="1" t="s">
        <v>9316</v>
      </c>
      <c r="AB966" s="1" t="s">
        <v>9317</v>
      </c>
      <c r="AC966" s="1" t="s">
        <v>74</v>
      </c>
      <c r="AD966" s="1" t="s">
        <v>74</v>
      </c>
      <c r="AE966" s="1" t="s">
        <v>74</v>
      </c>
      <c r="AF966" s="1" t="s">
        <v>74</v>
      </c>
      <c r="AG966" s="1" t="s">
        <v>74</v>
      </c>
      <c r="AH966" s="1" t="s">
        <v>74</v>
      </c>
      <c r="AI966" s="1" t="s">
        <v>74</v>
      </c>
      <c r="AJ966" s="1" t="s">
        <v>74</v>
      </c>
      <c r="AK966" s="1" t="s">
        <v>74</v>
      </c>
      <c r="AL966" s="1" t="s">
        <v>74</v>
      </c>
      <c r="AM966" s="1" t="s">
        <v>74</v>
      </c>
      <c r="AN966" s="1" t="s">
        <v>74</v>
      </c>
      <c r="AO966" s="1" t="s">
        <v>974</v>
      </c>
      <c r="AP966" s="1" t="s">
        <v>975</v>
      </c>
      <c r="AQ966" s="1" t="s">
        <v>74</v>
      </c>
      <c r="AR966" s="1" t="s">
        <v>74</v>
      </c>
      <c r="AS966" s="1" t="s">
        <v>74</v>
      </c>
      <c r="AT966" s="1" t="s">
        <v>976</v>
      </c>
      <c r="AU966" s="1">
        <v>2017.0</v>
      </c>
      <c r="AV966" s="1">
        <v>46.0</v>
      </c>
      <c r="AW966" s="1">
        <v>39.0</v>
      </c>
      <c r="AX966" s="1" t="s">
        <v>74</v>
      </c>
      <c r="AY966" s="1" t="s">
        <v>74</v>
      </c>
      <c r="AZ966" s="1" t="s">
        <v>74</v>
      </c>
      <c r="BA966" s="1" t="s">
        <v>74</v>
      </c>
      <c r="BB966" s="1">
        <v>13432.0</v>
      </c>
      <c r="BC966" s="1">
        <v>13445.0</v>
      </c>
      <c r="BD966" s="1" t="s">
        <v>74</v>
      </c>
      <c r="BE966" s="1" t="s">
        <v>9318</v>
      </c>
      <c r="BF966" s="2" t="str">
        <f>HYPERLINK("http://dx.doi.org/10.1039/c7dt02244a","http://dx.doi.org/10.1039/c7dt02244a")</f>
        <v>http://dx.doi.org/10.1039/c7dt02244a</v>
      </c>
      <c r="BG966" s="1" t="s">
        <v>74</v>
      </c>
      <c r="BH966" s="1" t="s">
        <v>74</v>
      </c>
      <c r="BI966" s="1" t="s">
        <v>74</v>
      </c>
      <c r="BJ966" s="1" t="s">
        <v>74</v>
      </c>
      <c r="BK966" s="1" t="s">
        <v>74</v>
      </c>
      <c r="BL966" s="1" t="s">
        <v>74</v>
      </c>
      <c r="BM966" s="1" t="s">
        <v>74</v>
      </c>
      <c r="BN966" s="1">
        <v>2.8948992E7</v>
      </c>
      <c r="BO966" s="1" t="s">
        <v>74</v>
      </c>
      <c r="BP966" s="1" t="s">
        <v>74</v>
      </c>
      <c r="BQ966" s="1" t="s">
        <v>74</v>
      </c>
      <c r="BR966" s="1" t="s">
        <v>74</v>
      </c>
      <c r="BS966" s="1" t="s">
        <v>9319</v>
      </c>
      <c r="BT966" s="1" t="str">
        <f>HYPERLINK("https%3A%2F%2Fwww.webofscience.com%2Fwos%2Fwoscc%2Ffull-record%2FWOS:000412765000032","View Full Record in Web of Science")</f>
        <v>View Full Record in Web of Science</v>
      </c>
    </row>
    <row r="967" ht="12.75" customHeight="1">
      <c r="A967" s="1" t="s">
        <v>72</v>
      </c>
      <c r="B967" s="1" t="s">
        <v>9320</v>
      </c>
      <c r="C967" s="1" t="s">
        <v>74</v>
      </c>
      <c r="D967" s="1" t="s">
        <v>74</v>
      </c>
      <c r="E967" s="1" t="s">
        <v>74</v>
      </c>
      <c r="F967" s="1" t="s">
        <v>9321</v>
      </c>
      <c r="G967" s="1" t="s">
        <v>74</v>
      </c>
      <c r="H967" s="1" t="s">
        <v>74</v>
      </c>
      <c r="I967" s="1" t="s">
        <v>9322</v>
      </c>
      <c r="J967" s="1" t="s">
        <v>2352</v>
      </c>
      <c r="K967" s="1" t="s">
        <v>74</v>
      </c>
      <c r="L967" s="1" t="s">
        <v>74</v>
      </c>
      <c r="M967" s="1" t="s">
        <v>74</v>
      </c>
      <c r="N967" s="1" t="s">
        <v>74</v>
      </c>
      <c r="O967" s="1" t="s">
        <v>74</v>
      </c>
      <c r="P967" s="1" t="s">
        <v>74</v>
      </c>
      <c r="Q967" s="1" t="s">
        <v>74</v>
      </c>
      <c r="R967" s="1" t="s">
        <v>74</v>
      </c>
      <c r="S967" s="1" t="s">
        <v>74</v>
      </c>
      <c r="T967" s="1" t="s">
        <v>74</v>
      </c>
      <c r="U967" s="1" t="s">
        <v>74</v>
      </c>
      <c r="V967" s="1" t="s">
        <v>74</v>
      </c>
      <c r="W967" s="1" t="s">
        <v>74</v>
      </c>
      <c r="X967" s="1" t="s">
        <v>74</v>
      </c>
      <c r="Y967" s="1" t="s">
        <v>74</v>
      </c>
      <c r="Z967" s="1" t="s">
        <v>74</v>
      </c>
      <c r="AA967" s="1" t="s">
        <v>9323</v>
      </c>
      <c r="AB967" s="1" t="s">
        <v>74</v>
      </c>
      <c r="AC967" s="1" t="s">
        <v>74</v>
      </c>
      <c r="AD967" s="1" t="s">
        <v>74</v>
      </c>
      <c r="AE967" s="1" t="s">
        <v>74</v>
      </c>
      <c r="AF967" s="1" t="s">
        <v>74</v>
      </c>
      <c r="AG967" s="1" t="s">
        <v>74</v>
      </c>
      <c r="AH967" s="1" t="s">
        <v>74</v>
      </c>
      <c r="AI967" s="1" t="s">
        <v>74</v>
      </c>
      <c r="AJ967" s="1" t="s">
        <v>74</v>
      </c>
      <c r="AK967" s="1" t="s">
        <v>74</v>
      </c>
      <c r="AL967" s="1" t="s">
        <v>74</v>
      </c>
      <c r="AM967" s="1" t="s">
        <v>74</v>
      </c>
      <c r="AN967" s="1" t="s">
        <v>74</v>
      </c>
      <c r="AO967" s="1" t="s">
        <v>2354</v>
      </c>
      <c r="AP967" s="1" t="s">
        <v>2355</v>
      </c>
      <c r="AQ967" s="1" t="s">
        <v>74</v>
      </c>
      <c r="AR967" s="1" t="s">
        <v>74</v>
      </c>
      <c r="AS967" s="1" t="s">
        <v>74</v>
      </c>
      <c r="AT967" s="1" t="s">
        <v>158</v>
      </c>
      <c r="AU967" s="1">
        <v>2017.0</v>
      </c>
      <c r="AV967" s="1">
        <v>27.0</v>
      </c>
      <c r="AW967" s="1" t="s">
        <v>74</v>
      </c>
      <c r="AX967" s="1" t="s">
        <v>74</v>
      </c>
      <c r="AY967" s="1">
        <v>1.0</v>
      </c>
      <c r="AZ967" s="1" t="s">
        <v>74</v>
      </c>
      <c r="BA967" s="1" t="s">
        <v>9324</v>
      </c>
      <c r="BB967" s="1">
        <v>1011.0</v>
      </c>
      <c r="BC967" s="1">
        <v>1011.0</v>
      </c>
      <c r="BD967" s="1" t="s">
        <v>74</v>
      </c>
      <c r="BE967" s="1" t="s">
        <v>74</v>
      </c>
      <c r="BF967" s="1" t="s">
        <v>74</v>
      </c>
      <c r="BG967" s="1" t="s">
        <v>74</v>
      </c>
      <c r="BH967" s="1" t="s">
        <v>74</v>
      </c>
      <c r="BI967" s="1" t="s">
        <v>74</v>
      </c>
      <c r="BJ967" s="1" t="s">
        <v>74</v>
      </c>
      <c r="BK967" s="1" t="s">
        <v>74</v>
      </c>
      <c r="BL967" s="1" t="s">
        <v>74</v>
      </c>
      <c r="BM967" s="1" t="s">
        <v>74</v>
      </c>
      <c r="BN967" s="1" t="s">
        <v>74</v>
      </c>
      <c r="BO967" s="1" t="s">
        <v>74</v>
      </c>
      <c r="BP967" s="1" t="s">
        <v>74</v>
      </c>
      <c r="BQ967" s="1" t="s">
        <v>74</v>
      </c>
      <c r="BR967" s="1" t="s">
        <v>74</v>
      </c>
      <c r="BS967" s="1" t="s">
        <v>9325</v>
      </c>
      <c r="BT967" s="1" t="str">
        <f>HYPERLINK("https%3A%2F%2Fwww.webofscience.com%2Fwos%2Fwoscc%2Ffull-record%2FWOS:000461382401211","View Full Record in Web of Science")</f>
        <v>View Full Record in Web of Science</v>
      </c>
    </row>
    <row r="968" ht="12.75" customHeight="1">
      <c r="A968" s="1" t="s">
        <v>72</v>
      </c>
      <c r="B968" s="1" t="s">
        <v>9326</v>
      </c>
      <c r="C968" s="1" t="s">
        <v>74</v>
      </c>
      <c r="D968" s="1" t="s">
        <v>74</v>
      </c>
      <c r="E968" s="1" t="s">
        <v>74</v>
      </c>
      <c r="F968" s="1" t="s">
        <v>9327</v>
      </c>
      <c r="G968" s="1" t="s">
        <v>74</v>
      </c>
      <c r="H968" s="1" t="s">
        <v>74</v>
      </c>
      <c r="I968" s="1" t="s">
        <v>9328</v>
      </c>
      <c r="J968" s="1" t="s">
        <v>9329</v>
      </c>
      <c r="K968" s="1" t="s">
        <v>74</v>
      </c>
      <c r="L968" s="1" t="s">
        <v>74</v>
      </c>
      <c r="M968" s="1" t="s">
        <v>74</v>
      </c>
      <c r="N968" s="1" t="s">
        <v>74</v>
      </c>
      <c r="O968" s="1" t="s">
        <v>74</v>
      </c>
      <c r="P968" s="1" t="s">
        <v>74</v>
      </c>
      <c r="Q968" s="1" t="s">
        <v>74</v>
      </c>
      <c r="R968" s="1" t="s">
        <v>74</v>
      </c>
      <c r="S968" s="1" t="s">
        <v>74</v>
      </c>
      <c r="T968" s="1" t="s">
        <v>74</v>
      </c>
      <c r="U968" s="1" t="s">
        <v>74</v>
      </c>
      <c r="V968" s="1" t="s">
        <v>9330</v>
      </c>
      <c r="W968" s="1" t="s">
        <v>74</v>
      </c>
      <c r="X968" s="1" t="s">
        <v>74</v>
      </c>
      <c r="Y968" s="1" t="s">
        <v>74</v>
      </c>
      <c r="Z968" s="1" t="s">
        <v>74</v>
      </c>
      <c r="AA968" s="1" t="s">
        <v>9331</v>
      </c>
      <c r="AB968" s="1" t="s">
        <v>9332</v>
      </c>
      <c r="AC968" s="1" t="s">
        <v>74</v>
      </c>
      <c r="AD968" s="1" t="s">
        <v>74</v>
      </c>
      <c r="AE968" s="1" t="s">
        <v>74</v>
      </c>
      <c r="AF968" s="1" t="s">
        <v>74</v>
      </c>
      <c r="AG968" s="1" t="s">
        <v>74</v>
      </c>
      <c r="AH968" s="1" t="s">
        <v>74</v>
      </c>
      <c r="AI968" s="1" t="s">
        <v>74</v>
      </c>
      <c r="AJ968" s="1" t="s">
        <v>74</v>
      </c>
      <c r="AK968" s="1" t="s">
        <v>74</v>
      </c>
      <c r="AL968" s="1" t="s">
        <v>74</v>
      </c>
      <c r="AM968" s="1" t="s">
        <v>74</v>
      </c>
      <c r="AN968" s="1" t="s">
        <v>74</v>
      </c>
      <c r="AO968" s="1" t="s">
        <v>9333</v>
      </c>
      <c r="AP968" s="1" t="s">
        <v>74</v>
      </c>
      <c r="AQ968" s="1" t="s">
        <v>74</v>
      </c>
      <c r="AR968" s="1" t="s">
        <v>74</v>
      </c>
      <c r="AS968" s="1" t="s">
        <v>74</v>
      </c>
      <c r="AT968" s="1" t="s">
        <v>9334</v>
      </c>
      <c r="AU968" s="1">
        <v>2017.0</v>
      </c>
      <c r="AV968" s="1">
        <v>15.0</v>
      </c>
      <c r="AW968" s="1" t="s">
        <v>74</v>
      </c>
      <c r="AX968" s="1" t="s">
        <v>74</v>
      </c>
      <c r="AY968" s="1" t="s">
        <v>74</v>
      </c>
      <c r="AZ968" s="1" t="s">
        <v>74</v>
      </c>
      <c r="BA968" s="1" t="s">
        <v>74</v>
      </c>
      <c r="BB968" s="1">
        <v>745.0</v>
      </c>
      <c r="BC968" s="1">
        <v>767.0</v>
      </c>
      <c r="BD968" s="1" t="s">
        <v>74</v>
      </c>
      <c r="BE968" s="1" t="s">
        <v>9335</v>
      </c>
      <c r="BF968" s="2" t="str">
        <f>HYPERLINK("http://dx.doi.org/10.1515/math-2017-0065","http://dx.doi.org/10.1515/math-2017-0065")</f>
        <v>http://dx.doi.org/10.1515/math-2017-0065</v>
      </c>
      <c r="BG968" s="1" t="s">
        <v>74</v>
      </c>
      <c r="BH968" s="1" t="s">
        <v>74</v>
      </c>
      <c r="BI968" s="1" t="s">
        <v>74</v>
      </c>
      <c r="BJ968" s="1" t="s">
        <v>74</v>
      </c>
      <c r="BK968" s="1" t="s">
        <v>74</v>
      </c>
      <c r="BL968" s="1" t="s">
        <v>74</v>
      </c>
      <c r="BM968" s="1" t="s">
        <v>74</v>
      </c>
      <c r="BN968" s="1" t="s">
        <v>74</v>
      </c>
      <c r="BO968" s="1" t="s">
        <v>74</v>
      </c>
      <c r="BP968" s="1" t="s">
        <v>74</v>
      </c>
      <c r="BQ968" s="1" t="s">
        <v>74</v>
      </c>
      <c r="BR968" s="1" t="s">
        <v>74</v>
      </c>
      <c r="BS968" s="1" t="s">
        <v>9336</v>
      </c>
      <c r="BT968" s="1" t="str">
        <f>HYPERLINK("https%3A%2F%2Fwww.webofscience.com%2Fwos%2Fwoscc%2Ffull-record%2FWOS:000404577700005","View Full Record in Web of Science")</f>
        <v>View Full Record in Web of Science</v>
      </c>
    </row>
    <row r="969" ht="12.75" customHeight="1">
      <c r="A969" s="1" t="s">
        <v>72</v>
      </c>
      <c r="B969" s="1" t="s">
        <v>9337</v>
      </c>
      <c r="C969" s="1" t="s">
        <v>74</v>
      </c>
      <c r="D969" s="1" t="s">
        <v>74</v>
      </c>
      <c r="E969" s="1" t="s">
        <v>74</v>
      </c>
      <c r="F969" s="1" t="s">
        <v>9338</v>
      </c>
      <c r="G969" s="1" t="s">
        <v>74</v>
      </c>
      <c r="H969" s="1" t="s">
        <v>74</v>
      </c>
      <c r="I969" s="1" t="s">
        <v>9339</v>
      </c>
      <c r="J969" s="1" t="s">
        <v>9340</v>
      </c>
      <c r="K969" s="1" t="s">
        <v>74</v>
      </c>
      <c r="L969" s="1" t="s">
        <v>74</v>
      </c>
      <c r="M969" s="1" t="s">
        <v>74</v>
      </c>
      <c r="N969" s="1" t="s">
        <v>74</v>
      </c>
      <c r="O969" s="1" t="s">
        <v>74</v>
      </c>
      <c r="P969" s="1" t="s">
        <v>74</v>
      </c>
      <c r="Q969" s="1" t="s">
        <v>74</v>
      </c>
      <c r="R969" s="1" t="s">
        <v>74</v>
      </c>
      <c r="S969" s="1" t="s">
        <v>74</v>
      </c>
      <c r="T969" s="1" t="s">
        <v>74</v>
      </c>
      <c r="U969" s="1" t="s">
        <v>74</v>
      </c>
      <c r="V969" s="1" t="s">
        <v>9341</v>
      </c>
      <c r="W969" s="1" t="s">
        <v>74</v>
      </c>
      <c r="X969" s="1" t="s">
        <v>74</v>
      </c>
      <c r="Y969" s="1" t="s">
        <v>74</v>
      </c>
      <c r="Z969" s="1" t="s">
        <v>74</v>
      </c>
      <c r="AA969" s="1" t="s">
        <v>9342</v>
      </c>
      <c r="AB969" s="1" t="s">
        <v>9343</v>
      </c>
      <c r="AC969" s="1" t="s">
        <v>74</v>
      </c>
      <c r="AD969" s="1" t="s">
        <v>74</v>
      </c>
      <c r="AE969" s="1" t="s">
        <v>74</v>
      </c>
      <c r="AF969" s="1" t="s">
        <v>74</v>
      </c>
      <c r="AG969" s="1" t="s">
        <v>74</v>
      </c>
      <c r="AH969" s="1" t="s">
        <v>74</v>
      </c>
      <c r="AI969" s="1" t="s">
        <v>74</v>
      </c>
      <c r="AJ969" s="1" t="s">
        <v>74</v>
      </c>
      <c r="AK969" s="1" t="s">
        <v>74</v>
      </c>
      <c r="AL969" s="1" t="s">
        <v>74</v>
      </c>
      <c r="AM969" s="1" t="s">
        <v>74</v>
      </c>
      <c r="AN969" s="1" t="s">
        <v>74</v>
      </c>
      <c r="AO969" s="1" t="s">
        <v>9344</v>
      </c>
      <c r="AP969" s="1" t="s">
        <v>9345</v>
      </c>
      <c r="AQ969" s="1" t="s">
        <v>74</v>
      </c>
      <c r="AR969" s="1" t="s">
        <v>74</v>
      </c>
      <c r="AS969" s="1" t="s">
        <v>74</v>
      </c>
      <c r="AT969" s="1" t="s">
        <v>257</v>
      </c>
      <c r="AU969" s="1">
        <v>2017.0</v>
      </c>
      <c r="AV969" s="1">
        <v>69.0</v>
      </c>
      <c r="AW969" s="1" t="s">
        <v>74</v>
      </c>
      <c r="AX969" s="1" t="s">
        <v>74</v>
      </c>
      <c r="AY969" s="1" t="s">
        <v>74</v>
      </c>
      <c r="AZ969" s="1" t="s">
        <v>74</v>
      </c>
      <c r="BA969" s="1" t="s">
        <v>74</v>
      </c>
      <c r="BB969" s="1">
        <v>350.0</v>
      </c>
      <c r="BC969" s="1">
        <v>359.0</v>
      </c>
      <c r="BD969" s="1" t="s">
        <v>74</v>
      </c>
      <c r="BE969" s="1" t="s">
        <v>9346</v>
      </c>
      <c r="BF969" s="2" t="str">
        <f>HYPERLINK("http://dx.doi.org/10.1016/j.rser.2016.11.084","http://dx.doi.org/10.1016/j.rser.2016.11.084")</f>
        <v>http://dx.doi.org/10.1016/j.rser.2016.11.084</v>
      </c>
      <c r="BG969" s="1" t="s">
        <v>74</v>
      </c>
      <c r="BH969" s="1" t="s">
        <v>74</v>
      </c>
      <c r="BI969" s="1" t="s">
        <v>74</v>
      </c>
      <c r="BJ969" s="1" t="s">
        <v>74</v>
      </c>
      <c r="BK969" s="1" t="s">
        <v>74</v>
      </c>
      <c r="BL969" s="1" t="s">
        <v>74</v>
      </c>
      <c r="BM969" s="1" t="s">
        <v>74</v>
      </c>
      <c r="BN969" s="1" t="s">
        <v>74</v>
      </c>
      <c r="BO969" s="1" t="s">
        <v>74</v>
      </c>
      <c r="BP969" s="1" t="s">
        <v>74</v>
      </c>
      <c r="BQ969" s="1" t="s">
        <v>74</v>
      </c>
      <c r="BR969" s="1" t="s">
        <v>74</v>
      </c>
      <c r="BS969" s="1" t="s">
        <v>9347</v>
      </c>
      <c r="BT969" s="1" t="str">
        <f>HYPERLINK("https%3A%2F%2Fwww.webofscience.com%2Fwos%2Fwoscc%2Ffull-record%2FWOS:000393016000030","View Full Record in Web of Science")</f>
        <v>View Full Record in Web of Science</v>
      </c>
    </row>
    <row r="970" ht="12.75" customHeight="1">
      <c r="A970" s="1" t="s">
        <v>72</v>
      </c>
      <c r="B970" s="1" t="s">
        <v>9348</v>
      </c>
      <c r="C970" s="1" t="s">
        <v>74</v>
      </c>
      <c r="D970" s="1" t="s">
        <v>74</v>
      </c>
      <c r="E970" s="1" t="s">
        <v>74</v>
      </c>
      <c r="F970" s="1" t="s">
        <v>9349</v>
      </c>
      <c r="G970" s="1" t="s">
        <v>74</v>
      </c>
      <c r="H970" s="1" t="s">
        <v>74</v>
      </c>
      <c r="I970" s="1" t="s">
        <v>9350</v>
      </c>
      <c r="J970" s="1" t="s">
        <v>9351</v>
      </c>
      <c r="K970" s="1" t="s">
        <v>74</v>
      </c>
      <c r="L970" s="1" t="s">
        <v>74</v>
      </c>
      <c r="M970" s="1" t="s">
        <v>74</v>
      </c>
      <c r="N970" s="1" t="s">
        <v>74</v>
      </c>
      <c r="O970" s="1" t="s">
        <v>74</v>
      </c>
      <c r="P970" s="1" t="s">
        <v>74</v>
      </c>
      <c r="Q970" s="1" t="s">
        <v>74</v>
      </c>
      <c r="R970" s="1" t="s">
        <v>74</v>
      </c>
      <c r="S970" s="1" t="s">
        <v>74</v>
      </c>
      <c r="T970" s="1" t="s">
        <v>74</v>
      </c>
      <c r="U970" s="1" t="s">
        <v>74</v>
      </c>
      <c r="V970" s="1" t="s">
        <v>9352</v>
      </c>
      <c r="W970" s="1" t="s">
        <v>74</v>
      </c>
      <c r="X970" s="1" t="s">
        <v>74</v>
      </c>
      <c r="Y970" s="1" t="s">
        <v>74</v>
      </c>
      <c r="Z970" s="1" t="s">
        <v>74</v>
      </c>
      <c r="AA970" s="1" t="s">
        <v>74</v>
      </c>
      <c r="AB970" s="1" t="s">
        <v>9353</v>
      </c>
      <c r="AC970" s="1" t="s">
        <v>74</v>
      </c>
      <c r="AD970" s="1" t="s">
        <v>74</v>
      </c>
      <c r="AE970" s="1" t="s">
        <v>74</v>
      </c>
      <c r="AF970" s="1" t="s">
        <v>74</v>
      </c>
      <c r="AG970" s="1" t="s">
        <v>74</v>
      </c>
      <c r="AH970" s="1" t="s">
        <v>74</v>
      </c>
      <c r="AI970" s="1" t="s">
        <v>74</v>
      </c>
      <c r="AJ970" s="1" t="s">
        <v>74</v>
      </c>
      <c r="AK970" s="1" t="s">
        <v>74</v>
      </c>
      <c r="AL970" s="1" t="s">
        <v>74</v>
      </c>
      <c r="AM970" s="1" t="s">
        <v>74</v>
      </c>
      <c r="AN970" s="1" t="s">
        <v>74</v>
      </c>
      <c r="AO970" s="1" t="s">
        <v>9354</v>
      </c>
      <c r="AP970" s="1" t="s">
        <v>9355</v>
      </c>
      <c r="AQ970" s="1" t="s">
        <v>74</v>
      </c>
      <c r="AR970" s="1" t="s">
        <v>74</v>
      </c>
      <c r="AS970" s="1" t="s">
        <v>74</v>
      </c>
      <c r="AT970" s="1" t="s">
        <v>606</v>
      </c>
      <c r="AU970" s="1">
        <v>2016.0</v>
      </c>
      <c r="AV970" s="1">
        <v>94.0</v>
      </c>
      <c r="AW970" s="1" t="s">
        <v>74</v>
      </c>
      <c r="AX970" s="1">
        <v>2.0</v>
      </c>
      <c r="AY970" s="1" t="s">
        <v>74</v>
      </c>
      <c r="AZ970" s="1" t="s">
        <v>74</v>
      </c>
      <c r="BA970" s="1" t="s">
        <v>74</v>
      </c>
      <c r="BB970" s="1">
        <v>545.0</v>
      </c>
      <c r="BC970" s="1">
        <v>556.0</v>
      </c>
      <c r="BD970" s="1" t="s">
        <v>74</v>
      </c>
      <c r="BE970" s="1" t="s">
        <v>9356</v>
      </c>
      <c r="BF970" s="2" t="str">
        <f>HYPERLINK("http://dx.doi.org/10.1112/jlms/jdw047","http://dx.doi.org/10.1112/jlms/jdw047")</f>
        <v>http://dx.doi.org/10.1112/jlms/jdw047</v>
      </c>
      <c r="BG970" s="1" t="s">
        <v>74</v>
      </c>
      <c r="BH970" s="1" t="s">
        <v>74</v>
      </c>
      <c r="BI970" s="1" t="s">
        <v>74</v>
      </c>
      <c r="BJ970" s="1" t="s">
        <v>74</v>
      </c>
      <c r="BK970" s="1" t="s">
        <v>74</v>
      </c>
      <c r="BL970" s="1" t="s">
        <v>74</v>
      </c>
      <c r="BM970" s="1" t="s">
        <v>74</v>
      </c>
      <c r="BN970" s="1" t="s">
        <v>74</v>
      </c>
      <c r="BO970" s="1" t="s">
        <v>74</v>
      </c>
      <c r="BP970" s="1" t="s">
        <v>74</v>
      </c>
      <c r="BQ970" s="1" t="s">
        <v>74</v>
      </c>
      <c r="BR970" s="1" t="s">
        <v>74</v>
      </c>
      <c r="BS970" s="1" t="s">
        <v>9357</v>
      </c>
      <c r="BT970" s="1" t="str">
        <f>HYPERLINK("https%3A%2F%2Fwww.webofscience.com%2Fwos%2Fwoscc%2Ffull-record%2FWOS:000386947900012","View Full Record in Web of Science")</f>
        <v>View Full Record in Web of Science</v>
      </c>
    </row>
    <row r="971" ht="12.75" customHeight="1">
      <c r="A971" s="1" t="s">
        <v>72</v>
      </c>
      <c r="B971" s="1" t="s">
        <v>9358</v>
      </c>
      <c r="C971" s="1" t="s">
        <v>74</v>
      </c>
      <c r="D971" s="1" t="s">
        <v>74</v>
      </c>
      <c r="E971" s="1" t="s">
        <v>74</v>
      </c>
      <c r="F971" s="1" t="s">
        <v>9359</v>
      </c>
      <c r="G971" s="1" t="s">
        <v>74</v>
      </c>
      <c r="H971" s="1" t="s">
        <v>74</v>
      </c>
      <c r="I971" s="1" t="s">
        <v>9360</v>
      </c>
      <c r="J971" s="1" t="s">
        <v>765</v>
      </c>
      <c r="K971" s="1" t="s">
        <v>74</v>
      </c>
      <c r="L971" s="1" t="s">
        <v>74</v>
      </c>
      <c r="M971" s="1" t="s">
        <v>74</v>
      </c>
      <c r="N971" s="1" t="s">
        <v>74</v>
      </c>
      <c r="O971" s="1" t="s">
        <v>74</v>
      </c>
      <c r="P971" s="1" t="s">
        <v>74</v>
      </c>
      <c r="Q971" s="1" t="s">
        <v>74</v>
      </c>
      <c r="R971" s="1" t="s">
        <v>74</v>
      </c>
      <c r="S971" s="1" t="s">
        <v>74</v>
      </c>
      <c r="T971" s="1" t="s">
        <v>74</v>
      </c>
      <c r="U971" s="1" t="s">
        <v>74</v>
      </c>
      <c r="V971" s="1" t="s">
        <v>9361</v>
      </c>
      <c r="W971" s="1" t="s">
        <v>74</v>
      </c>
      <c r="X971" s="1" t="s">
        <v>74</v>
      </c>
      <c r="Y971" s="1" t="s">
        <v>74</v>
      </c>
      <c r="Z971" s="1" t="s">
        <v>74</v>
      </c>
      <c r="AA971" s="1" t="s">
        <v>9362</v>
      </c>
      <c r="AB971" s="1" t="s">
        <v>9363</v>
      </c>
      <c r="AC971" s="1" t="s">
        <v>74</v>
      </c>
      <c r="AD971" s="1" t="s">
        <v>74</v>
      </c>
      <c r="AE971" s="1" t="s">
        <v>74</v>
      </c>
      <c r="AF971" s="1" t="s">
        <v>74</v>
      </c>
      <c r="AG971" s="1" t="s">
        <v>74</v>
      </c>
      <c r="AH971" s="1" t="s">
        <v>74</v>
      </c>
      <c r="AI971" s="1" t="s">
        <v>74</v>
      </c>
      <c r="AJ971" s="1" t="s">
        <v>74</v>
      </c>
      <c r="AK971" s="1" t="s">
        <v>74</v>
      </c>
      <c r="AL971" s="1" t="s">
        <v>74</v>
      </c>
      <c r="AM971" s="1" t="s">
        <v>74</v>
      </c>
      <c r="AN971" s="1" t="s">
        <v>74</v>
      </c>
      <c r="AO971" s="1" t="s">
        <v>769</v>
      </c>
      <c r="AP971" s="1" t="s">
        <v>74</v>
      </c>
      <c r="AQ971" s="1" t="s">
        <v>74</v>
      </c>
      <c r="AR971" s="1" t="s">
        <v>74</v>
      </c>
      <c r="AS971" s="1" t="s">
        <v>74</v>
      </c>
      <c r="AT971" s="1" t="s">
        <v>1364</v>
      </c>
      <c r="AU971" s="1">
        <v>2016.0</v>
      </c>
      <c r="AV971" s="1">
        <v>6.0</v>
      </c>
      <c r="AW971" s="1" t="s">
        <v>74</v>
      </c>
      <c r="AX971" s="1" t="s">
        <v>74</v>
      </c>
      <c r="AY971" s="1" t="s">
        <v>74</v>
      </c>
      <c r="AZ971" s="1" t="s">
        <v>74</v>
      </c>
      <c r="BA971" s="1" t="s">
        <v>74</v>
      </c>
      <c r="BB971" s="1" t="s">
        <v>74</v>
      </c>
      <c r="BC971" s="1" t="s">
        <v>74</v>
      </c>
      <c r="BD971" s="1">
        <v>23847.0</v>
      </c>
      <c r="BE971" s="1" t="s">
        <v>9364</v>
      </c>
      <c r="BF971" s="2" t="str">
        <f>HYPERLINK("http://dx.doi.org/10.1038/srep23847","http://dx.doi.org/10.1038/srep23847")</f>
        <v>http://dx.doi.org/10.1038/srep23847</v>
      </c>
      <c r="BG971" s="1" t="s">
        <v>74</v>
      </c>
      <c r="BH971" s="1" t="s">
        <v>74</v>
      </c>
      <c r="BI971" s="1" t="s">
        <v>74</v>
      </c>
      <c r="BJ971" s="1" t="s">
        <v>74</v>
      </c>
      <c r="BK971" s="1" t="s">
        <v>74</v>
      </c>
      <c r="BL971" s="1" t="s">
        <v>74</v>
      </c>
      <c r="BM971" s="1" t="s">
        <v>74</v>
      </c>
      <c r="BN971" s="1">
        <v>2.7033418E7</v>
      </c>
      <c r="BO971" s="1" t="s">
        <v>74</v>
      </c>
      <c r="BP971" s="1" t="s">
        <v>74</v>
      </c>
      <c r="BQ971" s="1" t="s">
        <v>74</v>
      </c>
      <c r="BR971" s="1" t="s">
        <v>74</v>
      </c>
      <c r="BS971" s="1" t="s">
        <v>9365</v>
      </c>
      <c r="BT971" s="1" t="str">
        <f>HYPERLINK("https%3A%2F%2Fwww.webofscience.com%2Fwos%2Fwoscc%2Ffull-record%2FWOS:000373203800001","View Full Record in Web of Science")</f>
        <v>View Full Record in Web of Science</v>
      </c>
    </row>
    <row r="972" ht="12.75" customHeight="1">
      <c r="A972" s="1" t="s">
        <v>72</v>
      </c>
      <c r="B972" s="1" t="s">
        <v>486</v>
      </c>
      <c r="C972" s="1" t="s">
        <v>74</v>
      </c>
      <c r="D972" s="1" t="s">
        <v>74</v>
      </c>
      <c r="E972" s="1" t="s">
        <v>74</v>
      </c>
      <c r="F972" s="1" t="s">
        <v>487</v>
      </c>
      <c r="G972" s="1" t="s">
        <v>74</v>
      </c>
      <c r="H972" s="1" t="s">
        <v>74</v>
      </c>
      <c r="I972" s="1" t="s">
        <v>488</v>
      </c>
      <c r="J972" s="1" t="s">
        <v>489</v>
      </c>
      <c r="K972" s="1" t="s">
        <v>74</v>
      </c>
      <c r="L972" s="1" t="s">
        <v>74</v>
      </c>
      <c r="M972" s="1" t="s">
        <v>74</v>
      </c>
      <c r="N972" s="1" t="s">
        <v>74</v>
      </c>
      <c r="O972" s="1" t="s">
        <v>74</v>
      </c>
      <c r="P972" s="1" t="s">
        <v>74</v>
      </c>
      <c r="Q972" s="1" t="s">
        <v>74</v>
      </c>
      <c r="R972" s="1" t="s">
        <v>74</v>
      </c>
      <c r="S972" s="1" t="s">
        <v>74</v>
      </c>
      <c r="T972" s="1" t="s">
        <v>74</v>
      </c>
      <c r="U972" s="1" t="s">
        <v>74</v>
      </c>
      <c r="V972" s="1" t="s">
        <v>9366</v>
      </c>
      <c r="W972" s="1" t="s">
        <v>74</v>
      </c>
      <c r="X972" s="1" t="s">
        <v>74</v>
      </c>
      <c r="Y972" s="1" t="s">
        <v>74</v>
      </c>
      <c r="Z972" s="1" t="s">
        <v>74</v>
      </c>
      <c r="AA972" s="1" t="s">
        <v>9367</v>
      </c>
      <c r="AB972" s="1" t="s">
        <v>9368</v>
      </c>
      <c r="AC972" s="1" t="s">
        <v>74</v>
      </c>
      <c r="AD972" s="1" t="s">
        <v>74</v>
      </c>
      <c r="AE972" s="1" t="s">
        <v>74</v>
      </c>
      <c r="AF972" s="1" t="s">
        <v>74</v>
      </c>
      <c r="AG972" s="1" t="s">
        <v>74</v>
      </c>
      <c r="AH972" s="1" t="s">
        <v>74</v>
      </c>
      <c r="AI972" s="1" t="s">
        <v>74</v>
      </c>
      <c r="AJ972" s="1" t="s">
        <v>74</v>
      </c>
      <c r="AK972" s="1" t="s">
        <v>74</v>
      </c>
      <c r="AL972" s="1" t="s">
        <v>74</v>
      </c>
      <c r="AM972" s="1" t="s">
        <v>74</v>
      </c>
      <c r="AN972" s="1" t="s">
        <v>74</v>
      </c>
      <c r="AO972" s="1" t="s">
        <v>492</v>
      </c>
      <c r="AP972" s="1" t="s">
        <v>74</v>
      </c>
      <c r="AQ972" s="1" t="s">
        <v>74</v>
      </c>
      <c r="AR972" s="1" t="s">
        <v>74</v>
      </c>
      <c r="AS972" s="1" t="s">
        <v>74</v>
      </c>
      <c r="AT972" s="1" t="s">
        <v>257</v>
      </c>
      <c r="AU972" s="1">
        <v>2016.0</v>
      </c>
      <c r="AV972" s="1">
        <v>61.0</v>
      </c>
      <c r="AW972" s="1">
        <v>1.0</v>
      </c>
      <c r="AX972" s="1" t="s">
        <v>74</v>
      </c>
      <c r="AY972" s="1" t="s">
        <v>74</v>
      </c>
      <c r="AZ972" s="1" t="s">
        <v>74</v>
      </c>
      <c r="BA972" s="1" t="s">
        <v>74</v>
      </c>
      <c r="BB972" s="1">
        <v>2832.0</v>
      </c>
      <c r="BC972" s="1">
        <v>2836.0</v>
      </c>
      <c r="BD972" s="1" t="s">
        <v>74</v>
      </c>
      <c r="BE972" s="1" t="s">
        <v>74</v>
      </c>
      <c r="BF972" s="1" t="s">
        <v>74</v>
      </c>
      <c r="BG972" s="1" t="s">
        <v>74</v>
      </c>
      <c r="BH972" s="1" t="s">
        <v>74</v>
      </c>
      <c r="BI972" s="1" t="s">
        <v>74</v>
      </c>
      <c r="BJ972" s="1" t="s">
        <v>74</v>
      </c>
      <c r="BK972" s="1" t="s">
        <v>74</v>
      </c>
      <c r="BL972" s="1" t="s">
        <v>74</v>
      </c>
      <c r="BM972" s="1" t="s">
        <v>74</v>
      </c>
      <c r="BN972" s="1" t="s">
        <v>74</v>
      </c>
      <c r="BO972" s="1" t="s">
        <v>74</v>
      </c>
      <c r="BP972" s="1" t="s">
        <v>74</v>
      </c>
      <c r="BQ972" s="1" t="s">
        <v>74</v>
      </c>
      <c r="BR972" s="1" t="s">
        <v>74</v>
      </c>
      <c r="BS972" s="1" t="s">
        <v>9369</v>
      </c>
      <c r="BT972" s="1" t="str">
        <f>HYPERLINK("https%3A%2F%2Fwww.webofscience.com%2Fwos%2Fwoscc%2Ffull-record%2FWOS:000378145500017","View Full Record in Web of Science")</f>
        <v>View Full Record in Web of Science</v>
      </c>
    </row>
    <row r="973" ht="12.75" customHeight="1">
      <c r="A973" s="1" t="s">
        <v>72</v>
      </c>
      <c r="B973" s="1" t="s">
        <v>9370</v>
      </c>
      <c r="C973" s="1" t="s">
        <v>74</v>
      </c>
      <c r="D973" s="1" t="s">
        <v>74</v>
      </c>
      <c r="E973" s="1" t="s">
        <v>74</v>
      </c>
      <c r="F973" s="1" t="s">
        <v>9371</v>
      </c>
      <c r="G973" s="1" t="s">
        <v>74</v>
      </c>
      <c r="H973" s="1" t="s">
        <v>74</v>
      </c>
      <c r="I973" s="1" t="s">
        <v>9372</v>
      </c>
      <c r="J973" s="1" t="s">
        <v>9373</v>
      </c>
      <c r="K973" s="1" t="s">
        <v>74</v>
      </c>
      <c r="L973" s="1" t="s">
        <v>74</v>
      </c>
      <c r="M973" s="1" t="s">
        <v>74</v>
      </c>
      <c r="N973" s="1" t="s">
        <v>74</v>
      </c>
      <c r="O973" s="1" t="s">
        <v>74</v>
      </c>
      <c r="P973" s="1" t="s">
        <v>74</v>
      </c>
      <c r="Q973" s="1" t="s">
        <v>74</v>
      </c>
      <c r="R973" s="1" t="s">
        <v>74</v>
      </c>
      <c r="S973" s="1" t="s">
        <v>74</v>
      </c>
      <c r="T973" s="1" t="s">
        <v>74</v>
      </c>
      <c r="U973" s="1" t="s">
        <v>74</v>
      </c>
      <c r="V973" s="1" t="s">
        <v>9374</v>
      </c>
      <c r="W973" s="1" t="s">
        <v>74</v>
      </c>
      <c r="X973" s="1" t="s">
        <v>74</v>
      </c>
      <c r="Y973" s="1" t="s">
        <v>74</v>
      </c>
      <c r="Z973" s="1" t="s">
        <v>74</v>
      </c>
      <c r="AA973" s="1" t="s">
        <v>9375</v>
      </c>
      <c r="AB973" s="1" t="s">
        <v>9376</v>
      </c>
      <c r="AC973" s="1" t="s">
        <v>74</v>
      </c>
      <c r="AD973" s="1" t="s">
        <v>74</v>
      </c>
      <c r="AE973" s="1" t="s">
        <v>74</v>
      </c>
      <c r="AF973" s="1" t="s">
        <v>74</v>
      </c>
      <c r="AG973" s="1" t="s">
        <v>74</v>
      </c>
      <c r="AH973" s="1" t="s">
        <v>74</v>
      </c>
      <c r="AI973" s="1" t="s">
        <v>74</v>
      </c>
      <c r="AJ973" s="1" t="s">
        <v>74</v>
      </c>
      <c r="AK973" s="1" t="s">
        <v>74</v>
      </c>
      <c r="AL973" s="1" t="s">
        <v>74</v>
      </c>
      <c r="AM973" s="1" t="s">
        <v>74</v>
      </c>
      <c r="AN973" s="1" t="s">
        <v>74</v>
      </c>
      <c r="AO973" s="1" t="s">
        <v>9377</v>
      </c>
      <c r="AP973" s="1" t="s">
        <v>74</v>
      </c>
      <c r="AQ973" s="1" t="s">
        <v>74</v>
      </c>
      <c r="AR973" s="1" t="s">
        <v>74</v>
      </c>
      <c r="AS973" s="1" t="s">
        <v>74</v>
      </c>
      <c r="AT973" s="1" t="s">
        <v>1243</v>
      </c>
      <c r="AU973" s="1">
        <v>2015.0</v>
      </c>
      <c r="AV973" s="1">
        <v>9.0</v>
      </c>
      <c r="AW973" s="1" t="s">
        <v>74</v>
      </c>
      <c r="AX973" s="1" t="s">
        <v>74</v>
      </c>
      <c r="AY973" s="1" t="s">
        <v>74</v>
      </c>
      <c r="AZ973" s="1" t="s">
        <v>74</v>
      </c>
      <c r="BA973" s="1" t="s">
        <v>74</v>
      </c>
      <c r="BB973" s="1" t="s">
        <v>74</v>
      </c>
      <c r="BC973" s="1" t="s">
        <v>74</v>
      </c>
      <c r="BD973" s="1">
        <v>426.0</v>
      </c>
      <c r="BE973" s="1" t="s">
        <v>9378</v>
      </c>
      <c r="BF973" s="2" t="str">
        <f>HYPERLINK("http://dx.doi.org/10.3389/fncel.2015.00426","http://dx.doi.org/10.3389/fncel.2015.00426")</f>
        <v>http://dx.doi.org/10.3389/fncel.2015.00426</v>
      </c>
      <c r="BG973" s="1" t="s">
        <v>74</v>
      </c>
      <c r="BH973" s="1" t="s">
        <v>74</v>
      </c>
      <c r="BI973" s="1" t="s">
        <v>74</v>
      </c>
      <c r="BJ973" s="1" t="s">
        <v>74</v>
      </c>
      <c r="BK973" s="1" t="s">
        <v>74</v>
      </c>
      <c r="BL973" s="1" t="s">
        <v>74</v>
      </c>
      <c r="BM973" s="1" t="s">
        <v>74</v>
      </c>
      <c r="BN973" s="1">
        <v>2.6578886E7</v>
      </c>
      <c r="BO973" s="1" t="s">
        <v>74</v>
      </c>
      <c r="BP973" s="1" t="s">
        <v>74</v>
      </c>
      <c r="BQ973" s="1" t="s">
        <v>74</v>
      </c>
      <c r="BR973" s="1" t="s">
        <v>74</v>
      </c>
      <c r="BS973" s="1" t="s">
        <v>9379</v>
      </c>
      <c r="BT973" s="1" t="str">
        <f>HYPERLINK("https%3A%2F%2Fwww.webofscience.com%2Fwos%2Fwoscc%2Ffull-record%2FWOS:000363804600002","View Full Record in Web of Science")</f>
        <v>View Full Record in Web of Science</v>
      </c>
    </row>
    <row r="974" ht="12.75" customHeight="1">
      <c r="A974" s="1" t="s">
        <v>72</v>
      </c>
      <c r="B974" s="1" t="s">
        <v>9380</v>
      </c>
      <c r="C974" s="1" t="s">
        <v>74</v>
      </c>
      <c r="D974" s="1" t="s">
        <v>74</v>
      </c>
      <c r="E974" s="1" t="s">
        <v>74</v>
      </c>
      <c r="F974" s="1" t="s">
        <v>9381</v>
      </c>
      <c r="G974" s="1" t="s">
        <v>74</v>
      </c>
      <c r="H974" s="1" t="s">
        <v>74</v>
      </c>
      <c r="I974" s="1" t="s">
        <v>9382</v>
      </c>
      <c r="J974" s="1" t="s">
        <v>7608</v>
      </c>
      <c r="K974" s="1" t="s">
        <v>74</v>
      </c>
      <c r="L974" s="1" t="s">
        <v>74</v>
      </c>
      <c r="M974" s="1" t="s">
        <v>74</v>
      </c>
      <c r="N974" s="1" t="s">
        <v>74</v>
      </c>
      <c r="O974" s="1" t="s">
        <v>74</v>
      </c>
      <c r="P974" s="1" t="s">
        <v>74</v>
      </c>
      <c r="Q974" s="1" t="s">
        <v>74</v>
      </c>
      <c r="R974" s="1" t="s">
        <v>74</v>
      </c>
      <c r="S974" s="1" t="s">
        <v>74</v>
      </c>
      <c r="T974" s="1" t="s">
        <v>74</v>
      </c>
      <c r="U974" s="1" t="s">
        <v>74</v>
      </c>
      <c r="V974" s="1" t="s">
        <v>9383</v>
      </c>
      <c r="W974" s="1" t="s">
        <v>74</v>
      </c>
      <c r="X974" s="1" t="s">
        <v>74</v>
      </c>
      <c r="Y974" s="1" t="s">
        <v>74</v>
      </c>
      <c r="Z974" s="1" t="s">
        <v>74</v>
      </c>
      <c r="AA974" s="1" t="s">
        <v>547</v>
      </c>
      <c r="AB974" s="1" t="s">
        <v>548</v>
      </c>
      <c r="AC974" s="1" t="s">
        <v>74</v>
      </c>
      <c r="AD974" s="1" t="s">
        <v>74</v>
      </c>
      <c r="AE974" s="1" t="s">
        <v>74</v>
      </c>
      <c r="AF974" s="1" t="s">
        <v>74</v>
      </c>
      <c r="AG974" s="1" t="s">
        <v>74</v>
      </c>
      <c r="AH974" s="1" t="s">
        <v>74</v>
      </c>
      <c r="AI974" s="1" t="s">
        <v>74</v>
      </c>
      <c r="AJ974" s="1" t="s">
        <v>74</v>
      </c>
      <c r="AK974" s="1" t="s">
        <v>74</v>
      </c>
      <c r="AL974" s="1" t="s">
        <v>74</v>
      </c>
      <c r="AM974" s="1" t="s">
        <v>74</v>
      </c>
      <c r="AN974" s="1" t="s">
        <v>74</v>
      </c>
      <c r="AO974" s="1" t="s">
        <v>7610</v>
      </c>
      <c r="AP974" s="1" t="s">
        <v>74</v>
      </c>
      <c r="AQ974" s="1" t="s">
        <v>74</v>
      </c>
      <c r="AR974" s="1" t="s">
        <v>74</v>
      </c>
      <c r="AS974" s="1" t="s">
        <v>74</v>
      </c>
      <c r="AT974" s="1" t="s">
        <v>1184</v>
      </c>
      <c r="AU974" s="1">
        <v>2015.0</v>
      </c>
      <c r="AV974" s="1">
        <v>130.0</v>
      </c>
      <c r="AW974" s="1">
        <v>8.0</v>
      </c>
      <c r="AX974" s="1" t="s">
        <v>74</v>
      </c>
      <c r="AY974" s="1" t="s">
        <v>74</v>
      </c>
      <c r="AZ974" s="1" t="s">
        <v>74</v>
      </c>
      <c r="BA974" s="1" t="s">
        <v>74</v>
      </c>
      <c r="BB974" s="1" t="s">
        <v>74</v>
      </c>
      <c r="BC974" s="1" t="s">
        <v>74</v>
      </c>
      <c r="BD974" s="1">
        <v>175.0</v>
      </c>
      <c r="BE974" s="1" t="s">
        <v>9384</v>
      </c>
      <c r="BF974" s="2" t="str">
        <f>HYPERLINK("http://dx.doi.org/10.1140/epjp/i2015-15175-4","http://dx.doi.org/10.1140/epjp/i2015-15175-4")</f>
        <v>http://dx.doi.org/10.1140/epjp/i2015-15175-4</v>
      </c>
      <c r="BG974" s="1" t="s">
        <v>74</v>
      </c>
      <c r="BH974" s="1" t="s">
        <v>74</v>
      </c>
      <c r="BI974" s="1" t="s">
        <v>74</v>
      </c>
      <c r="BJ974" s="1" t="s">
        <v>74</v>
      </c>
      <c r="BK974" s="1" t="s">
        <v>74</v>
      </c>
      <c r="BL974" s="1" t="s">
        <v>74</v>
      </c>
      <c r="BM974" s="1" t="s">
        <v>74</v>
      </c>
      <c r="BN974" s="1" t="s">
        <v>74</v>
      </c>
      <c r="BO974" s="1" t="s">
        <v>74</v>
      </c>
      <c r="BP974" s="1" t="s">
        <v>74</v>
      </c>
      <c r="BQ974" s="1" t="s">
        <v>74</v>
      </c>
      <c r="BR974" s="1" t="s">
        <v>74</v>
      </c>
      <c r="BS974" s="1" t="s">
        <v>9385</v>
      </c>
      <c r="BT974" s="1" t="str">
        <f>HYPERLINK("https%3A%2F%2Fwww.webofscience.com%2Fwos%2Fwoscc%2Ffull-record%2FWOS:000360403000001","View Full Record in Web of Science")</f>
        <v>View Full Record in Web of Science</v>
      </c>
    </row>
    <row r="975" ht="12.75" customHeight="1">
      <c r="A975" s="1" t="s">
        <v>72</v>
      </c>
      <c r="B975" s="1" t="s">
        <v>9386</v>
      </c>
      <c r="C975" s="1" t="s">
        <v>74</v>
      </c>
      <c r="D975" s="1" t="s">
        <v>74</v>
      </c>
      <c r="E975" s="1" t="s">
        <v>74</v>
      </c>
      <c r="F975" s="1" t="s">
        <v>9387</v>
      </c>
      <c r="G975" s="1" t="s">
        <v>74</v>
      </c>
      <c r="H975" s="1" t="s">
        <v>74</v>
      </c>
      <c r="I975" s="1" t="s">
        <v>9388</v>
      </c>
      <c r="J975" s="1" t="s">
        <v>9389</v>
      </c>
      <c r="K975" s="1" t="s">
        <v>74</v>
      </c>
      <c r="L975" s="1" t="s">
        <v>74</v>
      </c>
      <c r="M975" s="1" t="s">
        <v>74</v>
      </c>
      <c r="N975" s="1" t="s">
        <v>74</v>
      </c>
      <c r="O975" s="1" t="s">
        <v>74</v>
      </c>
      <c r="P975" s="1" t="s">
        <v>74</v>
      </c>
      <c r="Q975" s="1" t="s">
        <v>74</v>
      </c>
      <c r="R975" s="1" t="s">
        <v>74</v>
      </c>
      <c r="S975" s="1" t="s">
        <v>74</v>
      </c>
      <c r="T975" s="1" t="s">
        <v>74</v>
      </c>
      <c r="U975" s="1" t="s">
        <v>74</v>
      </c>
      <c r="V975" s="1" t="s">
        <v>9390</v>
      </c>
      <c r="W975" s="1" t="s">
        <v>74</v>
      </c>
      <c r="X975" s="1" t="s">
        <v>74</v>
      </c>
      <c r="Y975" s="1" t="s">
        <v>74</v>
      </c>
      <c r="Z975" s="1" t="s">
        <v>74</v>
      </c>
      <c r="AA975" s="1" t="s">
        <v>9391</v>
      </c>
      <c r="AB975" s="1" t="s">
        <v>9392</v>
      </c>
      <c r="AC975" s="1" t="s">
        <v>74</v>
      </c>
      <c r="AD975" s="1" t="s">
        <v>74</v>
      </c>
      <c r="AE975" s="1" t="s">
        <v>74</v>
      </c>
      <c r="AF975" s="1" t="s">
        <v>74</v>
      </c>
      <c r="AG975" s="1" t="s">
        <v>74</v>
      </c>
      <c r="AH975" s="1" t="s">
        <v>74</v>
      </c>
      <c r="AI975" s="1" t="s">
        <v>74</v>
      </c>
      <c r="AJ975" s="1" t="s">
        <v>74</v>
      </c>
      <c r="AK975" s="1" t="s">
        <v>74</v>
      </c>
      <c r="AL975" s="1" t="s">
        <v>74</v>
      </c>
      <c r="AM975" s="1" t="s">
        <v>74</v>
      </c>
      <c r="AN975" s="1" t="s">
        <v>74</v>
      </c>
      <c r="AO975" s="1" t="s">
        <v>9393</v>
      </c>
      <c r="AP975" s="1" t="s">
        <v>9394</v>
      </c>
      <c r="AQ975" s="1" t="s">
        <v>74</v>
      </c>
      <c r="AR975" s="1" t="s">
        <v>74</v>
      </c>
      <c r="AS975" s="1" t="s">
        <v>74</v>
      </c>
      <c r="AT975" s="1" t="s">
        <v>350</v>
      </c>
      <c r="AU975" s="1">
        <v>2015.0</v>
      </c>
      <c r="AV975" s="1">
        <v>122.0</v>
      </c>
      <c r="AW975" s="1">
        <v>9.0</v>
      </c>
      <c r="AX975" s="1" t="s">
        <v>74</v>
      </c>
      <c r="AY975" s="1" t="s">
        <v>74</v>
      </c>
      <c r="AZ975" s="1" t="s">
        <v>74</v>
      </c>
      <c r="BA975" s="1" t="s">
        <v>74</v>
      </c>
      <c r="BB975" s="1">
        <v>1167.0</v>
      </c>
      <c r="BC975" s="1">
        <v>1174.0</v>
      </c>
      <c r="BD975" s="1" t="s">
        <v>74</v>
      </c>
      <c r="BE975" s="1" t="s">
        <v>9395</v>
      </c>
      <c r="BF975" s="2" t="str">
        <f>HYPERLINK("http://dx.doi.org/10.1111/1471-0528.13429","http://dx.doi.org/10.1111/1471-0528.13429")</f>
        <v>http://dx.doi.org/10.1111/1471-0528.13429</v>
      </c>
      <c r="BG975" s="1" t="s">
        <v>74</v>
      </c>
      <c r="BH975" s="1" t="s">
        <v>74</v>
      </c>
      <c r="BI975" s="1" t="s">
        <v>74</v>
      </c>
      <c r="BJ975" s="1" t="s">
        <v>74</v>
      </c>
      <c r="BK975" s="1" t="s">
        <v>74</v>
      </c>
      <c r="BL975" s="1" t="s">
        <v>74</v>
      </c>
      <c r="BM975" s="1" t="s">
        <v>74</v>
      </c>
      <c r="BN975" s="1">
        <v>2.60363E7</v>
      </c>
      <c r="BO975" s="1" t="s">
        <v>74</v>
      </c>
      <c r="BP975" s="1" t="s">
        <v>74</v>
      </c>
      <c r="BQ975" s="1" t="s">
        <v>74</v>
      </c>
      <c r="BR975" s="1" t="s">
        <v>74</v>
      </c>
      <c r="BS975" s="1" t="s">
        <v>9396</v>
      </c>
      <c r="BT975" s="1" t="str">
        <f>HYPERLINK("https%3A%2F%2Fwww.webofscience.com%2Fwos%2Fwoscc%2Ffull-record%2FWOS:000358619900003","View Full Record in Web of Science")</f>
        <v>View Full Record in Web of Science</v>
      </c>
    </row>
    <row r="976" ht="12.75" customHeight="1">
      <c r="A976" s="1" t="s">
        <v>72</v>
      </c>
      <c r="B976" s="1" t="s">
        <v>9397</v>
      </c>
      <c r="C976" s="1" t="s">
        <v>74</v>
      </c>
      <c r="D976" s="1" t="s">
        <v>74</v>
      </c>
      <c r="E976" s="1" t="s">
        <v>74</v>
      </c>
      <c r="F976" s="1" t="s">
        <v>9398</v>
      </c>
      <c r="G976" s="1" t="s">
        <v>74</v>
      </c>
      <c r="H976" s="1" t="s">
        <v>74</v>
      </c>
      <c r="I976" s="1" t="s">
        <v>9399</v>
      </c>
      <c r="J976" s="1" t="s">
        <v>3714</v>
      </c>
      <c r="K976" s="1" t="s">
        <v>74</v>
      </c>
      <c r="L976" s="1" t="s">
        <v>74</v>
      </c>
      <c r="M976" s="1" t="s">
        <v>74</v>
      </c>
      <c r="N976" s="1" t="s">
        <v>74</v>
      </c>
      <c r="O976" s="1" t="s">
        <v>74</v>
      </c>
      <c r="P976" s="1" t="s">
        <v>74</v>
      </c>
      <c r="Q976" s="1" t="s">
        <v>74</v>
      </c>
      <c r="R976" s="1" t="s">
        <v>74</v>
      </c>
      <c r="S976" s="1" t="s">
        <v>74</v>
      </c>
      <c r="T976" s="1" t="s">
        <v>74</v>
      </c>
      <c r="U976" s="1" t="s">
        <v>74</v>
      </c>
      <c r="V976" s="1" t="s">
        <v>9400</v>
      </c>
      <c r="W976" s="1" t="s">
        <v>74</v>
      </c>
      <c r="X976" s="1" t="s">
        <v>74</v>
      </c>
      <c r="Y976" s="1" t="s">
        <v>74</v>
      </c>
      <c r="Z976" s="1" t="s">
        <v>74</v>
      </c>
      <c r="AA976" s="1" t="s">
        <v>9401</v>
      </c>
      <c r="AB976" s="1" t="s">
        <v>9402</v>
      </c>
      <c r="AC976" s="1" t="s">
        <v>74</v>
      </c>
      <c r="AD976" s="1" t="s">
        <v>74</v>
      </c>
      <c r="AE976" s="1" t="s">
        <v>74</v>
      </c>
      <c r="AF976" s="1" t="s">
        <v>74</v>
      </c>
      <c r="AG976" s="1" t="s">
        <v>74</v>
      </c>
      <c r="AH976" s="1" t="s">
        <v>74</v>
      </c>
      <c r="AI976" s="1" t="s">
        <v>74</v>
      </c>
      <c r="AJ976" s="1" t="s">
        <v>74</v>
      </c>
      <c r="AK976" s="1" t="s">
        <v>74</v>
      </c>
      <c r="AL976" s="1" t="s">
        <v>74</v>
      </c>
      <c r="AM976" s="1" t="s">
        <v>74</v>
      </c>
      <c r="AN976" s="1" t="s">
        <v>74</v>
      </c>
      <c r="AO976" s="1" t="s">
        <v>3718</v>
      </c>
      <c r="AP976" s="1" t="s">
        <v>3719</v>
      </c>
      <c r="AQ976" s="1" t="s">
        <v>74</v>
      </c>
      <c r="AR976" s="1" t="s">
        <v>74</v>
      </c>
      <c r="AS976" s="1" t="s">
        <v>74</v>
      </c>
      <c r="AT976" s="1" t="s">
        <v>652</v>
      </c>
      <c r="AU976" s="1">
        <v>2014.0</v>
      </c>
      <c r="AV976" s="1">
        <v>361.0</v>
      </c>
      <c r="AW976" s="1">
        <v>2.0</v>
      </c>
      <c r="AX976" s="1" t="s">
        <v>74</v>
      </c>
      <c r="AY976" s="1" t="s">
        <v>74</v>
      </c>
      <c r="AZ976" s="1" t="s">
        <v>74</v>
      </c>
      <c r="BA976" s="1" t="s">
        <v>74</v>
      </c>
      <c r="BB976" s="1">
        <v>104.0</v>
      </c>
      <c r="BC976" s="1">
        <v>106.0</v>
      </c>
      <c r="BD976" s="1" t="s">
        <v>74</v>
      </c>
      <c r="BE976" s="1" t="s">
        <v>9403</v>
      </c>
      <c r="BF976" s="2" t="str">
        <f>HYPERLINK("http://dx.doi.org/10.1111/1574-6968.12630","http://dx.doi.org/10.1111/1574-6968.12630")</f>
        <v>http://dx.doi.org/10.1111/1574-6968.12630</v>
      </c>
      <c r="BG976" s="1" t="s">
        <v>74</v>
      </c>
      <c r="BH976" s="1" t="s">
        <v>74</v>
      </c>
      <c r="BI976" s="1" t="s">
        <v>74</v>
      </c>
      <c r="BJ976" s="1" t="s">
        <v>74</v>
      </c>
      <c r="BK976" s="1" t="s">
        <v>74</v>
      </c>
      <c r="BL976" s="1" t="s">
        <v>74</v>
      </c>
      <c r="BM976" s="1" t="s">
        <v>74</v>
      </c>
      <c r="BN976" s="1">
        <v>2.5328076E7</v>
      </c>
      <c r="BO976" s="1" t="s">
        <v>74</v>
      </c>
      <c r="BP976" s="1" t="s">
        <v>74</v>
      </c>
      <c r="BQ976" s="1" t="s">
        <v>74</v>
      </c>
      <c r="BR976" s="1" t="s">
        <v>74</v>
      </c>
      <c r="BS976" s="1" t="s">
        <v>9404</v>
      </c>
      <c r="BT976" s="1" t="str">
        <f>HYPERLINK("https%3A%2F%2Fwww.webofscience.com%2Fwos%2Fwoscc%2Ffull-record%2FWOS:000346787900002","View Full Record in Web of Science")</f>
        <v>View Full Record in Web of Science</v>
      </c>
    </row>
    <row r="977" ht="12.75" customHeight="1">
      <c r="A977" s="1" t="s">
        <v>72</v>
      </c>
      <c r="B977" s="1" t="s">
        <v>9405</v>
      </c>
      <c r="C977" s="1" t="s">
        <v>74</v>
      </c>
      <c r="D977" s="1" t="s">
        <v>74</v>
      </c>
      <c r="E977" s="1" t="s">
        <v>74</v>
      </c>
      <c r="F977" s="1" t="s">
        <v>9406</v>
      </c>
      <c r="G977" s="1" t="s">
        <v>74</v>
      </c>
      <c r="H977" s="1" t="s">
        <v>74</v>
      </c>
      <c r="I977" s="1" t="s">
        <v>9407</v>
      </c>
      <c r="J977" s="1" t="s">
        <v>3882</v>
      </c>
      <c r="K977" s="1" t="s">
        <v>74</v>
      </c>
      <c r="L977" s="1" t="s">
        <v>74</v>
      </c>
      <c r="M977" s="1" t="s">
        <v>74</v>
      </c>
      <c r="N977" s="1" t="s">
        <v>74</v>
      </c>
      <c r="O977" s="1" t="s">
        <v>74</v>
      </c>
      <c r="P977" s="1" t="s">
        <v>74</v>
      </c>
      <c r="Q977" s="1" t="s">
        <v>74</v>
      </c>
      <c r="R977" s="1" t="s">
        <v>74</v>
      </c>
      <c r="S977" s="1" t="s">
        <v>74</v>
      </c>
      <c r="T977" s="1" t="s">
        <v>74</v>
      </c>
      <c r="U977" s="1" t="s">
        <v>74</v>
      </c>
      <c r="V977" s="1" t="s">
        <v>9408</v>
      </c>
      <c r="W977" s="1" t="s">
        <v>74</v>
      </c>
      <c r="X977" s="1" t="s">
        <v>74</v>
      </c>
      <c r="Y977" s="1" t="s">
        <v>74</v>
      </c>
      <c r="Z977" s="1" t="s">
        <v>74</v>
      </c>
      <c r="AA977" s="1" t="s">
        <v>9409</v>
      </c>
      <c r="AB977" s="1" t="s">
        <v>9410</v>
      </c>
      <c r="AC977" s="1" t="s">
        <v>74</v>
      </c>
      <c r="AD977" s="1" t="s">
        <v>74</v>
      </c>
      <c r="AE977" s="1" t="s">
        <v>74</v>
      </c>
      <c r="AF977" s="1" t="s">
        <v>74</v>
      </c>
      <c r="AG977" s="1" t="s">
        <v>74</v>
      </c>
      <c r="AH977" s="1" t="s">
        <v>74</v>
      </c>
      <c r="AI977" s="1" t="s">
        <v>74</v>
      </c>
      <c r="AJ977" s="1" t="s">
        <v>74</v>
      </c>
      <c r="AK977" s="1" t="s">
        <v>74</v>
      </c>
      <c r="AL977" s="1" t="s">
        <v>74</v>
      </c>
      <c r="AM977" s="1" t="s">
        <v>74</v>
      </c>
      <c r="AN977" s="1" t="s">
        <v>74</v>
      </c>
      <c r="AO977" s="1" t="s">
        <v>3884</v>
      </c>
      <c r="AP977" s="1" t="s">
        <v>3885</v>
      </c>
      <c r="AQ977" s="1" t="s">
        <v>74</v>
      </c>
      <c r="AR977" s="1" t="s">
        <v>74</v>
      </c>
      <c r="AS977" s="1" t="s">
        <v>74</v>
      </c>
      <c r="AT977" s="1" t="s">
        <v>678</v>
      </c>
      <c r="AU977" s="1">
        <v>2013.0</v>
      </c>
      <c r="AV977" s="1">
        <v>89.0</v>
      </c>
      <c r="AW977" s="1">
        <v>6.0</v>
      </c>
      <c r="AX977" s="1" t="s">
        <v>74</v>
      </c>
      <c r="AY977" s="1" t="s">
        <v>74</v>
      </c>
      <c r="AZ977" s="1" t="s">
        <v>74</v>
      </c>
      <c r="BA977" s="1" t="s">
        <v>74</v>
      </c>
      <c r="BB977" s="1">
        <v>1335.0</v>
      </c>
      <c r="BC977" s="1">
        <v>1345.0</v>
      </c>
      <c r="BD977" s="1" t="s">
        <v>74</v>
      </c>
      <c r="BE977" s="1" t="s">
        <v>9411</v>
      </c>
      <c r="BF977" s="2" t="str">
        <f>HYPERLINK("http://dx.doi.org/10.1111/php.12162","http://dx.doi.org/10.1111/php.12162")</f>
        <v>http://dx.doi.org/10.1111/php.12162</v>
      </c>
      <c r="BG977" s="1" t="s">
        <v>74</v>
      </c>
      <c r="BH977" s="1" t="s">
        <v>74</v>
      </c>
      <c r="BI977" s="1" t="s">
        <v>74</v>
      </c>
      <c r="BJ977" s="1" t="s">
        <v>74</v>
      </c>
      <c r="BK977" s="1" t="s">
        <v>74</v>
      </c>
      <c r="BL977" s="1" t="s">
        <v>74</v>
      </c>
      <c r="BM977" s="1" t="s">
        <v>74</v>
      </c>
      <c r="BN977" s="1">
        <v>2.4033113E7</v>
      </c>
      <c r="BO977" s="1" t="s">
        <v>74</v>
      </c>
      <c r="BP977" s="1" t="s">
        <v>74</v>
      </c>
      <c r="BQ977" s="1" t="s">
        <v>74</v>
      </c>
      <c r="BR977" s="1" t="s">
        <v>74</v>
      </c>
      <c r="BS977" s="1" t="s">
        <v>9412</v>
      </c>
      <c r="BT977" s="1" t="str">
        <f>HYPERLINK("https%3A%2F%2Fwww.webofscience.com%2Fwos%2Fwoscc%2Ffull-record%2FWOS:000326507100010","View Full Record in Web of Science")</f>
        <v>View Full Record in Web of Science</v>
      </c>
    </row>
    <row r="978" ht="12.75" customHeight="1">
      <c r="A978" s="1" t="s">
        <v>72</v>
      </c>
      <c r="B978" s="1" t="s">
        <v>9413</v>
      </c>
      <c r="C978" s="1" t="s">
        <v>74</v>
      </c>
      <c r="D978" s="1" t="s">
        <v>74</v>
      </c>
      <c r="E978" s="1" t="s">
        <v>74</v>
      </c>
      <c r="F978" s="1" t="s">
        <v>9414</v>
      </c>
      <c r="G978" s="1" t="s">
        <v>74</v>
      </c>
      <c r="H978" s="1" t="s">
        <v>74</v>
      </c>
      <c r="I978" s="1" t="s">
        <v>9415</v>
      </c>
      <c r="J978" s="1" t="s">
        <v>9416</v>
      </c>
      <c r="K978" s="1" t="s">
        <v>74</v>
      </c>
      <c r="L978" s="1" t="s">
        <v>74</v>
      </c>
      <c r="M978" s="1" t="s">
        <v>74</v>
      </c>
      <c r="N978" s="1" t="s">
        <v>74</v>
      </c>
      <c r="O978" s="1" t="s">
        <v>74</v>
      </c>
      <c r="P978" s="1" t="s">
        <v>74</v>
      </c>
      <c r="Q978" s="1" t="s">
        <v>74</v>
      </c>
      <c r="R978" s="1" t="s">
        <v>74</v>
      </c>
      <c r="S978" s="1" t="s">
        <v>74</v>
      </c>
      <c r="T978" s="1" t="s">
        <v>74</v>
      </c>
      <c r="U978" s="1" t="s">
        <v>74</v>
      </c>
      <c r="V978" s="1" t="s">
        <v>9417</v>
      </c>
      <c r="W978" s="1" t="s">
        <v>74</v>
      </c>
      <c r="X978" s="1" t="s">
        <v>74</v>
      </c>
      <c r="Y978" s="1" t="s">
        <v>74</v>
      </c>
      <c r="Z978" s="1" t="s">
        <v>74</v>
      </c>
      <c r="AA978" s="1" t="s">
        <v>9418</v>
      </c>
      <c r="AB978" s="1" t="s">
        <v>9419</v>
      </c>
      <c r="AC978" s="1" t="s">
        <v>74</v>
      </c>
      <c r="AD978" s="1" t="s">
        <v>74</v>
      </c>
      <c r="AE978" s="1" t="s">
        <v>74</v>
      </c>
      <c r="AF978" s="1" t="s">
        <v>74</v>
      </c>
      <c r="AG978" s="1" t="s">
        <v>74</v>
      </c>
      <c r="AH978" s="1" t="s">
        <v>74</v>
      </c>
      <c r="AI978" s="1" t="s">
        <v>74</v>
      </c>
      <c r="AJ978" s="1" t="s">
        <v>74</v>
      </c>
      <c r="AK978" s="1" t="s">
        <v>74</v>
      </c>
      <c r="AL978" s="1" t="s">
        <v>74</v>
      </c>
      <c r="AM978" s="1" t="s">
        <v>74</v>
      </c>
      <c r="AN978" s="1" t="s">
        <v>74</v>
      </c>
      <c r="AO978" s="1" t="s">
        <v>9420</v>
      </c>
      <c r="AP978" s="1" t="s">
        <v>9421</v>
      </c>
      <c r="AQ978" s="1" t="s">
        <v>74</v>
      </c>
      <c r="AR978" s="1" t="s">
        <v>74</v>
      </c>
      <c r="AS978" s="1" t="s">
        <v>74</v>
      </c>
      <c r="AT978" s="1" t="s">
        <v>339</v>
      </c>
      <c r="AU978" s="1">
        <v>2013.0</v>
      </c>
      <c r="AV978" s="1">
        <v>49.0</v>
      </c>
      <c r="AW978" s="1">
        <v>5.0</v>
      </c>
      <c r="AX978" s="1" t="s">
        <v>74</v>
      </c>
      <c r="AY978" s="1" t="s">
        <v>74</v>
      </c>
      <c r="AZ978" s="1" t="s">
        <v>74</v>
      </c>
      <c r="BA978" s="1" t="s">
        <v>74</v>
      </c>
      <c r="BB978" s="1">
        <v>1165.0</v>
      </c>
      <c r="BC978" s="1">
        <v>1179.0</v>
      </c>
      <c r="BD978" s="1" t="s">
        <v>74</v>
      </c>
      <c r="BE978" s="1" t="s">
        <v>9422</v>
      </c>
      <c r="BF978" s="2" t="str">
        <f>HYPERLINK("http://dx.doi.org/10.1016/j.ipm.2012.12.008","http://dx.doi.org/10.1016/j.ipm.2012.12.008")</f>
        <v>http://dx.doi.org/10.1016/j.ipm.2012.12.008</v>
      </c>
      <c r="BG978" s="1" t="s">
        <v>74</v>
      </c>
      <c r="BH978" s="1" t="s">
        <v>74</v>
      </c>
      <c r="BI978" s="1" t="s">
        <v>74</v>
      </c>
      <c r="BJ978" s="1" t="s">
        <v>74</v>
      </c>
      <c r="BK978" s="1" t="s">
        <v>74</v>
      </c>
      <c r="BL978" s="1" t="s">
        <v>74</v>
      </c>
      <c r="BM978" s="1" t="s">
        <v>74</v>
      </c>
      <c r="BN978" s="1" t="s">
        <v>74</v>
      </c>
      <c r="BO978" s="1" t="s">
        <v>74</v>
      </c>
      <c r="BP978" s="1" t="s">
        <v>74</v>
      </c>
      <c r="BQ978" s="1" t="s">
        <v>74</v>
      </c>
      <c r="BR978" s="1" t="s">
        <v>74</v>
      </c>
      <c r="BS978" s="1" t="s">
        <v>9423</v>
      </c>
      <c r="BT978" s="1" t="str">
        <f>HYPERLINK("https%3A%2F%2Fwww.webofscience.com%2Fwos%2Fwoscc%2Ffull-record%2FWOS:000323023900013","View Full Record in Web of Science")</f>
        <v>View Full Record in Web of Science</v>
      </c>
    </row>
    <row r="979" ht="12.75" customHeight="1">
      <c r="A979" s="1" t="s">
        <v>182</v>
      </c>
      <c r="B979" s="1" t="s">
        <v>9424</v>
      </c>
      <c r="C979" s="1" t="s">
        <v>74</v>
      </c>
      <c r="D979" s="1" t="s">
        <v>9425</v>
      </c>
      <c r="E979" s="1" t="s">
        <v>74</v>
      </c>
      <c r="F979" s="1" t="s">
        <v>9426</v>
      </c>
      <c r="G979" s="1" t="s">
        <v>74</v>
      </c>
      <c r="H979" s="1" t="s">
        <v>74</v>
      </c>
      <c r="I979" s="1" t="s">
        <v>9427</v>
      </c>
      <c r="J979" s="1" t="s">
        <v>9428</v>
      </c>
      <c r="K979" s="1" t="s">
        <v>9429</v>
      </c>
      <c r="L979" s="1" t="s">
        <v>74</v>
      </c>
      <c r="M979" s="1" t="s">
        <v>74</v>
      </c>
      <c r="N979" s="1" t="s">
        <v>74</v>
      </c>
      <c r="O979" s="1" t="s">
        <v>9430</v>
      </c>
      <c r="P979" s="1" t="s">
        <v>9431</v>
      </c>
      <c r="Q979" s="1" t="s">
        <v>9432</v>
      </c>
      <c r="R979" s="1" t="s">
        <v>9433</v>
      </c>
      <c r="S979" s="1" t="s">
        <v>74</v>
      </c>
      <c r="T979" s="1" t="s">
        <v>74</v>
      </c>
      <c r="U979" s="1" t="s">
        <v>74</v>
      </c>
      <c r="V979" s="1" t="s">
        <v>9434</v>
      </c>
      <c r="W979" s="1" t="s">
        <v>74</v>
      </c>
      <c r="X979" s="1" t="s">
        <v>74</v>
      </c>
      <c r="Y979" s="1" t="s">
        <v>74</v>
      </c>
      <c r="Z979" s="1" t="s">
        <v>74</v>
      </c>
      <c r="AA979" s="1" t="s">
        <v>9435</v>
      </c>
      <c r="AB979" s="1" t="s">
        <v>9436</v>
      </c>
      <c r="AC979" s="1" t="s">
        <v>74</v>
      </c>
      <c r="AD979" s="1" t="s">
        <v>74</v>
      </c>
      <c r="AE979" s="1" t="s">
        <v>74</v>
      </c>
      <c r="AF979" s="1" t="s">
        <v>74</v>
      </c>
      <c r="AG979" s="1" t="s">
        <v>74</v>
      </c>
      <c r="AH979" s="1" t="s">
        <v>74</v>
      </c>
      <c r="AI979" s="1" t="s">
        <v>74</v>
      </c>
      <c r="AJ979" s="1" t="s">
        <v>74</v>
      </c>
      <c r="AK979" s="1" t="s">
        <v>74</v>
      </c>
      <c r="AL979" s="1" t="s">
        <v>74</v>
      </c>
      <c r="AM979" s="1" t="s">
        <v>74</v>
      </c>
      <c r="AN979" s="1" t="s">
        <v>74</v>
      </c>
      <c r="AO979" s="1" t="s">
        <v>9437</v>
      </c>
      <c r="AP979" s="1" t="s">
        <v>74</v>
      </c>
      <c r="AQ979" s="1" t="s">
        <v>9438</v>
      </c>
      <c r="AR979" s="1" t="s">
        <v>74</v>
      </c>
      <c r="AS979" s="1" t="s">
        <v>74</v>
      </c>
      <c r="AT979" s="1" t="s">
        <v>74</v>
      </c>
      <c r="AU979" s="1">
        <v>2013.0</v>
      </c>
      <c r="AV979" s="1">
        <v>1542.0</v>
      </c>
      <c r="AW979" s="1" t="s">
        <v>74</v>
      </c>
      <c r="AX979" s="1" t="s">
        <v>74</v>
      </c>
      <c r="AY979" s="1" t="s">
        <v>74</v>
      </c>
      <c r="AZ979" s="1" t="s">
        <v>74</v>
      </c>
      <c r="BA979" s="1" t="s">
        <v>74</v>
      </c>
      <c r="BB979" s="1">
        <v>469.0</v>
      </c>
      <c r="BC979" s="1" t="s">
        <v>1713</v>
      </c>
      <c r="BD979" s="1" t="s">
        <v>74</v>
      </c>
      <c r="BE979" s="1" t="s">
        <v>9439</v>
      </c>
      <c r="BF979" s="2" t="str">
        <f>HYPERLINK("http://dx.doi.org/10.1063/1.4811969","http://dx.doi.org/10.1063/1.4811969")</f>
        <v>http://dx.doi.org/10.1063/1.4811969</v>
      </c>
      <c r="BG979" s="1" t="s">
        <v>74</v>
      </c>
      <c r="BH979" s="1" t="s">
        <v>74</v>
      </c>
      <c r="BI979" s="1" t="s">
        <v>74</v>
      </c>
      <c r="BJ979" s="1" t="s">
        <v>74</v>
      </c>
      <c r="BK979" s="1" t="s">
        <v>74</v>
      </c>
      <c r="BL979" s="1" t="s">
        <v>74</v>
      </c>
      <c r="BM979" s="1" t="s">
        <v>74</v>
      </c>
      <c r="BN979" s="1" t="s">
        <v>74</v>
      </c>
      <c r="BO979" s="1" t="s">
        <v>74</v>
      </c>
      <c r="BP979" s="1" t="s">
        <v>74</v>
      </c>
      <c r="BQ979" s="1" t="s">
        <v>74</v>
      </c>
      <c r="BR979" s="1" t="s">
        <v>74</v>
      </c>
      <c r="BS979" s="1" t="s">
        <v>9440</v>
      </c>
      <c r="BT979" s="1" t="str">
        <f>HYPERLINK("https%3A%2F%2Fwww.webofscience.com%2Fwos%2Fwoscc%2Ffull-record%2FWOS:000321003200112","View Full Record in Web of Science")</f>
        <v>View Full Record in Web of Science</v>
      </c>
    </row>
    <row r="980" ht="12.75" customHeight="1">
      <c r="A980" s="1" t="s">
        <v>72</v>
      </c>
      <c r="B980" s="1" t="s">
        <v>9441</v>
      </c>
      <c r="C980" s="1" t="s">
        <v>74</v>
      </c>
      <c r="D980" s="1" t="s">
        <v>74</v>
      </c>
      <c r="E980" s="1" t="s">
        <v>74</v>
      </c>
      <c r="F980" s="1" t="s">
        <v>9442</v>
      </c>
      <c r="G980" s="1" t="s">
        <v>74</v>
      </c>
      <c r="H980" s="1" t="s">
        <v>74</v>
      </c>
      <c r="I980" s="1" t="s">
        <v>9443</v>
      </c>
      <c r="J980" s="1" t="s">
        <v>2522</v>
      </c>
      <c r="K980" s="1" t="s">
        <v>74</v>
      </c>
      <c r="L980" s="1" t="s">
        <v>74</v>
      </c>
      <c r="M980" s="1" t="s">
        <v>74</v>
      </c>
      <c r="N980" s="1" t="s">
        <v>74</v>
      </c>
      <c r="O980" s="1" t="s">
        <v>74</v>
      </c>
      <c r="P980" s="1" t="s">
        <v>74</v>
      </c>
      <c r="Q980" s="1" t="s">
        <v>74</v>
      </c>
      <c r="R980" s="1" t="s">
        <v>74</v>
      </c>
      <c r="S980" s="1" t="s">
        <v>74</v>
      </c>
      <c r="T980" s="1" t="s">
        <v>74</v>
      </c>
      <c r="U980" s="1" t="s">
        <v>74</v>
      </c>
      <c r="V980" s="1" t="s">
        <v>74</v>
      </c>
      <c r="W980" s="1" t="s">
        <v>74</v>
      </c>
      <c r="X980" s="1" t="s">
        <v>74</v>
      </c>
      <c r="Y980" s="1" t="s">
        <v>74</v>
      </c>
      <c r="Z980" s="1" t="s">
        <v>74</v>
      </c>
      <c r="AA980" s="1" t="s">
        <v>74</v>
      </c>
      <c r="AB980" s="1" t="s">
        <v>74</v>
      </c>
      <c r="AC980" s="1" t="s">
        <v>74</v>
      </c>
      <c r="AD980" s="1" t="s">
        <v>74</v>
      </c>
      <c r="AE980" s="1" t="s">
        <v>74</v>
      </c>
      <c r="AF980" s="1" t="s">
        <v>74</v>
      </c>
      <c r="AG980" s="1" t="s">
        <v>74</v>
      </c>
      <c r="AH980" s="1" t="s">
        <v>74</v>
      </c>
      <c r="AI980" s="1" t="s">
        <v>74</v>
      </c>
      <c r="AJ980" s="1" t="s">
        <v>74</v>
      </c>
      <c r="AK980" s="1" t="s">
        <v>74</v>
      </c>
      <c r="AL980" s="1" t="s">
        <v>74</v>
      </c>
      <c r="AM980" s="1" t="s">
        <v>74</v>
      </c>
      <c r="AN980" s="1" t="s">
        <v>74</v>
      </c>
      <c r="AO980" s="1" t="s">
        <v>2524</v>
      </c>
      <c r="AP980" s="1" t="s">
        <v>74</v>
      </c>
      <c r="AQ980" s="1" t="s">
        <v>74</v>
      </c>
      <c r="AR980" s="1" t="s">
        <v>74</v>
      </c>
      <c r="AS980" s="1" t="s">
        <v>74</v>
      </c>
      <c r="AT980" s="1" t="s">
        <v>9444</v>
      </c>
      <c r="AU980" s="1">
        <v>2007.0</v>
      </c>
      <c r="AV980" s="1">
        <v>234.0</v>
      </c>
      <c r="AW980" s="1" t="s">
        <v>74</v>
      </c>
      <c r="AX980" s="1" t="s">
        <v>74</v>
      </c>
      <c r="AY980" s="1" t="s">
        <v>74</v>
      </c>
      <c r="AZ980" s="1" t="s">
        <v>74</v>
      </c>
      <c r="BA980" s="1" t="s">
        <v>9445</v>
      </c>
      <c r="BB980" s="1" t="s">
        <v>74</v>
      </c>
      <c r="BC980" s="1" t="s">
        <v>74</v>
      </c>
      <c r="BD980" s="1" t="s">
        <v>74</v>
      </c>
      <c r="BE980" s="1" t="s">
        <v>74</v>
      </c>
      <c r="BF980" s="1" t="s">
        <v>74</v>
      </c>
      <c r="BG980" s="1" t="s">
        <v>74</v>
      </c>
      <c r="BH980" s="1" t="s">
        <v>74</v>
      </c>
      <c r="BI980" s="1" t="s">
        <v>74</v>
      </c>
      <c r="BJ980" s="1" t="s">
        <v>74</v>
      </c>
      <c r="BK980" s="1" t="s">
        <v>74</v>
      </c>
      <c r="BL980" s="1" t="s">
        <v>74</v>
      </c>
      <c r="BM980" s="1" t="s">
        <v>74</v>
      </c>
      <c r="BN980" s="1" t="s">
        <v>74</v>
      </c>
      <c r="BO980" s="1" t="s">
        <v>74</v>
      </c>
      <c r="BP980" s="1" t="s">
        <v>74</v>
      </c>
      <c r="BQ980" s="1" t="s">
        <v>74</v>
      </c>
      <c r="BR980" s="1" t="s">
        <v>74</v>
      </c>
      <c r="BS980" s="1" t="s">
        <v>9446</v>
      </c>
      <c r="BT980" s="1" t="str">
        <f>HYPERLINK("https%3A%2F%2Fwww.webofscience.com%2Fwos%2Fwoscc%2Ffull-record%2FWOS:000207593900563","View Full Record in Web of Science")</f>
        <v>View Full Record in Web of Science</v>
      </c>
    </row>
    <row r="981" ht="12.75" customHeight="1">
      <c r="A981" s="1" t="s">
        <v>72</v>
      </c>
      <c r="B981" s="1" t="s">
        <v>9447</v>
      </c>
      <c r="C981" s="1" t="s">
        <v>74</v>
      </c>
      <c r="D981" s="1" t="s">
        <v>74</v>
      </c>
      <c r="E981" s="1" t="s">
        <v>74</v>
      </c>
      <c r="F981" s="1" t="s">
        <v>9448</v>
      </c>
      <c r="G981" s="1" t="s">
        <v>74</v>
      </c>
      <c r="H981" s="1" t="s">
        <v>74</v>
      </c>
      <c r="I981" s="1" t="s">
        <v>9449</v>
      </c>
      <c r="J981" s="1" t="s">
        <v>690</v>
      </c>
      <c r="K981" s="1" t="s">
        <v>74</v>
      </c>
      <c r="L981" s="1" t="s">
        <v>74</v>
      </c>
      <c r="M981" s="1" t="s">
        <v>74</v>
      </c>
      <c r="N981" s="1" t="s">
        <v>74</v>
      </c>
      <c r="O981" s="1" t="s">
        <v>74</v>
      </c>
      <c r="P981" s="1" t="s">
        <v>74</v>
      </c>
      <c r="Q981" s="1" t="s">
        <v>74</v>
      </c>
      <c r="R981" s="1" t="s">
        <v>74</v>
      </c>
      <c r="S981" s="1" t="s">
        <v>74</v>
      </c>
      <c r="T981" s="1" t="s">
        <v>74</v>
      </c>
      <c r="U981" s="1" t="s">
        <v>74</v>
      </c>
      <c r="V981" s="1" t="s">
        <v>9450</v>
      </c>
      <c r="W981" s="1" t="s">
        <v>74</v>
      </c>
      <c r="X981" s="1" t="s">
        <v>74</v>
      </c>
      <c r="Y981" s="1" t="s">
        <v>74</v>
      </c>
      <c r="Z981" s="1" t="s">
        <v>74</v>
      </c>
      <c r="AA981" s="1" t="s">
        <v>9451</v>
      </c>
      <c r="AB981" s="1" t="s">
        <v>9452</v>
      </c>
      <c r="AC981" s="1" t="s">
        <v>74</v>
      </c>
      <c r="AD981" s="1" t="s">
        <v>74</v>
      </c>
      <c r="AE981" s="1" t="s">
        <v>74</v>
      </c>
      <c r="AF981" s="1" t="s">
        <v>74</v>
      </c>
      <c r="AG981" s="1" t="s">
        <v>74</v>
      </c>
      <c r="AH981" s="1" t="s">
        <v>74</v>
      </c>
      <c r="AI981" s="1" t="s">
        <v>74</v>
      </c>
      <c r="AJ981" s="1" t="s">
        <v>74</v>
      </c>
      <c r="AK981" s="1" t="s">
        <v>74</v>
      </c>
      <c r="AL981" s="1" t="s">
        <v>74</v>
      </c>
      <c r="AM981" s="1" t="s">
        <v>74</v>
      </c>
      <c r="AN981" s="1" t="s">
        <v>74</v>
      </c>
      <c r="AO981" s="1" t="s">
        <v>694</v>
      </c>
      <c r="AP981" s="1" t="s">
        <v>695</v>
      </c>
      <c r="AQ981" s="1" t="s">
        <v>74</v>
      </c>
      <c r="AR981" s="1" t="s">
        <v>74</v>
      </c>
      <c r="AS981" s="1" t="s">
        <v>74</v>
      </c>
      <c r="AT981" s="1" t="s">
        <v>294</v>
      </c>
      <c r="AU981" s="1">
        <v>2007.0</v>
      </c>
      <c r="AV981" s="1">
        <v>75.0</v>
      </c>
      <c r="AW981" s="1">
        <v>6.0</v>
      </c>
      <c r="AX981" s="1" t="s">
        <v>74</v>
      </c>
      <c r="AY981" s="1" t="s">
        <v>74</v>
      </c>
      <c r="AZ981" s="1" t="s">
        <v>74</v>
      </c>
      <c r="BA981" s="1" t="s">
        <v>74</v>
      </c>
      <c r="BB981" s="1" t="s">
        <v>74</v>
      </c>
      <c r="BC981" s="1" t="s">
        <v>74</v>
      </c>
      <c r="BD981" s="1">
        <v>62324.0</v>
      </c>
      <c r="BE981" s="1" t="s">
        <v>9453</v>
      </c>
      <c r="BF981" s="2" t="str">
        <f>HYPERLINK("http://dx.doi.org/10.1103/PhysRevA.75.062324","http://dx.doi.org/10.1103/PhysRevA.75.062324")</f>
        <v>http://dx.doi.org/10.1103/PhysRevA.75.062324</v>
      </c>
      <c r="BG981" s="1" t="s">
        <v>74</v>
      </c>
      <c r="BH981" s="1" t="s">
        <v>74</v>
      </c>
      <c r="BI981" s="1" t="s">
        <v>74</v>
      </c>
      <c r="BJ981" s="1" t="s">
        <v>74</v>
      </c>
      <c r="BK981" s="1" t="s">
        <v>74</v>
      </c>
      <c r="BL981" s="1" t="s">
        <v>74</v>
      </c>
      <c r="BM981" s="1" t="s">
        <v>74</v>
      </c>
      <c r="BN981" s="1" t="s">
        <v>74</v>
      </c>
      <c r="BO981" s="1" t="s">
        <v>74</v>
      </c>
      <c r="BP981" s="1" t="s">
        <v>74</v>
      </c>
      <c r="BQ981" s="1" t="s">
        <v>74</v>
      </c>
      <c r="BR981" s="1" t="s">
        <v>74</v>
      </c>
      <c r="BS981" s="1" t="s">
        <v>9454</v>
      </c>
      <c r="BT981" s="1" t="str">
        <f>HYPERLINK("https%3A%2F%2Fwww.webofscience.com%2Fwos%2Fwoscc%2Ffull-record%2FWOS:000247624300062","View Full Record in Web of Science")</f>
        <v>View Full Record in Web of Science</v>
      </c>
    </row>
    <row r="982" ht="12.75" customHeight="1">
      <c r="A982" s="1" t="s">
        <v>182</v>
      </c>
      <c r="B982" s="1" t="s">
        <v>9455</v>
      </c>
      <c r="C982" s="1" t="s">
        <v>74</v>
      </c>
      <c r="D982" s="1" t="s">
        <v>9456</v>
      </c>
      <c r="E982" s="1" t="s">
        <v>74</v>
      </c>
      <c r="F982" s="1" t="s">
        <v>9457</v>
      </c>
      <c r="G982" s="1" t="s">
        <v>74</v>
      </c>
      <c r="H982" s="1" t="s">
        <v>74</v>
      </c>
      <c r="I982" s="1" t="s">
        <v>9458</v>
      </c>
      <c r="J982" s="1" t="s">
        <v>9459</v>
      </c>
      <c r="K982" s="1" t="s">
        <v>1167</v>
      </c>
      <c r="L982" s="1" t="s">
        <v>74</v>
      </c>
      <c r="M982" s="1" t="s">
        <v>74</v>
      </c>
      <c r="N982" s="1" t="s">
        <v>74</v>
      </c>
      <c r="O982" s="1" t="s">
        <v>9460</v>
      </c>
      <c r="P982" s="1" t="s">
        <v>9461</v>
      </c>
      <c r="Q982" s="1" t="s">
        <v>9462</v>
      </c>
      <c r="R982" s="1" t="s">
        <v>74</v>
      </c>
      <c r="S982" s="1" t="s">
        <v>9463</v>
      </c>
      <c r="T982" s="1" t="s">
        <v>74</v>
      </c>
      <c r="U982" s="1" t="s">
        <v>74</v>
      </c>
      <c r="V982" s="1" t="s">
        <v>9464</v>
      </c>
      <c r="W982" s="1" t="s">
        <v>74</v>
      </c>
      <c r="X982" s="1" t="s">
        <v>74</v>
      </c>
      <c r="Y982" s="1" t="s">
        <v>74</v>
      </c>
      <c r="Z982" s="1" t="s">
        <v>74</v>
      </c>
      <c r="AA982" s="1" t="s">
        <v>74</v>
      </c>
      <c r="AB982" s="1" t="s">
        <v>9465</v>
      </c>
      <c r="AC982" s="1" t="s">
        <v>74</v>
      </c>
      <c r="AD982" s="1" t="s">
        <v>74</v>
      </c>
      <c r="AE982" s="1" t="s">
        <v>74</v>
      </c>
      <c r="AF982" s="1" t="s">
        <v>74</v>
      </c>
      <c r="AG982" s="1" t="s">
        <v>74</v>
      </c>
      <c r="AH982" s="1" t="s">
        <v>74</v>
      </c>
      <c r="AI982" s="1" t="s">
        <v>74</v>
      </c>
      <c r="AJ982" s="1" t="s">
        <v>74</v>
      </c>
      <c r="AK982" s="1" t="s">
        <v>74</v>
      </c>
      <c r="AL982" s="1" t="s">
        <v>74</v>
      </c>
      <c r="AM982" s="1" t="s">
        <v>74</v>
      </c>
      <c r="AN982" s="1" t="s">
        <v>74</v>
      </c>
      <c r="AO982" s="1" t="s">
        <v>1175</v>
      </c>
      <c r="AP982" s="1" t="s">
        <v>74</v>
      </c>
      <c r="AQ982" s="1" t="s">
        <v>9466</v>
      </c>
      <c r="AR982" s="1" t="s">
        <v>74</v>
      </c>
      <c r="AS982" s="1" t="s">
        <v>74</v>
      </c>
      <c r="AT982" s="1" t="s">
        <v>74</v>
      </c>
      <c r="AU982" s="1">
        <v>2007.0</v>
      </c>
      <c r="AV982" s="1">
        <v>4432.0</v>
      </c>
      <c r="AW982" s="1" t="s">
        <v>74</v>
      </c>
      <c r="AX982" s="1" t="s">
        <v>74</v>
      </c>
      <c r="AY982" s="1" t="s">
        <v>74</v>
      </c>
      <c r="AZ982" s="1" t="s">
        <v>74</v>
      </c>
      <c r="BA982" s="1" t="s">
        <v>74</v>
      </c>
      <c r="BB982" s="1">
        <v>355.0</v>
      </c>
      <c r="BC982" s="1" t="s">
        <v>1713</v>
      </c>
      <c r="BD982" s="1" t="s">
        <v>74</v>
      </c>
      <c r="BE982" s="1" t="s">
        <v>74</v>
      </c>
      <c r="BF982" s="1" t="s">
        <v>74</v>
      </c>
      <c r="BG982" s="1" t="s">
        <v>74</v>
      </c>
      <c r="BH982" s="1" t="s">
        <v>74</v>
      </c>
      <c r="BI982" s="1" t="s">
        <v>74</v>
      </c>
      <c r="BJ982" s="1" t="s">
        <v>74</v>
      </c>
      <c r="BK982" s="1" t="s">
        <v>74</v>
      </c>
      <c r="BL982" s="1" t="s">
        <v>74</v>
      </c>
      <c r="BM982" s="1" t="s">
        <v>74</v>
      </c>
      <c r="BN982" s="1" t="s">
        <v>74</v>
      </c>
      <c r="BO982" s="1" t="s">
        <v>74</v>
      </c>
      <c r="BP982" s="1" t="s">
        <v>74</v>
      </c>
      <c r="BQ982" s="1" t="s">
        <v>74</v>
      </c>
      <c r="BR982" s="1" t="s">
        <v>74</v>
      </c>
      <c r="BS982" s="1" t="s">
        <v>9467</v>
      </c>
      <c r="BT982" s="1" t="str">
        <f>HYPERLINK("https%3A%2F%2Fwww.webofscience.com%2Fwos%2Fwoscc%2Ffull-record%2FWOS:000246098200040","View Full Record in Web of Science")</f>
        <v>View Full Record in Web of Science</v>
      </c>
    </row>
    <row r="983" ht="12.75" customHeight="1">
      <c r="A983" s="1" t="s">
        <v>72</v>
      </c>
      <c r="B983" s="1" t="s">
        <v>9468</v>
      </c>
      <c r="C983" s="1" t="s">
        <v>74</v>
      </c>
      <c r="D983" s="1" t="s">
        <v>74</v>
      </c>
      <c r="E983" s="1" t="s">
        <v>74</v>
      </c>
      <c r="F983" s="1" t="s">
        <v>9469</v>
      </c>
      <c r="G983" s="1" t="s">
        <v>74</v>
      </c>
      <c r="H983" s="1" t="s">
        <v>74</v>
      </c>
      <c r="I983" s="1" t="s">
        <v>9470</v>
      </c>
      <c r="J983" s="1" t="s">
        <v>9471</v>
      </c>
      <c r="K983" s="1" t="s">
        <v>74</v>
      </c>
      <c r="L983" s="1" t="s">
        <v>74</v>
      </c>
      <c r="M983" s="1" t="s">
        <v>74</v>
      </c>
      <c r="N983" s="1" t="s">
        <v>74</v>
      </c>
      <c r="O983" s="1" t="s">
        <v>74</v>
      </c>
      <c r="P983" s="1" t="s">
        <v>74</v>
      </c>
      <c r="Q983" s="1" t="s">
        <v>74</v>
      </c>
      <c r="R983" s="1" t="s">
        <v>74</v>
      </c>
      <c r="S983" s="1" t="s">
        <v>74</v>
      </c>
      <c r="T983" s="1" t="s">
        <v>74</v>
      </c>
      <c r="U983" s="1" t="s">
        <v>74</v>
      </c>
      <c r="V983" s="1" t="s">
        <v>9472</v>
      </c>
      <c r="W983" s="1" t="s">
        <v>74</v>
      </c>
      <c r="X983" s="1" t="s">
        <v>74</v>
      </c>
      <c r="Y983" s="1" t="s">
        <v>74</v>
      </c>
      <c r="Z983" s="1" t="s">
        <v>74</v>
      </c>
      <c r="AA983" s="1" t="s">
        <v>74</v>
      </c>
      <c r="AB983" s="1" t="s">
        <v>74</v>
      </c>
      <c r="AC983" s="1" t="s">
        <v>74</v>
      </c>
      <c r="AD983" s="1" t="s">
        <v>74</v>
      </c>
      <c r="AE983" s="1" t="s">
        <v>74</v>
      </c>
      <c r="AF983" s="1" t="s">
        <v>74</v>
      </c>
      <c r="AG983" s="1" t="s">
        <v>74</v>
      </c>
      <c r="AH983" s="1" t="s">
        <v>74</v>
      </c>
      <c r="AI983" s="1" t="s">
        <v>74</v>
      </c>
      <c r="AJ983" s="1" t="s">
        <v>74</v>
      </c>
      <c r="AK983" s="1" t="s">
        <v>74</v>
      </c>
      <c r="AL983" s="1" t="s">
        <v>74</v>
      </c>
      <c r="AM983" s="1" t="s">
        <v>74</v>
      </c>
      <c r="AN983" s="1" t="s">
        <v>74</v>
      </c>
      <c r="AO983" s="1" t="s">
        <v>9473</v>
      </c>
      <c r="AP983" s="1" t="s">
        <v>9474</v>
      </c>
      <c r="AQ983" s="1" t="s">
        <v>74</v>
      </c>
      <c r="AR983" s="1" t="s">
        <v>74</v>
      </c>
      <c r="AS983" s="1" t="s">
        <v>74</v>
      </c>
      <c r="AT983" s="1" t="s">
        <v>3625</v>
      </c>
      <c r="AU983" s="1">
        <v>2006.0</v>
      </c>
      <c r="AV983" s="1">
        <v>454.0</v>
      </c>
      <c r="AW983" s="1">
        <v>2.0</v>
      </c>
      <c r="AX983" s="1" t="s">
        <v>74</v>
      </c>
      <c r="AY983" s="1" t="s">
        <v>74</v>
      </c>
      <c r="AZ983" s="1" t="s">
        <v>74</v>
      </c>
      <c r="BA983" s="1" t="s">
        <v>74</v>
      </c>
      <c r="BB983" s="1">
        <v>189.0</v>
      </c>
      <c r="BC983" s="1">
        <v>196.0</v>
      </c>
      <c r="BD983" s="1" t="s">
        <v>74</v>
      </c>
      <c r="BE983" s="1" t="s">
        <v>9475</v>
      </c>
      <c r="BF983" s="2" t="str">
        <f>HYPERLINK("http://dx.doi.org/10.1016/j.abb.2006.08.002","http://dx.doi.org/10.1016/j.abb.2006.08.002")</f>
        <v>http://dx.doi.org/10.1016/j.abb.2006.08.002</v>
      </c>
      <c r="BG983" s="1" t="s">
        <v>74</v>
      </c>
      <c r="BH983" s="1" t="s">
        <v>74</v>
      </c>
      <c r="BI983" s="1" t="s">
        <v>74</v>
      </c>
      <c r="BJ983" s="1" t="s">
        <v>74</v>
      </c>
      <c r="BK983" s="1" t="s">
        <v>74</v>
      </c>
      <c r="BL983" s="1" t="s">
        <v>74</v>
      </c>
      <c r="BM983" s="1" t="s">
        <v>74</v>
      </c>
      <c r="BN983" s="1">
        <v>1.6973124E7</v>
      </c>
      <c r="BO983" s="1" t="s">
        <v>74</v>
      </c>
      <c r="BP983" s="1" t="s">
        <v>74</v>
      </c>
      <c r="BQ983" s="1" t="s">
        <v>74</v>
      </c>
      <c r="BR983" s="1" t="s">
        <v>74</v>
      </c>
      <c r="BS983" s="1" t="s">
        <v>9476</v>
      </c>
      <c r="BT983" s="1" t="str">
        <f>HYPERLINK("https%3A%2F%2Fwww.webofscience.com%2Fwos%2Fwoscc%2Ffull-record%2FWOS:000241419000010","View Full Record in Web of Science")</f>
        <v>View Full Record in Web of Science</v>
      </c>
    </row>
    <row r="984" ht="12.75" customHeight="1">
      <c r="A984" s="1" t="s">
        <v>72</v>
      </c>
      <c r="B984" s="1" t="s">
        <v>9477</v>
      </c>
      <c r="C984" s="1" t="s">
        <v>74</v>
      </c>
      <c r="D984" s="1" t="s">
        <v>74</v>
      </c>
      <c r="E984" s="1" t="s">
        <v>74</v>
      </c>
      <c r="F984" s="1" t="s">
        <v>9477</v>
      </c>
      <c r="G984" s="1" t="s">
        <v>74</v>
      </c>
      <c r="H984" s="1" t="s">
        <v>74</v>
      </c>
      <c r="I984" s="1" t="s">
        <v>9478</v>
      </c>
      <c r="J984" s="1" t="s">
        <v>5694</v>
      </c>
      <c r="K984" s="1" t="s">
        <v>74</v>
      </c>
      <c r="L984" s="1" t="s">
        <v>74</v>
      </c>
      <c r="M984" s="1" t="s">
        <v>74</v>
      </c>
      <c r="N984" s="1" t="s">
        <v>74</v>
      </c>
      <c r="O984" s="1" t="s">
        <v>74</v>
      </c>
      <c r="P984" s="1" t="s">
        <v>74</v>
      </c>
      <c r="Q984" s="1" t="s">
        <v>74</v>
      </c>
      <c r="R984" s="1" t="s">
        <v>74</v>
      </c>
      <c r="S984" s="1" t="s">
        <v>74</v>
      </c>
      <c r="T984" s="1" t="s">
        <v>74</v>
      </c>
      <c r="U984" s="1" t="s">
        <v>74</v>
      </c>
      <c r="V984" s="1" t="s">
        <v>9479</v>
      </c>
      <c r="W984" s="1" t="s">
        <v>74</v>
      </c>
      <c r="X984" s="1" t="s">
        <v>74</v>
      </c>
      <c r="Y984" s="1" t="s">
        <v>74</v>
      </c>
      <c r="Z984" s="1" t="s">
        <v>74</v>
      </c>
      <c r="AA984" s="1" t="s">
        <v>9480</v>
      </c>
      <c r="AB984" s="1" t="s">
        <v>9481</v>
      </c>
      <c r="AC984" s="1" t="s">
        <v>74</v>
      </c>
      <c r="AD984" s="1" t="s">
        <v>74</v>
      </c>
      <c r="AE984" s="1" t="s">
        <v>74</v>
      </c>
      <c r="AF984" s="1" t="s">
        <v>74</v>
      </c>
      <c r="AG984" s="1" t="s">
        <v>74</v>
      </c>
      <c r="AH984" s="1" t="s">
        <v>74</v>
      </c>
      <c r="AI984" s="1" t="s">
        <v>74</v>
      </c>
      <c r="AJ984" s="1" t="s">
        <v>74</v>
      </c>
      <c r="AK984" s="1" t="s">
        <v>74</v>
      </c>
      <c r="AL984" s="1" t="s">
        <v>74</v>
      </c>
      <c r="AM984" s="1" t="s">
        <v>74</v>
      </c>
      <c r="AN984" s="1" t="s">
        <v>74</v>
      </c>
      <c r="AO984" s="1" t="s">
        <v>5696</v>
      </c>
      <c r="AP984" s="1" t="s">
        <v>9482</v>
      </c>
      <c r="AQ984" s="1" t="s">
        <v>74</v>
      </c>
      <c r="AR984" s="1" t="s">
        <v>74</v>
      </c>
      <c r="AS984" s="1" t="s">
        <v>74</v>
      </c>
      <c r="AT984" s="1" t="s">
        <v>9483</v>
      </c>
      <c r="AU984" s="1">
        <v>2005.0</v>
      </c>
      <c r="AV984" s="1">
        <v>17.0</v>
      </c>
      <c r="AW984" s="1">
        <v>10.0</v>
      </c>
      <c r="AX984" s="1" t="s">
        <v>74</v>
      </c>
      <c r="AY984" s="1" t="s">
        <v>74</v>
      </c>
      <c r="AZ984" s="1" t="s">
        <v>74</v>
      </c>
      <c r="BA984" s="1" t="s">
        <v>74</v>
      </c>
      <c r="BB984" s="1">
        <v>1625.0</v>
      </c>
      <c r="BC984" s="1">
        <v>1633.0</v>
      </c>
      <c r="BD984" s="1" t="s">
        <v>74</v>
      </c>
      <c r="BE984" s="1" t="s">
        <v>9484</v>
      </c>
      <c r="BF984" s="2" t="str">
        <f>HYPERLINK("http://dx.doi.org/10.1088/0953-8984/17/10/017","http://dx.doi.org/10.1088/0953-8984/17/10/017")</f>
        <v>http://dx.doi.org/10.1088/0953-8984/17/10/017</v>
      </c>
      <c r="BG984" s="1" t="s">
        <v>74</v>
      </c>
      <c r="BH984" s="1" t="s">
        <v>74</v>
      </c>
      <c r="BI984" s="1" t="s">
        <v>74</v>
      </c>
      <c r="BJ984" s="1" t="s">
        <v>74</v>
      </c>
      <c r="BK984" s="1" t="s">
        <v>74</v>
      </c>
      <c r="BL984" s="1" t="s">
        <v>74</v>
      </c>
      <c r="BM984" s="1" t="s">
        <v>74</v>
      </c>
      <c r="BN984" s="1" t="s">
        <v>74</v>
      </c>
      <c r="BO984" s="1" t="s">
        <v>74</v>
      </c>
      <c r="BP984" s="1" t="s">
        <v>74</v>
      </c>
      <c r="BQ984" s="1" t="s">
        <v>74</v>
      </c>
      <c r="BR984" s="1" t="s">
        <v>74</v>
      </c>
      <c r="BS984" s="1" t="s">
        <v>9485</v>
      </c>
      <c r="BT984" s="1" t="str">
        <f>HYPERLINK("https%3A%2F%2Fwww.webofscience.com%2Fwos%2Fwoscc%2Ffull-record%2FWOS:000228468200019","View Full Record in Web of Science")</f>
        <v>View Full Record in Web of Science</v>
      </c>
    </row>
    <row r="985" ht="12.75" customHeight="1">
      <c r="A985" s="1" t="s">
        <v>72</v>
      </c>
      <c r="B985" s="1" t="s">
        <v>9486</v>
      </c>
      <c r="C985" s="1" t="s">
        <v>74</v>
      </c>
      <c r="D985" s="1" t="s">
        <v>74</v>
      </c>
      <c r="E985" s="1" t="s">
        <v>74</v>
      </c>
      <c r="F985" s="1" t="s">
        <v>9486</v>
      </c>
      <c r="G985" s="1" t="s">
        <v>74</v>
      </c>
      <c r="H985" s="1" t="s">
        <v>74</v>
      </c>
      <c r="I985" s="1" t="s">
        <v>9487</v>
      </c>
      <c r="J985" s="1" t="s">
        <v>9488</v>
      </c>
      <c r="K985" s="1" t="s">
        <v>74</v>
      </c>
      <c r="L985" s="1" t="s">
        <v>74</v>
      </c>
      <c r="M985" s="1" t="s">
        <v>74</v>
      </c>
      <c r="N985" s="1" t="s">
        <v>74</v>
      </c>
      <c r="O985" s="1" t="s">
        <v>74</v>
      </c>
      <c r="P985" s="1" t="s">
        <v>74</v>
      </c>
      <c r="Q985" s="1" t="s">
        <v>74</v>
      </c>
      <c r="R985" s="1" t="s">
        <v>74</v>
      </c>
      <c r="S985" s="1" t="s">
        <v>74</v>
      </c>
      <c r="T985" s="1" t="s">
        <v>74</v>
      </c>
      <c r="U985" s="1" t="s">
        <v>74</v>
      </c>
      <c r="V985" s="1" t="s">
        <v>9489</v>
      </c>
      <c r="W985" s="1" t="s">
        <v>74</v>
      </c>
      <c r="X985" s="1" t="s">
        <v>74</v>
      </c>
      <c r="Y985" s="1" t="s">
        <v>74</v>
      </c>
      <c r="Z985" s="1" t="s">
        <v>74</v>
      </c>
      <c r="AA985" s="1" t="s">
        <v>6195</v>
      </c>
      <c r="AB985" s="1" t="s">
        <v>6196</v>
      </c>
      <c r="AC985" s="1" t="s">
        <v>74</v>
      </c>
      <c r="AD985" s="1" t="s">
        <v>74</v>
      </c>
      <c r="AE985" s="1" t="s">
        <v>74</v>
      </c>
      <c r="AF985" s="1" t="s">
        <v>74</v>
      </c>
      <c r="AG985" s="1" t="s">
        <v>74</v>
      </c>
      <c r="AH985" s="1" t="s">
        <v>74</v>
      </c>
      <c r="AI985" s="1" t="s">
        <v>74</v>
      </c>
      <c r="AJ985" s="1" t="s">
        <v>74</v>
      </c>
      <c r="AK985" s="1" t="s">
        <v>74</v>
      </c>
      <c r="AL985" s="1" t="s">
        <v>74</v>
      </c>
      <c r="AM985" s="1" t="s">
        <v>74</v>
      </c>
      <c r="AN985" s="1" t="s">
        <v>74</v>
      </c>
      <c r="AO985" s="1" t="s">
        <v>9490</v>
      </c>
      <c r="AP985" s="1" t="s">
        <v>74</v>
      </c>
      <c r="AQ985" s="1" t="s">
        <v>74</v>
      </c>
      <c r="AR985" s="1" t="s">
        <v>74</v>
      </c>
      <c r="AS985" s="1" t="s">
        <v>74</v>
      </c>
      <c r="AT985" s="1" t="s">
        <v>180</v>
      </c>
      <c r="AU985" s="1">
        <v>1997.0</v>
      </c>
      <c r="AV985" s="1">
        <v>101.0</v>
      </c>
      <c r="AW985" s="1">
        <v>5.0</v>
      </c>
      <c r="AX985" s="1">
        <v>1.0</v>
      </c>
      <c r="AY985" s="1" t="s">
        <v>74</v>
      </c>
      <c r="AZ985" s="1" t="s">
        <v>74</v>
      </c>
      <c r="BA985" s="1" t="s">
        <v>74</v>
      </c>
      <c r="BB985" s="1">
        <v>2536.0</v>
      </c>
      <c r="BC985" s="1">
        <v>2540.0</v>
      </c>
      <c r="BD985" s="1" t="s">
        <v>74</v>
      </c>
      <c r="BE985" s="1" t="s">
        <v>9491</v>
      </c>
      <c r="BF985" s="2" t="str">
        <f>HYPERLINK("http://dx.doi.org/10.1121/1.418495","http://dx.doi.org/10.1121/1.418495")</f>
        <v>http://dx.doi.org/10.1121/1.418495</v>
      </c>
      <c r="BG985" s="1" t="s">
        <v>74</v>
      </c>
      <c r="BH985" s="1" t="s">
        <v>74</v>
      </c>
      <c r="BI985" s="1" t="s">
        <v>74</v>
      </c>
      <c r="BJ985" s="1" t="s">
        <v>74</v>
      </c>
      <c r="BK985" s="1" t="s">
        <v>74</v>
      </c>
      <c r="BL985" s="1" t="s">
        <v>74</v>
      </c>
      <c r="BM985" s="1" t="s">
        <v>74</v>
      </c>
      <c r="BN985" s="1" t="s">
        <v>74</v>
      </c>
      <c r="BO985" s="1" t="s">
        <v>74</v>
      </c>
      <c r="BP985" s="1" t="s">
        <v>74</v>
      </c>
      <c r="BQ985" s="1" t="s">
        <v>74</v>
      </c>
      <c r="BR985" s="1" t="s">
        <v>74</v>
      </c>
      <c r="BS985" s="1" t="s">
        <v>9492</v>
      </c>
      <c r="BT985" s="1" t="str">
        <f>HYPERLINK("https%3A%2F%2Fwww.webofscience.com%2Fwos%2Fwoscc%2Ffull-record%2FWOS:A1997WZ04100016","View Full Record in Web of Science")</f>
        <v>View Full Record in Web of Science</v>
      </c>
    </row>
    <row r="986" ht="12.75" customHeight="1">
      <c r="A986" s="1" t="s">
        <v>72</v>
      </c>
      <c r="B986" s="1" t="s">
        <v>9493</v>
      </c>
      <c r="C986" s="1" t="s">
        <v>74</v>
      </c>
      <c r="D986" s="1" t="s">
        <v>74</v>
      </c>
      <c r="E986" s="1" t="s">
        <v>74</v>
      </c>
      <c r="F986" s="1" t="s">
        <v>9493</v>
      </c>
      <c r="G986" s="1" t="s">
        <v>74</v>
      </c>
      <c r="H986" s="1" t="s">
        <v>74</v>
      </c>
      <c r="I986" s="1" t="s">
        <v>9494</v>
      </c>
      <c r="J986" s="1" t="s">
        <v>1768</v>
      </c>
      <c r="K986" s="1" t="s">
        <v>74</v>
      </c>
      <c r="L986" s="1" t="s">
        <v>74</v>
      </c>
      <c r="M986" s="1" t="s">
        <v>74</v>
      </c>
      <c r="N986" s="1" t="s">
        <v>74</v>
      </c>
      <c r="O986" s="1" t="s">
        <v>74</v>
      </c>
      <c r="P986" s="1" t="s">
        <v>74</v>
      </c>
      <c r="Q986" s="1" t="s">
        <v>74</v>
      </c>
      <c r="R986" s="1" t="s">
        <v>74</v>
      </c>
      <c r="S986" s="1" t="s">
        <v>74</v>
      </c>
      <c r="T986" s="1" t="s">
        <v>74</v>
      </c>
      <c r="U986" s="1" t="s">
        <v>74</v>
      </c>
      <c r="V986" s="1" t="s">
        <v>74</v>
      </c>
      <c r="W986" s="1" t="s">
        <v>74</v>
      </c>
      <c r="X986" s="1" t="s">
        <v>74</v>
      </c>
      <c r="Y986" s="1" t="s">
        <v>74</v>
      </c>
      <c r="Z986" s="1" t="s">
        <v>74</v>
      </c>
      <c r="AA986" s="1" t="s">
        <v>9495</v>
      </c>
      <c r="AB986" s="1" t="s">
        <v>74</v>
      </c>
      <c r="AC986" s="1" t="s">
        <v>74</v>
      </c>
      <c r="AD986" s="1" t="s">
        <v>74</v>
      </c>
      <c r="AE986" s="1" t="s">
        <v>74</v>
      </c>
      <c r="AF986" s="1" t="s">
        <v>74</v>
      </c>
      <c r="AG986" s="1" t="s">
        <v>74</v>
      </c>
      <c r="AH986" s="1" t="s">
        <v>74</v>
      </c>
      <c r="AI986" s="1" t="s">
        <v>74</v>
      </c>
      <c r="AJ986" s="1" t="s">
        <v>74</v>
      </c>
      <c r="AK986" s="1" t="s">
        <v>74</v>
      </c>
      <c r="AL986" s="1" t="s">
        <v>74</v>
      </c>
      <c r="AM986" s="1" t="s">
        <v>74</v>
      </c>
      <c r="AN986" s="1" t="s">
        <v>74</v>
      </c>
      <c r="AO986" s="1" t="s">
        <v>1772</v>
      </c>
      <c r="AP986" s="1" t="s">
        <v>74</v>
      </c>
      <c r="AQ986" s="1" t="s">
        <v>74</v>
      </c>
      <c r="AR986" s="1" t="s">
        <v>74</v>
      </c>
      <c r="AS986" s="1" t="s">
        <v>74</v>
      </c>
      <c r="AT986" s="1" t="s">
        <v>9496</v>
      </c>
      <c r="AU986" s="1">
        <v>1996.0</v>
      </c>
      <c r="AV986" s="1">
        <v>29.0</v>
      </c>
      <c r="AW986" s="1">
        <v>12.0</v>
      </c>
      <c r="AX986" s="1" t="s">
        <v>74</v>
      </c>
      <c r="AY986" s="1" t="s">
        <v>74</v>
      </c>
      <c r="AZ986" s="1" t="s">
        <v>74</v>
      </c>
      <c r="BA986" s="1" t="s">
        <v>74</v>
      </c>
      <c r="BB986" s="1">
        <v>4449.0</v>
      </c>
      <c r="BC986" s="1">
        <v>4452.0</v>
      </c>
      <c r="BD986" s="1" t="s">
        <v>74</v>
      </c>
      <c r="BE986" s="1" t="s">
        <v>9497</v>
      </c>
      <c r="BF986" s="2" t="str">
        <f>HYPERLINK("http://dx.doi.org/10.1021/ma9518316","http://dx.doi.org/10.1021/ma9518316")</f>
        <v>http://dx.doi.org/10.1021/ma9518316</v>
      </c>
      <c r="BG986" s="1" t="s">
        <v>74</v>
      </c>
      <c r="BH986" s="1" t="s">
        <v>74</v>
      </c>
      <c r="BI986" s="1" t="s">
        <v>74</v>
      </c>
      <c r="BJ986" s="1" t="s">
        <v>74</v>
      </c>
      <c r="BK986" s="1" t="s">
        <v>74</v>
      </c>
      <c r="BL986" s="1" t="s">
        <v>74</v>
      </c>
      <c r="BM986" s="1" t="s">
        <v>74</v>
      </c>
      <c r="BN986" s="1" t="s">
        <v>74</v>
      </c>
      <c r="BO986" s="1" t="s">
        <v>74</v>
      </c>
      <c r="BP986" s="1" t="s">
        <v>74</v>
      </c>
      <c r="BQ986" s="1" t="s">
        <v>74</v>
      </c>
      <c r="BR986" s="1" t="s">
        <v>74</v>
      </c>
      <c r="BS986" s="1" t="s">
        <v>9498</v>
      </c>
      <c r="BT986" s="1" t="str">
        <f>HYPERLINK("https%3A%2F%2Fwww.webofscience.com%2Fwos%2Fwoscc%2Ffull-record%2FWOS:A1996UP86000040","View Full Record in Web of Science")</f>
        <v>View Full Record in Web of Science</v>
      </c>
    </row>
    <row r="987" ht="12.75" customHeight="1">
      <c r="A987" s="1" t="s">
        <v>72</v>
      </c>
      <c r="B987" s="1" t="s">
        <v>9499</v>
      </c>
      <c r="C987" s="1" t="s">
        <v>74</v>
      </c>
      <c r="D987" s="1" t="s">
        <v>74</v>
      </c>
      <c r="E987" s="1" t="s">
        <v>74</v>
      </c>
      <c r="F987" s="1" t="s">
        <v>9499</v>
      </c>
      <c r="G987" s="1" t="s">
        <v>74</v>
      </c>
      <c r="H987" s="1" t="s">
        <v>74</v>
      </c>
      <c r="I987" s="1" t="s">
        <v>9500</v>
      </c>
      <c r="J987" s="1" t="s">
        <v>8086</v>
      </c>
      <c r="K987" s="1" t="s">
        <v>74</v>
      </c>
      <c r="L987" s="1" t="s">
        <v>74</v>
      </c>
      <c r="M987" s="1" t="s">
        <v>74</v>
      </c>
      <c r="N987" s="1" t="s">
        <v>74</v>
      </c>
      <c r="O987" s="1" t="s">
        <v>74</v>
      </c>
      <c r="P987" s="1" t="s">
        <v>74</v>
      </c>
      <c r="Q987" s="1" t="s">
        <v>74</v>
      </c>
      <c r="R987" s="1" t="s">
        <v>74</v>
      </c>
      <c r="S987" s="1" t="s">
        <v>74</v>
      </c>
      <c r="T987" s="1" t="s">
        <v>74</v>
      </c>
      <c r="U987" s="1" t="s">
        <v>74</v>
      </c>
      <c r="V987" s="1" t="s">
        <v>74</v>
      </c>
      <c r="W987" s="1" t="s">
        <v>74</v>
      </c>
      <c r="X987" s="1" t="s">
        <v>74</v>
      </c>
      <c r="Y987" s="1" t="s">
        <v>74</v>
      </c>
      <c r="Z987" s="1" t="s">
        <v>74</v>
      </c>
      <c r="AA987" s="1" t="s">
        <v>74</v>
      </c>
      <c r="AB987" s="1" t="s">
        <v>74</v>
      </c>
      <c r="AC987" s="1" t="s">
        <v>74</v>
      </c>
      <c r="AD987" s="1" t="s">
        <v>74</v>
      </c>
      <c r="AE987" s="1" t="s">
        <v>74</v>
      </c>
      <c r="AF987" s="1" t="s">
        <v>74</v>
      </c>
      <c r="AG987" s="1" t="s">
        <v>74</v>
      </c>
      <c r="AH987" s="1" t="s">
        <v>74</v>
      </c>
      <c r="AI987" s="1" t="s">
        <v>74</v>
      </c>
      <c r="AJ987" s="1" t="s">
        <v>74</v>
      </c>
      <c r="AK987" s="1" t="s">
        <v>74</v>
      </c>
      <c r="AL987" s="1" t="s">
        <v>74</v>
      </c>
      <c r="AM987" s="1" t="s">
        <v>74</v>
      </c>
      <c r="AN987" s="1" t="s">
        <v>74</v>
      </c>
      <c r="AO987" s="1" t="s">
        <v>8090</v>
      </c>
      <c r="AP987" s="1" t="s">
        <v>74</v>
      </c>
      <c r="AQ987" s="1" t="s">
        <v>74</v>
      </c>
      <c r="AR987" s="1" t="s">
        <v>74</v>
      </c>
      <c r="AS987" s="1" t="s">
        <v>74</v>
      </c>
      <c r="AT987" s="1" t="s">
        <v>696</v>
      </c>
      <c r="AU987" s="1">
        <v>1989.0</v>
      </c>
      <c r="AV987" s="1">
        <v>19.0</v>
      </c>
      <c r="AW987" s="1">
        <v>1.0</v>
      </c>
      <c r="AX987" s="1" t="s">
        <v>74</v>
      </c>
      <c r="AY987" s="1" t="s">
        <v>74</v>
      </c>
      <c r="AZ987" s="1" t="s">
        <v>74</v>
      </c>
      <c r="BA987" s="1" t="s">
        <v>74</v>
      </c>
      <c r="BB987" s="1">
        <v>28.0</v>
      </c>
      <c r="BC987" s="1">
        <v>36.0</v>
      </c>
      <c r="BD987" s="1" t="s">
        <v>74</v>
      </c>
      <c r="BE987" s="1" t="s">
        <v>9501</v>
      </c>
      <c r="BF987" s="2" t="str">
        <f>HYPERLINK("http://dx.doi.org/10.1007/BF01039386","http://dx.doi.org/10.1007/BF01039386")</f>
        <v>http://dx.doi.org/10.1007/BF01039386</v>
      </c>
      <c r="BG987" s="1" t="s">
        <v>74</v>
      </c>
      <c r="BH987" s="1" t="s">
        <v>74</v>
      </c>
      <c r="BI987" s="1" t="s">
        <v>74</v>
      </c>
      <c r="BJ987" s="1" t="s">
        <v>74</v>
      </c>
      <c r="BK987" s="1" t="s">
        <v>74</v>
      </c>
      <c r="BL987" s="1" t="s">
        <v>74</v>
      </c>
      <c r="BM987" s="1" t="s">
        <v>74</v>
      </c>
      <c r="BN987" s="1" t="s">
        <v>74</v>
      </c>
      <c r="BO987" s="1" t="s">
        <v>74</v>
      </c>
      <c r="BP987" s="1" t="s">
        <v>74</v>
      </c>
      <c r="BQ987" s="1" t="s">
        <v>74</v>
      </c>
      <c r="BR987" s="1" t="s">
        <v>74</v>
      </c>
      <c r="BS987" s="1" t="s">
        <v>9502</v>
      </c>
      <c r="BT987" s="1" t="str">
        <f>HYPERLINK("https%3A%2F%2Fwww.webofscience.com%2Fwos%2Fwoscc%2Ffull-record%2FWOS:A1989T289200004","View Full Record in Web of Science")</f>
        <v>View Full Record in Web of Science</v>
      </c>
    </row>
    <row r="988" ht="12.75" customHeight="1">
      <c r="A988" s="1" t="s">
        <v>72</v>
      </c>
      <c r="B988" s="1" t="s">
        <v>9503</v>
      </c>
      <c r="C988" s="1" t="s">
        <v>74</v>
      </c>
      <c r="D988" s="1" t="s">
        <v>74</v>
      </c>
      <c r="E988" s="1" t="s">
        <v>74</v>
      </c>
      <c r="F988" s="1" t="s">
        <v>9503</v>
      </c>
      <c r="G988" s="1" t="s">
        <v>74</v>
      </c>
      <c r="H988" s="1" t="s">
        <v>74</v>
      </c>
      <c r="I988" s="1" t="s">
        <v>9504</v>
      </c>
      <c r="J988" s="1" t="s">
        <v>9505</v>
      </c>
      <c r="K988" s="1" t="s">
        <v>74</v>
      </c>
      <c r="L988" s="1" t="s">
        <v>74</v>
      </c>
      <c r="M988" s="1" t="s">
        <v>74</v>
      </c>
      <c r="N988" s="1" t="s">
        <v>74</v>
      </c>
      <c r="O988" s="1" t="s">
        <v>74</v>
      </c>
      <c r="P988" s="1" t="s">
        <v>74</v>
      </c>
      <c r="Q988" s="1" t="s">
        <v>74</v>
      </c>
      <c r="R988" s="1" t="s">
        <v>74</v>
      </c>
      <c r="S988" s="1" t="s">
        <v>74</v>
      </c>
      <c r="T988" s="1" t="s">
        <v>74</v>
      </c>
      <c r="U988" s="1" t="s">
        <v>74</v>
      </c>
      <c r="V988" s="1" t="s">
        <v>74</v>
      </c>
      <c r="W988" s="1" t="s">
        <v>74</v>
      </c>
      <c r="X988" s="1" t="s">
        <v>74</v>
      </c>
      <c r="Y988" s="1" t="s">
        <v>74</v>
      </c>
      <c r="Z988" s="1" t="s">
        <v>74</v>
      </c>
      <c r="AA988" s="1" t="s">
        <v>74</v>
      </c>
      <c r="AB988" s="1" t="s">
        <v>74</v>
      </c>
      <c r="AC988" s="1" t="s">
        <v>74</v>
      </c>
      <c r="AD988" s="1" t="s">
        <v>74</v>
      </c>
      <c r="AE988" s="1" t="s">
        <v>74</v>
      </c>
      <c r="AF988" s="1" t="s">
        <v>74</v>
      </c>
      <c r="AG988" s="1" t="s">
        <v>74</v>
      </c>
      <c r="AH988" s="1" t="s">
        <v>74</v>
      </c>
      <c r="AI988" s="1" t="s">
        <v>74</v>
      </c>
      <c r="AJ988" s="1" t="s">
        <v>74</v>
      </c>
      <c r="AK988" s="1" t="s">
        <v>74</v>
      </c>
      <c r="AL988" s="1" t="s">
        <v>74</v>
      </c>
      <c r="AM988" s="1" t="s">
        <v>74</v>
      </c>
      <c r="AN988" s="1" t="s">
        <v>74</v>
      </c>
      <c r="AO988" s="1" t="s">
        <v>9506</v>
      </c>
      <c r="AP988" s="1" t="s">
        <v>74</v>
      </c>
      <c r="AQ988" s="1" t="s">
        <v>74</v>
      </c>
      <c r="AR988" s="1" t="s">
        <v>74</v>
      </c>
      <c r="AS988" s="1" t="s">
        <v>74</v>
      </c>
      <c r="AT988" s="1" t="s">
        <v>350</v>
      </c>
      <c r="AU988" s="1">
        <v>1986.0</v>
      </c>
      <c r="AV988" s="1">
        <v>11.0</v>
      </c>
      <c r="AW988" s="1">
        <v>8.0</v>
      </c>
      <c r="AX988" s="1" t="s">
        <v>74</v>
      </c>
      <c r="AY988" s="1" t="s">
        <v>74</v>
      </c>
      <c r="AZ988" s="1" t="s">
        <v>74</v>
      </c>
      <c r="BA988" s="1" t="s">
        <v>74</v>
      </c>
      <c r="BB988" s="1">
        <v>312.0</v>
      </c>
      <c r="BC988" s="1">
        <v>316.0</v>
      </c>
      <c r="BD988" s="1" t="s">
        <v>74</v>
      </c>
      <c r="BE988" s="1" t="s">
        <v>9507</v>
      </c>
      <c r="BF988" s="2" t="str">
        <f>HYPERLINK("http://dx.doi.org/10.1007/BF00620654","http://dx.doi.org/10.1007/BF00620654")</f>
        <v>http://dx.doi.org/10.1007/BF00620654</v>
      </c>
      <c r="BG988" s="1" t="s">
        <v>74</v>
      </c>
      <c r="BH988" s="1" t="s">
        <v>74</v>
      </c>
      <c r="BI988" s="1" t="s">
        <v>74</v>
      </c>
      <c r="BJ988" s="1" t="s">
        <v>74</v>
      </c>
      <c r="BK988" s="1" t="s">
        <v>74</v>
      </c>
      <c r="BL988" s="1" t="s">
        <v>74</v>
      </c>
      <c r="BM988" s="1" t="s">
        <v>74</v>
      </c>
      <c r="BN988" s="1" t="s">
        <v>74</v>
      </c>
      <c r="BO988" s="1" t="s">
        <v>74</v>
      </c>
      <c r="BP988" s="1" t="s">
        <v>74</v>
      </c>
      <c r="BQ988" s="1" t="s">
        <v>74</v>
      </c>
      <c r="BR988" s="1" t="s">
        <v>74</v>
      </c>
      <c r="BS988" s="1" t="s">
        <v>9508</v>
      </c>
      <c r="BT988" s="1" t="str">
        <f>HYPERLINK("https%3A%2F%2Fwww.webofscience.com%2Fwos%2Fwoscc%2Ffull-record%2FWOS:A1986E298800010","View Full Record in Web of Science")</f>
        <v>View Full Record in Web of Science</v>
      </c>
    </row>
    <row r="989" ht="12.75" customHeight="1">
      <c r="A989" s="1" t="s">
        <v>72</v>
      </c>
      <c r="B989" s="1" t="s">
        <v>9509</v>
      </c>
      <c r="C989" s="1" t="s">
        <v>74</v>
      </c>
      <c r="D989" s="1" t="s">
        <v>74</v>
      </c>
      <c r="E989" s="1" t="s">
        <v>74</v>
      </c>
      <c r="F989" s="1" t="s">
        <v>9509</v>
      </c>
      <c r="G989" s="1" t="s">
        <v>74</v>
      </c>
      <c r="H989" s="1" t="s">
        <v>74</v>
      </c>
      <c r="I989" s="1" t="s">
        <v>9510</v>
      </c>
      <c r="J989" s="1" t="s">
        <v>9511</v>
      </c>
      <c r="K989" s="1" t="s">
        <v>74</v>
      </c>
      <c r="L989" s="1" t="s">
        <v>74</v>
      </c>
      <c r="M989" s="1" t="s">
        <v>74</v>
      </c>
      <c r="N989" s="1" t="s">
        <v>74</v>
      </c>
      <c r="O989" s="1" t="s">
        <v>74</v>
      </c>
      <c r="P989" s="1" t="s">
        <v>74</v>
      </c>
      <c r="Q989" s="1" t="s">
        <v>74</v>
      </c>
      <c r="R989" s="1" t="s">
        <v>74</v>
      </c>
      <c r="S989" s="1" t="s">
        <v>74</v>
      </c>
      <c r="T989" s="1" t="s">
        <v>74</v>
      </c>
      <c r="U989" s="1" t="s">
        <v>74</v>
      </c>
      <c r="V989" s="1" t="s">
        <v>74</v>
      </c>
      <c r="W989" s="1" t="s">
        <v>74</v>
      </c>
      <c r="X989" s="1" t="s">
        <v>74</v>
      </c>
      <c r="Y989" s="1" t="s">
        <v>74</v>
      </c>
      <c r="Z989" s="1" t="s">
        <v>74</v>
      </c>
      <c r="AA989" s="1" t="s">
        <v>74</v>
      </c>
      <c r="AB989" s="1" t="s">
        <v>74</v>
      </c>
      <c r="AC989" s="1" t="s">
        <v>74</v>
      </c>
      <c r="AD989" s="1" t="s">
        <v>74</v>
      </c>
      <c r="AE989" s="1" t="s">
        <v>74</v>
      </c>
      <c r="AF989" s="1" t="s">
        <v>74</v>
      </c>
      <c r="AG989" s="1" t="s">
        <v>74</v>
      </c>
      <c r="AH989" s="1" t="s">
        <v>74</v>
      </c>
      <c r="AI989" s="1" t="s">
        <v>74</v>
      </c>
      <c r="AJ989" s="1" t="s">
        <v>74</v>
      </c>
      <c r="AK989" s="1" t="s">
        <v>74</v>
      </c>
      <c r="AL989" s="1" t="s">
        <v>74</v>
      </c>
      <c r="AM989" s="1" t="s">
        <v>74</v>
      </c>
      <c r="AN989" s="1" t="s">
        <v>74</v>
      </c>
      <c r="AO989" s="1" t="s">
        <v>9512</v>
      </c>
      <c r="AP989" s="1" t="s">
        <v>74</v>
      </c>
      <c r="AQ989" s="1" t="s">
        <v>74</v>
      </c>
      <c r="AR989" s="1" t="s">
        <v>74</v>
      </c>
      <c r="AS989" s="1" t="s">
        <v>74</v>
      </c>
      <c r="AT989" s="1" t="s">
        <v>74</v>
      </c>
      <c r="AU989" s="1">
        <v>1977.0</v>
      </c>
      <c r="AV989" s="1">
        <v>56.0</v>
      </c>
      <c r="AW989" s="1">
        <v>4.0</v>
      </c>
      <c r="AX989" s="1" t="s">
        <v>74</v>
      </c>
      <c r="AY989" s="1" t="s">
        <v>74</v>
      </c>
      <c r="AZ989" s="1" t="s">
        <v>74</v>
      </c>
      <c r="BA989" s="1" t="s">
        <v>74</v>
      </c>
      <c r="BB989" s="1">
        <v>44.0</v>
      </c>
      <c r="BC989" s="1">
        <v>44.0</v>
      </c>
      <c r="BD989" s="1" t="s">
        <v>74</v>
      </c>
      <c r="BE989" s="1" t="s">
        <v>74</v>
      </c>
      <c r="BF989" s="1" t="s">
        <v>74</v>
      </c>
      <c r="BG989" s="1" t="s">
        <v>74</v>
      </c>
      <c r="BH989" s="1" t="s">
        <v>74</v>
      </c>
      <c r="BI989" s="1" t="s">
        <v>74</v>
      </c>
      <c r="BJ989" s="1" t="s">
        <v>74</v>
      </c>
      <c r="BK989" s="1" t="s">
        <v>74</v>
      </c>
      <c r="BL989" s="1" t="s">
        <v>74</v>
      </c>
      <c r="BM989" s="1" t="s">
        <v>74</v>
      </c>
      <c r="BN989" s="1" t="s">
        <v>74</v>
      </c>
      <c r="BO989" s="1" t="s">
        <v>74</v>
      </c>
      <c r="BP989" s="1" t="s">
        <v>74</v>
      </c>
      <c r="BQ989" s="1" t="s">
        <v>74</v>
      </c>
      <c r="BR989" s="1" t="s">
        <v>74</v>
      </c>
      <c r="BS989" s="1" t="s">
        <v>9513</v>
      </c>
      <c r="BT989" s="1" t="str">
        <f>HYPERLINK("https%3A%2F%2Fwww.webofscience.com%2Fwos%2Fwoscc%2Ffull-record%2FWOS:A1977DX48400164","View Full Record in Web of Science")</f>
        <v>View Full Record in Web of Science</v>
      </c>
    </row>
    <row r="990" ht="12.75" customHeight="1">
      <c r="A990" s="1" t="s">
        <v>72</v>
      </c>
      <c r="B990" s="1" t="s">
        <v>9514</v>
      </c>
      <c r="C990" s="1" t="s">
        <v>74</v>
      </c>
      <c r="D990" s="1" t="s">
        <v>74</v>
      </c>
      <c r="E990" s="1" t="s">
        <v>74</v>
      </c>
      <c r="F990" s="1" t="s">
        <v>9515</v>
      </c>
      <c r="G990" s="1" t="s">
        <v>74</v>
      </c>
      <c r="H990" s="1" t="s">
        <v>74</v>
      </c>
      <c r="I990" s="1" t="s">
        <v>9516</v>
      </c>
      <c r="J990" s="1" t="s">
        <v>4368</v>
      </c>
      <c r="K990" s="1" t="s">
        <v>74</v>
      </c>
      <c r="L990" s="1" t="s">
        <v>74</v>
      </c>
      <c r="M990" s="1" t="s">
        <v>74</v>
      </c>
      <c r="N990" s="1" t="s">
        <v>74</v>
      </c>
      <c r="O990" s="1" t="s">
        <v>74</v>
      </c>
      <c r="P990" s="1" t="s">
        <v>74</v>
      </c>
      <c r="Q990" s="1" t="s">
        <v>74</v>
      </c>
      <c r="R990" s="1" t="s">
        <v>74</v>
      </c>
      <c r="S990" s="1" t="s">
        <v>74</v>
      </c>
      <c r="T990" s="1" t="s">
        <v>74</v>
      </c>
      <c r="U990" s="1" t="s">
        <v>74</v>
      </c>
      <c r="V990" s="1" t="s">
        <v>74</v>
      </c>
      <c r="W990" s="1" t="s">
        <v>74</v>
      </c>
      <c r="X990" s="1" t="s">
        <v>74</v>
      </c>
      <c r="Y990" s="1" t="s">
        <v>74</v>
      </c>
      <c r="Z990" s="1" t="s">
        <v>74</v>
      </c>
      <c r="AA990" s="1" t="s">
        <v>74</v>
      </c>
      <c r="AB990" s="1" t="s">
        <v>74</v>
      </c>
      <c r="AC990" s="1" t="s">
        <v>74</v>
      </c>
      <c r="AD990" s="1" t="s">
        <v>74</v>
      </c>
      <c r="AE990" s="1" t="s">
        <v>74</v>
      </c>
      <c r="AF990" s="1" t="s">
        <v>74</v>
      </c>
      <c r="AG990" s="1" t="s">
        <v>74</v>
      </c>
      <c r="AH990" s="1" t="s">
        <v>74</v>
      </c>
      <c r="AI990" s="1" t="s">
        <v>74</v>
      </c>
      <c r="AJ990" s="1" t="s">
        <v>74</v>
      </c>
      <c r="AK990" s="1" t="s">
        <v>74</v>
      </c>
      <c r="AL990" s="1" t="s">
        <v>74</v>
      </c>
      <c r="AM990" s="1" t="s">
        <v>74</v>
      </c>
      <c r="AN990" s="1" t="s">
        <v>74</v>
      </c>
      <c r="AO990" s="1" t="s">
        <v>4369</v>
      </c>
      <c r="AP990" s="1" t="s">
        <v>4370</v>
      </c>
      <c r="AQ990" s="1" t="s">
        <v>74</v>
      </c>
      <c r="AR990" s="1" t="s">
        <v>74</v>
      </c>
      <c r="AS990" s="1" t="s">
        <v>74</v>
      </c>
      <c r="AT990" s="1" t="s">
        <v>678</v>
      </c>
      <c r="AU990" s="1">
        <v>2024.0</v>
      </c>
      <c r="AV990" s="1">
        <v>43.0</v>
      </c>
      <c r="AW990" s="1">
        <v>5.0</v>
      </c>
      <c r="AX990" s="1" t="s">
        <v>74</v>
      </c>
      <c r="AY990" s="1" t="s">
        <v>74</v>
      </c>
      <c r="AZ990" s="1" t="s">
        <v>74</v>
      </c>
      <c r="BA990" s="1" t="s">
        <v>74</v>
      </c>
      <c r="BB990" s="1">
        <v>415.0</v>
      </c>
      <c r="BC990" s="1">
        <v>416.0</v>
      </c>
      <c r="BD990" s="1" t="s">
        <v>74</v>
      </c>
      <c r="BE990" s="1" t="s">
        <v>9517</v>
      </c>
      <c r="BF990" s="2" t="str">
        <f>HYPERLINK("http://dx.doi.org/10.1111/blar.13599","http://dx.doi.org/10.1111/blar.13599")</f>
        <v>http://dx.doi.org/10.1111/blar.13599</v>
      </c>
      <c r="BG990" s="1" t="s">
        <v>74</v>
      </c>
      <c r="BH990" s="1" t="s">
        <v>74</v>
      </c>
      <c r="BI990" s="1" t="s">
        <v>74</v>
      </c>
      <c r="BJ990" s="1" t="s">
        <v>74</v>
      </c>
      <c r="BK990" s="1" t="s">
        <v>74</v>
      </c>
      <c r="BL990" s="1" t="s">
        <v>74</v>
      </c>
      <c r="BM990" s="1" t="s">
        <v>74</v>
      </c>
      <c r="BN990" s="1" t="s">
        <v>74</v>
      </c>
      <c r="BO990" s="1" t="s">
        <v>74</v>
      </c>
      <c r="BP990" s="1" t="s">
        <v>74</v>
      </c>
      <c r="BQ990" s="1" t="s">
        <v>74</v>
      </c>
      <c r="BR990" s="1" t="s">
        <v>74</v>
      </c>
      <c r="BS990" s="1" t="s">
        <v>9518</v>
      </c>
      <c r="BT990" s="1" t="str">
        <f>HYPERLINK("https%3A%2F%2Fwww.webofscience.com%2Fwos%2Fwoscc%2Ffull-record%2FWOS:001348632400002","View Full Record in Web of Science")</f>
        <v>View Full Record in Web of Science</v>
      </c>
    </row>
    <row r="991" ht="12.75" customHeight="1">
      <c r="A991" s="1" t="s">
        <v>72</v>
      </c>
      <c r="B991" s="1" t="s">
        <v>9519</v>
      </c>
      <c r="C991" s="1" t="s">
        <v>74</v>
      </c>
      <c r="D991" s="1" t="s">
        <v>74</v>
      </c>
      <c r="E991" s="1" t="s">
        <v>74</v>
      </c>
      <c r="F991" s="1" t="s">
        <v>9520</v>
      </c>
      <c r="G991" s="1" t="s">
        <v>74</v>
      </c>
      <c r="H991" s="1" t="s">
        <v>74</v>
      </c>
      <c r="I991" s="1" t="s">
        <v>9521</v>
      </c>
      <c r="J991" s="1" t="s">
        <v>9522</v>
      </c>
      <c r="K991" s="1" t="s">
        <v>74</v>
      </c>
      <c r="L991" s="1" t="s">
        <v>74</v>
      </c>
      <c r="M991" s="1" t="s">
        <v>74</v>
      </c>
      <c r="N991" s="1" t="s">
        <v>74</v>
      </c>
      <c r="O991" s="1" t="s">
        <v>74</v>
      </c>
      <c r="P991" s="1" t="s">
        <v>74</v>
      </c>
      <c r="Q991" s="1" t="s">
        <v>74</v>
      </c>
      <c r="R991" s="1" t="s">
        <v>74</v>
      </c>
      <c r="S991" s="1" t="s">
        <v>74</v>
      </c>
      <c r="T991" s="1" t="s">
        <v>74</v>
      </c>
      <c r="U991" s="1" t="s">
        <v>74</v>
      </c>
      <c r="V991" s="1" t="s">
        <v>9523</v>
      </c>
      <c r="W991" s="1" t="s">
        <v>74</v>
      </c>
      <c r="X991" s="1" t="s">
        <v>74</v>
      </c>
      <c r="Y991" s="1" t="s">
        <v>74</v>
      </c>
      <c r="Z991" s="1" t="s">
        <v>74</v>
      </c>
      <c r="AA991" s="1" t="s">
        <v>9524</v>
      </c>
      <c r="AB991" s="1" t="s">
        <v>9525</v>
      </c>
      <c r="AC991" s="1" t="s">
        <v>74</v>
      </c>
      <c r="AD991" s="1" t="s">
        <v>74</v>
      </c>
      <c r="AE991" s="1" t="s">
        <v>74</v>
      </c>
      <c r="AF991" s="1" t="s">
        <v>74</v>
      </c>
      <c r="AG991" s="1" t="s">
        <v>74</v>
      </c>
      <c r="AH991" s="1" t="s">
        <v>74</v>
      </c>
      <c r="AI991" s="1" t="s">
        <v>74</v>
      </c>
      <c r="AJ991" s="1" t="s">
        <v>74</v>
      </c>
      <c r="AK991" s="1" t="s">
        <v>74</v>
      </c>
      <c r="AL991" s="1" t="s">
        <v>74</v>
      </c>
      <c r="AM991" s="1" t="s">
        <v>74</v>
      </c>
      <c r="AN991" s="1" t="s">
        <v>74</v>
      </c>
      <c r="AO991" s="1" t="s">
        <v>74</v>
      </c>
      <c r="AP991" s="1" t="s">
        <v>9526</v>
      </c>
      <c r="AQ991" s="1" t="s">
        <v>74</v>
      </c>
      <c r="AR991" s="1" t="s">
        <v>74</v>
      </c>
      <c r="AS991" s="1" t="s">
        <v>74</v>
      </c>
      <c r="AT991" s="1" t="s">
        <v>339</v>
      </c>
      <c r="AU991" s="1">
        <v>2024.0</v>
      </c>
      <c r="AV991" s="1">
        <v>14.0</v>
      </c>
      <c r="AW991" s="1">
        <v>9.0</v>
      </c>
      <c r="AX991" s="1" t="s">
        <v>74</v>
      </c>
      <c r="AY991" s="1" t="s">
        <v>74</v>
      </c>
      <c r="AZ991" s="1" t="s">
        <v>74</v>
      </c>
      <c r="BA991" s="1" t="s">
        <v>74</v>
      </c>
      <c r="BB991" s="1" t="s">
        <v>74</v>
      </c>
      <c r="BC991" s="1" t="s">
        <v>74</v>
      </c>
      <c r="BD991" s="1">
        <v>1144.0</v>
      </c>
      <c r="BE991" s="1" t="s">
        <v>9527</v>
      </c>
      <c r="BF991" s="2" t="str">
        <f>HYPERLINK("http://dx.doi.org/10.3390/life14091144","http://dx.doi.org/10.3390/life14091144")</f>
        <v>http://dx.doi.org/10.3390/life14091144</v>
      </c>
      <c r="BG991" s="1" t="s">
        <v>74</v>
      </c>
      <c r="BH991" s="1" t="s">
        <v>74</v>
      </c>
      <c r="BI991" s="1" t="s">
        <v>74</v>
      </c>
      <c r="BJ991" s="1" t="s">
        <v>74</v>
      </c>
      <c r="BK991" s="1" t="s">
        <v>74</v>
      </c>
      <c r="BL991" s="1" t="s">
        <v>74</v>
      </c>
      <c r="BM991" s="1" t="s">
        <v>74</v>
      </c>
      <c r="BN991" s="1">
        <v>3.9337927E7</v>
      </c>
      <c r="BO991" s="1" t="s">
        <v>74</v>
      </c>
      <c r="BP991" s="1" t="s">
        <v>74</v>
      </c>
      <c r="BQ991" s="1" t="s">
        <v>74</v>
      </c>
      <c r="BR991" s="1" t="s">
        <v>74</v>
      </c>
      <c r="BS991" s="1" t="s">
        <v>9528</v>
      </c>
      <c r="BT991" s="1" t="str">
        <f>HYPERLINK("https%3A%2F%2Fwww.webofscience.com%2Fwos%2Fwoscc%2Ffull-record%2FWOS:001326344800001","View Full Record in Web of Science")</f>
        <v>View Full Record in Web of Science</v>
      </c>
    </row>
    <row r="992" ht="12.75" customHeight="1">
      <c r="A992" s="1" t="s">
        <v>72</v>
      </c>
      <c r="B992" s="1" t="s">
        <v>9529</v>
      </c>
      <c r="C992" s="1" t="s">
        <v>74</v>
      </c>
      <c r="D992" s="1" t="s">
        <v>74</v>
      </c>
      <c r="E992" s="1" t="s">
        <v>74</v>
      </c>
      <c r="F992" s="1" t="s">
        <v>9530</v>
      </c>
      <c r="G992" s="1" t="s">
        <v>74</v>
      </c>
      <c r="H992" s="1" t="s">
        <v>74</v>
      </c>
      <c r="I992" s="1" t="s">
        <v>9531</v>
      </c>
      <c r="J992" s="1" t="s">
        <v>9532</v>
      </c>
      <c r="K992" s="1" t="s">
        <v>74</v>
      </c>
      <c r="L992" s="1" t="s">
        <v>74</v>
      </c>
      <c r="M992" s="1" t="s">
        <v>74</v>
      </c>
      <c r="N992" s="1" t="s">
        <v>74</v>
      </c>
      <c r="O992" s="1" t="s">
        <v>74</v>
      </c>
      <c r="P992" s="1" t="s">
        <v>74</v>
      </c>
      <c r="Q992" s="1" t="s">
        <v>74</v>
      </c>
      <c r="R992" s="1" t="s">
        <v>74</v>
      </c>
      <c r="S992" s="1" t="s">
        <v>74</v>
      </c>
      <c r="T992" s="1" t="s">
        <v>74</v>
      </c>
      <c r="U992" s="1" t="s">
        <v>74</v>
      </c>
      <c r="V992" s="1" t="s">
        <v>9533</v>
      </c>
      <c r="W992" s="1" t="s">
        <v>74</v>
      </c>
      <c r="X992" s="1" t="s">
        <v>74</v>
      </c>
      <c r="Y992" s="1" t="s">
        <v>74</v>
      </c>
      <c r="Z992" s="1" t="s">
        <v>74</v>
      </c>
      <c r="AA992" s="1" t="s">
        <v>9534</v>
      </c>
      <c r="AB992" s="1" t="s">
        <v>9535</v>
      </c>
      <c r="AC992" s="1" t="s">
        <v>74</v>
      </c>
      <c r="AD992" s="1" t="s">
        <v>74</v>
      </c>
      <c r="AE992" s="1" t="s">
        <v>74</v>
      </c>
      <c r="AF992" s="1" t="s">
        <v>74</v>
      </c>
      <c r="AG992" s="1" t="s">
        <v>74</v>
      </c>
      <c r="AH992" s="1" t="s">
        <v>74</v>
      </c>
      <c r="AI992" s="1" t="s">
        <v>74</v>
      </c>
      <c r="AJ992" s="1" t="s">
        <v>74</v>
      </c>
      <c r="AK992" s="1" t="s">
        <v>74</v>
      </c>
      <c r="AL992" s="1" t="s">
        <v>74</v>
      </c>
      <c r="AM992" s="1" t="s">
        <v>74</v>
      </c>
      <c r="AN992" s="1" t="s">
        <v>74</v>
      </c>
      <c r="AO992" s="1" t="s">
        <v>9536</v>
      </c>
      <c r="AP992" s="1" t="s">
        <v>74</v>
      </c>
      <c r="AQ992" s="1" t="s">
        <v>74</v>
      </c>
      <c r="AR992" s="1" t="s">
        <v>74</v>
      </c>
      <c r="AS992" s="1" t="s">
        <v>74</v>
      </c>
      <c r="AT992" s="1" t="s">
        <v>1212</v>
      </c>
      <c r="AU992" s="1">
        <v>2024.0</v>
      </c>
      <c r="AV992" s="1">
        <v>11.0</v>
      </c>
      <c r="AW992" s="1" t="s">
        <v>74</v>
      </c>
      <c r="AX992" s="1" t="s">
        <v>74</v>
      </c>
      <c r="AY992" s="1" t="s">
        <v>74</v>
      </c>
      <c r="AZ992" s="1" t="s">
        <v>74</v>
      </c>
      <c r="BA992" s="1" t="s">
        <v>74</v>
      </c>
      <c r="BB992" s="1" t="s">
        <v>74</v>
      </c>
      <c r="BC992" s="1" t="s">
        <v>74</v>
      </c>
      <c r="BD992" s="1">
        <v>1353569.0</v>
      </c>
      <c r="BE992" s="1" t="s">
        <v>9537</v>
      </c>
      <c r="BF992" s="2" t="str">
        <f>HYPERLINK("http://dx.doi.org/10.3389/fnut.2024.1353569","http://dx.doi.org/10.3389/fnut.2024.1353569")</f>
        <v>http://dx.doi.org/10.3389/fnut.2024.1353569</v>
      </c>
      <c r="BG992" s="1" t="s">
        <v>74</v>
      </c>
      <c r="BH992" s="1" t="s">
        <v>74</v>
      </c>
      <c r="BI992" s="1" t="s">
        <v>74</v>
      </c>
      <c r="BJ992" s="1" t="s">
        <v>74</v>
      </c>
      <c r="BK992" s="1" t="s">
        <v>74</v>
      </c>
      <c r="BL992" s="1" t="s">
        <v>74</v>
      </c>
      <c r="BM992" s="1" t="s">
        <v>74</v>
      </c>
      <c r="BN992" s="1">
        <v>3.8638294E7</v>
      </c>
      <c r="BO992" s="1" t="s">
        <v>74</v>
      </c>
      <c r="BP992" s="1" t="s">
        <v>74</v>
      </c>
      <c r="BQ992" s="1" t="s">
        <v>74</v>
      </c>
      <c r="BR992" s="1" t="s">
        <v>74</v>
      </c>
      <c r="BS992" s="1" t="s">
        <v>9538</v>
      </c>
      <c r="BT992" s="1" t="str">
        <f>HYPERLINK("https%3A%2F%2Fwww.webofscience.com%2Fwos%2Fwoscc%2Ffull-record%2FWOS:001204823000001","View Full Record in Web of Science")</f>
        <v>View Full Record in Web of Science</v>
      </c>
    </row>
    <row r="993" ht="12.75" customHeight="1">
      <c r="A993" s="1" t="s">
        <v>72</v>
      </c>
      <c r="B993" s="1" t="s">
        <v>9539</v>
      </c>
      <c r="C993" s="1" t="s">
        <v>74</v>
      </c>
      <c r="D993" s="1" t="s">
        <v>74</v>
      </c>
      <c r="E993" s="1" t="s">
        <v>74</v>
      </c>
      <c r="F993" s="1" t="s">
        <v>9540</v>
      </c>
      <c r="G993" s="1" t="s">
        <v>74</v>
      </c>
      <c r="H993" s="1" t="s">
        <v>74</v>
      </c>
      <c r="I993" s="1" t="s">
        <v>9541</v>
      </c>
      <c r="J993" s="1" t="s">
        <v>2851</v>
      </c>
      <c r="K993" s="1" t="s">
        <v>74</v>
      </c>
      <c r="L993" s="1" t="s">
        <v>74</v>
      </c>
      <c r="M993" s="1" t="s">
        <v>74</v>
      </c>
      <c r="N993" s="1" t="s">
        <v>74</v>
      </c>
      <c r="O993" s="1" t="s">
        <v>74</v>
      </c>
      <c r="P993" s="1" t="s">
        <v>74</v>
      </c>
      <c r="Q993" s="1" t="s">
        <v>74</v>
      </c>
      <c r="R993" s="1" t="s">
        <v>74</v>
      </c>
      <c r="S993" s="1" t="s">
        <v>74</v>
      </c>
      <c r="T993" s="1" t="s">
        <v>74</v>
      </c>
      <c r="U993" s="1" t="s">
        <v>74</v>
      </c>
      <c r="V993" s="1" t="s">
        <v>9542</v>
      </c>
      <c r="W993" s="1" t="s">
        <v>74</v>
      </c>
      <c r="X993" s="1" t="s">
        <v>74</v>
      </c>
      <c r="Y993" s="1" t="s">
        <v>74</v>
      </c>
      <c r="Z993" s="1" t="s">
        <v>74</v>
      </c>
      <c r="AA993" s="1" t="s">
        <v>7636</v>
      </c>
      <c r="AB993" s="1" t="s">
        <v>74</v>
      </c>
      <c r="AC993" s="1" t="s">
        <v>74</v>
      </c>
      <c r="AD993" s="1" t="s">
        <v>74</v>
      </c>
      <c r="AE993" s="1" t="s">
        <v>74</v>
      </c>
      <c r="AF993" s="1" t="s">
        <v>74</v>
      </c>
      <c r="AG993" s="1" t="s">
        <v>74</v>
      </c>
      <c r="AH993" s="1" t="s">
        <v>74</v>
      </c>
      <c r="AI993" s="1" t="s">
        <v>74</v>
      </c>
      <c r="AJ993" s="1" t="s">
        <v>74</v>
      </c>
      <c r="AK993" s="1" t="s">
        <v>74</v>
      </c>
      <c r="AL993" s="1" t="s">
        <v>74</v>
      </c>
      <c r="AM993" s="1" t="s">
        <v>74</v>
      </c>
      <c r="AN993" s="1" t="s">
        <v>74</v>
      </c>
      <c r="AO993" s="1" t="s">
        <v>2854</v>
      </c>
      <c r="AP993" s="1" t="s">
        <v>74</v>
      </c>
      <c r="AQ993" s="1" t="s">
        <v>74</v>
      </c>
      <c r="AR993" s="1" t="s">
        <v>74</v>
      </c>
      <c r="AS993" s="1" t="s">
        <v>74</v>
      </c>
      <c r="AT993" s="1" t="s">
        <v>74</v>
      </c>
      <c r="AU993" s="1">
        <v>2024.0</v>
      </c>
      <c r="AV993" s="1">
        <v>13.0</v>
      </c>
      <c r="AW993" s="1" t="s">
        <v>74</v>
      </c>
      <c r="AX993" s="1" t="s">
        <v>74</v>
      </c>
      <c r="AY993" s="1">
        <v>3.0</v>
      </c>
      <c r="AZ993" s="1" t="s">
        <v>74</v>
      </c>
      <c r="BA993" s="1" t="s">
        <v>74</v>
      </c>
      <c r="BB993" s="1" t="s">
        <v>74</v>
      </c>
      <c r="BC993" s="1" t="s">
        <v>74</v>
      </c>
      <c r="BD993" s="1">
        <v>5.0</v>
      </c>
      <c r="BE993" s="1" t="s">
        <v>74</v>
      </c>
      <c r="BF993" s="1" t="s">
        <v>74</v>
      </c>
      <c r="BG993" s="1" t="s">
        <v>74</v>
      </c>
      <c r="BH993" s="1" t="s">
        <v>74</v>
      </c>
      <c r="BI993" s="1" t="s">
        <v>74</v>
      </c>
      <c r="BJ993" s="1" t="s">
        <v>74</v>
      </c>
      <c r="BK993" s="1" t="s">
        <v>74</v>
      </c>
      <c r="BL993" s="1" t="s">
        <v>74</v>
      </c>
      <c r="BM993" s="1" t="s">
        <v>74</v>
      </c>
      <c r="BN993" s="1" t="s">
        <v>74</v>
      </c>
      <c r="BO993" s="1" t="s">
        <v>74</v>
      </c>
      <c r="BP993" s="1" t="s">
        <v>74</v>
      </c>
      <c r="BQ993" s="1" t="s">
        <v>74</v>
      </c>
      <c r="BR993" s="1" t="s">
        <v>74</v>
      </c>
      <c r="BS993" s="1" t="s">
        <v>9543</v>
      </c>
      <c r="BT993" s="1" t="str">
        <f>HYPERLINK("https%3A%2F%2Fwww.webofscience.com%2Fwos%2Fwoscc%2Ffull-record%2FWOS:001360797000007","View Full Record in Web of Science")</f>
        <v>View Full Record in Web of Science</v>
      </c>
    </row>
    <row r="994" ht="12.75" customHeight="1">
      <c r="A994" s="1" t="s">
        <v>72</v>
      </c>
      <c r="B994" s="1" t="s">
        <v>9544</v>
      </c>
      <c r="C994" s="1" t="s">
        <v>74</v>
      </c>
      <c r="D994" s="1" t="s">
        <v>74</v>
      </c>
      <c r="E994" s="1" t="s">
        <v>74</v>
      </c>
      <c r="F994" s="1" t="s">
        <v>9545</v>
      </c>
      <c r="G994" s="1" t="s">
        <v>74</v>
      </c>
      <c r="H994" s="1" t="s">
        <v>74</v>
      </c>
      <c r="I994" s="1" t="s">
        <v>9546</v>
      </c>
      <c r="J994" s="1" t="s">
        <v>6768</v>
      </c>
      <c r="K994" s="1" t="s">
        <v>74</v>
      </c>
      <c r="L994" s="1" t="s">
        <v>74</v>
      </c>
      <c r="M994" s="1" t="s">
        <v>74</v>
      </c>
      <c r="N994" s="1" t="s">
        <v>74</v>
      </c>
      <c r="O994" s="1" t="s">
        <v>74</v>
      </c>
      <c r="P994" s="1" t="s">
        <v>74</v>
      </c>
      <c r="Q994" s="1" t="s">
        <v>74</v>
      </c>
      <c r="R994" s="1" t="s">
        <v>74</v>
      </c>
      <c r="S994" s="1" t="s">
        <v>74</v>
      </c>
      <c r="T994" s="1" t="s">
        <v>74</v>
      </c>
      <c r="U994" s="1" t="s">
        <v>74</v>
      </c>
      <c r="V994" s="1" t="s">
        <v>9547</v>
      </c>
      <c r="W994" s="1" t="s">
        <v>74</v>
      </c>
      <c r="X994" s="1" t="s">
        <v>74</v>
      </c>
      <c r="Y994" s="1" t="s">
        <v>74</v>
      </c>
      <c r="Z994" s="1" t="s">
        <v>74</v>
      </c>
      <c r="AA994" s="1" t="s">
        <v>9548</v>
      </c>
      <c r="AB994" s="1" t="s">
        <v>9549</v>
      </c>
      <c r="AC994" s="1" t="s">
        <v>74</v>
      </c>
      <c r="AD994" s="1" t="s">
        <v>74</v>
      </c>
      <c r="AE994" s="1" t="s">
        <v>74</v>
      </c>
      <c r="AF994" s="1" t="s">
        <v>74</v>
      </c>
      <c r="AG994" s="1" t="s">
        <v>74</v>
      </c>
      <c r="AH994" s="1" t="s">
        <v>74</v>
      </c>
      <c r="AI994" s="1" t="s">
        <v>74</v>
      </c>
      <c r="AJ994" s="1" t="s">
        <v>74</v>
      </c>
      <c r="AK994" s="1" t="s">
        <v>74</v>
      </c>
      <c r="AL994" s="1" t="s">
        <v>74</v>
      </c>
      <c r="AM994" s="1" t="s">
        <v>74</v>
      </c>
      <c r="AN994" s="1" t="s">
        <v>74</v>
      </c>
      <c r="AO994" s="1" t="s">
        <v>9550</v>
      </c>
      <c r="AP994" s="1" t="s">
        <v>6772</v>
      </c>
      <c r="AQ994" s="1" t="s">
        <v>74</v>
      </c>
      <c r="AR994" s="1" t="s">
        <v>74</v>
      </c>
      <c r="AS994" s="1" t="s">
        <v>74</v>
      </c>
      <c r="AT994" s="1" t="s">
        <v>180</v>
      </c>
      <c r="AU994" s="1">
        <v>2023.0</v>
      </c>
      <c r="AV994" s="1">
        <v>34.0</v>
      </c>
      <c r="AW994" s="1">
        <v>1.0</v>
      </c>
      <c r="AX994" s="1" t="s">
        <v>74</v>
      </c>
      <c r="AY994" s="1" t="s">
        <v>74</v>
      </c>
      <c r="AZ994" s="1" t="s">
        <v>74</v>
      </c>
      <c r="BA994" s="1" t="s">
        <v>74</v>
      </c>
      <c r="BB994" s="1">
        <v>131.0</v>
      </c>
      <c r="BC994" s="1">
        <v>142.0</v>
      </c>
      <c r="BD994" s="1" t="s">
        <v>74</v>
      </c>
      <c r="BE994" s="1" t="s">
        <v>9551</v>
      </c>
      <c r="BF994" s="2" t="str">
        <f>HYPERLINK("http://dx.doi.org/10.7166/34-1-2668","http://dx.doi.org/10.7166/34-1-2668")</f>
        <v>http://dx.doi.org/10.7166/34-1-2668</v>
      </c>
      <c r="BG994" s="1" t="s">
        <v>74</v>
      </c>
      <c r="BH994" s="1" t="s">
        <v>74</v>
      </c>
      <c r="BI994" s="1" t="s">
        <v>74</v>
      </c>
      <c r="BJ994" s="1" t="s">
        <v>74</v>
      </c>
      <c r="BK994" s="1" t="s">
        <v>74</v>
      </c>
      <c r="BL994" s="1" t="s">
        <v>74</v>
      </c>
      <c r="BM994" s="1" t="s">
        <v>74</v>
      </c>
      <c r="BN994" s="1" t="s">
        <v>74</v>
      </c>
      <c r="BO994" s="1" t="s">
        <v>74</v>
      </c>
      <c r="BP994" s="1" t="s">
        <v>74</v>
      </c>
      <c r="BQ994" s="1" t="s">
        <v>74</v>
      </c>
      <c r="BR994" s="1" t="s">
        <v>74</v>
      </c>
      <c r="BS994" s="1" t="s">
        <v>9552</v>
      </c>
      <c r="BT994" s="1" t="str">
        <f>HYPERLINK("https%3A%2F%2Fwww.webofscience.com%2Fwos%2Fwoscc%2Ffull-record%2FWOS:001015487600011","View Full Record in Web of Science")</f>
        <v>View Full Record in Web of Science</v>
      </c>
    </row>
    <row r="995" ht="12.75" customHeight="1">
      <c r="A995" s="1" t="s">
        <v>72</v>
      </c>
      <c r="B995" s="1" t="s">
        <v>9553</v>
      </c>
      <c r="C995" s="1" t="s">
        <v>74</v>
      </c>
      <c r="D995" s="1" t="s">
        <v>74</v>
      </c>
      <c r="E995" s="1" t="s">
        <v>74</v>
      </c>
      <c r="F995" s="1" t="s">
        <v>9554</v>
      </c>
      <c r="G995" s="1" t="s">
        <v>74</v>
      </c>
      <c r="H995" s="1" t="s">
        <v>74</v>
      </c>
      <c r="I995" s="1" t="s">
        <v>9555</v>
      </c>
      <c r="J995" s="1" t="s">
        <v>9556</v>
      </c>
      <c r="K995" s="1" t="s">
        <v>74</v>
      </c>
      <c r="L995" s="1" t="s">
        <v>74</v>
      </c>
      <c r="M995" s="1" t="s">
        <v>74</v>
      </c>
      <c r="N995" s="1" t="s">
        <v>74</v>
      </c>
      <c r="O995" s="1" t="s">
        <v>74</v>
      </c>
      <c r="P995" s="1" t="s">
        <v>74</v>
      </c>
      <c r="Q995" s="1" t="s">
        <v>74</v>
      </c>
      <c r="R995" s="1" t="s">
        <v>74</v>
      </c>
      <c r="S995" s="1" t="s">
        <v>74</v>
      </c>
      <c r="T995" s="1" t="s">
        <v>74</v>
      </c>
      <c r="U995" s="1" t="s">
        <v>74</v>
      </c>
      <c r="V995" s="1" t="s">
        <v>9557</v>
      </c>
      <c r="W995" s="1" t="s">
        <v>74</v>
      </c>
      <c r="X995" s="1" t="s">
        <v>74</v>
      </c>
      <c r="Y995" s="1" t="s">
        <v>74</v>
      </c>
      <c r="Z995" s="1" t="s">
        <v>74</v>
      </c>
      <c r="AA995" s="1" t="s">
        <v>9558</v>
      </c>
      <c r="AB995" s="1" t="s">
        <v>9559</v>
      </c>
      <c r="AC995" s="1" t="s">
        <v>74</v>
      </c>
      <c r="AD995" s="1" t="s">
        <v>74</v>
      </c>
      <c r="AE995" s="1" t="s">
        <v>74</v>
      </c>
      <c r="AF995" s="1" t="s">
        <v>74</v>
      </c>
      <c r="AG995" s="1" t="s">
        <v>74</v>
      </c>
      <c r="AH995" s="1" t="s">
        <v>74</v>
      </c>
      <c r="AI995" s="1" t="s">
        <v>74</v>
      </c>
      <c r="AJ995" s="1" t="s">
        <v>74</v>
      </c>
      <c r="AK995" s="1" t="s">
        <v>74</v>
      </c>
      <c r="AL995" s="1" t="s">
        <v>74</v>
      </c>
      <c r="AM995" s="1" t="s">
        <v>74</v>
      </c>
      <c r="AN995" s="1" t="s">
        <v>74</v>
      </c>
      <c r="AO995" s="1" t="s">
        <v>9560</v>
      </c>
      <c r="AP995" s="1" t="s">
        <v>9561</v>
      </c>
      <c r="AQ995" s="1" t="s">
        <v>74</v>
      </c>
      <c r="AR995" s="1" t="s">
        <v>74</v>
      </c>
      <c r="AS995" s="1" t="s">
        <v>74</v>
      </c>
      <c r="AT995" s="1" t="s">
        <v>652</v>
      </c>
      <c r="AU995" s="1">
        <v>2023.0</v>
      </c>
      <c r="AV995" s="1">
        <v>27.0</v>
      </c>
      <c r="AW995" s="1">
        <v>4.0</v>
      </c>
      <c r="AX995" s="1" t="s">
        <v>74</v>
      </c>
      <c r="AY995" s="1" t="s">
        <v>74</v>
      </c>
      <c r="AZ995" s="1" t="s">
        <v>74</v>
      </c>
      <c r="BA995" s="1" t="s">
        <v>74</v>
      </c>
      <c r="BB995" s="1">
        <v>387.0</v>
      </c>
      <c r="BC995" s="1">
        <v>395.0</v>
      </c>
      <c r="BD995" s="1" t="s">
        <v>74</v>
      </c>
      <c r="BE995" s="1" t="s">
        <v>9562</v>
      </c>
      <c r="BF995" s="2" t="str">
        <f>HYPERLINK("http://dx.doi.org/10.1177/10892680231170018","http://dx.doi.org/10.1177/10892680231170018")</f>
        <v>http://dx.doi.org/10.1177/10892680231170018</v>
      </c>
      <c r="BG995" s="1" t="s">
        <v>74</v>
      </c>
      <c r="BH995" s="1" t="s">
        <v>9563</v>
      </c>
      <c r="BI995" s="1" t="s">
        <v>74</v>
      </c>
      <c r="BJ995" s="1" t="s">
        <v>74</v>
      </c>
      <c r="BK995" s="1" t="s">
        <v>74</v>
      </c>
      <c r="BL995" s="1" t="s">
        <v>74</v>
      </c>
      <c r="BM995" s="1" t="s">
        <v>74</v>
      </c>
      <c r="BN995" s="1" t="s">
        <v>74</v>
      </c>
      <c r="BO995" s="1" t="s">
        <v>74</v>
      </c>
      <c r="BP995" s="1" t="s">
        <v>74</v>
      </c>
      <c r="BQ995" s="1" t="s">
        <v>74</v>
      </c>
      <c r="BR995" s="1" t="s">
        <v>74</v>
      </c>
      <c r="BS995" s="1" t="s">
        <v>9564</v>
      </c>
      <c r="BT995" s="1" t="str">
        <f>HYPERLINK("https%3A%2F%2Fwww.webofscience.com%2Fwos%2Fwoscc%2Ffull-record%2FWOS:000970754400001","View Full Record in Web of Science")</f>
        <v>View Full Record in Web of Science</v>
      </c>
    </row>
    <row r="996" ht="12.75" customHeight="1">
      <c r="A996" s="1" t="s">
        <v>72</v>
      </c>
      <c r="B996" s="1" t="s">
        <v>9565</v>
      </c>
      <c r="C996" s="1" t="s">
        <v>74</v>
      </c>
      <c r="D996" s="1" t="s">
        <v>74</v>
      </c>
      <c r="E996" s="1" t="s">
        <v>74</v>
      </c>
      <c r="F996" s="1" t="s">
        <v>9566</v>
      </c>
      <c r="G996" s="1" t="s">
        <v>74</v>
      </c>
      <c r="H996" s="1" t="s">
        <v>74</v>
      </c>
      <c r="I996" s="1" t="s">
        <v>9567</v>
      </c>
      <c r="J996" s="1" t="s">
        <v>4412</v>
      </c>
      <c r="K996" s="1" t="s">
        <v>74</v>
      </c>
      <c r="L996" s="1" t="s">
        <v>74</v>
      </c>
      <c r="M996" s="1" t="s">
        <v>74</v>
      </c>
      <c r="N996" s="1" t="s">
        <v>74</v>
      </c>
      <c r="O996" s="1" t="s">
        <v>74</v>
      </c>
      <c r="P996" s="1" t="s">
        <v>74</v>
      </c>
      <c r="Q996" s="1" t="s">
        <v>74</v>
      </c>
      <c r="R996" s="1" t="s">
        <v>74</v>
      </c>
      <c r="S996" s="1" t="s">
        <v>74</v>
      </c>
      <c r="T996" s="1" t="s">
        <v>74</v>
      </c>
      <c r="U996" s="1" t="s">
        <v>74</v>
      </c>
      <c r="V996" s="1" t="s">
        <v>9568</v>
      </c>
      <c r="W996" s="1" t="s">
        <v>74</v>
      </c>
      <c r="X996" s="1" t="s">
        <v>74</v>
      </c>
      <c r="Y996" s="1" t="s">
        <v>74</v>
      </c>
      <c r="Z996" s="1" t="s">
        <v>74</v>
      </c>
      <c r="AA996" s="1" t="s">
        <v>9157</v>
      </c>
      <c r="AB996" s="1" t="s">
        <v>9158</v>
      </c>
      <c r="AC996" s="1" t="s">
        <v>74</v>
      </c>
      <c r="AD996" s="1" t="s">
        <v>74</v>
      </c>
      <c r="AE996" s="1" t="s">
        <v>74</v>
      </c>
      <c r="AF996" s="1" t="s">
        <v>74</v>
      </c>
      <c r="AG996" s="1" t="s">
        <v>74</v>
      </c>
      <c r="AH996" s="1" t="s">
        <v>74</v>
      </c>
      <c r="AI996" s="1" t="s">
        <v>74</v>
      </c>
      <c r="AJ996" s="1" t="s">
        <v>74</v>
      </c>
      <c r="AK996" s="1" t="s">
        <v>74</v>
      </c>
      <c r="AL996" s="1" t="s">
        <v>74</v>
      </c>
      <c r="AM996" s="1" t="s">
        <v>74</v>
      </c>
      <c r="AN996" s="1" t="s">
        <v>74</v>
      </c>
      <c r="AO996" s="1" t="s">
        <v>74</v>
      </c>
      <c r="AP996" s="1" t="s">
        <v>4416</v>
      </c>
      <c r="AQ996" s="1" t="s">
        <v>74</v>
      </c>
      <c r="AR996" s="1" t="s">
        <v>74</v>
      </c>
      <c r="AS996" s="1" t="s">
        <v>74</v>
      </c>
      <c r="AT996" s="1" t="s">
        <v>294</v>
      </c>
      <c r="AU996" s="1">
        <v>2022.0</v>
      </c>
      <c r="AV996" s="1">
        <v>19.0</v>
      </c>
      <c r="AW996" s="1">
        <v>11.0</v>
      </c>
      <c r="AX996" s="1" t="s">
        <v>74</v>
      </c>
      <c r="AY996" s="1" t="s">
        <v>74</v>
      </c>
      <c r="AZ996" s="1" t="s">
        <v>74</v>
      </c>
      <c r="BA996" s="1" t="s">
        <v>74</v>
      </c>
      <c r="BB996" s="1" t="s">
        <v>74</v>
      </c>
      <c r="BC996" s="1" t="s">
        <v>74</v>
      </c>
      <c r="BD996" s="1">
        <v>6445.0</v>
      </c>
      <c r="BE996" s="1" t="s">
        <v>9569</v>
      </c>
      <c r="BF996" s="2" t="str">
        <f>HYPERLINK("http://dx.doi.org/10.3390/ijerph19116445","http://dx.doi.org/10.3390/ijerph19116445")</f>
        <v>http://dx.doi.org/10.3390/ijerph19116445</v>
      </c>
      <c r="BG996" s="1" t="s">
        <v>74</v>
      </c>
      <c r="BH996" s="1" t="s">
        <v>74</v>
      </c>
      <c r="BI996" s="1" t="s">
        <v>74</v>
      </c>
      <c r="BJ996" s="1" t="s">
        <v>74</v>
      </c>
      <c r="BK996" s="1" t="s">
        <v>74</v>
      </c>
      <c r="BL996" s="1" t="s">
        <v>74</v>
      </c>
      <c r="BM996" s="1" t="s">
        <v>74</v>
      </c>
      <c r="BN996" s="1">
        <v>3.568203E7</v>
      </c>
      <c r="BO996" s="1" t="s">
        <v>74</v>
      </c>
      <c r="BP996" s="1" t="s">
        <v>74</v>
      </c>
      <c r="BQ996" s="1" t="s">
        <v>74</v>
      </c>
      <c r="BR996" s="1" t="s">
        <v>74</v>
      </c>
      <c r="BS996" s="1" t="s">
        <v>9570</v>
      </c>
      <c r="BT996" s="1" t="str">
        <f>HYPERLINK("https%3A%2F%2Fwww.webofscience.com%2Fwos%2Fwoscc%2Ffull-record%2FWOS:000808880200001","View Full Record in Web of Science")</f>
        <v>View Full Record in Web of Science</v>
      </c>
    </row>
    <row r="997" ht="12.75" customHeight="1">
      <c r="A997" s="1" t="s">
        <v>72</v>
      </c>
      <c r="B997" s="1" t="s">
        <v>9571</v>
      </c>
      <c r="C997" s="1" t="s">
        <v>74</v>
      </c>
      <c r="D997" s="1" t="s">
        <v>74</v>
      </c>
      <c r="E997" s="1" t="s">
        <v>74</v>
      </c>
      <c r="F997" s="1" t="s">
        <v>9572</v>
      </c>
      <c r="G997" s="1" t="s">
        <v>74</v>
      </c>
      <c r="H997" s="1" t="s">
        <v>74</v>
      </c>
      <c r="I997" s="1" t="s">
        <v>9573</v>
      </c>
      <c r="J997" s="1" t="s">
        <v>9574</v>
      </c>
      <c r="K997" s="1" t="s">
        <v>74</v>
      </c>
      <c r="L997" s="1" t="s">
        <v>74</v>
      </c>
      <c r="M997" s="1" t="s">
        <v>74</v>
      </c>
      <c r="N997" s="1" t="s">
        <v>74</v>
      </c>
      <c r="O997" s="1" t="s">
        <v>74</v>
      </c>
      <c r="P997" s="1" t="s">
        <v>74</v>
      </c>
      <c r="Q997" s="1" t="s">
        <v>74</v>
      </c>
      <c r="R997" s="1" t="s">
        <v>74</v>
      </c>
      <c r="S997" s="1" t="s">
        <v>74</v>
      </c>
      <c r="T997" s="1" t="s">
        <v>74</v>
      </c>
      <c r="U997" s="1" t="s">
        <v>74</v>
      </c>
      <c r="V997" s="1" t="s">
        <v>9575</v>
      </c>
      <c r="W997" s="1" t="s">
        <v>74</v>
      </c>
      <c r="X997" s="1" t="s">
        <v>74</v>
      </c>
      <c r="Y997" s="1" t="s">
        <v>74</v>
      </c>
      <c r="Z997" s="1" t="s">
        <v>74</v>
      </c>
      <c r="AA997" s="1" t="s">
        <v>9576</v>
      </c>
      <c r="AB997" s="1" t="s">
        <v>9577</v>
      </c>
      <c r="AC997" s="1" t="s">
        <v>74</v>
      </c>
      <c r="AD997" s="1" t="s">
        <v>74</v>
      </c>
      <c r="AE997" s="1" t="s">
        <v>74</v>
      </c>
      <c r="AF997" s="1" t="s">
        <v>74</v>
      </c>
      <c r="AG997" s="1" t="s">
        <v>74</v>
      </c>
      <c r="AH997" s="1" t="s">
        <v>74</v>
      </c>
      <c r="AI997" s="1" t="s">
        <v>74</v>
      </c>
      <c r="AJ997" s="1" t="s">
        <v>74</v>
      </c>
      <c r="AK997" s="1" t="s">
        <v>74</v>
      </c>
      <c r="AL997" s="1" t="s">
        <v>74</v>
      </c>
      <c r="AM997" s="1" t="s">
        <v>74</v>
      </c>
      <c r="AN997" s="1" t="s">
        <v>74</v>
      </c>
      <c r="AO997" s="1" t="s">
        <v>9578</v>
      </c>
      <c r="AP997" s="1" t="s">
        <v>9579</v>
      </c>
      <c r="AQ997" s="1" t="s">
        <v>74</v>
      </c>
      <c r="AR997" s="1" t="s">
        <v>74</v>
      </c>
      <c r="AS997" s="1" t="s">
        <v>74</v>
      </c>
      <c r="AT997" s="1" t="s">
        <v>9580</v>
      </c>
      <c r="AU997" s="1">
        <v>2022.0</v>
      </c>
      <c r="AV997" s="1" t="s">
        <v>74</v>
      </c>
      <c r="AW997" s="1" t="s">
        <v>74</v>
      </c>
      <c r="AX997" s="1" t="s">
        <v>74</v>
      </c>
      <c r="AY997" s="1" t="s">
        <v>74</v>
      </c>
      <c r="AZ997" s="1" t="s">
        <v>74</v>
      </c>
      <c r="BA997" s="1" t="s">
        <v>74</v>
      </c>
      <c r="BB997" s="1" t="s">
        <v>74</v>
      </c>
      <c r="BC997" s="1" t="s">
        <v>74</v>
      </c>
      <c r="BD997" s="1" t="s">
        <v>74</v>
      </c>
      <c r="BE997" s="1" t="s">
        <v>9581</v>
      </c>
      <c r="BF997" s="2" t="str">
        <f>HYPERLINK("http://dx.doi.org/10.3934/mcrf.2022016","http://dx.doi.org/10.3934/mcrf.2022016")</f>
        <v>http://dx.doi.org/10.3934/mcrf.2022016</v>
      </c>
      <c r="BG997" s="1" t="s">
        <v>74</v>
      </c>
      <c r="BH997" s="1" t="s">
        <v>9582</v>
      </c>
      <c r="BI997" s="1" t="s">
        <v>74</v>
      </c>
      <c r="BJ997" s="1" t="s">
        <v>74</v>
      </c>
      <c r="BK997" s="1" t="s">
        <v>74</v>
      </c>
      <c r="BL997" s="1" t="s">
        <v>74</v>
      </c>
      <c r="BM997" s="1" t="s">
        <v>74</v>
      </c>
      <c r="BN997" s="1" t="s">
        <v>74</v>
      </c>
      <c r="BO997" s="1" t="s">
        <v>74</v>
      </c>
      <c r="BP997" s="1" t="s">
        <v>74</v>
      </c>
      <c r="BQ997" s="1" t="s">
        <v>74</v>
      </c>
      <c r="BR997" s="1" t="s">
        <v>74</v>
      </c>
      <c r="BS997" s="1" t="s">
        <v>9583</v>
      </c>
      <c r="BT997" s="1" t="str">
        <f>HYPERLINK("https%3A%2F%2Fwww.webofscience.com%2Fwos%2Fwoscc%2Ffull-record%2FWOS:000780999700001","View Full Record in Web of Science")</f>
        <v>View Full Record in Web of Science</v>
      </c>
    </row>
    <row r="998" ht="12.75" customHeight="1">
      <c r="A998" s="1" t="s">
        <v>72</v>
      </c>
      <c r="B998" s="1" t="s">
        <v>9584</v>
      </c>
      <c r="C998" s="1" t="s">
        <v>74</v>
      </c>
      <c r="D998" s="1" t="s">
        <v>74</v>
      </c>
      <c r="E998" s="1" t="s">
        <v>74</v>
      </c>
      <c r="F998" s="1" t="s">
        <v>9585</v>
      </c>
      <c r="G998" s="1" t="s">
        <v>74</v>
      </c>
      <c r="H998" s="1" t="s">
        <v>74</v>
      </c>
      <c r="I998" s="1" t="s">
        <v>9586</v>
      </c>
      <c r="J998" s="1" t="s">
        <v>9587</v>
      </c>
      <c r="K998" s="1" t="s">
        <v>74</v>
      </c>
      <c r="L998" s="1" t="s">
        <v>74</v>
      </c>
      <c r="M998" s="1" t="s">
        <v>74</v>
      </c>
      <c r="N998" s="1" t="s">
        <v>74</v>
      </c>
      <c r="O998" s="1" t="s">
        <v>74</v>
      </c>
      <c r="P998" s="1" t="s">
        <v>74</v>
      </c>
      <c r="Q998" s="1" t="s">
        <v>74</v>
      </c>
      <c r="R998" s="1" t="s">
        <v>74</v>
      </c>
      <c r="S998" s="1" t="s">
        <v>74</v>
      </c>
      <c r="T998" s="1" t="s">
        <v>74</v>
      </c>
      <c r="U998" s="1" t="s">
        <v>74</v>
      </c>
      <c r="V998" s="1" t="s">
        <v>9588</v>
      </c>
      <c r="W998" s="1" t="s">
        <v>74</v>
      </c>
      <c r="X998" s="1" t="s">
        <v>74</v>
      </c>
      <c r="Y998" s="1" t="s">
        <v>74</v>
      </c>
      <c r="Z998" s="1" t="s">
        <v>74</v>
      </c>
      <c r="AA998" s="1" t="s">
        <v>9589</v>
      </c>
      <c r="AB998" s="1" t="s">
        <v>9590</v>
      </c>
      <c r="AC998" s="1" t="s">
        <v>74</v>
      </c>
      <c r="AD998" s="1" t="s">
        <v>74</v>
      </c>
      <c r="AE998" s="1" t="s">
        <v>74</v>
      </c>
      <c r="AF998" s="1" t="s">
        <v>74</v>
      </c>
      <c r="AG998" s="1" t="s">
        <v>74</v>
      </c>
      <c r="AH998" s="1" t="s">
        <v>74</v>
      </c>
      <c r="AI998" s="1" t="s">
        <v>74</v>
      </c>
      <c r="AJ998" s="1" t="s">
        <v>74</v>
      </c>
      <c r="AK998" s="1" t="s">
        <v>74</v>
      </c>
      <c r="AL998" s="1" t="s">
        <v>74</v>
      </c>
      <c r="AM998" s="1" t="s">
        <v>74</v>
      </c>
      <c r="AN998" s="1" t="s">
        <v>74</v>
      </c>
      <c r="AO998" s="1" t="s">
        <v>9591</v>
      </c>
      <c r="AP998" s="1" t="s">
        <v>9592</v>
      </c>
      <c r="AQ998" s="1" t="s">
        <v>74</v>
      </c>
      <c r="AR998" s="1" t="s">
        <v>74</v>
      </c>
      <c r="AS998" s="1" t="s">
        <v>74</v>
      </c>
      <c r="AT998" s="1" t="s">
        <v>9483</v>
      </c>
      <c r="AU998" s="1">
        <v>2022.0</v>
      </c>
      <c r="AV998" s="1">
        <v>55.0</v>
      </c>
      <c r="AW998" s="1">
        <v>5.0</v>
      </c>
      <c r="AX998" s="1" t="s">
        <v>74</v>
      </c>
      <c r="AY998" s="1" t="s">
        <v>74</v>
      </c>
      <c r="AZ998" s="1" t="s">
        <v>74</v>
      </c>
      <c r="BA998" s="1" t="s">
        <v>74</v>
      </c>
      <c r="BB998" s="1">
        <v>615.0</v>
      </c>
      <c r="BC998" s="1">
        <v>635.0</v>
      </c>
      <c r="BD998" s="1" t="s">
        <v>74</v>
      </c>
      <c r="BE998" s="1" t="s">
        <v>9593</v>
      </c>
      <c r="BF998" s="2" t="str">
        <f>HYPERLINK("http://dx.doi.org/10.1080/03235408.2022.2035965","http://dx.doi.org/10.1080/03235408.2022.2035965")</f>
        <v>http://dx.doi.org/10.1080/03235408.2022.2035965</v>
      </c>
      <c r="BG998" s="1" t="s">
        <v>74</v>
      </c>
      <c r="BH998" s="1" t="s">
        <v>272</v>
      </c>
      <c r="BI998" s="1" t="s">
        <v>74</v>
      </c>
      <c r="BJ998" s="1" t="s">
        <v>74</v>
      </c>
      <c r="BK998" s="1" t="s">
        <v>74</v>
      </c>
      <c r="BL998" s="1" t="s">
        <v>74</v>
      </c>
      <c r="BM998" s="1" t="s">
        <v>74</v>
      </c>
      <c r="BN998" s="1" t="s">
        <v>74</v>
      </c>
      <c r="BO998" s="1" t="s">
        <v>74</v>
      </c>
      <c r="BP998" s="1" t="s">
        <v>74</v>
      </c>
      <c r="BQ998" s="1" t="s">
        <v>74</v>
      </c>
      <c r="BR998" s="1" t="s">
        <v>74</v>
      </c>
      <c r="BS998" s="1" t="s">
        <v>9594</v>
      </c>
      <c r="BT998" s="1" t="str">
        <f>HYPERLINK("https%3A%2F%2Fwww.webofscience.com%2Fwos%2Fwoscc%2Ffull-record%2FWOS:000752344400001","View Full Record in Web of Science")</f>
        <v>View Full Record in Web of Science</v>
      </c>
    </row>
    <row r="999" ht="12.75" customHeight="1">
      <c r="A999" s="1" t="s">
        <v>72</v>
      </c>
      <c r="B999" s="1" t="s">
        <v>9595</v>
      </c>
      <c r="C999" s="1" t="s">
        <v>74</v>
      </c>
      <c r="D999" s="1" t="s">
        <v>74</v>
      </c>
      <c r="E999" s="1" t="s">
        <v>74</v>
      </c>
      <c r="F999" s="1" t="s">
        <v>9596</v>
      </c>
      <c r="G999" s="1" t="s">
        <v>74</v>
      </c>
      <c r="H999" s="1" t="s">
        <v>74</v>
      </c>
      <c r="I999" s="1" t="s">
        <v>9597</v>
      </c>
      <c r="J999" s="1" t="s">
        <v>6266</v>
      </c>
      <c r="K999" s="1" t="s">
        <v>74</v>
      </c>
      <c r="L999" s="1" t="s">
        <v>74</v>
      </c>
      <c r="M999" s="1" t="s">
        <v>74</v>
      </c>
      <c r="N999" s="1" t="s">
        <v>74</v>
      </c>
      <c r="O999" s="1" t="s">
        <v>74</v>
      </c>
      <c r="P999" s="1" t="s">
        <v>74</v>
      </c>
      <c r="Q999" s="1" t="s">
        <v>74</v>
      </c>
      <c r="R999" s="1" t="s">
        <v>74</v>
      </c>
      <c r="S999" s="1" t="s">
        <v>74</v>
      </c>
      <c r="T999" s="1" t="s">
        <v>74</v>
      </c>
      <c r="U999" s="1" t="s">
        <v>74</v>
      </c>
      <c r="V999" s="1" t="s">
        <v>9598</v>
      </c>
      <c r="W999" s="1" t="s">
        <v>74</v>
      </c>
      <c r="X999" s="1" t="s">
        <v>74</v>
      </c>
      <c r="Y999" s="1" t="s">
        <v>74</v>
      </c>
      <c r="Z999" s="1" t="s">
        <v>74</v>
      </c>
      <c r="AA999" s="1" t="s">
        <v>9599</v>
      </c>
      <c r="AB999" s="1" t="s">
        <v>9600</v>
      </c>
      <c r="AC999" s="1" t="s">
        <v>74</v>
      </c>
      <c r="AD999" s="1" t="s">
        <v>74</v>
      </c>
      <c r="AE999" s="1" t="s">
        <v>74</v>
      </c>
      <c r="AF999" s="1" t="s">
        <v>74</v>
      </c>
      <c r="AG999" s="1" t="s">
        <v>74</v>
      </c>
      <c r="AH999" s="1" t="s">
        <v>74</v>
      </c>
      <c r="AI999" s="1" t="s">
        <v>74</v>
      </c>
      <c r="AJ999" s="1" t="s">
        <v>74</v>
      </c>
      <c r="AK999" s="1" t="s">
        <v>74</v>
      </c>
      <c r="AL999" s="1" t="s">
        <v>74</v>
      </c>
      <c r="AM999" s="1" t="s">
        <v>74</v>
      </c>
      <c r="AN999" s="1" t="s">
        <v>74</v>
      </c>
      <c r="AO999" s="1" t="s">
        <v>74</v>
      </c>
      <c r="AP999" s="1" t="s">
        <v>6268</v>
      </c>
      <c r="AQ999" s="1" t="s">
        <v>74</v>
      </c>
      <c r="AR999" s="1" t="s">
        <v>74</v>
      </c>
      <c r="AS999" s="1" t="s">
        <v>74</v>
      </c>
      <c r="AT999" s="1" t="s">
        <v>2000</v>
      </c>
      <c r="AU999" s="1">
        <v>2021.0</v>
      </c>
      <c r="AV999" s="1">
        <v>92.0</v>
      </c>
      <c r="AW999" s="1">
        <v>6.0</v>
      </c>
      <c r="AX999" s="1" t="s">
        <v>74</v>
      </c>
      <c r="AY999" s="1" t="s">
        <v>74</v>
      </c>
      <c r="AZ999" s="1" t="s">
        <v>74</v>
      </c>
      <c r="BA999" s="1" t="s">
        <v>74</v>
      </c>
      <c r="BB999" s="1">
        <v>879.0</v>
      </c>
      <c r="BC999" s="1">
        <v>887.0</v>
      </c>
      <c r="BD999" s="1" t="s">
        <v>74</v>
      </c>
      <c r="BE999" s="1" t="s">
        <v>9601</v>
      </c>
      <c r="BF999" s="2" t="str">
        <f>HYPERLINK("http://dx.doi.org/10.32641/andespediatr.v92i6.2866","http://dx.doi.org/10.32641/andespediatr.v92i6.2866")</f>
        <v>http://dx.doi.org/10.32641/andespediatr.v92i6.2866</v>
      </c>
      <c r="BG999" s="1" t="s">
        <v>74</v>
      </c>
      <c r="BH999" s="1" t="s">
        <v>74</v>
      </c>
      <c r="BI999" s="1" t="s">
        <v>74</v>
      </c>
      <c r="BJ999" s="1" t="s">
        <v>74</v>
      </c>
      <c r="BK999" s="1" t="s">
        <v>74</v>
      </c>
      <c r="BL999" s="1" t="s">
        <v>74</v>
      </c>
      <c r="BM999" s="1" t="s">
        <v>74</v>
      </c>
      <c r="BN999" s="1">
        <v>3.5506799E7</v>
      </c>
      <c r="BO999" s="1" t="s">
        <v>74</v>
      </c>
      <c r="BP999" s="1" t="s">
        <v>74</v>
      </c>
      <c r="BQ999" s="1" t="s">
        <v>74</v>
      </c>
      <c r="BR999" s="1" t="s">
        <v>74</v>
      </c>
      <c r="BS999" s="1" t="s">
        <v>9602</v>
      </c>
      <c r="BT999" s="1" t="str">
        <f>HYPERLINK("https%3A%2F%2Fwww.webofscience.com%2Fwos%2Fwoscc%2Ffull-record%2FWOS:000808831900008","View Full Record in Web of Science")</f>
        <v>View Full Record in Web of Science</v>
      </c>
    </row>
    <row r="1000" ht="12.75" customHeight="1">
      <c r="A1000" s="1" t="s">
        <v>72</v>
      </c>
      <c r="B1000" s="1" t="s">
        <v>9603</v>
      </c>
      <c r="C1000" s="1" t="s">
        <v>74</v>
      </c>
      <c r="D1000" s="1" t="s">
        <v>74</v>
      </c>
      <c r="E1000" s="1" t="s">
        <v>74</v>
      </c>
      <c r="F1000" s="1" t="s">
        <v>9604</v>
      </c>
      <c r="G1000" s="1" t="s">
        <v>74</v>
      </c>
      <c r="H1000" s="1" t="s">
        <v>74</v>
      </c>
      <c r="I1000" s="1" t="s">
        <v>9605</v>
      </c>
      <c r="J1000" s="1" t="s">
        <v>1407</v>
      </c>
      <c r="K1000" s="1" t="s">
        <v>74</v>
      </c>
      <c r="L1000" s="1" t="s">
        <v>74</v>
      </c>
      <c r="M1000" s="1" t="s">
        <v>74</v>
      </c>
      <c r="N1000" s="1" t="s">
        <v>74</v>
      </c>
      <c r="O1000" s="1" t="s">
        <v>74</v>
      </c>
      <c r="P1000" s="1" t="s">
        <v>74</v>
      </c>
      <c r="Q1000" s="1" t="s">
        <v>74</v>
      </c>
      <c r="R1000" s="1" t="s">
        <v>74</v>
      </c>
      <c r="S1000" s="1" t="s">
        <v>74</v>
      </c>
      <c r="T1000" s="1" t="s">
        <v>74</v>
      </c>
      <c r="U1000" s="1" t="s">
        <v>74</v>
      </c>
      <c r="V1000" s="1" t="s">
        <v>9606</v>
      </c>
      <c r="W1000" s="1" t="s">
        <v>74</v>
      </c>
      <c r="X1000" s="1" t="s">
        <v>74</v>
      </c>
      <c r="Y1000" s="1" t="s">
        <v>74</v>
      </c>
      <c r="Z1000" s="1" t="s">
        <v>74</v>
      </c>
      <c r="AA1000" s="1" t="s">
        <v>9607</v>
      </c>
      <c r="AB1000" s="1" t="s">
        <v>9608</v>
      </c>
      <c r="AC1000" s="1" t="s">
        <v>74</v>
      </c>
      <c r="AD1000" s="1" t="s">
        <v>74</v>
      </c>
      <c r="AE1000" s="1" t="s">
        <v>74</v>
      </c>
      <c r="AF1000" s="1" t="s">
        <v>74</v>
      </c>
      <c r="AG1000" s="1" t="s">
        <v>74</v>
      </c>
      <c r="AH1000" s="1" t="s">
        <v>74</v>
      </c>
      <c r="AI1000" s="1" t="s">
        <v>74</v>
      </c>
      <c r="AJ1000" s="1" t="s">
        <v>74</v>
      </c>
      <c r="AK1000" s="1" t="s">
        <v>74</v>
      </c>
      <c r="AL1000" s="1" t="s">
        <v>74</v>
      </c>
      <c r="AM1000" s="1" t="s">
        <v>74</v>
      </c>
      <c r="AN1000" s="1" t="s">
        <v>74</v>
      </c>
      <c r="AO1000" s="1" t="s">
        <v>1411</v>
      </c>
      <c r="AP1000" s="1" t="s">
        <v>1412</v>
      </c>
      <c r="AQ1000" s="1" t="s">
        <v>74</v>
      </c>
      <c r="AR1000" s="1" t="s">
        <v>74</v>
      </c>
      <c r="AS1000" s="1" t="s">
        <v>74</v>
      </c>
      <c r="AT1000" s="1" t="s">
        <v>270</v>
      </c>
      <c r="AU1000" s="1">
        <v>2022.0</v>
      </c>
      <c r="AV1000" s="1">
        <v>281.0</v>
      </c>
      <c r="AW1000" s="1" t="s">
        <v>74</v>
      </c>
      <c r="AX1000" s="1" t="s">
        <v>74</v>
      </c>
      <c r="AY1000" s="1" t="s">
        <v>74</v>
      </c>
      <c r="AZ1000" s="1" t="s">
        <v>74</v>
      </c>
      <c r="BA1000" s="1" t="s">
        <v>74</v>
      </c>
      <c r="BB1000" s="1" t="s">
        <v>74</v>
      </c>
      <c r="BC1000" s="1" t="s">
        <v>74</v>
      </c>
      <c r="BD1000" s="1">
        <v>119833.0</v>
      </c>
      <c r="BE1000" s="1" t="s">
        <v>9609</v>
      </c>
      <c r="BF1000" s="2" t="str">
        <f>HYPERLINK("http://dx.doi.org/10.1016/j.seppur.2021.119833","http://dx.doi.org/10.1016/j.seppur.2021.119833")</f>
        <v>http://dx.doi.org/10.1016/j.seppur.2021.119833</v>
      </c>
      <c r="BG1000" s="1" t="s">
        <v>74</v>
      </c>
      <c r="BH1000" s="1" t="s">
        <v>9610</v>
      </c>
      <c r="BI1000" s="1" t="s">
        <v>74</v>
      </c>
      <c r="BJ1000" s="1" t="s">
        <v>74</v>
      </c>
      <c r="BK1000" s="1" t="s">
        <v>74</v>
      </c>
      <c r="BL1000" s="1" t="s">
        <v>74</v>
      </c>
      <c r="BM1000" s="1" t="s">
        <v>74</v>
      </c>
      <c r="BN1000" s="1" t="s">
        <v>74</v>
      </c>
      <c r="BO1000" s="1" t="s">
        <v>74</v>
      </c>
      <c r="BP1000" s="1" t="s">
        <v>74</v>
      </c>
      <c r="BQ1000" s="1" t="s">
        <v>74</v>
      </c>
      <c r="BR1000" s="1" t="s">
        <v>74</v>
      </c>
      <c r="BS1000" s="1" t="s">
        <v>9611</v>
      </c>
      <c r="BT1000" s="1" t="str">
        <f>HYPERLINK("https%3A%2F%2Fwww.webofscience.com%2Fwos%2Fwoscc%2Ffull-record%2FWOS:000707360700006","View Full Record in Web of Science")</f>
        <v>View Full Record in Web of Science</v>
      </c>
    </row>
    <row r="1001" ht="12.75" customHeight="1">
      <c r="A1001" s="1" t="s">
        <v>72</v>
      </c>
      <c r="B1001" s="1" t="s">
        <v>9612</v>
      </c>
      <c r="C1001" s="1" t="s">
        <v>74</v>
      </c>
      <c r="D1001" s="1" t="s">
        <v>74</v>
      </c>
      <c r="E1001" s="1" t="s">
        <v>74</v>
      </c>
      <c r="F1001" s="1" t="s">
        <v>9613</v>
      </c>
      <c r="G1001" s="1" t="s">
        <v>74</v>
      </c>
      <c r="H1001" s="1" t="s">
        <v>74</v>
      </c>
      <c r="I1001" s="1" t="s">
        <v>9614</v>
      </c>
      <c r="J1001" s="1" t="s">
        <v>1779</v>
      </c>
      <c r="K1001" s="1" t="s">
        <v>74</v>
      </c>
      <c r="L1001" s="1" t="s">
        <v>74</v>
      </c>
      <c r="M1001" s="1" t="s">
        <v>74</v>
      </c>
      <c r="N1001" s="1" t="s">
        <v>74</v>
      </c>
      <c r="O1001" s="1" t="s">
        <v>74</v>
      </c>
      <c r="P1001" s="1" t="s">
        <v>74</v>
      </c>
      <c r="Q1001" s="1" t="s">
        <v>74</v>
      </c>
      <c r="R1001" s="1" t="s">
        <v>74</v>
      </c>
      <c r="S1001" s="1" t="s">
        <v>74</v>
      </c>
      <c r="T1001" s="1" t="s">
        <v>74</v>
      </c>
      <c r="U1001" s="1" t="s">
        <v>74</v>
      </c>
      <c r="V1001" s="1" t="s">
        <v>9615</v>
      </c>
      <c r="W1001" s="1" t="s">
        <v>74</v>
      </c>
      <c r="X1001" s="1" t="s">
        <v>74</v>
      </c>
      <c r="Y1001" s="1" t="s">
        <v>74</v>
      </c>
      <c r="Z1001" s="1" t="s">
        <v>74</v>
      </c>
      <c r="AA1001" s="1" t="s">
        <v>9616</v>
      </c>
      <c r="AB1001" s="1" t="s">
        <v>9617</v>
      </c>
      <c r="AC1001" s="1" t="s">
        <v>74</v>
      </c>
      <c r="AD1001" s="1" t="s">
        <v>74</v>
      </c>
      <c r="AE1001" s="1" t="s">
        <v>74</v>
      </c>
      <c r="AF1001" s="1" t="s">
        <v>74</v>
      </c>
      <c r="AG1001" s="1" t="s">
        <v>74</v>
      </c>
      <c r="AH1001" s="1" t="s">
        <v>74</v>
      </c>
      <c r="AI1001" s="1" t="s">
        <v>74</v>
      </c>
      <c r="AJ1001" s="1" t="s">
        <v>74</v>
      </c>
      <c r="AK1001" s="1" t="s">
        <v>74</v>
      </c>
      <c r="AL1001" s="1" t="s">
        <v>74</v>
      </c>
      <c r="AM1001" s="1" t="s">
        <v>74</v>
      </c>
      <c r="AN1001" s="1" t="s">
        <v>74</v>
      </c>
      <c r="AO1001" s="1" t="s">
        <v>74</v>
      </c>
      <c r="AP1001" s="1" t="s">
        <v>1783</v>
      </c>
      <c r="AQ1001" s="1" t="s">
        <v>74</v>
      </c>
      <c r="AR1001" s="1" t="s">
        <v>74</v>
      </c>
      <c r="AS1001" s="1" t="s">
        <v>74</v>
      </c>
      <c r="AT1001" s="1" t="s">
        <v>606</v>
      </c>
      <c r="AU1001" s="1">
        <v>2021.0</v>
      </c>
      <c r="AV1001" s="1">
        <v>13.0</v>
      </c>
      <c r="AW1001" s="1">
        <v>19.0</v>
      </c>
      <c r="AX1001" s="1" t="s">
        <v>74</v>
      </c>
      <c r="AY1001" s="1" t="s">
        <v>74</v>
      </c>
      <c r="AZ1001" s="1" t="s">
        <v>74</v>
      </c>
      <c r="BA1001" s="1" t="s">
        <v>74</v>
      </c>
      <c r="BB1001" s="1" t="s">
        <v>74</v>
      </c>
      <c r="BC1001" s="1" t="s">
        <v>74</v>
      </c>
      <c r="BD1001" s="1">
        <v>3450.0</v>
      </c>
      <c r="BE1001" s="1" t="s">
        <v>9618</v>
      </c>
      <c r="BF1001" s="2" t="str">
        <f>HYPERLINK("http://dx.doi.org/10.3390/polym13193450","http://dx.doi.org/10.3390/polym13193450")</f>
        <v>http://dx.doi.org/10.3390/polym13193450</v>
      </c>
      <c r="BG1001" s="1" t="s">
        <v>74</v>
      </c>
      <c r="BH1001" s="1" t="s">
        <v>74</v>
      </c>
      <c r="BI1001" s="1" t="s">
        <v>74</v>
      </c>
      <c r="BJ1001" s="1" t="s">
        <v>74</v>
      </c>
      <c r="BK1001" s="1" t="s">
        <v>74</v>
      </c>
      <c r="BL1001" s="1" t="s">
        <v>74</v>
      </c>
      <c r="BM1001" s="1" t="s">
        <v>74</v>
      </c>
      <c r="BN1001" s="1">
        <v>3.4641265E7</v>
      </c>
      <c r="BO1001" s="1" t="s">
        <v>74</v>
      </c>
      <c r="BP1001" s="1" t="s">
        <v>74</v>
      </c>
      <c r="BQ1001" s="1" t="s">
        <v>74</v>
      </c>
      <c r="BR1001" s="1" t="s">
        <v>74</v>
      </c>
      <c r="BS1001" s="1" t="s">
        <v>9619</v>
      </c>
      <c r="BT1001" s="1" t="str">
        <f>HYPERLINK("https%3A%2F%2Fwww.webofscience.com%2Fwos%2Fwoscc%2Ffull-record%2FWOS:000735664600001","View Full Record in Web of Science")</f>
        <v>View Full Record in Web of Science</v>
      </c>
    </row>
  </sheetData>
  <printOptions/>
  <pageMargins bottom="0.75" footer="0.0" header="0.0" left="0.7" right="0.7" top="0.75"/>
  <pageSetup orientation="landscape"/>
  <drawing r:id="rId1"/>
</worksheet>
</file>